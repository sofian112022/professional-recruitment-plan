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n\.copilot\repos\copilot-worktrees\professional-recruitment-plan\sofian112022-cuddly-pancake\"/>
    </mc:Choice>
  </mc:AlternateContent>
  <xr:revisionPtr revIDLastSave="0" documentId="8_{36237581-E78E-4F34-A916-C02EFE9A048E}" xr6:coauthVersionLast="47" xr6:coauthVersionMax="47" xr10:uidLastSave="{00000000-0000-0000-0000-000000000000}"/>
  <bookViews>
    <workbookView xWindow="-120" yWindow="-120" windowWidth="29040" windowHeight="15720" firstSheet="1" activeTab="11" xr2:uid="{5B1DC811-F46E-4505-9E55-BB9B035C1D09}"/>
  </bookViews>
  <sheets>
    <sheet name="Monthly" sheetId="12" r:id="rId1"/>
    <sheet name="Dashboard" sheetId="11" r:id="rId2"/>
    <sheet name="Evidence" sheetId="10" r:id="rId3"/>
    <sheet name="Competency" sheetId="9" r:id="rId4"/>
    <sheet name="Evaluation" sheetId="8" r:id="rId5"/>
    <sheet name="Attendance" sheetId="7" r:id="rId6"/>
    <sheet name="Sessions" sheetId="6" r:id="rId7"/>
    <sheet name="Plan" sheetId="5" r:id="rId8"/>
    <sheet name="Needs" sheetId="4" r:id="rId9"/>
    <sheet name="Employees" sheetId="3" r:id="rId10"/>
    <sheet name="Standards" sheetId="2" r:id="rId11"/>
    <sheet name="Setup" sheetId="1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2" l="1"/>
  <c r="B7" i="12"/>
  <c r="B6" i="12"/>
  <c r="B5" i="12"/>
  <c r="B4" i="12"/>
  <c r="D13" i="11"/>
  <c r="D12" i="11"/>
  <c r="D11" i="11"/>
  <c r="D10" i="11"/>
  <c r="D9" i="11"/>
  <c r="D8" i="11"/>
  <c r="D6" i="11"/>
  <c r="D5" i="11"/>
  <c r="D4" i="11"/>
  <c r="B13" i="11"/>
  <c r="B12" i="11"/>
  <c r="B11" i="11"/>
  <c r="B10" i="11"/>
  <c r="B9" i="11"/>
  <c r="B8" i="11"/>
  <c r="B6" i="11"/>
  <c r="B5" i="11"/>
  <c r="B4" i="11"/>
  <c r="I203" i="9"/>
  <c r="C203" i="9"/>
  <c r="B203" i="9"/>
  <c r="I202" i="9"/>
  <c r="C202" i="9"/>
  <c r="B202" i="9"/>
  <c r="I201" i="9"/>
  <c r="C201" i="9"/>
  <c r="B201" i="9"/>
  <c r="I200" i="9"/>
  <c r="C200" i="9"/>
  <c r="B200" i="9"/>
  <c r="I199" i="9"/>
  <c r="C199" i="9"/>
  <c r="B199" i="9"/>
  <c r="I198" i="9"/>
  <c r="C198" i="9"/>
  <c r="B198" i="9"/>
  <c r="I197" i="9"/>
  <c r="C197" i="9"/>
  <c r="B197" i="9"/>
  <c r="I196" i="9"/>
  <c r="C196" i="9"/>
  <c r="B196" i="9"/>
  <c r="I195" i="9"/>
  <c r="C195" i="9"/>
  <c r="B195" i="9"/>
  <c r="I194" i="9"/>
  <c r="C194" i="9"/>
  <c r="B194" i="9"/>
  <c r="I193" i="9"/>
  <c r="C193" i="9"/>
  <c r="B193" i="9"/>
  <c r="I192" i="9"/>
  <c r="C192" i="9"/>
  <c r="B192" i="9"/>
  <c r="I191" i="9"/>
  <c r="C191" i="9"/>
  <c r="B191" i="9"/>
  <c r="I190" i="9"/>
  <c r="C190" i="9"/>
  <c r="B190" i="9"/>
  <c r="I189" i="9"/>
  <c r="C189" i="9"/>
  <c r="B189" i="9"/>
  <c r="I188" i="9"/>
  <c r="C188" i="9"/>
  <c r="B188" i="9"/>
  <c r="I187" i="9"/>
  <c r="C187" i="9"/>
  <c r="B187" i="9"/>
  <c r="I186" i="9"/>
  <c r="C186" i="9"/>
  <c r="B186" i="9"/>
  <c r="I185" i="9"/>
  <c r="C185" i="9"/>
  <c r="B185" i="9"/>
  <c r="I184" i="9"/>
  <c r="C184" i="9"/>
  <c r="B184" i="9"/>
  <c r="I183" i="9"/>
  <c r="C183" i="9"/>
  <c r="B183" i="9"/>
  <c r="I182" i="9"/>
  <c r="C182" i="9"/>
  <c r="B182" i="9"/>
  <c r="I181" i="9"/>
  <c r="C181" i="9"/>
  <c r="B181" i="9"/>
  <c r="I180" i="9"/>
  <c r="C180" i="9"/>
  <c r="B180" i="9"/>
  <c r="I179" i="9"/>
  <c r="C179" i="9"/>
  <c r="B179" i="9"/>
  <c r="I178" i="9"/>
  <c r="C178" i="9"/>
  <c r="B178" i="9"/>
  <c r="I177" i="9"/>
  <c r="C177" i="9"/>
  <c r="B177" i="9"/>
  <c r="I176" i="9"/>
  <c r="C176" i="9"/>
  <c r="B176" i="9"/>
  <c r="I175" i="9"/>
  <c r="C175" i="9"/>
  <c r="B175" i="9"/>
  <c r="I174" i="9"/>
  <c r="C174" i="9"/>
  <c r="B174" i="9"/>
  <c r="I173" i="9"/>
  <c r="C173" i="9"/>
  <c r="B173" i="9"/>
  <c r="I172" i="9"/>
  <c r="C172" i="9"/>
  <c r="B172" i="9"/>
  <c r="I171" i="9"/>
  <c r="C171" i="9"/>
  <c r="B171" i="9"/>
  <c r="I170" i="9"/>
  <c r="C170" i="9"/>
  <c r="B170" i="9"/>
  <c r="I169" i="9"/>
  <c r="C169" i="9"/>
  <c r="B169" i="9"/>
  <c r="I168" i="9"/>
  <c r="C168" i="9"/>
  <c r="B168" i="9"/>
  <c r="I167" i="9"/>
  <c r="C167" i="9"/>
  <c r="B167" i="9"/>
  <c r="I166" i="9"/>
  <c r="C166" i="9"/>
  <c r="B166" i="9"/>
  <c r="I165" i="9"/>
  <c r="C165" i="9"/>
  <c r="B165" i="9"/>
  <c r="I164" i="9"/>
  <c r="C164" i="9"/>
  <c r="B164" i="9"/>
  <c r="I163" i="9"/>
  <c r="C163" i="9"/>
  <c r="B163" i="9"/>
  <c r="I162" i="9"/>
  <c r="C162" i="9"/>
  <c r="B162" i="9"/>
  <c r="I161" i="9"/>
  <c r="C161" i="9"/>
  <c r="B161" i="9"/>
  <c r="I160" i="9"/>
  <c r="C160" i="9"/>
  <c r="B160" i="9"/>
  <c r="I159" i="9"/>
  <c r="C159" i="9"/>
  <c r="B159" i="9"/>
  <c r="I158" i="9"/>
  <c r="C158" i="9"/>
  <c r="B158" i="9"/>
  <c r="I157" i="9"/>
  <c r="C157" i="9"/>
  <c r="B157" i="9"/>
  <c r="I156" i="9"/>
  <c r="C156" i="9"/>
  <c r="B156" i="9"/>
  <c r="I155" i="9"/>
  <c r="C155" i="9"/>
  <c r="B155" i="9"/>
  <c r="I154" i="9"/>
  <c r="C154" i="9"/>
  <c r="B154" i="9"/>
  <c r="I153" i="9"/>
  <c r="C153" i="9"/>
  <c r="B153" i="9"/>
  <c r="I152" i="9"/>
  <c r="C152" i="9"/>
  <c r="B152" i="9"/>
  <c r="I151" i="9"/>
  <c r="C151" i="9"/>
  <c r="B151" i="9"/>
  <c r="I150" i="9"/>
  <c r="C150" i="9"/>
  <c r="B150" i="9"/>
  <c r="I149" i="9"/>
  <c r="C149" i="9"/>
  <c r="B149" i="9"/>
  <c r="I148" i="9"/>
  <c r="C148" i="9"/>
  <c r="B148" i="9"/>
  <c r="I147" i="9"/>
  <c r="C147" i="9"/>
  <c r="B147" i="9"/>
  <c r="I146" i="9"/>
  <c r="C146" i="9"/>
  <c r="B146" i="9"/>
  <c r="I145" i="9"/>
  <c r="C145" i="9"/>
  <c r="B145" i="9"/>
  <c r="I144" i="9"/>
  <c r="C144" i="9"/>
  <c r="B144" i="9"/>
  <c r="I143" i="9"/>
  <c r="C143" i="9"/>
  <c r="B143" i="9"/>
  <c r="I142" i="9"/>
  <c r="C142" i="9"/>
  <c r="B142" i="9"/>
  <c r="I141" i="9"/>
  <c r="C141" i="9"/>
  <c r="B141" i="9"/>
  <c r="I140" i="9"/>
  <c r="C140" i="9"/>
  <c r="B140" i="9"/>
  <c r="I139" i="9"/>
  <c r="C139" i="9"/>
  <c r="B139" i="9"/>
  <c r="I138" i="9"/>
  <c r="C138" i="9"/>
  <c r="B138" i="9"/>
  <c r="I137" i="9"/>
  <c r="C137" i="9"/>
  <c r="B137" i="9"/>
  <c r="I136" i="9"/>
  <c r="C136" i="9"/>
  <c r="B136" i="9"/>
  <c r="I135" i="9"/>
  <c r="C135" i="9"/>
  <c r="B135" i="9"/>
  <c r="I134" i="9"/>
  <c r="C134" i="9"/>
  <c r="B134" i="9"/>
  <c r="I133" i="9"/>
  <c r="C133" i="9"/>
  <c r="B133" i="9"/>
  <c r="I132" i="9"/>
  <c r="C132" i="9"/>
  <c r="B132" i="9"/>
  <c r="I131" i="9"/>
  <c r="C131" i="9"/>
  <c r="B131" i="9"/>
  <c r="I130" i="9"/>
  <c r="C130" i="9"/>
  <c r="B130" i="9"/>
  <c r="I129" i="9"/>
  <c r="C129" i="9"/>
  <c r="B129" i="9"/>
  <c r="I128" i="9"/>
  <c r="C128" i="9"/>
  <c r="B128" i="9"/>
  <c r="I127" i="9"/>
  <c r="C127" i="9"/>
  <c r="B127" i="9"/>
  <c r="I126" i="9"/>
  <c r="C126" i="9"/>
  <c r="B126" i="9"/>
  <c r="I125" i="9"/>
  <c r="C125" i="9"/>
  <c r="B125" i="9"/>
  <c r="I124" i="9"/>
  <c r="C124" i="9"/>
  <c r="B124" i="9"/>
  <c r="I123" i="9"/>
  <c r="C123" i="9"/>
  <c r="B123" i="9"/>
  <c r="I122" i="9"/>
  <c r="C122" i="9"/>
  <c r="B122" i="9"/>
  <c r="I121" i="9"/>
  <c r="C121" i="9"/>
  <c r="B121" i="9"/>
  <c r="I120" i="9"/>
  <c r="C120" i="9"/>
  <c r="B120" i="9"/>
  <c r="I119" i="9"/>
  <c r="C119" i="9"/>
  <c r="B119" i="9"/>
  <c r="I118" i="9"/>
  <c r="C118" i="9"/>
  <c r="B118" i="9"/>
  <c r="I117" i="9"/>
  <c r="C117" i="9"/>
  <c r="B117" i="9"/>
  <c r="I116" i="9"/>
  <c r="C116" i="9"/>
  <c r="B116" i="9"/>
  <c r="I115" i="9"/>
  <c r="C115" i="9"/>
  <c r="B115" i="9"/>
  <c r="I114" i="9"/>
  <c r="C114" i="9"/>
  <c r="B114" i="9"/>
  <c r="I113" i="9"/>
  <c r="C113" i="9"/>
  <c r="B113" i="9"/>
  <c r="I112" i="9"/>
  <c r="C112" i="9"/>
  <c r="B112" i="9"/>
  <c r="I111" i="9"/>
  <c r="C111" i="9"/>
  <c r="B111" i="9"/>
  <c r="I110" i="9"/>
  <c r="C110" i="9"/>
  <c r="B110" i="9"/>
  <c r="I109" i="9"/>
  <c r="C109" i="9"/>
  <c r="B109" i="9"/>
  <c r="I108" i="9"/>
  <c r="C108" i="9"/>
  <c r="B108" i="9"/>
  <c r="I107" i="9"/>
  <c r="C107" i="9"/>
  <c r="B107" i="9"/>
  <c r="I106" i="9"/>
  <c r="C106" i="9"/>
  <c r="B106" i="9"/>
  <c r="I105" i="9"/>
  <c r="C105" i="9"/>
  <c r="B105" i="9"/>
  <c r="I104" i="9"/>
  <c r="C104" i="9"/>
  <c r="B104" i="9"/>
  <c r="I103" i="9"/>
  <c r="C103" i="9"/>
  <c r="B103" i="9"/>
  <c r="I102" i="9"/>
  <c r="C102" i="9"/>
  <c r="B102" i="9"/>
  <c r="I101" i="9"/>
  <c r="C101" i="9"/>
  <c r="B101" i="9"/>
  <c r="I100" i="9"/>
  <c r="C100" i="9"/>
  <c r="B100" i="9"/>
  <c r="I99" i="9"/>
  <c r="C99" i="9"/>
  <c r="B99" i="9"/>
  <c r="I98" i="9"/>
  <c r="C98" i="9"/>
  <c r="B98" i="9"/>
  <c r="I97" i="9"/>
  <c r="C97" i="9"/>
  <c r="B97" i="9"/>
  <c r="I96" i="9"/>
  <c r="C96" i="9"/>
  <c r="B96" i="9"/>
  <c r="I95" i="9"/>
  <c r="C95" i="9"/>
  <c r="B95" i="9"/>
  <c r="I94" i="9"/>
  <c r="C94" i="9"/>
  <c r="B94" i="9"/>
  <c r="I93" i="9"/>
  <c r="C93" i="9"/>
  <c r="B93" i="9"/>
  <c r="I92" i="9"/>
  <c r="C92" i="9"/>
  <c r="B92" i="9"/>
  <c r="I91" i="9"/>
  <c r="C91" i="9"/>
  <c r="B91" i="9"/>
  <c r="I90" i="9"/>
  <c r="C90" i="9"/>
  <c r="B90" i="9"/>
  <c r="I89" i="9"/>
  <c r="C89" i="9"/>
  <c r="B89" i="9"/>
  <c r="I88" i="9"/>
  <c r="C88" i="9"/>
  <c r="B88" i="9"/>
  <c r="I87" i="9"/>
  <c r="C87" i="9"/>
  <c r="B87" i="9"/>
  <c r="I86" i="9"/>
  <c r="C86" i="9"/>
  <c r="B86" i="9"/>
  <c r="I85" i="9"/>
  <c r="C85" i="9"/>
  <c r="B85" i="9"/>
  <c r="I84" i="9"/>
  <c r="C84" i="9"/>
  <c r="B84" i="9"/>
  <c r="I83" i="9"/>
  <c r="C83" i="9"/>
  <c r="B83" i="9"/>
  <c r="I82" i="9"/>
  <c r="C82" i="9"/>
  <c r="B82" i="9"/>
  <c r="I81" i="9"/>
  <c r="C81" i="9"/>
  <c r="B81" i="9"/>
  <c r="I80" i="9"/>
  <c r="C80" i="9"/>
  <c r="B80" i="9"/>
  <c r="I79" i="9"/>
  <c r="C79" i="9"/>
  <c r="B79" i="9"/>
  <c r="I78" i="9"/>
  <c r="C78" i="9"/>
  <c r="B78" i="9"/>
  <c r="I77" i="9"/>
  <c r="C77" i="9"/>
  <c r="B77" i="9"/>
  <c r="I76" i="9"/>
  <c r="C76" i="9"/>
  <c r="B76" i="9"/>
  <c r="I75" i="9"/>
  <c r="C75" i="9"/>
  <c r="B75" i="9"/>
  <c r="I74" i="9"/>
  <c r="C74" i="9"/>
  <c r="B74" i="9"/>
  <c r="I73" i="9"/>
  <c r="C73" i="9"/>
  <c r="B73" i="9"/>
  <c r="I72" i="9"/>
  <c r="C72" i="9"/>
  <c r="B72" i="9"/>
  <c r="I71" i="9"/>
  <c r="C71" i="9"/>
  <c r="B71" i="9"/>
  <c r="I70" i="9"/>
  <c r="C70" i="9"/>
  <c r="B70" i="9"/>
  <c r="I69" i="9"/>
  <c r="C69" i="9"/>
  <c r="B69" i="9"/>
  <c r="I68" i="9"/>
  <c r="C68" i="9"/>
  <c r="B68" i="9"/>
  <c r="I67" i="9"/>
  <c r="C67" i="9"/>
  <c r="B67" i="9"/>
  <c r="I66" i="9"/>
  <c r="C66" i="9"/>
  <c r="B66" i="9"/>
  <c r="I65" i="9"/>
  <c r="C65" i="9"/>
  <c r="B65" i="9"/>
  <c r="I64" i="9"/>
  <c r="C64" i="9"/>
  <c r="B64" i="9"/>
  <c r="I63" i="9"/>
  <c r="C63" i="9"/>
  <c r="B63" i="9"/>
  <c r="I62" i="9"/>
  <c r="C62" i="9"/>
  <c r="B62" i="9"/>
  <c r="I61" i="9"/>
  <c r="C61" i="9"/>
  <c r="B61" i="9"/>
  <c r="I60" i="9"/>
  <c r="C60" i="9"/>
  <c r="B60" i="9"/>
  <c r="I59" i="9"/>
  <c r="C59" i="9"/>
  <c r="B59" i="9"/>
  <c r="I58" i="9"/>
  <c r="C58" i="9"/>
  <c r="B58" i="9"/>
  <c r="I57" i="9"/>
  <c r="C57" i="9"/>
  <c r="B57" i="9"/>
  <c r="I56" i="9"/>
  <c r="C56" i="9"/>
  <c r="B56" i="9"/>
  <c r="I55" i="9"/>
  <c r="C55" i="9"/>
  <c r="B55" i="9"/>
  <c r="I54" i="9"/>
  <c r="C54" i="9"/>
  <c r="B54" i="9"/>
  <c r="I53" i="9"/>
  <c r="C53" i="9"/>
  <c r="B53" i="9"/>
  <c r="I52" i="9"/>
  <c r="C52" i="9"/>
  <c r="B52" i="9"/>
  <c r="I51" i="9"/>
  <c r="C51" i="9"/>
  <c r="B51" i="9"/>
  <c r="I50" i="9"/>
  <c r="C50" i="9"/>
  <c r="B50" i="9"/>
  <c r="I49" i="9"/>
  <c r="C49" i="9"/>
  <c r="B49" i="9"/>
  <c r="I48" i="9"/>
  <c r="C48" i="9"/>
  <c r="B48" i="9"/>
  <c r="I47" i="9"/>
  <c r="C47" i="9"/>
  <c r="B47" i="9"/>
  <c r="I46" i="9"/>
  <c r="C46" i="9"/>
  <c r="B46" i="9"/>
  <c r="I45" i="9"/>
  <c r="C45" i="9"/>
  <c r="B45" i="9"/>
  <c r="I44" i="9"/>
  <c r="C44" i="9"/>
  <c r="B44" i="9"/>
  <c r="I43" i="9"/>
  <c r="C43" i="9"/>
  <c r="B43" i="9"/>
  <c r="I42" i="9"/>
  <c r="C42" i="9"/>
  <c r="B42" i="9"/>
  <c r="I41" i="9"/>
  <c r="C41" i="9"/>
  <c r="B41" i="9"/>
  <c r="I40" i="9"/>
  <c r="C40" i="9"/>
  <c r="B40" i="9"/>
  <c r="I39" i="9"/>
  <c r="C39" i="9"/>
  <c r="B39" i="9"/>
  <c r="I38" i="9"/>
  <c r="C38" i="9"/>
  <c r="B38" i="9"/>
  <c r="I37" i="9"/>
  <c r="C37" i="9"/>
  <c r="B37" i="9"/>
  <c r="I36" i="9"/>
  <c r="C36" i="9"/>
  <c r="B36" i="9"/>
  <c r="I35" i="9"/>
  <c r="C35" i="9"/>
  <c r="B35" i="9"/>
  <c r="I34" i="9"/>
  <c r="C34" i="9"/>
  <c r="B34" i="9"/>
  <c r="I33" i="9"/>
  <c r="C33" i="9"/>
  <c r="B33" i="9"/>
  <c r="I32" i="9"/>
  <c r="C32" i="9"/>
  <c r="B32" i="9"/>
  <c r="I31" i="9"/>
  <c r="C31" i="9"/>
  <c r="B31" i="9"/>
  <c r="I30" i="9"/>
  <c r="C30" i="9"/>
  <c r="B30" i="9"/>
  <c r="I29" i="9"/>
  <c r="C29" i="9"/>
  <c r="B29" i="9"/>
  <c r="I28" i="9"/>
  <c r="C28" i="9"/>
  <c r="B28" i="9"/>
  <c r="I27" i="9"/>
  <c r="C27" i="9"/>
  <c r="B27" i="9"/>
  <c r="I26" i="9"/>
  <c r="C26" i="9"/>
  <c r="B26" i="9"/>
  <c r="I25" i="9"/>
  <c r="C25" i="9"/>
  <c r="B25" i="9"/>
  <c r="I24" i="9"/>
  <c r="C24" i="9"/>
  <c r="B24" i="9"/>
  <c r="I23" i="9"/>
  <c r="C23" i="9"/>
  <c r="B23" i="9"/>
  <c r="I22" i="9"/>
  <c r="C22" i="9"/>
  <c r="B22" i="9"/>
  <c r="I21" i="9"/>
  <c r="C21" i="9"/>
  <c r="B21" i="9"/>
  <c r="I20" i="9"/>
  <c r="C20" i="9"/>
  <c r="B20" i="9"/>
  <c r="I19" i="9"/>
  <c r="C19" i="9"/>
  <c r="B19" i="9"/>
  <c r="I18" i="9"/>
  <c r="C18" i="9"/>
  <c r="B18" i="9"/>
  <c r="I17" i="9"/>
  <c r="C17" i="9"/>
  <c r="B17" i="9"/>
  <c r="I16" i="9"/>
  <c r="C16" i="9"/>
  <c r="B16" i="9"/>
  <c r="I15" i="9"/>
  <c r="C15" i="9"/>
  <c r="B15" i="9"/>
  <c r="I14" i="9"/>
  <c r="C14" i="9"/>
  <c r="B14" i="9"/>
  <c r="I13" i="9"/>
  <c r="C13" i="9"/>
  <c r="B13" i="9"/>
  <c r="I12" i="9"/>
  <c r="C12" i="9"/>
  <c r="B12" i="9"/>
  <c r="I11" i="9"/>
  <c r="C11" i="9"/>
  <c r="B11" i="9"/>
  <c r="I10" i="9"/>
  <c r="C10" i="9"/>
  <c r="B10" i="9"/>
  <c r="I9" i="9"/>
  <c r="C9" i="9"/>
  <c r="B9" i="9"/>
  <c r="I8" i="9"/>
  <c r="C8" i="9"/>
  <c r="B8" i="9"/>
  <c r="I7" i="9"/>
  <c r="C7" i="9"/>
  <c r="B7" i="9"/>
  <c r="I6" i="9"/>
  <c r="C6" i="9"/>
  <c r="B6" i="9"/>
  <c r="I5" i="9"/>
  <c r="C5" i="9"/>
  <c r="B5" i="9"/>
  <c r="I4" i="9"/>
  <c r="C4" i="9"/>
  <c r="B4" i="9"/>
  <c r="I1003" i="8"/>
  <c r="H1003" i="8"/>
  <c r="E1003" i="8"/>
  <c r="C1003" i="8"/>
  <c r="I1002" i="8"/>
  <c r="H1002" i="8"/>
  <c r="E1002" i="8"/>
  <c r="C1002" i="8"/>
  <c r="I1001" i="8"/>
  <c r="H1001" i="8"/>
  <c r="E1001" i="8"/>
  <c r="C1001" i="8"/>
  <c r="I1000" i="8"/>
  <c r="H1000" i="8"/>
  <c r="E1000" i="8"/>
  <c r="C1000" i="8"/>
  <c r="I999" i="8"/>
  <c r="H999" i="8"/>
  <c r="E999" i="8"/>
  <c r="C999" i="8"/>
  <c r="I998" i="8"/>
  <c r="H998" i="8"/>
  <c r="E998" i="8"/>
  <c r="C998" i="8"/>
  <c r="I997" i="8"/>
  <c r="H997" i="8"/>
  <c r="E997" i="8"/>
  <c r="C997" i="8"/>
  <c r="I996" i="8"/>
  <c r="H996" i="8"/>
  <c r="E996" i="8"/>
  <c r="C996" i="8"/>
  <c r="I995" i="8"/>
  <c r="H995" i="8"/>
  <c r="E995" i="8"/>
  <c r="C995" i="8"/>
  <c r="I994" i="8"/>
  <c r="H994" i="8"/>
  <c r="E994" i="8"/>
  <c r="C994" i="8"/>
  <c r="I993" i="8"/>
  <c r="H993" i="8"/>
  <c r="E993" i="8"/>
  <c r="C993" i="8"/>
  <c r="I992" i="8"/>
  <c r="H992" i="8"/>
  <c r="E992" i="8"/>
  <c r="C992" i="8"/>
  <c r="I991" i="8"/>
  <c r="H991" i="8"/>
  <c r="E991" i="8"/>
  <c r="C991" i="8"/>
  <c r="I990" i="8"/>
  <c r="H990" i="8"/>
  <c r="E990" i="8"/>
  <c r="C990" i="8"/>
  <c r="I989" i="8"/>
  <c r="H989" i="8"/>
  <c r="E989" i="8"/>
  <c r="C989" i="8"/>
  <c r="I988" i="8"/>
  <c r="H988" i="8"/>
  <c r="E988" i="8"/>
  <c r="C988" i="8"/>
  <c r="I987" i="8"/>
  <c r="H987" i="8"/>
  <c r="E987" i="8"/>
  <c r="C987" i="8"/>
  <c r="I986" i="8"/>
  <c r="H986" i="8"/>
  <c r="E986" i="8"/>
  <c r="C986" i="8"/>
  <c r="I985" i="8"/>
  <c r="H985" i="8"/>
  <c r="E985" i="8"/>
  <c r="C985" i="8"/>
  <c r="I984" i="8"/>
  <c r="H984" i="8"/>
  <c r="E984" i="8"/>
  <c r="C984" i="8"/>
  <c r="I983" i="8"/>
  <c r="H983" i="8"/>
  <c r="E983" i="8"/>
  <c r="C983" i="8"/>
  <c r="I982" i="8"/>
  <c r="H982" i="8"/>
  <c r="E982" i="8"/>
  <c r="C982" i="8"/>
  <c r="I981" i="8"/>
  <c r="H981" i="8"/>
  <c r="E981" i="8"/>
  <c r="C981" i="8"/>
  <c r="I980" i="8"/>
  <c r="H980" i="8"/>
  <c r="E980" i="8"/>
  <c r="C980" i="8"/>
  <c r="I979" i="8"/>
  <c r="H979" i="8"/>
  <c r="E979" i="8"/>
  <c r="C979" i="8"/>
  <c r="I978" i="8"/>
  <c r="H978" i="8"/>
  <c r="E978" i="8"/>
  <c r="C978" i="8"/>
  <c r="I977" i="8"/>
  <c r="H977" i="8"/>
  <c r="E977" i="8"/>
  <c r="C977" i="8"/>
  <c r="I976" i="8"/>
  <c r="H976" i="8"/>
  <c r="E976" i="8"/>
  <c r="C976" i="8"/>
  <c r="I975" i="8"/>
  <c r="H975" i="8"/>
  <c r="E975" i="8"/>
  <c r="C975" i="8"/>
  <c r="I974" i="8"/>
  <c r="H974" i="8"/>
  <c r="E974" i="8"/>
  <c r="C974" i="8"/>
  <c r="I973" i="8"/>
  <c r="H973" i="8"/>
  <c r="E973" i="8"/>
  <c r="C973" i="8"/>
  <c r="I972" i="8"/>
  <c r="H972" i="8"/>
  <c r="E972" i="8"/>
  <c r="C972" i="8"/>
  <c r="I971" i="8"/>
  <c r="H971" i="8"/>
  <c r="E971" i="8"/>
  <c r="C971" i="8"/>
  <c r="I970" i="8"/>
  <c r="H970" i="8"/>
  <c r="E970" i="8"/>
  <c r="C970" i="8"/>
  <c r="I969" i="8"/>
  <c r="H969" i="8"/>
  <c r="E969" i="8"/>
  <c r="C969" i="8"/>
  <c r="I968" i="8"/>
  <c r="H968" i="8"/>
  <c r="E968" i="8"/>
  <c r="C968" i="8"/>
  <c r="I967" i="8"/>
  <c r="H967" i="8"/>
  <c r="E967" i="8"/>
  <c r="C967" i="8"/>
  <c r="I966" i="8"/>
  <c r="H966" i="8"/>
  <c r="E966" i="8"/>
  <c r="C966" i="8"/>
  <c r="I965" i="8"/>
  <c r="H965" i="8"/>
  <c r="E965" i="8"/>
  <c r="C965" i="8"/>
  <c r="I964" i="8"/>
  <c r="H964" i="8"/>
  <c r="E964" i="8"/>
  <c r="C964" i="8"/>
  <c r="I963" i="8"/>
  <c r="H963" i="8"/>
  <c r="E963" i="8"/>
  <c r="C963" i="8"/>
  <c r="I962" i="8"/>
  <c r="H962" i="8"/>
  <c r="E962" i="8"/>
  <c r="C962" i="8"/>
  <c r="I961" i="8"/>
  <c r="H961" i="8"/>
  <c r="E961" i="8"/>
  <c r="C961" i="8"/>
  <c r="I960" i="8"/>
  <c r="H960" i="8"/>
  <c r="E960" i="8"/>
  <c r="C960" i="8"/>
  <c r="I959" i="8"/>
  <c r="H959" i="8"/>
  <c r="E959" i="8"/>
  <c r="C959" i="8"/>
  <c r="I958" i="8"/>
  <c r="H958" i="8"/>
  <c r="E958" i="8"/>
  <c r="C958" i="8"/>
  <c r="I957" i="8"/>
  <c r="H957" i="8"/>
  <c r="E957" i="8"/>
  <c r="C957" i="8"/>
  <c r="I956" i="8"/>
  <c r="H956" i="8"/>
  <c r="E956" i="8"/>
  <c r="C956" i="8"/>
  <c r="I955" i="8"/>
  <c r="H955" i="8"/>
  <c r="E955" i="8"/>
  <c r="C955" i="8"/>
  <c r="I954" i="8"/>
  <c r="H954" i="8"/>
  <c r="E954" i="8"/>
  <c r="C954" i="8"/>
  <c r="I953" i="8"/>
  <c r="H953" i="8"/>
  <c r="E953" i="8"/>
  <c r="C953" i="8"/>
  <c r="I952" i="8"/>
  <c r="H952" i="8"/>
  <c r="E952" i="8"/>
  <c r="C952" i="8"/>
  <c r="I951" i="8"/>
  <c r="H951" i="8"/>
  <c r="E951" i="8"/>
  <c r="C951" i="8"/>
  <c r="I950" i="8"/>
  <c r="H950" i="8"/>
  <c r="E950" i="8"/>
  <c r="C950" i="8"/>
  <c r="I949" i="8"/>
  <c r="H949" i="8"/>
  <c r="E949" i="8"/>
  <c r="C949" i="8"/>
  <c r="I948" i="8"/>
  <c r="H948" i="8"/>
  <c r="E948" i="8"/>
  <c r="C948" i="8"/>
  <c r="I947" i="8"/>
  <c r="H947" i="8"/>
  <c r="E947" i="8"/>
  <c r="C947" i="8"/>
  <c r="I946" i="8"/>
  <c r="H946" i="8"/>
  <c r="E946" i="8"/>
  <c r="C946" i="8"/>
  <c r="I945" i="8"/>
  <c r="H945" i="8"/>
  <c r="E945" i="8"/>
  <c r="C945" i="8"/>
  <c r="I944" i="8"/>
  <c r="H944" i="8"/>
  <c r="E944" i="8"/>
  <c r="C944" i="8"/>
  <c r="I943" i="8"/>
  <c r="H943" i="8"/>
  <c r="E943" i="8"/>
  <c r="C943" i="8"/>
  <c r="I942" i="8"/>
  <c r="H942" i="8"/>
  <c r="E942" i="8"/>
  <c r="C942" i="8"/>
  <c r="I941" i="8"/>
  <c r="H941" i="8"/>
  <c r="E941" i="8"/>
  <c r="C941" i="8"/>
  <c r="I940" i="8"/>
  <c r="H940" i="8"/>
  <c r="E940" i="8"/>
  <c r="C940" i="8"/>
  <c r="I939" i="8"/>
  <c r="H939" i="8"/>
  <c r="E939" i="8"/>
  <c r="C939" i="8"/>
  <c r="I938" i="8"/>
  <c r="H938" i="8"/>
  <c r="E938" i="8"/>
  <c r="C938" i="8"/>
  <c r="I937" i="8"/>
  <c r="H937" i="8"/>
  <c r="E937" i="8"/>
  <c r="C937" i="8"/>
  <c r="I936" i="8"/>
  <c r="H936" i="8"/>
  <c r="E936" i="8"/>
  <c r="C936" i="8"/>
  <c r="I935" i="8"/>
  <c r="H935" i="8"/>
  <c r="E935" i="8"/>
  <c r="C935" i="8"/>
  <c r="I934" i="8"/>
  <c r="H934" i="8"/>
  <c r="E934" i="8"/>
  <c r="C934" i="8"/>
  <c r="I933" i="8"/>
  <c r="H933" i="8"/>
  <c r="E933" i="8"/>
  <c r="C933" i="8"/>
  <c r="I932" i="8"/>
  <c r="H932" i="8"/>
  <c r="E932" i="8"/>
  <c r="C932" i="8"/>
  <c r="I931" i="8"/>
  <c r="H931" i="8"/>
  <c r="E931" i="8"/>
  <c r="C931" i="8"/>
  <c r="I930" i="8"/>
  <c r="H930" i="8"/>
  <c r="E930" i="8"/>
  <c r="C930" i="8"/>
  <c r="I929" i="8"/>
  <c r="H929" i="8"/>
  <c r="E929" i="8"/>
  <c r="C929" i="8"/>
  <c r="I928" i="8"/>
  <c r="H928" i="8"/>
  <c r="E928" i="8"/>
  <c r="C928" i="8"/>
  <c r="I927" i="8"/>
  <c r="H927" i="8"/>
  <c r="E927" i="8"/>
  <c r="C927" i="8"/>
  <c r="I926" i="8"/>
  <c r="H926" i="8"/>
  <c r="E926" i="8"/>
  <c r="C926" i="8"/>
  <c r="I925" i="8"/>
  <c r="H925" i="8"/>
  <c r="E925" i="8"/>
  <c r="C925" i="8"/>
  <c r="I924" i="8"/>
  <c r="H924" i="8"/>
  <c r="E924" i="8"/>
  <c r="C924" i="8"/>
  <c r="I923" i="8"/>
  <c r="H923" i="8"/>
  <c r="E923" i="8"/>
  <c r="C923" i="8"/>
  <c r="I922" i="8"/>
  <c r="H922" i="8"/>
  <c r="E922" i="8"/>
  <c r="C922" i="8"/>
  <c r="I921" i="8"/>
  <c r="H921" i="8"/>
  <c r="E921" i="8"/>
  <c r="C921" i="8"/>
  <c r="I920" i="8"/>
  <c r="H920" i="8"/>
  <c r="E920" i="8"/>
  <c r="C920" i="8"/>
  <c r="I919" i="8"/>
  <c r="H919" i="8"/>
  <c r="E919" i="8"/>
  <c r="C919" i="8"/>
  <c r="I918" i="8"/>
  <c r="H918" i="8"/>
  <c r="E918" i="8"/>
  <c r="C918" i="8"/>
  <c r="I917" i="8"/>
  <c r="H917" i="8"/>
  <c r="E917" i="8"/>
  <c r="C917" i="8"/>
  <c r="I916" i="8"/>
  <c r="H916" i="8"/>
  <c r="E916" i="8"/>
  <c r="C916" i="8"/>
  <c r="I915" i="8"/>
  <c r="H915" i="8"/>
  <c r="E915" i="8"/>
  <c r="C915" i="8"/>
  <c r="I914" i="8"/>
  <c r="H914" i="8"/>
  <c r="E914" i="8"/>
  <c r="C914" i="8"/>
  <c r="I913" i="8"/>
  <c r="H913" i="8"/>
  <c r="E913" i="8"/>
  <c r="C913" i="8"/>
  <c r="I912" i="8"/>
  <c r="H912" i="8"/>
  <c r="E912" i="8"/>
  <c r="C912" i="8"/>
  <c r="I911" i="8"/>
  <c r="H911" i="8"/>
  <c r="E911" i="8"/>
  <c r="C911" i="8"/>
  <c r="I910" i="8"/>
  <c r="H910" i="8"/>
  <c r="E910" i="8"/>
  <c r="C910" i="8"/>
  <c r="I909" i="8"/>
  <c r="H909" i="8"/>
  <c r="E909" i="8"/>
  <c r="C909" i="8"/>
  <c r="I908" i="8"/>
  <c r="H908" i="8"/>
  <c r="E908" i="8"/>
  <c r="C908" i="8"/>
  <c r="I907" i="8"/>
  <c r="H907" i="8"/>
  <c r="E907" i="8"/>
  <c r="C907" i="8"/>
  <c r="I906" i="8"/>
  <c r="H906" i="8"/>
  <c r="E906" i="8"/>
  <c r="C906" i="8"/>
  <c r="I905" i="8"/>
  <c r="H905" i="8"/>
  <c r="E905" i="8"/>
  <c r="C905" i="8"/>
  <c r="I904" i="8"/>
  <c r="H904" i="8"/>
  <c r="E904" i="8"/>
  <c r="C904" i="8"/>
  <c r="I903" i="8"/>
  <c r="H903" i="8"/>
  <c r="E903" i="8"/>
  <c r="C903" i="8"/>
  <c r="I902" i="8"/>
  <c r="H902" i="8"/>
  <c r="E902" i="8"/>
  <c r="C902" i="8"/>
  <c r="I901" i="8"/>
  <c r="H901" i="8"/>
  <c r="E901" i="8"/>
  <c r="C901" i="8"/>
  <c r="I900" i="8"/>
  <c r="H900" i="8"/>
  <c r="E900" i="8"/>
  <c r="C900" i="8"/>
  <c r="I899" i="8"/>
  <c r="H899" i="8"/>
  <c r="E899" i="8"/>
  <c r="C899" i="8"/>
  <c r="I898" i="8"/>
  <c r="H898" i="8"/>
  <c r="E898" i="8"/>
  <c r="C898" i="8"/>
  <c r="I897" i="8"/>
  <c r="H897" i="8"/>
  <c r="E897" i="8"/>
  <c r="C897" i="8"/>
  <c r="I896" i="8"/>
  <c r="H896" i="8"/>
  <c r="E896" i="8"/>
  <c r="C896" i="8"/>
  <c r="I895" i="8"/>
  <c r="H895" i="8"/>
  <c r="E895" i="8"/>
  <c r="C895" i="8"/>
  <c r="I894" i="8"/>
  <c r="H894" i="8"/>
  <c r="E894" i="8"/>
  <c r="C894" i="8"/>
  <c r="I893" i="8"/>
  <c r="H893" i="8"/>
  <c r="E893" i="8"/>
  <c r="C893" i="8"/>
  <c r="I892" i="8"/>
  <c r="H892" i="8"/>
  <c r="E892" i="8"/>
  <c r="C892" i="8"/>
  <c r="I891" i="8"/>
  <c r="H891" i="8"/>
  <c r="E891" i="8"/>
  <c r="C891" i="8"/>
  <c r="I890" i="8"/>
  <c r="H890" i="8"/>
  <c r="E890" i="8"/>
  <c r="C890" i="8"/>
  <c r="I889" i="8"/>
  <c r="H889" i="8"/>
  <c r="E889" i="8"/>
  <c r="C889" i="8"/>
  <c r="I888" i="8"/>
  <c r="H888" i="8"/>
  <c r="E888" i="8"/>
  <c r="C888" i="8"/>
  <c r="I887" i="8"/>
  <c r="H887" i="8"/>
  <c r="E887" i="8"/>
  <c r="C887" i="8"/>
  <c r="I886" i="8"/>
  <c r="H886" i="8"/>
  <c r="E886" i="8"/>
  <c r="C886" i="8"/>
  <c r="I885" i="8"/>
  <c r="H885" i="8"/>
  <c r="E885" i="8"/>
  <c r="C885" i="8"/>
  <c r="I884" i="8"/>
  <c r="H884" i="8"/>
  <c r="E884" i="8"/>
  <c r="C884" i="8"/>
  <c r="I883" i="8"/>
  <c r="H883" i="8"/>
  <c r="E883" i="8"/>
  <c r="C883" i="8"/>
  <c r="I882" i="8"/>
  <c r="H882" i="8"/>
  <c r="E882" i="8"/>
  <c r="C882" i="8"/>
  <c r="I881" i="8"/>
  <c r="H881" i="8"/>
  <c r="E881" i="8"/>
  <c r="C881" i="8"/>
  <c r="I880" i="8"/>
  <c r="H880" i="8"/>
  <c r="E880" i="8"/>
  <c r="C880" i="8"/>
  <c r="I879" i="8"/>
  <c r="H879" i="8"/>
  <c r="E879" i="8"/>
  <c r="C879" i="8"/>
  <c r="I878" i="8"/>
  <c r="H878" i="8"/>
  <c r="E878" i="8"/>
  <c r="C878" i="8"/>
  <c r="I877" i="8"/>
  <c r="H877" i="8"/>
  <c r="E877" i="8"/>
  <c r="C877" i="8"/>
  <c r="I876" i="8"/>
  <c r="H876" i="8"/>
  <c r="E876" i="8"/>
  <c r="C876" i="8"/>
  <c r="I875" i="8"/>
  <c r="H875" i="8"/>
  <c r="E875" i="8"/>
  <c r="C875" i="8"/>
  <c r="I874" i="8"/>
  <c r="H874" i="8"/>
  <c r="E874" i="8"/>
  <c r="C874" i="8"/>
  <c r="I873" i="8"/>
  <c r="H873" i="8"/>
  <c r="E873" i="8"/>
  <c r="C873" i="8"/>
  <c r="I872" i="8"/>
  <c r="H872" i="8"/>
  <c r="E872" i="8"/>
  <c r="C872" i="8"/>
  <c r="I871" i="8"/>
  <c r="H871" i="8"/>
  <c r="E871" i="8"/>
  <c r="C871" i="8"/>
  <c r="I870" i="8"/>
  <c r="H870" i="8"/>
  <c r="E870" i="8"/>
  <c r="C870" i="8"/>
  <c r="I869" i="8"/>
  <c r="H869" i="8"/>
  <c r="E869" i="8"/>
  <c r="C869" i="8"/>
  <c r="I868" i="8"/>
  <c r="H868" i="8"/>
  <c r="E868" i="8"/>
  <c r="C868" i="8"/>
  <c r="I867" i="8"/>
  <c r="H867" i="8"/>
  <c r="E867" i="8"/>
  <c r="C867" i="8"/>
  <c r="I866" i="8"/>
  <c r="H866" i="8"/>
  <c r="E866" i="8"/>
  <c r="C866" i="8"/>
  <c r="I865" i="8"/>
  <c r="H865" i="8"/>
  <c r="E865" i="8"/>
  <c r="C865" i="8"/>
  <c r="I864" i="8"/>
  <c r="H864" i="8"/>
  <c r="E864" i="8"/>
  <c r="C864" i="8"/>
  <c r="I863" i="8"/>
  <c r="H863" i="8"/>
  <c r="E863" i="8"/>
  <c r="C863" i="8"/>
  <c r="I862" i="8"/>
  <c r="H862" i="8"/>
  <c r="E862" i="8"/>
  <c r="C862" i="8"/>
  <c r="I861" i="8"/>
  <c r="H861" i="8"/>
  <c r="E861" i="8"/>
  <c r="C861" i="8"/>
  <c r="I860" i="8"/>
  <c r="H860" i="8"/>
  <c r="E860" i="8"/>
  <c r="C860" i="8"/>
  <c r="I859" i="8"/>
  <c r="H859" i="8"/>
  <c r="E859" i="8"/>
  <c r="C859" i="8"/>
  <c r="I858" i="8"/>
  <c r="H858" i="8"/>
  <c r="E858" i="8"/>
  <c r="C858" i="8"/>
  <c r="I857" i="8"/>
  <c r="H857" i="8"/>
  <c r="E857" i="8"/>
  <c r="C857" i="8"/>
  <c r="I856" i="8"/>
  <c r="H856" i="8"/>
  <c r="E856" i="8"/>
  <c r="C856" i="8"/>
  <c r="I855" i="8"/>
  <c r="H855" i="8"/>
  <c r="E855" i="8"/>
  <c r="C855" i="8"/>
  <c r="I854" i="8"/>
  <c r="H854" i="8"/>
  <c r="E854" i="8"/>
  <c r="C854" i="8"/>
  <c r="I853" i="8"/>
  <c r="H853" i="8"/>
  <c r="E853" i="8"/>
  <c r="C853" i="8"/>
  <c r="I852" i="8"/>
  <c r="H852" i="8"/>
  <c r="E852" i="8"/>
  <c r="C852" i="8"/>
  <c r="I851" i="8"/>
  <c r="H851" i="8"/>
  <c r="E851" i="8"/>
  <c r="C851" i="8"/>
  <c r="I850" i="8"/>
  <c r="H850" i="8"/>
  <c r="E850" i="8"/>
  <c r="C850" i="8"/>
  <c r="I849" i="8"/>
  <c r="H849" i="8"/>
  <c r="E849" i="8"/>
  <c r="C849" i="8"/>
  <c r="I848" i="8"/>
  <c r="H848" i="8"/>
  <c r="E848" i="8"/>
  <c r="C848" i="8"/>
  <c r="I847" i="8"/>
  <c r="H847" i="8"/>
  <c r="E847" i="8"/>
  <c r="C847" i="8"/>
  <c r="I846" i="8"/>
  <c r="H846" i="8"/>
  <c r="E846" i="8"/>
  <c r="C846" i="8"/>
  <c r="I845" i="8"/>
  <c r="H845" i="8"/>
  <c r="E845" i="8"/>
  <c r="C845" i="8"/>
  <c r="I844" i="8"/>
  <c r="H844" i="8"/>
  <c r="E844" i="8"/>
  <c r="C844" i="8"/>
  <c r="I843" i="8"/>
  <c r="H843" i="8"/>
  <c r="E843" i="8"/>
  <c r="C843" i="8"/>
  <c r="I842" i="8"/>
  <c r="H842" i="8"/>
  <c r="E842" i="8"/>
  <c r="C842" i="8"/>
  <c r="I841" i="8"/>
  <c r="H841" i="8"/>
  <c r="E841" i="8"/>
  <c r="C841" i="8"/>
  <c r="I840" i="8"/>
  <c r="H840" i="8"/>
  <c r="E840" i="8"/>
  <c r="C840" i="8"/>
  <c r="I839" i="8"/>
  <c r="H839" i="8"/>
  <c r="E839" i="8"/>
  <c r="C839" i="8"/>
  <c r="I838" i="8"/>
  <c r="H838" i="8"/>
  <c r="E838" i="8"/>
  <c r="C838" i="8"/>
  <c r="I837" i="8"/>
  <c r="H837" i="8"/>
  <c r="E837" i="8"/>
  <c r="C837" i="8"/>
  <c r="I836" i="8"/>
  <c r="H836" i="8"/>
  <c r="E836" i="8"/>
  <c r="C836" i="8"/>
  <c r="I835" i="8"/>
  <c r="H835" i="8"/>
  <c r="E835" i="8"/>
  <c r="C835" i="8"/>
  <c r="I834" i="8"/>
  <c r="H834" i="8"/>
  <c r="E834" i="8"/>
  <c r="C834" i="8"/>
  <c r="I833" i="8"/>
  <c r="H833" i="8"/>
  <c r="E833" i="8"/>
  <c r="C833" i="8"/>
  <c r="I832" i="8"/>
  <c r="H832" i="8"/>
  <c r="E832" i="8"/>
  <c r="C832" i="8"/>
  <c r="I831" i="8"/>
  <c r="H831" i="8"/>
  <c r="E831" i="8"/>
  <c r="C831" i="8"/>
  <c r="I830" i="8"/>
  <c r="H830" i="8"/>
  <c r="E830" i="8"/>
  <c r="C830" i="8"/>
  <c r="I829" i="8"/>
  <c r="H829" i="8"/>
  <c r="E829" i="8"/>
  <c r="C829" i="8"/>
  <c r="I828" i="8"/>
  <c r="H828" i="8"/>
  <c r="E828" i="8"/>
  <c r="C828" i="8"/>
  <c r="I827" i="8"/>
  <c r="H827" i="8"/>
  <c r="E827" i="8"/>
  <c r="C827" i="8"/>
  <c r="I826" i="8"/>
  <c r="H826" i="8"/>
  <c r="E826" i="8"/>
  <c r="C826" i="8"/>
  <c r="I825" i="8"/>
  <c r="H825" i="8"/>
  <c r="E825" i="8"/>
  <c r="C825" i="8"/>
  <c r="I824" i="8"/>
  <c r="H824" i="8"/>
  <c r="E824" i="8"/>
  <c r="C824" i="8"/>
  <c r="I823" i="8"/>
  <c r="H823" i="8"/>
  <c r="E823" i="8"/>
  <c r="C823" i="8"/>
  <c r="I822" i="8"/>
  <c r="H822" i="8"/>
  <c r="E822" i="8"/>
  <c r="C822" i="8"/>
  <c r="I821" i="8"/>
  <c r="H821" i="8"/>
  <c r="E821" i="8"/>
  <c r="C821" i="8"/>
  <c r="I820" i="8"/>
  <c r="H820" i="8"/>
  <c r="E820" i="8"/>
  <c r="C820" i="8"/>
  <c r="I819" i="8"/>
  <c r="H819" i="8"/>
  <c r="E819" i="8"/>
  <c r="C819" i="8"/>
  <c r="I818" i="8"/>
  <c r="H818" i="8"/>
  <c r="E818" i="8"/>
  <c r="C818" i="8"/>
  <c r="I817" i="8"/>
  <c r="H817" i="8"/>
  <c r="E817" i="8"/>
  <c r="C817" i="8"/>
  <c r="I816" i="8"/>
  <c r="H816" i="8"/>
  <c r="E816" i="8"/>
  <c r="C816" i="8"/>
  <c r="I815" i="8"/>
  <c r="H815" i="8"/>
  <c r="E815" i="8"/>
  <c r="C815" i="8"/>
  <c r="I814" i="8"/>
  <c r="H814" i="8"/>
  <c r="E814" i="8"/>
  <c r="C814" i="8"/>
  <c r="I813" i="8"/>
  <c r="H813" i="8"/>
  <c r="E813" i="8"/>
  <c r="C813" i="8"/>
  <c r="I812" i="8"/>
  <c r="H812" i="8"/>
  <c r="E812" i="8"/>
  <c r="C812" i="8"/>
  <c r="I811" i="8"/>
  <c r="H811" i="8"/>
  <c r="E811" i="8"/>
  <c r="C811" i="8"/>
  <c r="I810" i="8"/>
  <c r="H810" i="8"/>
  <c r="E810" i="8"/>
  <c r="C810" i="8"/>
  <c r="I809" i="8"/>
  <c r="H809" i="8"/>
  <c r="E809" i="8"/>
  <c r="C809" i="8"/>
  <c r="I808" i="8"/>
  <c r="H808" i="8"/>
  <c r="E808" i="8"/>
  <c r="C808" i="8"/>
  <c r="I807" i="8"/>
  <c r="H807" i="8"/>
  <c r="E807" i="8"/>
  <c r="C807" i="8"/>
  <c r="I806" i="8"/>
  <c r="H806" i="8"/>
  <c r="E806" i="8"/>
  <c r="C806" i="8"/>
  <c r="I805" i="8"/>
  <c r="H805" i="8"/>
  <c r="E805" i="8"/>
  <c r="C805" i="8"/>
  <c r="I804" i="8"/>
  <c r="H804" i="8"/>
  <c r="E804" i="8"/>
  <c r="C804" i="8"/>
  <c r="I803" i="8"/>
  <c r="H803" i="8"/>
  <c r="E803" i="8"/>
  <c r="C803" i="8"/>
  <c r="I802" i="8"/>
  <c r="H802" i="8"/>
  <c r="E802" i="8"/>
  <c r="C802" i="8"/>
  <c r="I801" i="8"/>
  <c r="H801" i="8"/>
  <c r="E801" i="8"/>
  <c r="C801" i="8"/>
  <c r="I800" i="8"/>
  <c r="H800" i="8"/>
  <c r="E800" i="8"/>
  <c r="C800" i="8"/>
  <c r="I799" i="8"/>
  <c r="H799" i="8"/>
  <c r="E799" i="8"/>
  <c r="C799" i="8"/>
  <c r="I798" i="8"/>
  <c r="H798" i="8"/>
  <c r="E798" i="8"/>
  <c r="C798" i="8"/>
  <c r="I797" i="8"/>
  <c r="H797" i="8"/>
  <c r="E797" i="8"/>
  <c r="C797" i="8"/>
  <c r="I796" i="8"/>
  <c r="H796" i="8"/>
  <c r="E796" i="8"/>
  <c r="C796" i="8"/>
  <c r="I795" i="8"/>
  <c r="H795" i="8"/>
  <c r="E795" i="8"/>
  <c r="C795" i="8"/>
  <c r="I794" i="8"/>
  <c r="H794" i="8"/>
  <c r="E794" i="8"/>
  <c r="C794" i="8"/>
  <c r="I793" i="8"/>
  <c r="H793" i="8"/>
  <c r="E793" i="8"/>
  <c r="C793" i="8"/>
  <c r="I792" i="8"/>
  <c r="H792" i="8"/>
  <c r="E792" i="8"/>
  <c r="C792" i="8"/>
  <c r="I791" i="8"/>
  <c r="H791" i="8"/>
  <c r="E791" i="8"/>
  <c r="C791" i="8"/>
  <c r="I790" i="8"/>
  <c r="H790" i="8"/>
  <c r="E790" i="8"/>
  <c r="C790" i="8"/>
  <c r="I789" i="8"/>
  <c r="H789" i="8"/>
  <c r="E789" i="8"/>
  <c r="C789" i="8"/>
  <c r="I788" i="8"/>
  <c r="H788" i="8"/>
  <c r="E788" i="8"/>
  <c r="C788" i="8"/>
  <c r="I787" i="8"/>
  <c r="H787" i="8"/>
  <c r="E787" i="8"/>
  <c r="C787" i="8"/>
  <c r="I786" i="8"/>
  <c r="H786" i="8"/>
  <c r="E786" i="8"/>
  <c r="C786" i="8"/>
  <c r="I785" i="8"/>
  <c r="H785" i="8"/>
  <c r="E785" i="8"/>
  <c r="C785" i="8"/>
  <c r="I784" i="8"/>
  <c r="H784" i="8"/>
  <c r="E784" i="8"/>
  <c r="C784" i="8"/>
  <c r="I783" i="8"/>
  <c r="H783" i="8"/>
  <c r="E783" i="8"/>
  <c r="C783" i="8"/>
  <c r="I782" i="8"/>
  <c r="H782" i="8"/>
  <c r="E782" i="8"/>
  <c r="C782" i="8"/>
  <c r="I781" i="8"/>
  <c r="H781" i="8"/>
  <c r="E781" i="8"/>
  <c r="C781" i="8"/>
  <c r="I780" i="8"/>
  <c r="H780" i="8"/>
  <c r="E780" i="8"/>
  <c r="C780" i="8"/>
  <c r="I779" i="8"/>
  <c r="H779" i="8"/>
  <c r="E779" i="8"/>
  <c r="C779" i="8"/>
  <c r="I778" i="8"/>
  <c r="H778" i="8"/>
  <c r="E778" i="8"/>
  <c r="C778" i="8"/>
  <c r="I777" i="8"/>
  <c r="H777" i="8"/>
  <c r="E777" i="8"/>
  <c r="C777" i="8"/>
  <c r="I776" i="8"/>
  <c r="H776" i="8"/>
  <c r="E776" i="8"/>
  <c r="C776" i="8"/>
  <c r="I775" i="8"/>
  <c r="H775" i="8"/>
  <c r="E775" i="8"/>
  <c r="C775" i="8"/>
  <c r="I774" i="8"/>
  <c r="H774" i="8"/>
  <c r="E774" i="8"/>
  <c r="C774" i="8"/>
  <c r="I773" i="8"/>
  <c r="H773" i="8"/>
  <c r="E773" i="8"/>
  <c r="C773" i="8"/>
  <c r="I772" i="8"/>
  <c r="H772" i="8"/>
  <c r="E772" i="8"/>
  <c r="C772" i="8"/>
  <c r="I771" i="8"/>
  <c r="H771" i="8"/>
  <c r="E771" i="8"/>
  <c r="C771" i="8"/>
  <c r="I770" i="8"/>
  <c r="H770" i="8"/>
  <c r="E770" i="8"/>
  <c r="C770" i="8"/>
  <c r="I769" i="8"/>
  <c r="H769" i="8"/>
  <c r="E769" i="8"/>
  <c r="C769" i="8"/>
  <c r="I768" i="8"/>
  <c r="H768" i="8"/>
  <c r="E768" i="8"/>
  <c r="C768" i="8"/>
  <c r="I767" i="8"/>
  <c r="H767" i="8"/>
  <c r="E767" i="8"/>
  <c r="C767" i="8"/>
  <c r="I766" i="8"/>
  <c r="H766" i="8"/>
  <c r="E766" i="8"/>
  <c r="C766" i="8"/>
  <c r="I765" i="8"/>
  <c r="H765" i="8"/>
  <c r="E765" i="8"/>
  <c r="C765" i="8"/>
  <c r="I764" i="8"/>
  <c r="H764" i="8"/>
  <c r="E764" i="8"/>
  <c r="C764" i="8"/>
  <c r="I763" i="8"/>
  <c r="H763" i="8"/>
  <c r="E763" i="8"/>
  <c r="C763" i="8"/>
  <c r="I762" i="8"/>
  <c r="H762" i="8"/>
  <c r="E762" i="8"/>
  <c r="C762" i="8"/>
  <c r="I761" i="8"/>
  <c r="H761" i="8"/>
  <c r="E761" i="8"/>
  <c r="C761" i="8"/>
  <c r="I760" i="8"/>
  <c r="H760" i="8"/>
  <c r="E760" i="8"/>
  <c r="C760" i="8"/>
  <c r="I759" i="8"/>
  <c r="H759" i="8"/>
  <c r="E759" i="8"/>
  <c r="C759" i="8"/>
  <c r="I758" i="8"/>
  <c r="H758" i="8"/>
  <c r="E758" i="8"/>
  <c r="C758" i="8"/>
  <c r="I757" i="8"/>
  <c r="H757" i="8"/>
  <c r="E757" i="8"/>
  <c r="C757" i="8"/>
  <c r="I756" i="8"/>
  <c r="H756" i="8"/>
  <c r="E756" i="8"/>
  <c r="C756" i="8"/>
  <c r="I755" i="8"/>
  <c r="H755" i="8"/>
  <c r="E755" i="8"/>
  <c r="C755" i="8"/>
  <c r="I754" i="8"/>
  <c r="H754" i="8"/>
  <c r="E754" i="8"/>
  <c r="C754" i="8"/>
  <c r="I753" i="8"/>
  <c r="H753" i="8"/>
  <c r="E753" i="8"/>
  <c r="C753" i="8"/>
  <c r="I752" i="8"/>
  <c r="H752" i="8"/>
  <c r="E752" i="8"/>
  <c r="C752" i="8"/>
  <c r="I751" i="8"/>
  <c r="H751" i="8"/>
  <c r="E751" i="8"/>
  <c r="C751" i="8"/>
  <c r="I750" i="8"/>
  <c r="H750" i="8"/>
  <c r="E750" i="8"/>
  <c r="C750" i="8"/>
  <c r="I749" i="8"/>
  <c r="H749" i="8"/>
  <c r="E749" i="8"/>
  <c r="C749" i="8"/>
  <c r="I748" i="8"/>
  <c r="H748" i="8"/>
  <c r="E748" i="8"/>
  <c r="C748" i="8"/>
  <c r="I747" i="8"/>
  <c r="H747" i="8"/>
  <c r="E747" i="8"/>
  <c r="C747" i="8"/>
  <c r="I746" i="8"/>
  <c r="H746" i="8"/>
  <c r="E746" i="8"/>
  <c r="C746" i="8"/>
  <c r="I745" i="8"/>
  <c r="H745" i="8"/>
  <c r="E745" i="8"/>
  <c r="C745" i="8"/>
  <c r="I744" i="8"/>
  <c r="H744" i="8"/>
  <c r="E744" i="8"/>
  <c r="C744" i="8"/>
  <c r="I743" i="8"/>
  <c r="H743" i="8"/>
  <c r="E743" i="8"/>
  <c r="C743" i="8"/>
  <c r="I742" i="8"/>
  <c r="H742" i="8"/>
  <c r="E742" i="8"/>
  <c r="C742" i="8"/>
  <c r="I741" i="8"/>
  <c r="H741" i="8"/>
  <c r="E741" i="8"/>
  <c r="C741" i="8"/>
  <c r="I740" i="8"/>
  <c r="H740" i="8"/>
  <c r="E740" i="8"/>
  <c r="C740" i="8"/>
  <c r="I739" i="8"/>
  <c r="H739" i="8"/>
  <c r="E739" i="8"/>
  <c r="C739" i="8"/>
  <c r="I738" i="8"/>
  <c r="H738" i="8"/>
  <c r="E738" i="8"/>
  <c r="C738" i="8"/>
  <c r="I737" i="8"/>
  <c r="H737" i="8"/>
  <c r="E737" i="8"/>
  <c r="C737" i="8"/>
  <c r="I736" i="8"/>
  <c r="H736" i="8"/>
  <c r="E736" i="8"/>
  <c r="C736" i="8"/>
  <c r="I735" i="8"/>
  <c r="H735" i="8"/>
  <c r="E735" i="8"/>
  <c r="C735" i="8"/>
  <c r="I734" i="8"/>
  <c r="H734" i="8"/>
  <c r="E734" i="8"/>
  <c r="C734" i="8"/>
  <c r="I733" i="8"/>
  <c r="H733" i="8"/>
  <c r="E733" i="8"/>
  <c r="C733" i="8"/>
  <c r="I732" i="8"/>
  <c r="H732" i="8"/>
  <c r="E732" i="8"/>
  <c r="C732" i="8"/>
  <c r="I731" i="8"/>
  <c r="H731" i="8"/>
  <c r="E731" i="8"/>
  <c r="C731" i="8"/>
  <c r="I730" i="8"/>
  <c r="H730" i="8"/>
  <c r="E730" i="8"/>
  <c r="C730" i="8"/>
  <c r="I729" i="8"/>
  <c r="H729" i="8"/>
  <c r="E729" i="8"/>
  <c r="C729" i="8"/>
  <c r="I728" i="8"/>
  <c r="H728" i="8"/>
  <c r="E728" i="8"/>
  <c r="C728" i="8"/>
  <c r="I727" i="8"/>
  <c r="H727" i="8"/>
  <c r="E727" i="8"/>
  <c r="C727" i="8"/>
  <c r="I726" i="8"/>
  <c r="H726" i="8"/>
  <c r="E726" i="8"/>
  <c r="C726" i="8"/>
  <c r="I725" i="8"/>
  <c r="H725" i="8"/>
  <c r="E725" i="8"/>
  <c r="C725" i="8"/>
  <c r="I724" i="8"/>
  <c r="H724" i="8"/>
  <c r="E724" i="8"/>
  <c r="C724" i="8"/>
  <c r="I723" i="8"/>
  <c r="H723" i="8"/>
  <c r="E723" i="8"/>
  <c r="C723" i="8"/>
  <c r="I722" i="8"/>
  <c r="H722" i="8"/>
  <c r="E722" i="8"/>
  <c r="C722" i="8"/>
  <c r="I721" i="8"/>
  <c r="H721" i="8"/>
  <c r="E721" i="8"/>
  <c r="C721" i="8"/>
  <c r="I720" i="8"/>
  <c r="H720" i="8"/>
  <c r="E720" i="8"/>
  <c r="C720" i="8"/>
  <c r="I719" i="8"/>
  <c r="H719" i="8"/>
  <c r="E719" i="8"/>
  <c r="C719" i="8"/>
  <c r="I718" i="8"/>
  <c r="H718" i="8"/>
  <c r="E718" i="8"/>
  <c r="C718" i="8"/>
  <c r="I717" i="8"/>
  <c r="H717" i="8"/>
  <c r="E717" i="8"/>
  <c r="C717" i="8"/>
  <c r="I716" i="8"/>
  <c r="H716" i="8"/>
  <c r="E716" i="8"/>
  <c r="C716" i="8"/>
  <c r="I715" i="8"/>
  <c r="H715" i="8"/>
  <c r="E715" i="8"/>
  <c r="C715" i="8"/>
  <c r="I714" i="8"/>
  <c r="H714" i="8"/>
  <c r="E714" i="8"/>
  <c r="C714" i="8"/>
  <c r="I713" i="8"/>
  <c r="H713" i="8"/>
  <c r="E713" i="8"/>
  <c r="C713" i="8"/>
  <c r="I712" i="8"/>
  <c r="H712" i="8"/>
  <c r="E712" i="8"/>
  <c r="C712" i="8"/>
  <c r="I711" i="8"/>
  <c r="H711" i="8"/>
  <c r="E711" i="8"/>
  <c r="C711" i="8"/>
  <c r="I710" i="8"/>
  <c r="H710" i="8"/>
  <c r="E710" i="8"/>
  <c r="C710" i="8"/>
  <c r="I709" i="8"/>
  <c r="H709" i="8"/>
  <c r="E709" i="8"/>
  <c r="C709" i="8"/>
  <c r="I708" i="8"/>
  <c r="H708" i="8"/>
  <c r="E708" i="8"/>
  <c r="C708" i="8"/>
  <c r="I707" i="8"/>
  <c r="H707" i="8"/>
  <c r="E707" i="8"/>
  <c r="C707" i="8"/>
  <c r="I706" i="8"/>
  <c r="H706" i="8"/>
  <c r="E706" i="8"/>
  <c r="C706" i="8"/>
  <c r="I705" i="8"/>
  <c r="H705" i="8"/>
  <c r="E705" i="8"/>
  <c r="C705" i="8"/>
  <c r="I704" i="8"/>
  <c r="H704" i="8"/>
  <c r="E704" i="8"/>
  <c r="C704" i="8"/>
  <c r="I703" i="8"/>
  <c r="H703" i="8"/>
  <c r="E703" i="8"/>
  <c r="C703" i="8"/>
  <c r="I702" i="8"/>
  <c r="H702" i="8"/>
  <c r="E702" i="8"/>
  <c r="C702" i="8"/>
  <c r="I701" i="8"/>
  <c r="H701" i="8"/>
  <c r="E701" i="8"/>
  <c r="C701" i="8"/>
  <c r="I700" i="8"/>
  <c r="H700" i="8"/>
  <c r="E700" i="8"/>
  <c r="C700" i="8"/>
  <c r="I699" i="8"/>
  <c r="H699" i="8"/>
  <c r="E699" i="8"/>
  <c r="C699" i="8"/>
  <c r="I698" i="8"/>
  <c r="H698" i="8"/>
  <c r="E698" i="8"/>
  <c r="C698" i="8"/>
  <c r="I697" i="8"/>
  <c r="H697" i="8"/>
  <c r="E697" i="8"/>
  <c r="C697" i="8"/>
  <c r="I696" i="8"/>
  <c r="H696" i="8"/>
  <c r="E696" i="8"/>
  <c r="C696" i="8"/>
  <c r="I695" i="8"/>
  <c r="H695" i="8"/>
  <c r="E695" i="8"/>
  <c r="C695" i="8"/>
  <c r="I694" i="8"/>
  <c r="H694" i="8"/>
  <c r="E694" i="8"/>
  <c r="C694" i="8"/>
  <c r="I693" i="8"/>
  <c r="H693" i="8"/>
  <c r="E693" i="8"/>
  <c r="C693" i="8"/>
  <c r="I692" i="8"/>
  <c r="H692" i="8"/>
  <c r="E692" i="8"/>
  <c r="C692" i="8"/>
  <c r="I691" i="8"/>
  <c r="H691" i="8"/>
  <c r="E691" i="8"/>
  <c r="C691" i="8"/>
  <c r="I690" i="8"/>
  <c r="H690" i="8"/>
  <c r="E690" i="8"/>
  <c r="C690" i="8"/>
  <c r="I689" i="8"/>
  <c r="H689" i="8"/>
  <c r="E689" i="8"/>
  <c r="C689" i="8"/>
  <c r="I688" i="8"/>
  <c r="H688" i="8"/>
  <c r="E688" i="8"/>
  <c r="C688" i="8"/>
  <c r="I687" i="8"/>
  <c r="H687" i="8"/>
  <c r="E687" i="8"/>
  <c r="C687" i="8"/>
  <c r="I686" i="8"/>
  <c r="H686" i="8"/>
  <c r="E686" i="8"/>
  <c r="C686" i="8"/>
  <c r="I685" i="8"/>
  <c r="H685" i="8"/>
  <c r="E685" i="8"/>
  <c r="C685" i="8"/>
  <c r="I684" i="8"/>
  <c r="H684" i="8"/>
  <c r="E684" i="8"/>
  <c r="C684" i="8"/>
  <c r="I683" i="8"/>
  <c r="H683" i="8"/>
  <c r="E683" i="8"/>
  <c r="C683" i="8"/>
  <c r="I682" i="8"/>
  <c r="H682" i="8"/>
  <c r="E682" i="8"/>
  <c r="C682" i="8"/>
  <c r="I681" i="8"/>
  <c r="H681" i="8"/>
  <c r="E681" i="8"/>
  <c r="C681" i="8"/>
  <c r="I680" i="8"/>
  <c r="H680" i="8"/>
  <c r="E680" i="8"/>
  <c r="C680" i="8"/>
  <c r="I679" i="8"/>
  <c r="H679" i="8"/>
  <c r="E679" i="8"/>
  <c r="C679" i="8"/>
  <c r="I678" i="8"/>
  <c r="H678" i="8"/>
  <c r="E678" i="8"/>
  <c r="C678" i="8"/>
  <c r="I677" i="8"/>
  <c r="H677" i="8"/>
  <c r="E677" i="8"/>
  <c r="C677" i="8"/>
  <c r="I676" i="8"/>
  <c r="H676" i="8"/>
  <c r="E676" i="8"/>
  <c r="C676" i="8"/>
  <c r="I675" i="8"/>
  <c r="H675" i="8"/>
  <c r="E675" i="8"/>
  <c r="C675" i="8"/>
  <c r="I674" i="8"/>
  <c r="H674" i="8"/>
  <c r="E674" i="8"/>
  <c r="C674" i="8"/>
  <c r="I673" i="8"/>
  <c r="H673" i="8"/>
  <c r="E673" i="8"/>
  <c r="C673" i="8"/>
  <c r="I672" i="8"/>
  <c r="H672" i="8"/>
  <c r="E672" i="8"/>
  <c r="C672" i="8"/>
  <c r="I671" i="8"/>
  <c r="H671" i="8"/>
  <c r="E671" i="8"/>
  <c r="C671" i="8"/>
  <c r="I670" i="8"/>
  <c r="H670" i="8"/>
  <c r="E670" i="8"/>
  <c r="C670" i="8"/>
  <c r="I669" i="8"/>
  <c r="H669" i="8"/>
  <c r="E669" i="8"/>
  <c r="C669" i="8"/>
  <c r="I668" i="8"/>
  <c r="H668" i="8"/>
  <c r="E668" i="8"/>
  <c r="C668" i="8"/>
  <c r="I667" i="8"/>
  <c r="H667" i="8"/>
  <c r="E667" i="8"/>
  <c r="C667" i="8"/>
  <c r="I666" i="8"/>
  <c r="H666" i="8"/>
  <c r="E666" i="8"/>
  <c r="C666" i="8"/>
  <c r="I665" i="8"/>
  <c r="H665" i="8"/>
  <c r="E665" i="8"/>
  <c r="C665" i="8"/>
  <c r="I664" i="8"/>
  <c r="H664" i="8"/>
  <c r="E664" i="8"/>
  <c r="C664" i="8"/>
  <c r="I663" i="8"/>
  <c r="H663" i="8"/>
  <c r="E663" i="8"/>
  <c r="C663" i="8"/>
  <c r="I662" i="8"/>
  <c r="H662" i="8"/>
  <c r="E662" i="8"/>
  <c r="C662" i="8"/>
  <c r="I661" i="8"/>
  <c r="H661" i="8"/>
  <c r="E661" i="8"/>
  <c r="C661" i="8"/>
  <c r="I660" i="8"/>
  <c r="H660" i="8"/>
  <c r="E660" i="8"/>
  <c r="C660" i="8"/>
  <c r="I659" i="8"/>
  <c r="H659" i="8"/>
  <c r="E659" i="8"/>
  <c r="C659" i="8"/>
  <c r="I658" i="8"/>
  <c r="H658" i="8"/>
  <c r="E658" i="8"/>
  <c r="C658" i="8"/>
  <c r="I657" i="8"/>
  <c r="H657" i="8"/>
  <c r="E657" i="8"/>
  <c r="C657" i="8"/>
  <c r="I656" i="8"/>
  <c r="H656" i="8"/>
  <c r="E656" i="8"/>
  <c r="C656" i="8"/>
  <c r="I655" i="8"/>
  <c r="H655" i="8"/>
  <c r="E655" i="8"/>
  <c r="C655" i="8"/>
  <c r="I654" i="8"/>
  <c r="H654" i="8"/>
  <c r="E654" i="8"/>
  <c r="C654" i="8"/>
  <c r="I653" i="8"/>
  <c r="H653" i="8"/>
  <c r="E653" i="8"/>
  <c r="C653" i="8"/>
  <c r="I652" i="8"/>
  <c r="H652" i="8"/>
  <c r="E652" i="8"/>
  <c r="C652" i="8"/>
  <c r="I651" i="8"/>
  <c r="H651" i="8"/>
  <c r="E651" i="8"/>
  <c r="C651" i="8"/>
  <c r="I650" i="8"/>
  <c r="H650" i="8"/>
  <c r="E650" i="8"/>
  <c r="C650" i="8"/>
  <c r="I649" i="8"/>
  <c r="H649" i="8"/>
  <c r="E649" i="8"/>
  <c r="C649" i="8"/>
  <c r="I648" i="8"/>
  <c r="H648" i="8"/>
  <c r="E648" i="8"/>
  <c r="C648" i="8"/>
  <c r="I647" i="8"/>
  <c r="H647" i="8"/>
  <c r="E647" i="8"/>
  <c r="C647" i="8"/>
  <c r="I646" i="8"/>
  <c r="H646" i="8"/>
  <c r="E646" i="8"/>
  <c r="C646" i="8"/>
  <c r="I645" i="8"/>
  <c r="H645" i="8"/>
  <c r="E645" i="8"/>
  <c r="C645" i="8"/>
  <c r="I644" i="8"/>
  <c r="H644" i="8"/>
  <c r="E644" i="8"/>
  <c r="C644" i="8"/>
  <c r="I643" i="8"/>
  <c r="H643" i="8"/>
  <c r="E643" i="8"/>
  <c r="C643" i="8"/>
  <c r="I642" i="8"/>
  <c r="H642" i="8"/>
  <c r="E642" i="8"/>
  <c r="C642" i="8"/>
  <c r="I641" i="8"/>
  <c r="H641" i="8"/>
  <c r="E641" i="8"/>
  <c r="C641" i="8"/>
  <c r="I640" i="8"/>
  <c r="H640" i="8"/>
  <c r="E640" i="8"/>
  <c r="C640" i="8"/>
  <c r="I639" i="8"/>
  <c r="H639" i="8"/>
  <c r="E639" i="8"/>
  <c r="C639" i="8"/>
  <c r="I638" i="8"/>
  <c r="H638" i="8"/>
  <c r="E638" i="8"/>
  <c r="C638" i="8"/>
  <c r="I637" i="8"/>
  <c r="H637" i="8"/>
  <c r="E637" i="8"/>
  <c r="C637" i="8"/>
  <c r="I636" i="8"/>
  <c r="H636" i="8"/>
  <c r="E636" i="8"/>
  <c r="C636" i="8"/>
  <c r="I635" i="8"/>
  <c r="H635" i="8"/>
  <c r="E635" i="8"/>
  <c r="C635" i="8"/>
  <c r="I634" i="8"/>
  <c r="H634" i="8"/>
  <c r="E634" i="8"/>
  <c r="C634" i="8"/>
  <c r="I633" i="8"/>
  <c r="H633" i="8"/>
  <c r="E633" i="8"/>
  <c r="C633" i="8"/>
  <c r="I632" i="8"/>
  <c r="H632" i="8"/>
  <c r="E632" i="8"/>
  <c r="C632" i="8"/>
  <c r="I631" i="8"/>
  <c r="H631" i="8"/>
  <c r="E631" i="8"/>
  <c r="C631" i="8"/>
  <c r="I630" i="8"/>
  <c r="H630" i="8"/>
  <c r="E630" i="8"/>
  <c r="C630" i="8"/>
  <c r="I629" i="8"/>
  <c r="H629" i="8"/>
  <c r="E629" i="8"/>
  <c r="C629" i="8"/>
  <c r="I628" i="8"/>
  <c r="H628" i="8"/>
  <c r="E628" i="8"/>
  <c r="C628" i="8"/>
  <c r="I627" i="8"/>
  <c r="H627" i="8"/>
  <c r="E627" i="8"/>
  <c r="C627" i="8"/>
  <c r="I626" i="8"/>
  <c r="H626" i="8"/>
  <c r="E626" i="8"/>
  <c r="C626" i="8"/>
  <c r="I625" i="8"/>
  <c r="H625" i="8"/>
  <c r="E625" i="8"/>
  <c r="C625" i="8"/>
  <c r="I624" i="8"/>
  <c r="H624" i="8"/>
  <c r="E624" i="8"/>
  <c r="C624" i="8"/>
  <c r="I623" i="8"/>
  <c r="H623" i="8"/>
  <c r="E623" i="8"/>
  <c r="C623" i="8"/>
  <c r="I622" i="8"/>
  <c r="H622" i="8"/>
  <c r="E622" i="8"/>
  <c r="C622" i="8"/>
  <c r="I621" i="8"/>
  <c r="H621" i="8"/>
  <c r="E621" i="8"/>
  <c r="C621" i="8"/>
  <c r="I620" i="8"/>
  <c r="H620" i="8"/>
  <c r="E620" i="8"/>
  <c r="C620" i="8"/>
  <c r="I619" i="8"/>
  <c r="H619" i="8"/>
  <c r="E619" i="8"/>
  <c r="C619" i="8"/>
  <c r="I618" i="8"/>
  <c r="H618" i="8"/>
  <c r="E618" i="8"/>
  <c r="C618" i="8"/>
  <c r="I617" i="8"/>
  <c r="H617" i="8"/>
  <c r="E617" i="8"/>
  <c r="C617" i="8"/>
  <c r="I616" i="8"/>
  <c r="H616" i="8"/>
  <c r="E616" i="8"/>
  <c r="C616" i="8"/>
  <c r="I615" i="8"/>
  <c r="H615" i="8"/>
  <c r="E615" i="8"/>
  <c r="C615" i="8"/>
  <c r="I614" i="8"/>
  <c r="H614" i="8"/>
  <c r="E614" i="8"/>
  <c r="C614" i="8"/>
  <c r="I613" i="8"/>
  <c r="H613" i="8"/>
  <c r="E613" i="8"/>
  <c r="C613" i="8"/>
  <c r="I612" i="8"/>
  <c r="H612" i="8"/>
  <c r="E612" i="8"/>
  <c r="C612" i="8"/>
  <c r="I611" i="8"/>
  <c r="H611" i="8"/>
  <c r="E611" i="8"/>
  <c r="C611" i="8"/>
  <c r="I610" i="8"/>
  <c r="H610" i="8"/>
  <c r="E610" i="8"/>
  <c r="C610" i="8"/>
  <c r="I609" i="8"/>
  <c r="H609" i="8"/>
  <c r="E609" i="8"/>
  <c r="C609" i="8"/>
  <c r="I608" i="8"/>
  <c r="H608" i="8"/>
  <c r="E608" i="8"/>
  <c r="C608" i="8"/>
  <c r="I607" i="8"/>
  <c r="H607" i="8"/>
  <c r="E607" i="8"/>
  <c r="C607" i="8"/>
  <c r="I606" i="8"/>
  <c r="H606" i="8"/>
  <c r="E606" i="8"/>
  <c r="C606" i="8"/>
  <c r="I605" i="8"/>
  <c r="H605" i="8"/>
  <c r="E605" i="8"/>
  <c r="C605" i="8"/>
  <c r="I604" i="8"/>
  <c r="H604" i="8"/>
  <c r="E604" i="8"/>
  <c r="C604" i="8"/>
  <c r="I603" i="8"/>
  <c r="H603" i="8"/>
  <c r="E603" i="8"/>
  <c r="C603" i="8"/>
  <c r="I602" i="8"/>
  <c r="H602" i="8"/>
  <c r="E602" i="8"/>
  <c r="C602" i="8"/>
  <c r="I601" i="8"/>
  <c r="H601" i="8"/>
  <c r="E601" i="8"/>
  <c r="C601" i="8"/>
  <c r="I600" i="8"/>
  <c r="H600" i="8"/>
  <c r="E600" i="8"/>
  <c r="C600" i="8"/>
  <c r="I599" i="8"/>
  <c r="H599" i="8"/>
  <c r="E599" i="8"/>
  <c r="C599" i="8"/>
  <c r="I598" i="8"/>
  <c r="H598" i="8"/>
  <c r="E598" i="8"/>
  <c r="C598" i="8"/>
  <c r="I597" i="8"/>
  <c r="H597" i="8"/>
  <c r="E597" i="8"/>
  <c r="C597" i="8"/>
  <c r="I596" i="8"/>
  <c r="H596" i="8"/>
  <c r="E596" i="8"/>
  <c r="C596" i="8"/>
  <c r="I595" i="8"/>
  <c r="H595" i="8"/>
  <c r="E595" i="8"/>
  <c r="C595" i="8"/>
  <c r="I594" i="8"/>
  <c r="H594" i="8"/>
  <c r="E594" i="8"/>
  <c r="C594" i="8"/>
  <c r="I593" i="8"/>
  <c r="H593" i="8"/>
  <c r="E593" i="8"/>
  <c r="C593" i="8"/>
  <c r="I592" i="8"/>
  <c r="H592" i="8"/>
  <c r="E592" i="8"/>
  <c r="C592" i="8"/>
  <c r="I591" i="8"/>
  <c r="H591" i="8"/>
  <c r="E591" i="8"/>
  <c r="C591" i="8"/>
  <c r="I590" i="8"/>
  <c r="H590" i="8"/>
  <c r="E590" i="8"/>
  <c r="C590" i="8"/>
  <c r="I589" i="8"/>
  <c r="H589" i="8"/>
  <c r="E589" i="8"/>
  <c r="C589" i="8"/>
  <c r="I588" i="8"/>
  <c r="H588" i="8"/>
  <c r="E588" i="8"/>
  <c r="C588" i="8"/>
  <c r="I587" i="8"/>
  <c r="H587" i="8"/>
  <c r="E587" i="8"/>
  <c r="C587" i="8"/>
  <c r="I586" i="8"/>
  <c r="H586" i="8"/>
  <c r="E586" i="8"/>
  <c r="C586" i="8"/>
  <c r="I585" i="8"/>
  <c r="H585" i="8"/>
  <c r="E585" i="8"/>
  <c r="C585" i="8"/>
  <c r="I584" i="8"/>
  <c r="H584" i="8"/>
  <c r="E584" i="8"/>
  <c r="C584" i="8"/>
  <c r="I583" i="8"/>
  <c r="H583" i="8"/>
  <c r="E583" i="8"/>
  <c r="C583" i="8"/>
  <c r="I582" i="8"/>
  <c r="H582" i="8"/>
  <c r="E582" i="8"/>
  <c r="C582" i="8"/>
  <c r="I581" i="8"/>
  <c r="H581" i="8"/>
  <c r="E581" i="8"/>
  <c r="C581" i="8"/>
  <c r="I580" i="8"/>
  <c r="H580" i="8"/>
  <c r="E580" i="8"/>
  <c r="C580" i="8"/>
  <c r="I579" i="8"/>
  <c r="H579" i="8"/>
  <c r="E579" i="8"/>
  <c r="C579" i="8"/>
  <c r="I578" i="8"/>
  <c r="H578" i="8"/>
  <c r="E578" i="8"/>
  <c r="C578" i="8"/>
  <c r="I577" i="8"/>
  <c r="H577" i="8"/>
  <c r="E577" i="8"/>
  <c r="C577" i="8"/>
  <c r="I576" i="8"/>
  <c r="H576" i="8"/>
  <c r="E576" i="8"/>
  <c r="C576" i="8"/>
  <c r="I575" i="8"/>
  <c r="H575" i="8"/>
  <c r="E575" i="8"/>
  <c r="C575" i="8"/>
  <c r="I574" i="8"/>
  <c r="H574" i="8"/>
  <c r="E574" i="8"/>
  <c r="C574" i="8"/>
  <c r="I573" i="8"/>
  <c r="H573" i="8"/>
  <c r="E573" i="8"/>
  <c r="C573" i="8"/>
  <c r="I572" i="8"/>
  <c r="H572" i="8"/>
  <c r="E572" i="8"/>
  <c r="C572" i="8"/>
  <c r="I571" i="8"/>
  <c r="H571" i="8"/>
  <c r="E571" i="8"/>
  <c r="C571" i="8"/>
  <c r="I570" i="8"/>
  <c r="H570" i="8"/>
  <c r="E570" i="8"/>
  <c r="C570" i="8"/>
  <c r="I569" i="8"/>
  <c r="H569" i="8"/>
  <c r="E569" i="8"/>
  <c r="C569" i="8"/>
  <c r="I568" i="8"/>
  <c r="H568" i="8"/>
  <c r="E568" i="8"/>
  <c r="C568" i="8"/>
  <c r="I567" i="8"/>
  <c r="H567" i="8"/>
  <c r="E567" i="8"/>
  <c r="C567" i="8"/>
  <c r="I566" i="8"/>
  <c r="H566" i="8"/>
  <c r="E566" i="8"/>
  <c r="C566" i="8"/>
  <c r="I565" i="8"/>
  <c r="H565" i="8"/>
  <c r="E565" i="8"/>
  <c r="C565" i="8"/>
  <c r="I564" i="8"/>
  <c r="H564" i="8"/>
  <c r="E564" i="8"/>
  <c r="C564" i="8"/>
  <c r="I563" i="8"/>
  <c r="H563" i="8"/>
  <c r="E563" i="8"/>
  <c r="C563" i="8"/>
  <c r="I562" i="8"/>
  <c r="H562" i="8"/>
  <c r="E562" i="8"/>
  <c r="C562" i="8"/>
  <c r="I561" i="8"/>
  <c r="H561" i="8"/>
  <c r="E561" i="8"/>
  <c r="C561" i="8"/>
  <c r="I560" i="8"/>
  <c r="H560" i="8"/>
  <c r="E560" i="8"/>
  <c r="C560" i="8"/>
  <c r="I559" i="8"/>
  <c r="H559" i="8"/>
  <c r="E559" i="8"/>
  <c r="C559" i="8"/>
  <c r="I558" i="8"/>
  <c r="H558" i="8"/>
  <c r="E558" i="8"/>
  <c r="C558" i="8"/>
  <c r="I557" i="8"/>
  <c r="H557" i="8"/>
  <c r="E557" i="8"/>
  <c r="C557" i="8"/>
  <c r="I556" i="8"/>
  <c r="H556" i="8"/>
  <c r="E556" i="8"/>
  <c r="C556" i="8"/>
  <c r="I555" i="8"/>
  <c r="H555" i="8"/>
  <c r="E555" i="8"/>
  <c r="C555" i="8"/>
  <c r="I554" i="8"/>
  <c r="H554" i="8"/>
  <c r="E554" i="8"/>
  <c r="C554" i="8"/>
  <c r="I553" i="8"/>
  <c r="H553" i="8"/>
  <c r="E553" i="8"/>
  <c r="C553" i="8"/>
  <c r="I552" i="8"/>
  <c r="H552" i="8"/>
  <c r="E552" i="8"/>
  <c r="C552" i="8"/>
  <c r="I551" i="8"/>
  <c r="H551" i="8"/>
  <c r="E551" i="8"/>
  <c r="C551" i="8"/>
  <c r="I550" i="8"/>
  <c r="H550" i="8"/>
  <c r="E550" i="8"/>
  <c r="C550" i="8"/>
  <c r="I549" i="8"/>
  <c r="H549" i="8"/>
  <c r="E549" i="8"/>
  <c r="C549" i="8"/>
  <c r="I548" i="8"/>
  <c r="H548" i="8"/>
  <c r="E548" i="8"/>
  <c r="C548" i="8"/>
  <c r="I547" i="8"/>
  <c r="H547" i="8"/>
  <c r="E547" i="8"/>
  <c r="C547" i="8"/>
  <c r="I546" i="8"/>
  <c r="H546" i="8"/>
  <c r="E546" i="8"/>
  <c r="C546" i="8"/>
  <c r="I545" i="8"/>
  <c r="H545" i="8"/>
  <c r="E545" i="8"/>
  <c r="C545" i="8"/>
  <c r="I544" i="8"/>
  <c r="H544" i="8"/>
  <c r="E544" i="8"/>
  <c r="C544" i="8"/>
  <c r="I543" i="8"/>
  <c r="H543" i="8"/>
  <c r="E543" i="8"/>
  <c r="C543" i="8"/>
  <c r="I542" i="8"/>
  <c r="H542" i="8"/>
  <c r="E542" i="8"/>
  <c r="C542" i="8"/>
  <c r="I541" i="8"/>
  <c r="H541" i="8"/>
  <c r="E541" i="8"/>
  <c r="C541" i="8"/>
  <c r="I540" i="8"/>
  <c r="H540" i="8"/>
  <c r="E540" i="8"/>
  <c r="C540" i="8"/>
  <c r="I539" i="8"/>
  <c r="H539" i="8"/>
  <c r="E539" i="8"/>
  <c r="C539" i="8"/>
  <c r="I538" i="8"/>
  <c r="H538" i="8"/>
  <c r="E538" i="8"/>
  <c r="C538" i="8"/>
  <c r="I537" i="8"/>
  <c r="H537" i="8"/>
  <c r="E537" i="8"/>
  <c r="C537" i="8"/>
  <c r="I536" i="8"/>
  <c r="H536" i="8"/>
  <c r="E536" i="8"/>
  <c r="C536" i="8"/>
  <c r="I535" i="8"/>
  <c r="H535" i="8"/>
  <c r="E535" i="8"/>
  <c r="C535" i="8"/>
  <c r="I534" i="8"/>
  <c r="H534" i="8"/>
  <c r="E534" i="8"/>
  <c r="C534" i="8"/>
  <c r="I533" i="8"/>
  <c r="H533" i="8"/>
  <c r="E533" i="8"/>
  <c r="C533" i="8"/>
  <c r="I532" i="8"/>
  <c r="H532" i="8"/>
  <c r="E532" i="8"/>
  <c r="C532" i="8"/>
  <c r="I531" i="8"/>
  <c r="H531" i="8"/>
  <c r="E531" i="8"/>
  <c r="C531" i="8"/>
  <c r="I530" i="8"/>
  <c r="H530" i="8"/>
  <c r="E530" i="8"/>
  <c r="C530" i="8"/>
  <c r="I529" i="8"/>
  <c r="H529" i="8"/>
  <c r="E529" i="8"/>
  <c r="C529" i="8"/>
  <c r="I528" i="8"/>
  <c r="H528" i="8"/>
  <c r="E528" i="8"/>
  <c r="C528" i="8"/>
  <c r="I527" i="8"/>
  <c r="H527" i="8"/>
  <c r="E527" i="8"/>
  <c r="C527" i="8"/>
  <c r="I526" i="8"/>
  <c r="H526" i="8"/>
  <c r="E526" i="8"/>
  <c r="C526" i="8"/>
  <c r="I525" i="8"/>
  <c r="H525" i="8"/>
  <c r="E525" i="8"/>
  <c r="C525" i="8"/>
  <c r="I524" i="8"/>
  <c r="H524" i="8"/>
  <c r="E524" i="8"/>
  <c r="C524" i="8"/>
  <c r="I523" i="8"/>
  <c r="H523" i="8"/>
  <c r="E523" i="8"/>
  <c r="C523" i="8"/>
  <c r="I522" i="8"/>
  <c r="H522" i="8"/>
  <c r="E522" i="8"/>
  <c r="C522" i="8"/>
  <c r="I521" i="8"/>
  <c r="H521" i="8"/>
  <c r="E521" i="8"/>
  <c r="C521" i="8"/>
  <c r="I520" i="8"/>
  <c r="H520" i="8"/>
  <c r="E520" i="8"/>
  <c r="C520" i="8"/>
  <c r="I519" i="8"/>
  <c r="H519" i="8"/>
  <c r="E519" i="8"/>
  <c r="C519" i="8"/>
  <c r="I518" i="8"/>
  <c r="H518" i="8"/>
  <c r="E518" i="8"/>
  <c r="C518" i="8"/>
  <c r="I517" i="8"/>
  <c r="H517" i="8"/>
  <c r="E517" i="8"/>
  <c r="C517" i="8"/>
  <c r="I516" i="8"/>
  <c r="H516" i="8"/>
  <c r="E516" i="8"/>
  <c r="C516" i="8"/>
  <c r="I515" i="8"/>
  <c r="H515" i="8"/>
  <c r="E515" i="8"/>
  <c r="C515" i="8"/>
  <c r="I514" i="8"/>
  <c r="H514" i="8"/>
  <c r="E514" i="8"/>
  <c r="C514" i="8"/>
  <c r="I513" i="8"/>
  <c r="H513" i="8"/>
  <c r="E513" i="8"/>
  <c r="C513" i="8"/>
  <c r="I512" i="8"/>
  <c r="H512" i="8"/>
  <c r="E512" i="8"/>
  <c r="C512" i="8"/>
  <c r="I511" i="8"/>
  <c r="H511" i="8"/>
  <c r="E511" i="8"/>
  <c r="C511" i="8"/>
  <c r="I510" i="8"/>
  <c r="H510" i="8"/>
  <c r="E510" i="8"/>
  <c r="C510" i="8"/>
  <c r="I509" i="8"/>
  <c r="H509" i="8"/>
  <c r="E509" i="8"/>
  <c r="C509" i="8"/>
  <c r="I508" i="8"/>
  <c r="H508" i="8"/>
  <c r="E508" i="8"/>
  <c r="C508" i="8"/>
  <c r="I507" i="8"/>
  <c r="H507" i="8"/>
  <c r="E507" i="8"/>
  <c r="C507" i="8"/>
  <c r="I506" i="8"/>
  <c r="H506" i="8"/>
  <c r="E506" i="8"/>
  <c r="C506" i="8"/>
  <c r="I505" i="8"/>
  <c r="H505" i="8"/>
  <c r="E505" i="8"/>
  <c r="C505" i="8"/>
  <c r="I504" i="8"/>
  <c r="H504" i="8"/>
  <c r="E504" i="8"/>
  <c r="C504" i="8"/>
  <c r="I503" i="8"/>
  <c r="H503" i="8"/>
  <c r="E503" i="8"/>
  <c r="C503" i="8"/>
  <c r="I502" i="8"/>
  <c r="H502" i="8"/>
  <c r="E502" i="8"/>
  <c r="C502" i="8"/>
  <c r="I501" i="8"/>
  <c r="H501" i="8"/>
  <c r="E501" i="8"/>
  <c r="C501" i="8"/>
  <c r="I500" i="8"/>
  <c r="H500" i="8"/>
  <c r="E500" i="8"/>
  <c r="C500" i="8"/>
  <c r="I499" i="8"/>
  <c r="H499" i="8"/>
  <c r="E499" i="8"/>
  <c r="C499" i="8"/>
  <c r="I498" i="8"/>
  <c r="H498" i="8"/>
  <c r="E498" i="8"/>
  <c r="C498" i="8"/>
  <c r="I497" i="8"/>
  <c r="H497" i="8"/>
  <c r="E497" i="8"/>
  <c r="C497" i="8"/>
  <c r="I496" i="8"/>
  <c r="H496" i="8"/>
  <c r="E496" i="8"/>
  <c r="C496" i="8"/>
  <c r="I495" i="8"/>
  <c r="H495" i="8"/>
  <c r="E495" i="8"/>
  <c r="C495" i="8"/>
  <c r="I494" i="8"/>
  <c r="H494" i="8"/>
  <c r="E494" i="8"/>
  <c r="C494" i="8"/>
  <c r="I493" i="8"/>
  <c r="H493" i="8"/>
  <c r="E493" i="8"/>
  <c r="C493" i="8"/>
  <c r="I492" i="8"/>
  <c r="H492" i="8"/>
  <c r="E492" i="8"/>
  <c r="C492" i="8"/>
  <c r="I491" i="8"/>
  <c r="H491" i="8"/>
  <c r="E491" i="8"/>
  <c r="C491" i="8"/>
  <c r="I490" i="8"/>
  <c r="H490" i="8"/>
  <c r="E490" i="8"/>
  <c r="C490" i="8"/>
  <c r="I489" i="8"/>
  <c r="H489" i="8"/>
  <c r="E489" i="8"/>
  <c r="C489" i="8"/>
  <c r="I488" i="8"/>
  <c r="H488" i="8"/>
  <c r="E488" i="8"/>
  <c r="C488" i="8"/>
  <c r="I487" i="8"/>
  <c r="H487" i="8"/>
  <c r="E487" i="8"/>
  <c r="C487" i="8"/>
  <c r="I486" i="8"/>
  <c r="H486" i="8"/>
  <c r="E486" i="8"/>
  <c r="C486" i="8"/>
  <c r="I485" i="8"/>
  <c r="H485" i="8"/>
  <c r="E485" i="8"/>
  <c r="C485" i="8"/>
  <c r="I484" i="8"/>
  <c r="H484" i="8"/>
  <c r="E484" i="8"/>
  <c r="C484" i="8"/>
  <c r="I483" i="8"/>
  <c r="H483" i="8"/>
  <c r="E483" i="8"/>
  <c r="C483" i="8"/>
  <c r="I482" i="8"/>
  <c r="H482" i="8"/>
  <c r="E482" i="8"/>
  <c r="C482" i="8"/>
  <c r="I481" i="8"/>
  <c r="H481" i="8"/>
  <c r="E481" i="8"/>
  <c r="C481" i="8"/>
  <c r="I480" i="8"/>
  <c r="H480" i="8"/>
  <c r="E480" i="8"/>
  <c r="C480" i="8"/>
  <c r="I479" i="8"/>
  <c r="H479" i="8"/>
  <c r="E479" i="8"/>
  <c r="C479" i="8"/>
  <c r="I478" i="8"/>
  <c r="H478" i="8"/>
  <c r="E478" i="8"/>
  <c r="C478" i="8"/>
  <c r="I477" i="8"/>
  <c r="H477" i="8"/>
  <c r="E477" i="8"/>
  <c r="C477" i="8"/>
  <c r="I476" i="8"/>
  <c r="H476" i="8"/>
  <c r="E476" i="8"/>
  <c r="C476" i="8"/>
  <c r="I475" i="8"/>
  <c r="H475" i="8"/>
  <c r="E475" i="8"/>
  <c r="C475" i="8"/>
  <c r="I474" i="8"/>
  <c r="H474" i="8"/>
  <c r="E474" i="8"/>
  <c r="C474" i="8"/>
  <c r="I473" i="8"/>
  <c r="H473" i="8"/>
  <c r="E473" i="8"/>
  <c r="C473" i="8"/>
  <c r="I472" i="8"/>
  <c r="H472" i="8"/>
  <c r="E472" i="8"/>
  <c r="C472" i="8"/>
  <c r="I471" i="8"/>
  <c r="H471" i="8"/>
  <c r="E471" i="8"/>
  <c r="C471" i="8"/>
  <c r="I470" i="8"/>
  <c r="H470" i="8"/>
  <c r="E470" i="8"/>
  <c r="C470" i="8"/>
  <c r="I469" i="8"/>
  <c r="H469" i="8"/>
  <c r="E469" i="8"/>
  <c r="C469" i="8"/>
  <c r="I468" i="8"/>
  <c r="H468" i="8"/>
  <c r="E468" i="8"/>
  <c r="C468" i="8"/>
  <c r="I467" i="8"/>
  <c r="H467" i="8"/>
  <c r="E467" i="8"/>
  <c r="C467" i="8"/>
  <c r="I466" i="8"/>
  <c r="H466" i="8"/>
  <c r="E466" i="8"/>
  <c r="C466" i="8"/>
  <c r="I465" i="8"/>
  <c r="H465" i="8"/>
  <c r="E465" i="8"/>
  <c r="C465" i="8"/>
  <c r="I464" i="8"/>
  <c r="H464" i="8"/>
  <c r="E464" i="8"/>
  <c r="C464" i="8"/>
  <c r="I463" i="8"/>
  <c r="H463" i="8"/>
  <c r="E463" i="8"/>
  <c r="C463" i="8"/>
  <c r="I462" i="8"/>
  <c r="H462" i="8"/>
  <c r="E462" i="8"/>
  <c r="C462" i="8"/>
  <c r="I461" i="8"/>
  <c r="H461" i="8"/>
  <c r="E461" i="8"/>
  <c r="C461" i="8"/>
  <c r="I460" i="8"/>
  <c r="H460" i="8"/>
  <c r="E460" i="8"/>
  <c r="C460" i="8"/>
  <c r="I459" i="8"/>
  <c r="H459" i="8"/>
  <c r="E459" i="8"/>
  <c r="C459" i="8"/>
  <c r="I458" i="8"/>
  <c r="H458" i="8"/>
  <c r="E458" i="8"/>
  <c r="C458" i="8"/>
  <c r="I457" i="8"/>
  <c r="H457" i="8"/>
  <c r="E457" i="8"/>
  <c r="C457" i="8"/>
  <c r="I456" i="8"/>
  <c r="H456" i="8"/>
  <c r="E456" i="8"/>
  <c r="C456" i="8"/>
  <c r="I455" i="8"/>
  <c r="H455" i="8"/>
  <c r="E455" i="8"/>
  <c r="C455" i="8"/>
  <c r="I454" i="8"/>
  <c r="H454" i="8"/>
  <c r="E454" i="8"/>
  <c r="C454" i="8"/>
  <c r="I453" i="8"/>
  <c r="H453" i="8"/>
  <c r="E453" i="8"/>
  <c r="C453" i="8"/>
  <c r="I452" i="8"/>
  <c r="H452" i="8"/>
  <c r="E452" i="8"/>
  <c r="C452" i="8"/>
  <c r="I451" i="8"/>
  <c r="H451" i="8"/>
  <c r="E451" i="8"/>
  <c r="C451" i="8"/>
  <c r="I450" i="8"/>
  <c r="H450" i="8"/>
  <c r="E450" i="8"/>
  <c r="C450" i="8"/>
  <c r="I449" i="8"/>
  <c r="H449" i="8"/>
  <c r="E449" i="8"/>
  <c r="C449" i="8"/>
  <c r="I448" i="8"/>
  <c r="H448" i="8"/>
  <c r="E448" i="8"/>
  <c r="C448" i="8"/>
  <c r="I447" i="8"/>
  <c r="H447" i="8"/>
  <c r="E447" i="8"/>
  <c r="C447" i="8"/>
  <c r="I446" i="8"/>
  <c r="H446" i="8"/>
  <c r="E446" i="8"/>
  <c r="C446" i="8"/>
  <c r="I445" i="8"/>
  <c r="H445" i="8"/>
  <c r="E445" i="8"/>
  <c r="C445" i="8"/>
  <c r="I444" i="8"/>
  <c r="H444" i="8"/>
  <c r="E444" i="8"/>
  <c r="C444" i="8"/>
  <c r="I443" i="8"/>
  <c r="H443" i="8"/>
  <c r="E443" i="8"/>
  <c r="C443" i="8"/>
  <c r="I442" i="8"/>
  <c r="H442" i="8"/>
  <c r="E442" i="8"/>
  <c r="C442" i="8"/>
  <c r="I441" i="8"/>
  <c r="H441" i="8"/>
  <c r="E441" i="8"/>
  <c r="C441" i="8"/>
  <c r="I440" i="8"/>
  <c r="H440" i="8"/>
  <c r="E440" i="8"/>
  <c r="C440" i="8"/>
  <c r="I439" i="8"/>
  <c r="H439" i="8"/>
  <c r="E439" i="8"/>
  <c r="C439" i="8"/>
  <c r="I438" i="8"/>
  <c r="H438" i="8"/>
  <c r="E438" i="8"/>
  <c r="C438" i="8"/>
  <c r="I437" i="8"/>
  <c r="H437" i="8"/>
  <c r="E437" i="8"/>
  <c r="C437" i="8"/>
  <c r="I436" i="8"/>
  <c r="H436" i="8"/>
  <c r="E436" i="8"/>
  <c r="C436" i="8"/>
  <c r="I435" i="8"/>
  <c r="H435" i="8"/>
  <c r="E435" i="8"/>
  <c r="C435" i="8"/>
  <c r="I434" i="8"/>
  <c r="H434" i="8"/>
  <c r="E434" i="8"/>
  <c r="C434" i="8"/>
  <c r="I433" i="8"/>
  <c r="H433" i="8"/>
  <c r="E433" i="8"/>
  <c r="C433" i="8"/>
  <c r="I432" i="8"/>
  <c r="H432" i="8"/>
  <c r="E432" i="8"/>
  <c r="C432" i="8"/>
  <c r="I431" i="8"/>
  <c r="H431" i="8"/>
  <c r="E431" i="8"/>
  <c r="C431" i="8"/>
  <c r="I430" i="8"/>
  <c r="H430" i="8"/>
  <c r="E430" i="8"/>
  <c r="C430" i="8"/>
  <c r="I429" i="8"/>
  <c r="H429" i="8"/>
  <c r="E429" i="8"/>
  <c r="C429" i="8"/>
  <c r="I428" i="8"/>
  <c r="H428" i="8"/>
  <c r="E428" i="8"/>
  <c r="C428" i="8"/>
  <c r="I427" i="8"/>
  <c r="H427" i="8"/>
  <c r="E427" i="8"/>
  <c r="C427" i="8"/>
  <c r="I426" i="8"/>
  <c r="H426" i="8"/>
  <c r="E426" i="8"/>
  <c r="C426" i="8"/>
  <c r="I425" i="8"/>
  <c r="H425" i="8"/>
  <c r="E425" i="8"/>
  <c r="C425" i="8"/>
  <c r="I424" i="8"/>
  <c r="H424" i="8"/>
  <c r="E424" i="8"/>
  <c r="C424" i="8"/>
  <c r="I423" i="8"/>
  <c r="H423" i="8"/>
  <c r="E423" i="8"/>
  <c r="C423" i="8"/>
  <c r="I422" i="8"/>
  <c r="H422" i="8"/>
  <c r="E422" i="8"/>
  <c r="C422" i="8"/>
  <c r="I421" i="8"/>
  <c r="H421" i="8"/>
  <c r="E421" i="8"/>
  <c r="C421" i="8"/>
  <c r="I420" i="8"/>
  <c r="H420" i="8"/>
  <c r="E420" i="8"/>
  <c r="C420" i="8"/>
  <c r="I419" i="8"/>
  <c r="H419" i="8"/>
  <c r="E419" i="8"/>
  <c r="C419" i="8"/>
  <c r="I418" i="8"/>
  <c r="H418" i="8"/>
  <c r="E418" i="8"/>
  <c r="C418" i="8"/>
  <c r="I417" i="8"/>
  <c r="H417" i="8"/>
  <c r="E417" i="8"/>
  <c r="C417" i="8"/>
  <c r="I416" i="8"/>
  <c r="H416" i="8"/>
  <c r="E416" i="8"/>
  <c r="C416" i="8"/>
  <c r="I415" i="8"/>
  <c r="H415" i="8"/>
  <c r="E415" i="8"/>
  <c r="C415" i="8"/>
  <c r="I414" i="8"/>
  <c r="H414" i="8"/>
  <c r="E414" i="8"/>
  <c r="C414" i="8"/>
  <c r="I413" i="8"/>
  <c r="H413" i="8"/>
  <c r="E413" i="8"/>
  <c r="C413" i="8"/>
  <c r="I412" i="8"/>
  <c r="H412" i="8"/>
  <c r="E412" i="8"/>
  <c r="C412" i="8"/>
  <c r="I411" i="8"/>
  <c r="H411" i="8"/>
  <c r="E411" i="8"/>
  <c r="C411" i="8"/>
  <c r="I410" i="8"/>
  <c r="H410" i="8"/>
  <c r="E410" i="8"/>
  <c r="C410" i="8"/>
  <c r="I409" i="8"/>
  <c r="H409" i="8"/>
  <c r="E409" i="8"/>
  <c r="C409" i="8"/>
  <c r="I408" i="8"/>
  <c r="H408" i="8"/>
  <c r="E408" i="8"/>
  <c r="C408" i="8"/>
  <c r="I407" i="8"/>
  <c r="H407" i="8"/>
  <c r="E407" i="8"/>
  <c r="C407" i="8"/>
  <c r="I406" i="8"/>
  <c r="H406" i="8"/>
  <c r="E406" i="8"/>
  <c r="C406" i="8"/>
  <c r="I405" i="8"/>
  <c r="H405" i="8"/>
  <c r="E405" i="8"/>
  <c r="C405" i="8"/>
  <c r="I404" i="8"/>
  <c r="H404" i="8"/>
  <c r="E404" i="8"/>
  <c r="C404" i="8"/>
  <c r="I403" i="8"/>
  <c r="H403" i="8"/>
  <c r="E403" i="8"/>
  <c r="C403" i="8"/>
  <c r="I402" i="8"/>
  <c r="H402" i="8"/>
  <c r="E402" i="8"/>
  <c r="C402" i="8"/>
  <c r="I401" i="8"/>
  <c r="H401" i="8"/>
  <c r="E401" i="8"/>
  <c r="C401" i="8"/>
  <c r="I400" i="8"/>
  <c r="H400" i="8"/>
  <c r="E400" i="8"/>
  <c r="C400" i="8"/>
  <c r="I399" i="8"/>
  <c r="H399" i="8"/>
  <c r="E399" i="8"/>
  <c r="C399" i="8"/>
  <c r="I398" i="8"/>
  <c r="H398" i="8"/>
  <c r="E398" i="8"/>
  <c r="C398" i="8"/>
  <c r="I397" i="8"/>
  <c r="H397" i="8"/>
  <c r="E397" i="8"/>
  <c r="C397" i="8"/>
  <c r="I396" i="8"/>
  <c r="H396" i="8"/>
  <c r="E396" i="8"/>
  <c r="C396" i="8"/>
  <c r="I395" i="8"/>
  <c r="H395" i="8"/>
  <c r="E395" i="8"/>
  <c r="C395" i="8"/>
  <c r="I394" i="8"/>
  <c r="H394" i="8"/>
  <c r="E394" i="8"/>
  <c r="C394" i="8"/>
  <c r="I393" i="8"/>
  <c r="H393" i="8"/>
  <c r="E393" i="8"/>
  <c r="C393" i="8"/>
  <c r="I392" i="8"/>
  <c r="H392" i="8"/>
  <c r="E392" i="8"/>
  <c r="C392" i="8"/>
  <c r="I391" i="8"/>
  <c r="H391" i="8"/>
  <c r="E391" i="8"/>
  <c r="C391" i="8"/>
  <c r="I390" i="8"/>
  <c r="H390" i="8"/>
  <c r="E390" i="8"/>
  <c r="C390" i="8"/>
  <c r="I389" i="8"/>
  <c r="H389" i="8"/>
  <c r="E389" i="8"/>
  <c r="C389" i="8"/>
  <c r="I388" i="8"/>
  <c r="H388" i="8"/>
  <c r="E388" i="8"/>
  <c r="C388" i="8"/>
  <c r="I387" i="8"/>
  <c r="H387" i="8"/>
  <c r="E387" i="8"/>
  <c r="C387" i="8"/>
  <c r="I386" i="8"/>
  <c r="H386" i="8"/>
  <c r="E386" i="8"/>
  <c r="C386" i="8"/>
  <c r="I385" i="8"/>
  <c r="H385" i="8"/>
  <c r="E385" i="8"/>
  <c r="C385" i="8"/>
  <c r="I384" i="8"/>
  <c r="H384" i="8"/>
  <c r="E384" i="8"/>
  <c r="C384" i="8"/>
  <c r="I383" i="8"/>
  <c r="H383" i="8"/>
  <c r="E383" i="8"/>
  <c r="C383" i="8"/>
  <c r="I382" i="8"/>
  <c r="H382" i="8"/>
  <c r="E382" i="8"/>
  <c r="C382" i="8"/>
  <c r="I381" i="8"/>
  <c r="H381" i="8"/>
  <c r="E381" i="8"/>
  <c r="C381" i="8"/>
  <c r="I380" i="8"/>
  <c r="H380" i="8"/>
  <c r="E380" i="8"/>
  <c r="C380" i="8"/>
  <c r="I379" i="8"/>
  <c r="H379" i="8"/>
  <c r="E379" i="8"/>
  <c r="C379" i="8"/>
  <c r="I378" i="8"/>
  <c r="H378" i="8"/>
  <c r="E378" i="8"/>
  <c r="C378" i="8"/>
  <c r="I377" i="8"/>
  <c r="H377" i="8"/>
  <c r="E377" i="8"/>
  <c r="C377" i="8"/>
  <c r="I376" i="8"/>
  <c r="H376" i="8"/>
  <c r="E376" i="8"/>
  <c r="C376" i="8"/>
  <c r="I375" i="8"/>
  <c r="H375" i="8"/>
  <c r="E375" i="8"/>
  <c r="C375" i="8"/>
  <c r="I374" i="8"/>
  <c r="H374" i="8"/>
  <c r="E374" i="8"/>
  <c r="C374" i="8"/>
  <c r="I373" i="8"/>
  <c r="H373" i="8"/>
  <c r="E373" i="8"/>
  <c r="C373" i="8"/>
  <c r="I372" i="8"/>
  <c r="H372" i="8"/>
  <c r="E372" i="8"/>
  <c r="C372" i="8"/>
  <c r="I371" i="8"/>
  <c r="H371" i="8"/>
  <c r="E371" i="8"/>
  <c r="C371" i="8"/>
  <c r="I370" i="8"/>
  <c r="H370" i="8"/>
  <c r="E370" i="8"/>
  <c r="C370" i="8"/>
  <c r="I369" i="8"/>
  <c r="H369" i="8"/>
  <c r="E369" i="8"/>
  <c r="C369" i="8"/>
  <c r="I368" i="8"/>
  <c r="H368" i="8"/>
  <c r="E368" i="8"/>
  <c r="C368" i="8"/>
  <c r="I367" i="8"/>
  <c r="H367" i="8"/>
  <c r="E367" i="8"/>
  <c r="C367" i="8"/>
  <c r="I366" i="8"/>
  <c r="H366" i="8"/>
  <c r="E366" i="8"/>
  <c r="C366" i="8"/>
  <c r="I365" i="8"/>
  <c r="H365" i="8"/>
  <c r="E365" i="8"/>
  <c r="C365" i="8"/>
  <c r="I364" i="8"/>
  <c r="H364" i="8"/>
  <c r="E364" i="8"/>
  <c r="C364" i="8"/>
  <c r="I363" i="8"/>
  <c r="H363" i="8"/>
  <c r="E363" i="8"/>
  <c r="C363" i="8"/>
  <c r="I362" i="8"/>
  <c r="H362" i="8"/>
  <c r="E362" i="8"/>
  <c r="C362" i="8"/>
  <c r="I361" i="8"/>
  <c r="H361" i="8"/>
  <c r="E361" i="8"/>
  <c r="C361" i="8"/>
  <c r="I360" i="8"/>
  <c r="H360" i="8"/>
  <c r="E360" i="8"/>
  <c r="C360" i="8"/>
  <c r="I359" i="8"/>
  <c r="H359" i="8"/>
  <c r="E359" i="8"/>
  <c r="C359" i="8"/>
  <c r="I358" i="8"/>
  <c r="H358" i="8"/>
  <c r="E358" i="8"/>
  <c r="C358" i="8"/>
  <c r="I357" i="8"/>
  <c r="H357" i="8"/>
  <c r="E357" i="8"/>
  <c r="C357" i="8"/>
  <c r="I356" i="8"/>
  <c r="H356" i="8"/>
  <c r="E356" i="8"/>
  <c r="C356" i="8"/>
  <c r="I355" i="8"/>
  <c r="H355" i="8"/>
  <c r="E355" i="8"/>
  <c r="C355" i="8"/>
  <c r="I354" i="8"/>
  <c r="H354" i="8"/>
  <c r="E354" i="8"/>
  <c r="C354" i="8"/>
  <c r="I353" i="8"/>
  <c r="H353" i="8"/>
  <c r="E353" i="8"/>
  <c r="C353" i="8"/>
  <c r="I352" i="8"/>
  <c r="H352" i="8"/>
  <c r="E352" i="8"/>
  <c r="C352" i="8"/>
  <c r="I351" i="8"/>
  <c r="H351" i="8"/>
  <c r="E351" i="8"/>
  <c r="C351" i="8"/>
  <c r="I350" i="8"/>
  <c r="H350" i="8"/>
  <c r="E350" i="8"/>
  <c r="C350" i="8"/>
  <c r="I349" i="8"/>
  <c r="H349" i="8"/>
  <c r="E349" i="8"/>
  <c r="C349" i="8"/>
  <c r="I348" i="8"/>
  <c r="H348" i="8"/>
  <c r="E348" i="8"/>
  <c r="C348" i="8"/>
  <c r="I347" i="8"/>
  <c r="H347" i="8"/>
  <c r="E347" i="8"/>
  <c r="C347" i="8"/>
  <c r="I346" i="8"/>
  <c r="H346" i="8"/>
  <c r="E346" i="8"/>
  <c r="C346" i="8"/>
  <c r="I345" i="8"/>
  <c r="H345" i="8"/>
  <c r="E345" i="8"/>
  <c r="C345" i="8"/>
  <c r="I344" i="8"/>
  <c r="H344" i="8"/>
  <c r="E344" i="8"/>
  <c r="C344" i="8"/>
  <c r="I343" i="8"/>
  <c r="H343" i="8"/>
  <c r="E343" i="8"/>
  <c r="C343" i="8"/>
  <c r="I342" i="8"/>
  <c r="H342" i="8"/>
  <c r="E342" i="8"/>
  <c r="C342" i="8"/>
  <c r="I341" i="8"/>
  <c r="H341" i="8"/>
  <c r="E341" i="8"/>
  <c r="C341" i="8"/>
  <c r="I340" i="8"/>
  <c r="H340" i="8"/>
  <c r="E340" i="8"/>
  <c r="C340" i="8"/>
  <c r="I339" i="8"/>
  <c r="H339" i="8"/>
  <c r="E339" i="8"/>
  <c r="C339" i="8"/>
  <c r="I338" i="8"/>
  <c r="H338" i="8"/>
  <c r="E338" i="8"/>
  <c r="C338" i="8"/>
  <c r="I337" i="8"/>
  <c r="H337" i="8"/>
  <c r="E337" i="8"/>
  <c r="C337" i="8"/>
  <c r="I336" i="8"/>
  <c r="H336" i="8"/>
  <c r="E336" i="8"/>
  <c r="C336" i="8"/>
  <c r="I335" i="8"/>
  <c r="H335" i="8"/>
  <c r="E335" i="8"/>
  <c r="C335" i="8"/>
  <c r="I334" i="8"/>
  <c r="H334" i="8"/>
  <c r="E334" i="8"/>
  <c r="C334" i="8"/>
  <c r="I333" i="8"/>
  <c r="H333" i="8"/>
  <c r="E333" i="8"/>
  <c r="C333" i="8"/>
  <c r="I332" i="8"/>
  <c r="H332" i="8"/>
  <c r="E332" i="8"/>
  <c r="C332" i="8"/>
  <c r="I331" i="8"/>
  <c r="H331" i="8"/>
  <c r="E331" i="8"/>
  <c r="C331" i="8"/>
  <c r="I330" i="8"/>
  <c r="H330" i="8"/>
  <c r="E330" i="8"/>
  <c r="C330" i="8"/>
  <c r="I329" i="8"/>
  <c r="H329" i="8"/>
  <c r="E329" i="8"/>
  <c r="C329" i="8"/>
  <c r="I328" i="8"/>
  <c r="H328" i="8"/>
  <c r="E328" i="8"/>
  <c r="C328" i="8"/>
  <c r="I327" i="8"/>
  <c r="H327" i="8"/>
  <c r="E327" i="8"/>
  <c r="C327" i="8"/>
  <c r="I326" i="8"/>
  <c r="H326" i="8"/>
  <c r="E326" i="8"/>
  <c r="C326" i="8"/>
  <c r="I325" i="8"/>
  <c r="H325" i="8"/>
  <c r="E325" i="8"/>
  <c r="C325" i="8"/>
  <c r="I324" i="8"/>
  <c r="H324" i="8"/>
  <c r="E324" i="8"/>
  <c r="C324" i="8"/>
  <c r="I323" i="8"/>
  <c r="H323" i="8"/>
  <c r="E323" i="8"/>
  <c r="C323" i="8"/>
  <c r="I322" i="8"/>
  <c r="H322" i="8"/>
  <c r="E322" i="8"/>
  <c r="C322" i="8"/>
  <c r="I321" i="8"/>
  <c r="H321" i="8"/>
  <c r="E321" i="8"/>
  <c r="C321" i="8"/>
  <c r="I320" i="8"/>
  <c r="H320" i="8"/>
  <c r="E320" i="8"/>
  <c r="C320" i="8"/>
  <c r="I319" i="8"/>
  <c r="H319" i="8"/>
  <c r="E319" i="8"/>
  <c r="C319" i="8"/>
  <c r="I318" i="8"/>
  <c r="H318" i="8"/>
  <c r="E318" i="8"/>
  <c r="C318" i="8"/>
  <c r="I317" i="8"/>
  <c r="H317" i="8"/>
  <c r="E317" i="8"/>
  <c r="C317" i="8"/>
  <c r="I316" i="8"/>
  <c r="H316" i="8"/>
  <c r="E316" i="8"/>
  <c r="C316" i="8"/>
  <c r="I315" i="8"/>
  <c r="H315" i="8"/>
  <c r="E315" i="8"/>
  <c r="C315" i="8"/>
  <c r="I314" i="8"/>
  <c r="H314" i="8"/>
  <c r="E314" i="8"/>
  <c r="C314" i="8"/>
  <c r="I313" i="8"/>
  <c r="H313" i="8"/>
  <c r="E313" i="8"/>
  <c r="C313" i="8"/>
  <c r="I312" i="8"/>
  <c r="H312" i="8"/>
  <c r="E312" i="8"/>
  <c r="C312" i="8"/>
  <c r="I311" i="8"/>
  <c r="H311" i="8"/>
  <c r="E311" i="8"/>
  <c r="C311" i="8"/>
  <c r="I310" i="8"/>
  <c r="H310" i="8"/>
  <c r="E310" i="8"/>
  <c r="C310" i="8"/>
  <c r="I309" i="8"/>
  <c r="H309" i="8"/>
  <c r="E309" i="8"/>
  <c r="C309" i="8"/>
  <c r="I308" i="8"/>
  <c r="H308" i="8"/>
  <c r="E308" i="8"/>
  <c r="C308" i="8"/>
  <c r="I307" i="8"/>
  <c r="H307" i="8"/>
  <c r="E307" i="8"/>
  <c r="C307" i="8"/>
  <c r="I306" i="8"/>
  <c r="H306" i="8"/>
  <c r="E306" i="8"/>
  <c r="C306" i="8"/>
  <c r="I305" i="8"/>
  <c r="H305" i="8"/>
  <c r="E305" i="8"/>
  <c r="C305" i="8"/>
  <c r="I304" i="8"/>
  <c r="H304" i="8"/>
  <c r="E304" i="8"/>
  <c r="C304" i="8"/>
  <c r="I303" i="8"/>
  <c r="H303" i="8"/>
  <c r="E303" i="8"/>
  <c r="C303" i="8"/>
  <c r="I302" i="8"/>
  <c r="H302" i="8"/>
  <c r="E302" i="8"/>
  <c r="C302" i="8"/>
  <c r="I301" i="8"/>
  <c r="H301" i="8"/>
  <c r="E301" i="8"/>
  <c r="C301" i="8"/>
  <c r="I300" i="8"/>
  <c r="H300" i="8"/>
  <c r="E300" i="8"/>
  <c r="C300" i="8"/>
  <c r="I299" i="8"/>
  <c r="H299" i="8"/>
  <c r="E299" i="8"/>
  <c r="C299" i="8"/>
  <c r="I298" i="8"/>
  <c r="H298" i="8"/>
  <c r="E298" i="8"/>
  <c r="C298" i="8"/>
  <c r="I297" i="8"/>
  <c r="H297" i="8"/>
  <c r="E297" i="8"/>
  <c r="C297" i="8"/>
  <c r="I296" i="8"/>
  <c r="H296" i="8"/>
  <c r="E296" i="8"/>
  <c r="C296" i="8"/>
  <c r="I295" i="8"/>
  <c r="H295" i="8"/>
  <c r="E295" i="8"/>
  <c r="C295" i="8"/>
  <c r="I294" i="8"/>
  <c r="H294" i="8"/>
  <c r="E294" i="8"/>
  <c r="C294" i="8"/>
  <c r="I293" i="8"/>
  <c r="H293" i="8"/>
  <c r="E293" i="8"/>
  <c r="C293" i="8"/>
  <c r="I292" i="8"/>
  <c r="H292" i="8"/>
  <c r="E292" i="8"/>
  <c r="C292" i="8"/>
  <c r="I291" i="8"/>
  <c r="H291" i="8"/>
  <c r="E291" i="8"/>
  <c r="C291" i="8"/>
  <c r="I290" i="8"/>
  <c r="H290" i="8"/>
  <c r="E290" i="8"/>
  <c r="C290" i="8"/>
  <c r="I289" i="8"/>
  <c r="H289" i="8"/>
  <c r="E289" i="8"/>
  <c r="C289" i="8"/>
  <c r="I288" i="8"/>
  <c r="H288" i="8"/>
  <c r="E288" i="8"/>
  <c r="C288" i="8"/>
  <c r="I287" i="8"/>
  <c r="H287" i="8"/>
  <c r="E287" i="8"/>
  <c r="C287" i="8"/>
  <c r="I286" i="8"/>
  <c r="H286" i="8"/>
  <c r="E286" i="8"/>
  <c r="C286" i="8"/>
  <c r="I285" i="8"/>
  <c r="H285" i="8"/>
  <c r="E285" i="8"/>
  <c r="C285" i="8"/>
  <c r="I284" i="8"/>
  <c r="H284" i="8"/>
  <c r="E284" i="8"/>
  <c r="C284" i="8"/>
  <c r="I283" i="8"/>
  <c r="H283" i="8"/>
  <c r="E283" i="8"/>
  <c r="C283" i="8"/>
  <c r="I282" i="8"/>
  <c r="H282" i="8"/>
  <c r="E282" i="8"/>
  <c r="C282" i="8"/>
  <c r="I281" i="8"/>
  <c r="H281" i="8"/>
  <c r="E281" i="8"/>
  <c r="C281" i="8"/>
  <c r="I280" i="8"/>
  <c r="H280" i="8"/>
  <c r="E280" i="8"/>
  <c r="C280" i="8"/>
  <c r="I279" i="8"/>
  <c r="H279" i="8"/>
  <c r="E279" i="8"/>
  <c r="C279" i="8"/>
  <c r="I278" i="8"/>
  <c r="H278" i="8"/>
  <c r="E278" i="8"/>
  <c r="C278" i="8"/>
  <c r="I277" i="8"/>
  <c r="H277" i="8"/>
  <c r="E277" i="8"/>
  <c r="C277" i="8"/>
  <c r="I276" i="8"/>
  <c r="H276" i="8"/>
  <c r="E276" i="8"/>
  <c r="C276" i="8"/>
  <c r="I275" i="8"/>
  <c r="H275" i="8"/>
  <c r="E275" i="8"/>
  <c r="C275" i="8"/>
  <c r="I274" i="8"/>
  <c r="H274" i="8"/>
  <c r="E274" i="8"/>
  <c r="C274" i="8"/>
  <c r="I273" i="8"/>
  <c r="H273" i="8"/>
  <c r="E273" i="8"/>
  <c r="C273" i="8"/>
  <c r="I272" i="8"/>
  <c r="H272" i="8"/>
  <c r="E272" i="8"/>
  <c r="C272" i="8"/>
  <c r="I271" i="8"/>
  <c r="H271" i="8"/>
  <c r="E271" i="8"/>
  <c r="C271" i="8"/>
  <c r="I270" i="8"/>
  <c r="H270" i="8"/>
  <c r="E270" i="8"/>
  <c r="C270" i="8"/>
  <c r="I269" i="8"/>
  <c r="H269" i="8"/>
  <c r="E269" i="8"/>
  <c r="C269" i="8"/>
  <c r="I268" i="8"/>
  <c r="H268" i="8"/>
  <c r="E268" i="8"/>
  <c r="C268" i="8"/>
  <c r="I267" i="8"/>
  <c r="H267" i="8"/>
  <c r="E267" i="8"/>
  <c r="C267" i="8"/>
  <c r="I266" i="8"/>
  <c r="H266" i="8"/>
  <c r="E266" i="8"/>
  <c r="C266" i="8"/>
  <c r="I265" i="8"/>
  <c r="H265" i="8"/>
  <c r="E265" i="8"/>
  <c r="C265" i="8"/>
  <c r="I264" i="8"/>
  <c r="H264" i="8"/>
  <c r="E264" i="8"/>
  <c r="C264" i="8"/>
  <c r="I263" i="8"/>
  <c r="H263" i="8"/>
  <c r="E263" i="8"/>
  <c r="C263" i="8"/>
  <c r="I262" i="8"/>
  <c r="H262" i="8"/>
  <c r="E262" i="8"/>
  <c r="C262" i="8"/>
  <c r="I261" i="8"/>
  <c r="H261" i="8"/>
  <c r="E261" i="8"/>
  <c r="C261" i="8"/>
  <c r="I260" i="8"/>
  <c r="H260" i="8"/>
  <c r="E260" i="8"/>
  <c r="C260" i="8"/>
  <c r="I259" i="8"/>
  <c r="H259" i="8"/>
  <c r="E259" i="8"/>
  <c r="C259" i="8"/>
  <c r="I258" i="8"/>
  <c r="H258" i="8"/>
  <c r="E258" i="8"/>
  <c r="C258" i="8"/>
  <c r="I257" i="8"/>
  <c r="H257" i="8"/>
  <c r="E257" i="8"/>
  <c r="C257" i="8"/>
  <c r="I256" i="8"/>
  <c r="H256" i="8"/>
  <c r="E256" i="8"/>
  <c r="C256" i="8"/>
  <c r="I255" i="8"/>
  <c r="H255" i="8"/>
  <c r="E255" i="8"/>
  <c r="C255" i="8"/>
  <c r="I254" i="8"/>
  <c r="H254" i="8"/>
  <c r="E254" i="8"/>
  <c r="C254" i="8"/>
  <c r="I253" i="8"/>
  <c r="H253" i="8"/>
  <c r="E253" i="8"/>
  <c r="C253" i="8"/>
  <c r="I252" i="8"/>
  <c r="H252" i="8"/>
  <c r="E252" i="8"/>
  <c r="C252" i="8"/>
  <c r="I251" i="8"/>
  <c r="H251" i="8"/>
  <c r="E251" i="8"/>
  <c r="C251" i="8"/>
  <c r="I250" i="8"/>
  <c r="H250" i="8"/>
  <c r="E250" i="8"/>
  <c r="C250" i="8"/>
  <c r="I249" i="8"/>
  <c r="H249" i="8"/>
  <c r="E249" i="8"/>
  <c r="C249" i="8"/>
  <c r="I248" i="8"/>
  <c r="H248" i="8"/>
  <c r="E248" i="8"/>
  <c r="C248" i="8"/>
  <c r="I247" i="8"/>
  <c r="H247" i="8"/>
  <c r="E247" i="8"/>
  <c r="C247" i="8"/>
  <c r="I246" i="8"/>
  <c r="H246" i="8"/>
  <c r="E246" i="8"/>
  <c r="C246" i="8"/>
  <c r="I245" i="8"/>
  <c r="H245" i="8"/>
  <c r="E245" i="8"/>
  <c r="C245" i="8"/>
  <c r="I244" i="8"/>
  <c r="H244" i="8"/>
  <c r="E244" i="8"/>
  <c r="C244" i="8"/>
  <c r="I243" i="8"/>
  <c r="H243" i="8"/>
  <c r="E243" i="8"/>
  <c r="C243" i="8"/>
  <c r="I242" i="8"/>
  <c r="H242" i="8"/>
  <c r="E242" i="8"/>
  <c r="C242" i="8"/>
  <c r="I241" i="8"/>
  <c r="H241" i="8"/>
  <c r="E241" i="8"/>
  <c r="C241" i="8"/>
  <c r="I240" i="8"/>
  <c r="H240" i="8"/>
  <c r="E240" i="8"/>
  <c r="C240" i="8"/>
  <c r="I239" i="8"/>
  <c r="H239" i="8"/>
  <c r="E239" i="8"/>
  <c r="C239" i="8"/>
  <c r="I238" i="8"/>
  <c r="H238" i="8"/>
  <c r="E238" i="8"/>
  <c r="C238" i="8"/>
  <c r="I237" i="8"/>
  <c r="H237" i="8"/>
  <c r="E237" i="8"/>
  <c r="C237" i="8"/>
  <c r="I236" i="8"/>
  <c r="H236" i="8"/>
  <c r="E236" i="8"/>
  <c r="C236" i="8"/>
  <c r="I235" i="8"/>
  <c r="H235" i="8"/>
  <c r="E235" i="8"/>
  <c r="C235" i="8"/>
  <c r="I234" i="8"/>
  <c r="H234" i="8"/>
  <c r="E234" i="8"/>
  <c r="C234" i="8"/>
  <c r="I233" i="8"/>
  <c r="H233" i="8"/>
  <c r="E233" i="8"/>
  <c r="C233" i="8"/>
  <c r="I232" i="8"/>
  <c r="H232" i="8"/>
  <c r="E232" i="8"/>
  <c r="C232" i="8"/>
  <c r="I231" i="8"/>
  <c r="H231" i="8"/>
  <c r="E231" i="8"/>
  <c r="C231" i="8"/>
  <c r="I230" i="8"/>
  <c r="H230" i="8"/>
  <c r="E230" i="8"/>
  <c r="C230" i="8"/>
  <c r="I229" i="8"/>
  <c r="H229" i="8"/>
  <c r="E229" i="8"/>
  <c r="C229" i="8"/>
  <c r="I228" i="8"/>
  <c r="H228" i="8"/>
  <c r="E228" i="8"/>
  <c r="C228" i="8"/>
  <c r="I227" i="8"/>
  <c r="H227" i="8"/>
  <c r="E227" i="8"/>
  <c r="C227" i="8"/>
  <c r="I226" i="8"/>
  <c r="H226" i="8"/>
  <c r="E226" i="8"/>
  <c r="C226" i="8"/>
  <c r="I225" i="8"/>
  <c r="H225" i="8"/>
  <c r="E225" i="8"/>
  <c r="C225" i="8"/>
  <c r="I224" i="8"/>
  <c r="H224" i="8"/>
  <c r="E224" i="8"/>
  <c r="C224" i="8"/>
  <c r="I223" i="8"/>
  <c r="H223" i="8"/>
  <c r="E223" i="8"/>
  <c r="C223" i="8"/>
  <c r="I222" i="8"/>
  <c r="H222" i="8"/>
  <c r="E222" i="8"/>
  <c r="C222" i="8"/>
  <c r="I221" i="8"/>
  <c r="H221" i="8"/>
  <c r="E221" i="8"/>
  <c r="C221" i="8"/>
  <c r="I220" i="8"/>
  <c r="H220" i="8"/>
  <c r="E220" i="8"/>
  <c r="C220" i="8"/>
  <c r="I219" i="8"/>
  <c r="H219" i="8"/>
  <c r="E219" i="8"/>
  <c r="C219" i="8"/>
  <c r="I218" i="8"/>
  <c r="H218" i="8"/>
  <c r="E218" i="8"/>
  <c r="C218" i="8"/>
  <c r="I217" i="8"/>
  <c r="H217" i="8"/>
  <c r="E217" i="8"/>
  <c r="C217" i="8"/>
  <c r="I216" i="8"/>
  <c r="H216" i="8"/>
  <c r="E216" i="8"/>
  <c r="C216" i="8"/>
  <c r="I215" i="8"/>
  <c r="H215" i="8"/>
  <c r="E215" i="8"/>
  <c r="C215" i="8"/>
  <c r="I214" i="8"/>
  <c r="H214" i="8"/>
  <c r="E214" i="8"/>
  <c r="C214" i="8"/>
  <c r="I213" i="8"/>
  <c r="H213" i="8"/>
  <c r="E213" i="8"/>
  <c r="C213" i="8"/>
  <c r="I212" i="8"/>
  <c r="H212" i="8"/>
  <c r="E212" i="8"/>
  <c r="C212" i="8"/>
  <c r="I211" i="8"/>
  <c r="H211" i="8"/>
  <c r="E211" i="8"/>
  <c r="C211" i="8"/>
  <c r="I210" i="8"/>
  <c r="H210" i="8"/>
  <c r="E210" i="8"/>
  <c r="C210" i="8"/>
  <c r="I209" i="8"/>
  <c r="H209" i="8"/>
  <c r="E209" i="8"/>
  <c r="C209" i="8"/>
  <c r="I208" i="8"/>
  <c r="H208" i="8"/>
  <c r="E208" i="8"/>
  <c r="C208" i="8"/>
  <c r="I207" i="8"/>
  <c r="H207" i="8"/>
  <c r="E207" i="8"/>
  <c r="C207" i="8"/>
  <c r="I206" i="8"/>
  <c r="H206" i="8"/>
  <c r="E206" i="8"/>
  <c r="C206" i="8"/>
  <c r="I205" i="8"/>
  <c r="H205" i="8"/>
  <c r="E205" i="8"/>
  <c r="C205" i="8"/>
  <c r="I204" i="8"/>
  <c r="H204" i="8"/>
  <c r="E204" i="8"/>
  <c r="C204" i="8"/>
  <c r="I203" i="8"/>
  <c r="H203" i="8"/>
  <c r="E203" i="8"/>
  <c r="C203" i="8"/>
  <c r="I202" i="8"/>
  <c r="H202" i="8"/>
  <c r="E202" i="8"/>
  <c r="C202" i="8"/>
  <c r="I201" i="8"/>
  <c r="H201" i="8"/>
  <c r="E201" i="8"/>
  <c r="C201" i="8"/>
  <c r="I200" i="8"/>
  <c r="H200" i="8"/>
  <c r="E200" i="8"/>
  <c r="C200" i="8"/>
  <c r="I199" i="8"/>
  <c r="H199" i="8"/>
  <c r="E199" i="8"/>
  <c r="C199" i="8"/>
  <c r="I198" i="8"/>
  <c r="H198" i="8"/>
  <c r="E198" i="8"/>
  <c r="C198" i="8"/>
  <c r="I197" i="8"/>
  <c r="H197" i="8"/>
  <c r="E197" i="8"/>
  <c r="C197" i="8"/>
  <c r="I196" i="8"/>
  <c r="H196" i="8"/>
  <c r="E196" i="8"/>
  <c r="C196" i="8"/>
  <c r="I195" i="8"/>
  <c r="H195" i="8"/>
  <c r="E195" i="8"/>
  <c r="C195" i="8"/>
  <c r="I194" i="8"/>
  <c r="H194" i="8"/>
  <c r="E194" i="8"/>
  <c r="C194" i="8"/>
  <c r="I193" i="8"/>
  <c r="H193" i="8"/>
  <c r="E193" i="8"/>
  <c r="C193" i="8"/>
  <c r="I192" i="8"/>
  <c r="H192" i="8"/>
  <c r="E192" i="8"/>
  <c r="C192" i="8"/>
  <c r="I191" i="8"/>
  <c r="H191" i="8"/>
  <c r="E191" i="8"/>
  <c r="C191" i="8"/>
  <c r="I190" i="8"/>
  <c r="H190" i="8"/>
  <c r="E190" i="8"/>
  <c r="C190" i="8"/>
  <c r="I189" i="8"/>
  <c r="H189" i="8"/>
  <c r="E189" i="8"/>
  <c r="C189" i="8"/>
  <c r="I188" i="8"/>
  <c r="H188" i="8"/>
  <c r="E188" i="8"/>
  <c r="C188" i="8"/>
  <c r="I187" i="8"/>
  <c r="H187" i="8"/>
  <c r="E187" i="8"/>
  <c r="C187" i="8"/>
  <c r="I186" i="8"/>
  <c r="H186" i="8"/>
  <c r="E186" i="8"/>
  <c r="C186" i="8"/>
  <c r="I185" i="8"/>
  <c r="H185" i="8"/>
  <c r="E185" i="8"/>
  <c r="C185" i="8"/>
  <c r="I184" i="8"/>
  <c r="H184" i="8"/>
  <c r="E184" i="8"/>
  <c r="C184" i="8"/>
  <c r="I183" i="8"/>
  <c r="H183" i="8"/>
  <c r="E183" i="8"/>
  <c r="C183" i="8"/>
  <c r="I182" i="8"/>
  <c r="H182" i="8"/>
  <c r="E182" i="8"/>
  <c r="C182" i="8"/>
  <c r="I181" i="8"/>
  <c r="H181" i="8"/>
  <c r="E181" i="8"/>
  <c r="C181" i="8"/>
  <c r="I180" i="8"/>
  <c r="H180" i="8"/>
  <c r="E180" i="8"/>
  <c r="C180" i="8"/>
  <c r="I179" i="8"/>
  <c r="H179" i="8"/>
  <c r="E179" i="8"/>
  <c r="C179" i="8"/>
  <c r="I178" i="8"/>
  <c r="H178" i="8"/>
  <c r="E178" i="8"/>
  <c r="C178" i="8"/>
  <c r="I177" i="8"/>
  <c r="H177" i="8"/>
  <c r="E177" i="8"/>
  <c r="C177" i="8"/>
  <c r="I176" i="8"/>
  <c r="H176" i="8"/>
  <c r="E176" i="8"/>
  <c r="C176" i="8"/>
  <c r="I175" i="8"/>
  <c r="H175" i="8"/>
  <c r="E175" i="8"/>
  <c r="C175" i="8"/>
  <c r="I174" i="8"/>
  <c r="H174" i="8"/>
  <c r="E174" i="8"/>
  <c r="C174" i="8"/>
  <c r="I173" i="8"/>
  <c r="H173" i="8"/>
  <c r="E173" i="8"/>
  <c r="C173" i="8"/>
  <c r="I172" i="8"/>
  <c r="H172" i="8"/>
  <c r="E172" i="8"/>
  <c r="C172" i="8"/>
  <c r="I171" i="8"/>
  <c r="H171" i="8"/>
  <c r="E171" i="8"/>
  <c r="C171" i="8"/>
  <c r="I170" i="8"/>
  <c r="H170" i="8"/>
  <c r="E170" i="8"/>
  <c r="C170" i="8"/>
  <c r="I169" i="8"/>
  <c r="H169" i="8"/>
  <c r="E169" i="8"/>
  <c r="C169" i="8"/>
  <c r="I168" i="8"/>
  <c r="H168" i="8"/>
  <c r="E168" i="8"/>
  <c r="C168" i="8"/>
  <c r="I167" i="8"/>
  <c r="H167" i="8"/>
  <c r="E167" i="8"/>
  <c r="C167" i="8"/>
  <c r="I166" i="8"/>
  <c r="H166" i="8"/>
  <c r="E166" i="8"/>
  <c r="C166" i="8"/>
  <c r="I165" i="8"/>
  <c r="H165" i="8"/>
  <c r="E165" i="8"/>
  <c r="C165" i="8"/>
  <c r="I164" i="8"/>
  <c r="H164" i="8"/>
  <c r="E164" i="8"/>
  <c r="C164" i="8"/>
  <c r="I163" i="8"/>
  <c r="H163" i="8"/>
  <c r="E163" i="8"/>
  <c r="C163" i="8"/>
  <c r="I162" i="8"/>
  <c r="H162" i="8"/>
  <c r="E162" i="8"/>
  <c r="C162" i="8"/>
  <c r="I161" i="8"/>
  <c r="H161" i="8"/>
  <c r="E161" i="8"/>
  <c r="C161" i="8"/>
  <c r="I160" i="8"/>
  <c r="H160" i="8"/>
  <c r="E160" i="8"/>
  <c r="C160" i="8"/>
  <c r="I159" i="8"/>
  <c r="H159" i="8"/>
  <c r="E159" i="8"/>
  <c r="C159" i="8"/>
  <c r="I158" i="8"/>
  <c r="H158" i="8"/>
  <c r="E158" i="8"/>
  <c r="C158" i="8"/>
  <c r="I157" i="8"/>
  <c r="H157" i="8"/>
  <c r="E157" i="8"/>
  <c r="C157" i="8"/>
  <c r="I156" i="8"/>
  <c r="H156" i="8"/>
  <c r="E156" i="8"/>
  <c r="C156" i="8"/>
  <c r="I155" i="8"/>
  <c r="H155" i="8"/>
  <c r="E155" i="8"/>
  <c r="C155" i="8"/>
  <c r="I154" i="8"/>
  <c r="H154" i="8"/>
  <c r="E154" i="8"/>
  <c r="C154" i="8"/>
  <c r="I153" i="8"/>
  <c r="H153" i="8"/>
  <c r="E153" i="8"/>
  <c r="C153" i="8"/>
  <c r="I152" i="8"/>
  <c r="H152" i="8"/>
  <c r="E152" i="8"/>
  <c r="C152" i="8"/>
  <c r="I151" i="8"/>
  <c r="H151" i="8"/>
  <c r="E151" i="8"/>
  <c r="C151" i="8"/>
  <c r="I150" i="8"/>
  <c r="H150" i="8"/>
  <c r="E150" i="8"/>
  <c r="C150" i="8"/>
  <c r="I149" i="8"/>
  <c r="H149" i="8"/>
  <c r="E149" i="8"/>
  <c r="C149" i="8"/>
  <c r="I148" i="8"/>
  <c r="H148" i="8"/>
  <c r="E148" i="8"/>
  <c r="C148" i="8"/>
  <c r="I147" i="8"/>
  <c r="H147" i="8"/>
  <c r="E147" i="8"/>
  <c r="C147" i="8"/>
  <c r="I146" i="8"/>
  <c r="H146" i="8"/>
  <c r="E146" i="8"/>
  <c r="C146" i="8"/>
  <c r="I145" i="8"/>
  <c r="H145" i="8"/>
  <c r="E145" i="8"/>
  <c r="C145" i="8"/>
  <c r="I144" i="8"/>
  <c r="H144" i="8"/>
  <c r="E144" i="8"/>
  <c r="C144" i="8"/>
  <c r="I143" i="8"/>
  <c r="H143" i="8"/>
  <c r="E143" i="8"/>
  <c r="C143" i="8"/>
  <c r="I142" i="8"/>
  <c r="H142" i="8"/>
  <c r="E142" i="8"/>
  <c r="C142" i="8"/>
  <c r="I141" i="8"/>
  <c r="H141" i="8"/>
  <c r="E141" i="8"/>
  <c r="C141" i="8"/>
  <c r="I140" i="8"/>
  <c r="H140" i="8"/>
  <c r="E140" i="8"/>
  <c r="C140" i="8"/>
  <c r="I139" i="8"/>
  <c r="H139" i="8"/>
  <c r="E139" i="8"/>
  <c r="C139" i="8"/>
  <c r="I138" i="8"/>
  <c r="H138" i="8"/>
  <c r="E138" i="8"/>
  <c r="C138" i="8"/>
  <c r="I137" i="8"/>
  <c r="H137" i="8"/>
  <c r="E137" i="8"/>
  <c r="C137" i="8"/>
  <c r="I136" i="8"/>
  <c r="H136" i="8"/>
  <c r="E136" i="8"/>
  <c r="C136" i="8"/>
  <c r="I135" i="8"/>
  <c r="H135" i="8"/>
  <c r="E135" i="8"/>
  <c r="C135" i="8"/>
  <c r="I134" i="8"/>
  <c r="H134" i="8"/>
  <c r="E134" i="8"/>
  <c r="C134" i="8"/>
  <c r="I133" i="8"/>
  <c r="H133" i="8"/>
  <c r="E133" i="8"/>
  <c r="C133" i="8"/>
  <c r="I132" i="8"/>
  <c r="H132" i="8"/>
  <c r="E132" i="8"/>
  <c r="C132" i="8"/>
  <c r="I131" i="8"/>
  <c r="H131" i="8"/>
  <c r="E131" i="8"/>
  <c r="C131" i="8"/>
  <c r="I130" i="8"/>
  <c r="H130" i="8"/>
  <c r="E130" i="8"/>
  <c r="C130" i="8"/>
  <c r="I129" i="8"/>
  <c r="H129" i="8"/>
  <c r="E129" i="8"/>
  <c r="C129" i="8"/>
  <c r="I128" i="8"/>
  <c r="H128" i="8"/>
  <c r="E128" i="8"/>
  <c r="C128" i="8"/>
  <c r="I127" i="8"/>
  <c r="H127" i="8"/>
  <c r="E127" i="8"/>
  <c r="C127" i="8"/>
  <c r="I126" i="8"/>
  <c r="H126" i="8"/>
  <c r="E126" i="8"/>
  <c r="C126" i="8"/>
  <c r="I125" i="8"/>
  <c r="H125" i="8"/>
  <c r="E125" i="8"/>
  <c r="C125" i="8"/>
  <c r="I124" i="8"/>
  <c r="H124" i="8"/>
  <c r="E124" i="8"/>
  <c r="C124" i="8"/>
  <c r="I123" i="8"/>
  <c r="H123" i="8"/>
  <c r="E123" i="8"/>
  <c r="C123" i="8"/>
  <c r="I122" i="8"/>
  <c r="H122" i="8"/>
  <c r="E122" i="8"/>
  <c r="C122" i="8"/>
  <c r="I121" i="8"/>
  <c r="H121" i="8"/>
  <c r="E121" i="8"/>
  <c r="C121" i="8"/>
  <c r="I120" i="8"/>
  <c r="H120" i="8"/>
  <c r="E120" i="8"/>
  <c r="C120" i="8"/>
  <c r="I119" i="8"/>
  <c r="H119" i="8"/>
  <c r="E119" i="8"/>
  <c r="C119" i="8"/>
  <c r="I118" i="8"/>
  <c r="H118" i="8"/>
  <c r="E118" i="8"/>
  <c r="C118" i="8"/>
  <c r="I117" i="8"/>
  <c r="H117" i="8"/>
  <c r="E117" i="8"/>
  <c r="C117" i="8"/>
  <c r="I116" i="8"/>
  <c r="H116" i="8"/>
  <c r="E116" i="8"/>
  <c r="C116" i="8"/>
  <c r="I115" i="8"/>
  <c r="H115" i="8"/>
  <c r="E115" i="8"/>
  <c r="C115" i="8"/>
  <c r="I114" i="8"/>
  <c r="H114" i="8"/>
  <c r="E114" i="8"/>
  <c r="C114" i="8"/>
  <c r="I113" i="8"/>
  <c r="H113" i="8"/>
  <c r="E113" i="8"/>
  <c r="C113" i="8"/>
  <c r="I112" i="8"/>
  <c r="H112" i="8"/>
  <c r="E112" i="8"/>
  <c r="C112" i="8"/>
  <c r="I111" i="8"/>
  <c r="H111" i="8"/>
  <c r="E111" i="8"/>
  <c r="C111" i="8"/>
  <c r="I110" i="8"/>
  <c r="H110" i="8"/>
  <c r="E110" i="8"/>
  <c r="C110" i="8"/>
  <c r="I109" i="8"/>
  <c r="H109" i="8"/>
  <c r="E109" i="8"/>
  <c r="C109" i="8"/>
  <c r="I108" i="8"/>
  <c r="H108" i="8"/>
  <c r="E108" i="8"/>
  <c r="C108" i="8"/>
  <c r="I107" i="8"/>
  <c r="H107" i="8"/>
  <c r="E107" i="8"/>
  <c r="C107" i="8"/>
  <c r="I106" i="8"/>
  <c r="H106" i="8"/>
  <c r="E106" i="8"/>
  <c r="C106" i="8"/>
  <c r="I105" i="8"/>
  <c r="H105" i="8"/>
  <c r="E105" i="8"/>
  <c r="C105" i="8"/>
  <c r="I104" i="8"/>
  <c r="H104" i="8"/>
  <c r="E104" i="8"/>
  <c r="C104" i="8"/>
  <c r="I103" i="8"/>
  <c r="H103" i="8"/>
  <c r="E103" i="8"/>
  <c r="C103" i="8"/>
  <c r="I102" i="8"/>
  <c r="H102" i="8"/>
  <c r="E102" i="8"/>
  <c r="C102" i="8"/>
  <c r="I101" i="8"/>
  <c r="H101" i="8"/>
  <c r="E101" i="8"/>
  <c r="C101" i="8"/>
  <c r="I100" i="8"/>
  <c r="H100" i="8"/>
  <c r="E100" i="8"/>
  <c r="C100" i="8"/>
  <c r="I99" i="8"/>
  <c r="H99" i="8"/>
  <c r="E99" i="8"/>
  <c r="C99" i="8"/>
  <c r="I98" i="8"/>
  <c r="H98" i="8"/>
  <c r="E98" i="8"/>
  <c r="C98" i="8"/>
  <c r="I97" i="8"/>
  <c r="H97" i="8"/>
  <c r="E97" i="8"/>
  <c r="C97" i="8"/>
  <c r="I96" i="8"/>
  <c r="H96" i="8"/>
  <c r="E96" i="8"/>
  <c r="C96" i="8"/>
  <c r="I95" i="8"/>
  <c r="H95" i="8"/>
  <c r="E95" i="8"/>
  <c r="C95" i="8"/>
  <c r="I94" i="8"/>
  <c r="H94" i="8"/>
  <c r="E94" i="8"/>
  <c r="C94" i="8"/>
  <c r="I93" i="8"/>
  <c r="H93" i="8"/>
  <c r="E93" i="8"/>
  <c r="C93" i="8"/>
  <c r="I92" i="8"/>
  <c r="H92" i="8"/>
  <c r="E92" i="8"/>
  <c r="C92" i="8"/>
  <c r="I91" i="8"/>
  <c r="H91" i="8"/>
  <c r="E91" i="8"/>
  <c r="C91" i="8"/>
  <c r="I90" i="8"/>
  <c r="H90" i="8"/>
  <c r="E90" i="8"/>
  <c r="C90" i="8"/>
  <c r="I89" i="8"/>
  <c r="H89" i="8"/>
  <c r="E89" i="8"/>
  <c r="C89" i="8"/>
  <c r="I88" i="8"/>
  <c r="H88" i="8"/>
  <c r="E88" i="8"/>
  <c r="C88" i="8"/>
  <c r="I87" i="8"/>
  <c r="H87" i="8"/>
  <c r="E87" i="8"/>
  <c r="C87" i="8"/>
  <c r="I86" i="8"/>
  <c r="H86" i="8"/>
  <c r="E86" i="8"/>
  <c r="C86" i="8"/>
  <c r="I85" i="8"/>
  <c r="H85" i="8"/>
  <c r="E85" i="8"/>
  <c r="C85" i="8"/>
  <c r="I84" i="8"/>
  <c r="H84" i="8"/>
  <c r="E84" i="8"/>
  <c r="C84" i="8"/>
  <c r="I83" i="8"/>
  <c r="H83" i="8"/>
  <c r="E83" i="8"/>
  <c r="C83" i="8"/>
  <c r="I82" i="8"/>
  <c r="H82" i="8"/>
  <c r="E82" i="8"/>
  <c r="C82" i="8"/>
  <c r="I81" i="8"/>
  <c r="H81" i="8"/>
  <c r="E81" i="8"/>
  <c r="C81" i="8"/>
  <c r="I80" i="8"/>
  <c r="H80" i="8"/>
  <c r="E80" i="8"/>
  <c r="C80" i="8"/>
  <c r="I79" i="8"/>
  <c r="H79" i="8"/>
  <c r="E79" i="8"/>
  <c r="C79" i="8"/>
  <c r="I78" i="8"/>
  <c r="H78" i="8"/>
  <c r="E78" i="8"/>
  <c r="C78" i="8"/>
  <c r="I77" i="8"/>
  <c r="H77" i="8"/>
  <c r="E77" i="8"/>
  <c r="C77" i="8"/>
  <c r="I76" i="8"/>
  <c r="H76" i="8"/>
  <c r="E76" i="8"/>
  <c r="C76" i="8"/>
  <c r="I75" i="8"/>
  <c r="H75" i="8"/>
  <c r="E75" i="8"/>
  <c r="C75" i="8"/>
  <c r="I74" i="8"/>
  <c r="H74" i="8"/>
  <c r="E74" i="8"/>
  <c r="C74" i="8"/>
  <c r="I73" i="8"/>
  <c r="H73" i="8"/>
  <c r="E73" i="8"/>
  <c r="C73" i="8"/>
  <c r="I72" i="8"/>
  <c r="H72" i="8"/>
  <c r="E72" i="8"/>
  <c r="C72" i="8"/>
  <c r="I71" i="8"/>
  <c r="H71" i="8"/>
  <c r="E71" i="8"/>
  <c r="C71" i="8"/>
  <c r="I70" i="8"/>
  <c r="H70" i="8"/>
  <c r="E70" i="8"/>
  <c r="C70" i="8"/>
  <c r="I69" i="8"/>
  <c r="H69" i="8"/>
  <c r="E69" i="8"/>
  <c r="C69" i="8"/>
  <c r="I68" i="8"/>
  <c r="H68" i="8"/>
  <c r="E68" i="8"/>
  <c r="C68" i="8"/>
  <c r="I67" i="8"/>
  <c r="H67" i="8"/>
  <c r="E67" i="8"/>
  <c r="C67" i="8"/>
  <c r="I66" i="8"/>
  <c r="H66" i="8"/>
  <c r="E66" i="8"/>
  <c r="C66" i="8"/>
  <c r="I65" i="8"/>
  <c r="H65" i="8"/>
  <c r="E65" i="8"/>
  <c r="C65" i="8"/>
  <c r="I64" i="8"/>
  <c r="H64" i="8"/>
  <c r="E64" i="8"/>
  <c r="C64" i="8"/>
  <c r="I63" i="8"/>
  <c r="H63" i="8"/>
  <c r="E63" i="8"/>
  <c r="C63" i="8"/>
  <c r="I62" i="8"/>
  <c r="H62" i="8"/>
  <c r="E62" i="8"/>
  <c r="C62" i="8"/>
  <c r="I61" i="8"/>
  <c r="H61" i="8"/>
  <c r="E61" i="8"/>
  <c r="C61" i="8"/>
  <c r="I60" i="8"/>
  <c r="H60" i="8"/>
  <c r="E60" i="8"/>
  <c r="C60" i="8"/>
  <c r="I59" i="8"/>
  <c r="H59" i="8"/>
  <c r="E59" i="8"/>
  <c r="C59" i="8"/>
  <c r="I58" i="8"/>
  <c r="H58" i="8"/>
  <c r="E58" i="8"/>
  <c r="C58" i="8"/>
  <c r="I57" i="8"/>
  <c r="H57" i="8"/>
  <c r="E57" i="8"/>
  <c r="C57" i="8"/>
  <c r="I56" i="8"/>
  <c r="H56" i="8"/>
  <c r="E56" i="8"/>
  <c r="C56" i="8"/>
  <c r="I55" i="8"/>
  <c r="H55" i="8"/>
  <c r="E55" i="8"/>
  <c r="C55" i="8"/>
  <c r="I54" i="8"/>
  <c r="H54" i="8"/>
  <c r="E54" i="8"/>
  <c r="C54" i="8"/>
  <c r="I53" i="8"/>
  <c r="H53" i="8"/>
  <c r="E53" i="8"/>
  <c r="C53" i="8"/>
  <c r="I52" i="8"/>
  <c r="H52" i="8"/>
  <c r="E52" i="8"/>
  <c r="C52" i="8"/>
  <c r="I51" i="8"/>
  <c r="H51" i="8"/>
  <c r="E51" i="8"/>
  <c r="C51" i="8"/>
  <c r="I50" i="8"/>
  <c r="H50" i="8"/>
  <c r="E50" i="8"/>
  <c r="C50" i="8"/>
  <c r="I49" i="8"/>
  <c r="H49" i="8"/>
  <c r="E49" i="8"/>
  <c r="C49" i="8"/>
  <c r="I48" i="8"/>
  <c r="H48" i="8"/>
  <c r="E48" i="8"/>
  <c r="C48" i="8"/>
  <c r="I47" i="8"/>
  <c r="H47" i="8"/>
  <c r="E47" i="8"/>
  <c r="C47" i="8"/>
  <c r="I46" i="8"/>
  <c r="H46" i="8"/>
  <c r="E46" i="8"/>
  <c r="C46" i="8"/>
  <c r="I45" i="8"/>
  <c r="H45" i="8"/>
  <c r="E45" i="8"/>
  <c r="C45" i="8"/>
  <c r="I44" i="8"/>
  <c r="H44" i="8"/>
  <c r="E44" i="8"/>
  <c r="C44" i="8"/>
  <c r="I43" i="8"/>
  <c r="H43" i="8"/>
  <c r="E43" i="8"/>
  <c r="C43" i="8"/>
  <c r="I42" i="8"/>
  <c r="H42" i="8"/>
  <c r="E42" i="8"/>
  <c r="C42" i="8"/>
  <c r="I41" i="8"/>
  <c r="H41" i="8"/>
  <c r="E41" i="8"/>
  <c r="C41" i="8"/>
  <c r="I40" i="8"/>
  <c r="H40" i="8"/>
  <c r="E40" i="8"/>
  <c r="C40" i="8"/>
  <c r="I39" i="8"/>
  <c r="H39" i="8"/>
  <c r="E39" i="8"/>
  <c r="C39" i="8"/>
  <c r="I38" i="8"/>
  <c r="H38" i="8"/>
  <c r="E38" i="8"/>
  <c r="C38" i="8"/>
  <c r="I37" i="8"/>
  <c r="H37" i="8"/>
  <c r="E37" i="8"/>
  <c r="C37" i="8"/>
  <c r="I36" i="8"/>
  <c r="H36" i="8"/>
  <c r="E36" i="8"/>
  <c r="C36" i="8"/>
  <c r="I35" i="8"/>
  <c r="H35" i="8"/>
  <c r="E35" i="8"/>
  <c r="C35" i="8"/>
  <c r="I34" i="8"/>
  <c r="H34" i="8"/>
  <c r="E34" i="8"/>
  <c r="C34" i="8"/>
  <c r="I33" i="8"/>
  <c r="H33" i="8"/>
  <c r="E33" i="8"/>
  <c r="C33" i="8"/>
  <c r="I32" i="8"/>
  <c r="H32" i="8"/>
  <c r="E32" i="8"/>
  <c r="C32" i="8"/>
  <c r="I31" i="8"/>
  <c r="H31" i="8"/>
  <c r="E31" i="8"/>
  <c r="C31" i="8"/>
  <c r="I30" i="8"/>
  <c r="H30" i="8"/>
  <c r="E30" i="8"/>
  <c r="C30" i="8"/>
  <c r="I29" i="8"/>
  <c r="H29" i="8"/>
  <c r="E29" i="8"/>
  <c r="C29" i="8"/>
  <c r="I28" i="8"/>
  <c r="H28" i="8"/>
  <c r="E28" i="8"/>
  <c r="C28" i="8"/>
  <c r="I27" i="8"/>
  <c r="H27" i="8"/>
  <c r="E27" i="8"/>
  <c r="C27" i="8"/>
  <c r="I26" i="8"/>
  <c r="H26" i="8"/>
  <c r="E26" i="8"/>
  <c r="C26" i="8"/>
  <c r="I25" i="8"/>
  <c r="H25" i="8"/>
  <c r="E25" i="8"/>
  <c r="C25" i="8"/>
  <c r="I24" i="8"/>
  <c r="H24" i="8"/>
  <c r="E24" i="8"/>
  <c r="C24" i="8"/>
  <c r="I23" i="8"/>
  <c r="H23" i="8"/>
  <c r="E23" i="8"/>
  <c r="C23" i="8"/>
  <c r="I22" i="8"/>
  <c r="H22" i="8"/>
  <c r="E22" i="8"/>
  <c r="C22" i="8"/>
  <c r="I21" i="8"/>
  <c r="H21" i="8"/>
  <c r="E21" i="8"/>
  <c r="C21" i="8"/>
  <c r="I20" i="8"/>
  <c r="H20" i="8"/>
  <c r="E20" i="8"/>
  <c r="C20" i="8"/>
  <c r="I19" i="8"/>
  <c r="H19" i="8"/>
  <c r="E19" i="8"/>
  <c r="C19" i="8"/>
  <c r="I18" i="8"/>
  <c r="H18" i="8"/>
  <c r="E18" i="8"/>
  <c r="C18" i="8"/>
  <c r="I17" i="8"/>
  <c r="H17" i="8"/>
  <c r="E17" i="8"/>
  <c r="C17" i="8"/>
  <c r="I16" i="8"/>
  <c r="H16" i="8"/>
  <c r="E16" i="8"/>
  <c r="C16" i="8"/>
  <c r="I15" i="8"/>
  <c r="H15" i="8"/>
  <c r="E15" i="8"/>
  <c r="C15" i="8"/>
  <c r="I14" i="8"/>
  <c r="H14" i="8"/>
  <c r="E14" i="8"/>
  <c r="C14" i="8"/>
  <c r="I13" i="8"/>
  <c r="H13" i="8"/>
  <c r="E13" i="8"/>
  <c r="C13" i="8"/>
  <c r="I12" i="8"/>
  <c r="H12" i="8"/>
  <c r="E12" i="8"/>
  <c r="C12" i="8"/>
  <c r="I11" i="8"/>
  <c r="H11" i="8"/>
  <c r="E11" i="8"/>
  <c r="C11" i="8"/>
  <c r="I10" i="8"/>
  <c r="H10" i="8"/>
  <c r="E10" i="8"/>
  <c r="C10" i="8"/>
  <c r="I9" i="8"/>
  <c r="H9" i="8"/>
  <c r="E9" i="8"/>
  <c r="C9" i="8"/>
  <c r="I8" i="8"/>
  <c r="H8" i="8"/>
  <c r="E8" i="8"/>
  <c r="C8" i="8"/>
  <c r="I7" i="8"/>
  <c r="H7" i="8"/>
  <c r="E7" i="8"/>
  <c r="C7" i="8"/>
  <c r="I6" i="8"/>
  <c r="H6" i="8"/>
  <c r="E6" i="8"/>
  <c r="C6" i="8"/>
  <c r="I5" i="8"/>
  <c r="H5" i="8"/>
  <c r="E5" i="8"/>
  <c r="C5" i="8"/>
  <c r="I4" i="8"/>
  <c r="H4" i="8"/>
  <c r="E4" i="8"/>
  <c r="C4" i="8"/>
  <c r="K1003" i="7"/>
  <c r="G1003" i="7"/>
  <c r="F1003" i="7"/>
  <c r="D1003" i="7"/>
  <c r="C1003" i="7"/>
  <c r="K1002" i="7"/>
  <c r="G1002" i="7"/>
  <c r="F1002" i="7"/>
  <c r="D1002" i="7"/>
  <c r="C1002" i="7"/>
  <c r="K1001" i="7"/>
  <c r="G1001" i="7"/>
  <c r="F1001" i="7"/>
  <c r="D1001" i="7"/>
  <c r="C1001" i="7"/>
  <c r="K1000" i="7"/>
  <c r="G1000" i="7"/>
  <c r="F1000" i="7"/>
  <c r="D1000" i="7"/>
  <c r="C1000" i="7"/>
  <c r="K999" i="7"/>
  <c r="G999" i="7"/>
  <c r="F999" i="7"/>
  <c r="D999" i="7"/>
  <c r="C999" i="7"/>
  <c r="K998" i="7"/>
  <c r="G998" i="7"/>
  <c r="F998" i="7"/>
  <c r="D998" i="7"/>
  <c r="C998" i="7"/>
  <c r="K997" i="7"/>
  <c r="G997" i="7"/>
  <c r="F997" i="7"/>
  <c r="D997" i="7"/>
  <c r="C997" i="7"/>
  <c r="K996" i="7"/>
  <c r="G996" i="7"/>
  <c r="F996" i="7"/>
  <c r="D996" i="7"/>
  <c r="C996" i="7"/>
  <c r="K995" i="7"/>
  <c r="G995" i="7"/>
  <c r="F995" i="7"/>
  <c r="D995" i="7"/>
  <c r="C995" i="7"/>
  <c r="K994" i="7"/>
  <c r="G994" i="7"/>
  <c r="F994" i="7"/>
  <c r="D994" i="7"/>
  <c r="C994" i="7"/>
  <c r="K993" i="7"/>
  <c r="G993" i="7"/>
  <c r="F993" i="7"/>
  <c r="D993" i="7"/>
  <c r="C993" i="7"/>
  <c r="K992" i="7"/>
  <c r="G992" i="7"/>
  <c r="F992" i="7"/>
  <c r="D992" i="7"/>
  <c r="C992" i="7"/>
  <c r="K991" i="7"/>
  <c r="G991" i="7"/>
  <c r="F991" i="7"/>
  <c r="D991" i="7"/>
  <c r="C991" i="7"/>
  <c r="K990" i="7"/>
  <c r="G990" i="7"/>
  <c r="F990" i="7"/>
  <c r="D990" i="7"/>
  <c r="C990" i="7"/>
  <c r="K989" i="7"/>
  <c r="G989" i="7"/>
  <c r="F989" i="7"/>
  <c r="D989" i="7"/>
  <c r="C989" i="7"/>
  <c r="K988" i="7"/>
  <c r="G988" i="7"/>
  <c r="F988" i="7"/>
  <c r="D988" i="7"/>
  <c r="C988" i="7"/>
  <c r="K987" i="7"/>
  <c r="G987" i="7"/>
  <c r="F987" i="7"/>
  <c r="D987" i="7"/>
  <c r="C987" i="7"/>
  <c r="K986" i="7"/>
  <c r="G986" i="7"/>
  <c r="F986" i="7"/>
  <c r="D986" i="7"/>
  <c r="C986" i="7"/>
  <c r="K985" i="7"/>
  <c r="G985" i="7"/>
  <c r="F985" i="7"/>
  <c r="D985" i="7"/>
  <c r="C985" i="7"/>
  <c r="K984" i="7"/>
  <c r="G984" i="7"/>
  <c r="F984" i="7"/>
  <c r="D984" i="7"/>
  <c r="C984" i="7"/>
  <c r="K983" i="7"/>
  <c r="G983" i="7"/>
  <c r="F983" i="7"/>
  <c r="D983" i="7"/>
  <c r="C983" i="7"/>
  <c r="K982" i="7"/>
  <c r="G982" i="7"/>
  <c r="F982" i="7"/>
  <c r="D982" i="7"/>
  <c r="C982" i="7"/>
  <c r="K981" i="7"/>
  <c r="G981" i="7"/>
  <c r="F981" i="7"/>
  <c r="D981" i="7"/>
  <c r="C981" i="7"/>
  <c r="K980" i="7"/>
  <c r="G980" i="7"/>
  <c r="F980" i="7"/>
  <c r="D980" i="7"/>
  <c r="C980" i="7"/>
  <c r="K979" i="7"/>
  <c r="G979" i="7"/>
  <c r="F979" i="7"/>
  <c r="D979" i="7"/>
  <c r="C979" i="7"/>
  <c r="K978" i="7"/>
  <c r="G978" i="7"/>
  <c r="F978" i="7"/>
  <c r="D978" i="7"/>
  <c r="C978" i="7"/>
  <c r="K977" i="7"/>
  <c r="G977" i="7"/>
  <c r="F977" i="7"/>
  <c r="D977" i="7"/>
  <c r="C977" i="7"/>
  <c r="K976" i="7"/>
  <c r="G976" i="7"/>
  <c r="F976" i="7"/>
  <c r="D976" i="7"/>
  <c r="C976" i="7"/>
  <c r="K975" i="7"/>
  <c r="G975" i="7"/>
  <c r="F975" i="7"/>
  <c r="D975" i="7"/>
  <c r="C975" i="7"/>
  <c r="K974" i="7"/>
  <c r="G974" i="7"/>
  <c r="F974" i="7"/>
  <c r="D974" i="7"/>
  <c r="C974" i="7"/>
  <c r="K973" i="7"/>
  <c r="G973" i="7"/>
  <c r="F973" i="7"/>
  <c r="D973" i="7"/>
  <c r="C973" i="7"/>
  <c r="K972" i="7"/>
  <c r="G972" i="7"/>
  <c r="F972" i="7"/>
  <c r="D972" i="7"/>
  <c r="C972" i="7"/>
  <c r="K971" i="7"/>
  <c r="G971" i="7"/>
  <c r="F971" i="7"/>
  <c r="D971" i="7"/>
  <c r="C971" i="7"/>
  <c r="K970" i="7"/>
  <c r="G970" i="7"/>
  <c r="F970" i="7"/>
  <c r="D970" i="7"/>
  <c r="C970" i="7"/>
  <c r="K969" i="7"/>
  <c r="G969" i="7"/>
  <c r="F969" i="7"/>
  <c r="D969" i="7"/>
  <c r="C969" i="7"/>
  <c r="K968" i="7"/>
  <c r="G968" i="7"/>
  <c r="F968" i="7"/>
  <c r="D968" i="7"/>
  <c r="C968" i="7"/>
  <c r="K967" i="7"/>
  <c r="G967" i="7"/>
  <c r="F967" i="7"/>
  <c r="D967" i="7"/>
  <c r="C967" i="7"/>
  <c r="K966" i="7"/>
  <c r="G966" i="7"/>
  <c r="F966" i="7"/>
  <c r="D966" i="7"/>
  <c r="C966" i="7"/>
  <c r="K965" i="7"/>
  <c r="G965" i="7"/>
  <c r="F965" i="7"/>
  <c r="D965" i="7"/>
  <c r="C965" i="7"/>
  <c r="K964" i="7"/>
  <c r="G964" i="7"/>
  <c r="F964" i="7"/>
  <c r="D964" i="7"/>
  <c r="C964" i="7"/>
  <c r="K963" i="7"/>
  <c r="G963" i="7"/>
  <c r="F963" i="7"/>
  <c r="D963" i="7"/>
  <c r="C963" i="7"/>
  <c r="K962" i="7"/>
  <c r="G962" i="7"/>
  <c r="F962" i="7"/>
  <c r="D962" i="7"/>
  <c r="C962" i="7"/>
  <c r="K961" i="7"/>
  <c r="G961" i="7"/>
  <c r="F961" i="7"/>
  <c r="D961" i="7"/>
  <c r="C961" i="7"/>
  <c r="K960" i="7"/>
  <c r="G960" i="7"/>
  <c r="F960" i="7"/>
  <c r="D960" i="7"/>
  <c r="C960" i="7"/>
  <c r="K959" i="7"/>
  <c r="G959" i="7"/>
  <c r="F959" i="7"/>
  <c r="D959" i="7"/>
  <c r="C959" i="7"/>
  <c r="K958" i="7"/>
  <c r="G958" i="7"/>
  <c r="F958" i="7"/>
  <c r="D958" i="7"/>
  <c r="C958" i="7"/>
  <c r="K957" i="7"/>
  <c r="G957" i="7"/>
  <c r="F957" i="7"/>
  <c r="D957" i="7"/>
  <c r="C957" i="7"/>
  <c r="K956" i="7"/>
  <c r="G956" i="7"/>
  <c r="F956" i="7"/>
  <c r="D956" i="7"/>
  <c r="C956" i="7"/>
  <c r="K955" i="7"/>
  <c r="G955" i="7"/>
  <c r="F955" i="7"/>
  <c r="D955" i="7"/>
  <c r="C955" i="7"/>
  <c r="K954" i="7"/>
  <c r="G954" i="7"/>
  <c r="F954" i="7"/>
  <c r="D954" i="7"/>
  <c r="C954" i="7"/>
  <c r="K953" i="7"/>
  <c r="G953" i="7"/>
  <c r="F953" i="7"/>
  <c r="D953" i="7"/>
  <c r="C953" i="7"/>
  <c r="K952" i="7"/>
  <c r="G952" i="7"/>
  <c r="F952" i="7"/>
  <c r="D952" i="7"/>
  <c r="C952" i="7"/>
  <c r="K951" i="7"/>
  <c r="G951" i="7"/>
  <c r="F951" i="7"/>
  <c r="D951" i="7"/>
  <c r="C951" i="7"/>
  <c r="K950" i="7"/>
  <c r="G950" i="7"/>
  <c r="F950" i="7"/>
  <c r="D950" i="7"/>
  <c r="C950" i="7"/>
  <c r="K949" i="7"/>
  <c r="G949" i="7"/>
  <c r="F949" i="7"/>
  <c r="D949" i="7"/>
  <c r="C949" i="7"/>
  <c r="K948" i="7"/>
  <c r="G948" i="7"/>
  <c r="F948" i="7"/>
  <c r="D948" i="7"/>
  <c r="C948" i="7"/>
  <c r="K947" i="7"/>
  <c r="G947" i="7"/>
  <c r="F947" i="7"/>
  <c r="D947" i="7"/>
  <c r="C947" i="7"/>
  <c r="K946" i="7"/>
  <c r="G946" i="7"/>
  <c r="F946" i="7"/>
  <c r="D946" i="7"/>
  <c r="C946" i="7"/>
  <c r="K945" i="7"/>
  <c r="G945" i="7"/>
  <c r="F945" i="7"/>
  <c r="D945" i="7"/>
  <c r="C945" i="7"/>
  <c r="K944" i="7"/>
  <c r="G944" i="7"/>
  <c r="F944" i="7"/>
  <c r="D944" i="7"/>
  <c r="C944" i="7"/>
  <c r="K943" i="7"/>
  <c r="G943" i="7"/>
  <c r="F943" i="7"/>
  <c r="D943" i="7"/>
  <c r="C943" i="7"/>
  <c r="K942" i="7"/>
  <c r="G942" i="7"/>
  <c r="F942" i="7"/>
  <c r="D942" i="7"/>
  <c r="C942" i="7"/>
  <c r="K941" i="7"/>
  <c r="G941" i="7"/>
  <c r="F941" i="7"/>
  <c r="D941" i="7"/>
  <c r="C941" i="7"/>
  <c r="K940" i="7"/>
  <c r="G940" i="7"/>
  <c r="F940" i="7"/>
  <c r="D940" i="7"/>
  <c r="C940" i="7"/>
  <c r="K939" i="7"/>
  <c r="G939" i="7"/>
  <c r="F939" i="7"/>
  <c r="D939" i="7"/>
  <c r="C939" i="7"/>
  <c r="K938" i="7"/>
  <c r="G938" i="7"/>
  <c r="F938" i="7"/>
  <c r="D938" i="7"/>
  <c r="C938" i="7"/>
  <c r="K937" i="7"/>
  <c r="G937" i="7"/>
  <c r="F937" i="7"/>
  <c r="D937" i="7"/>
  <c r="C937" i="7"/>
  <c r="K936" i="7"/>
  <c r="G936" i="7"/>
  <c r="F936" i="7"/>
  <c r="D936" i="7"/>
  <c r="C936" i="7"/>
  <c r="K935" i="7"/>
  <c r="G935" i="7"/>
  <c r="F935" i="7"/>
  <c r="D935" i="7"/>
  <c r="C935" i="7"/>
  <c r="K934" i="7"/>
  <c r="G934" i="7"/>
  <c r="F934" i="7"/>
  <c r="D934" i="7"/>
  <c r="C934" i="7"/>
  <c r="K933" i="7"/>
  <c r="G933" i="7"/>
  <c r="F933" i="7"/>
  <c r="D933" i="7"/>
  <c r="C933" i="7"/>
  <c r="K932" i="7"/>
  <c r="G932" i="7"/>
  <c r="F932" i="7"/>
  <c r="D932" i="7"/>
  <c r="C932" i="7"/>
  <c r="K931" i="7"/>
  <c r="G931" i="7"/>
  <c r="F931" i="7"/>
  <c r="D931" i="7"/>
  <c r="C931" i="7"/>
  <c r="K930" i="7"/>
  <c r="G930" i="7"/>
  <c r="F930" i="7"/>
  <c r="D930" i="7"/>
  <c r="C930" i="7"/>
  <c r="K929" i="7"/>
  <c r="G929" i="7"/>
  <c r="F929" i="7"/>
  <c r="D929" i="7"/>
  <c r="C929" i="7"/>
  <c r="K928" i="7"/>
  <c r="G928" i="7"/>
  <c r="F928" i="7"/>
  <c r="D928" i="7"/>
  <c r="C928" i="7"/>
  <c r="K927" i="7"/>
  <c r="G927" i="7"/>
  <c r="F927" i="7"/>
  <c r="D927" i="7"/>
  <c r="C927" i="7"/>
  <c r="K926" i="7"/>
  <c r="G926" i="7"/>
  <c r="F926" i="7"/>
  <c r="D926" i="7"/>
  <c r="C926" i="7"/>
  <c r="K925" i="7"/>
  <c r="G925" i="7"/>
  <c r="F925" i="7"/>
  <c r="D925" i="7"/>
  <c r="C925" i="7"/>
  <c r="K924" i="7"/>
  <c r="G924" i="7"/>
  <c r="F924" i="7"/>
  <c r="D924" i="7"/>
  <c r="C924" i="7"/>
  <c r="K923" i="7"/>
  <c r="G923" i="7"/>
  <c r="F923" i="7"/>
  <c r="D923" i="7"/>
  <c r="C923" i="7"/>
  <c r="K922" i="7"/>
  <c r="G922" i="7"/>
  <c r="F922" i="7"/>
  <c r="D922" i="7"/>
  <c r="C922" i="7"/>
  <c r="K921" i="7"/>
  <c r="G921" i="7"/>
  <c r="F921" i="7"/>
  <c r="D921" i="7"/>
  <c r="C921" i="7"/>
  <c r="K920" i="7"/>
  <c r="G920" i="7"/>
  <c r="F920" i="7"/>
  <c r="D920" i="7"/>
  <c r="C920" i="7"/>
  <c r="K919" i="7"/>
  <c r="G919" i="7"/>
  <c r="F919" i="7"/>
  <c r="D919" i="7"/>
  <c r="C919" i="7"/>
  <c r="K918" i="7"/>
  <c r="G918" i="7"/>
  <c r="F918" i="7"/>
  <c r="D918" i="7"/>
  <c r="C918" i="7"/>
  <c r="K917" i="7"/>
  <c r="G917" i="7"/>
  <c r="F917" i="7"/>
  <c r="D917" i="7"/>
  <c r="C917" i="7"/>
  <c r="K916" i="7"/>
  <c r="G916" i="7"/>
  <c r="F916" i="7"/>
  <c r="D916" i="7"/>
  <c r="C916" i="7"/>
  <c r="K915" i="7"/>
  <c r="G915" i="7"/>
  <c r="F915" i="7"/>
  <c r="D915" i="7"/>
  <c r="C915" i="7"/>
  <c r="K914" i="7"/>
  <c r="G914" i="7"/>
  <c r="F914" i="7"/>
  <c r="D914" i="7"/>
  <c r="C914" i="7"/>
  <c r="K913" i="7"/>
  <c r="G913" i="7"/>
  <c r="F913" i="7"/>
  <c r="D913" i="7"/>
  <c r="C913" i="7"/>
  <c r="K912" i="7"/>
  <c r="G912" i="7"/>
  <c r="F912" i="7"/>
  <c r="D912" i="7"/>
  <c r="C912" i="7"/>
  <c r="K911" i="7"/>
  <c r="G911" i="7"/>
  <c r="F911" i="7"/>
  <c r="D911" i="7"/>
  <c r="C911" i="7"/>
  <c r="K910" i="7"/>
  <c r="G910" i="7"/>
  <c r="F910" i="7"/>
  <c r="D910" i="7"/>
  <c r="C910" i="7"/>
  <c r="K909" i="7"/>
  <c r="G909" i="7"/>
  <c r="F909" i="7"/>
  <c r="D909" i="7"/>
  <c r="C909" i="7"/>
  <c r="K908" i="7"/>
  <c r="G908" i="7"/>
  <c r="F908" i="7"/>
  <c r="D908" i="7"/>
  <c r="C908" i="7"/>
  <c r="K907" i="7"/>
  <c r="G907" i="7"/>
  <c r="F907" i="7"/>
  <c r="D907" i="7"/>
  <c r="C907" i="7"/>
  <c r="K906" i="7"/>
  <c r="G906" i="7"/>
  <c r="F906" i="7"/>
  <c r="D906" i="7"/>
  <c r="C906" i="7"/>
  <c r="K905" i="7"/>
  <c r="G905" i="7"/>
  <c r="F905" i="7"/>
  <c r="D905" i="7"/>
  <c r="C905" i="7"/>
  <c r="K904" i="7"/>
  <c r="G904" i="7"/>
  <c r="F904" i="7"/>
  <c r="D904" i="7"/>
  <c r="C904" i="7"/>
  <c r="K903" i="7"/>
  <c r="G903" i="7"/>
  <c r="F903" i="7"/>
  <c r="D903" i="7"/>
  <c r="C903" i="7"/>
  <c r="K902" i="7"/>
  <c r="G902" i="7"/>
  <c r="F902" i="7"/>
  <c r="D902" i="7"/>
  <c r="C902" i="7"/>
  <c r="K901" i="7"/>
  <c r="G901" i="7"/>
  <c r="F901" i="7"/>
  <c r="D901" i="7"/>
  <c r="C901" i="7"/>
  <c r="K900" i="7"/>
  <c r="G900" i="7"/>
  <c r="F900" i="7"/>
  <c r="D900" i="7"/>
  <c r="C900" i="7"/>
  <c r="K899" i="7"/>
  <c r="G899" i="7"/>
  <c r="F899" i="7"/>
  <c r="D899" i="7"/>
  <c r="C899" i="7"/>
  <c r="K898" i="7"/>
  <c r="G898" i="7"/>
  <c r="F898" i="7"/>
  <c r="D898" i="7"/>
  <c r="C898" i="7"/>
  <c r="K897" i="7"/>
  <c r="G897" i="7"/>
  <c r="F897" i="7"/>
  <c r="D897" i="7"/>
  <c r="C897" i="7"/>
  <c r="K896" i="7"/>
  <c r="G896" i="7"/>
  <c r="F896" i="7"/>
  <c r="D896" i="7"/>
  <c r="C896" i="7"/>
  <c r="K895" i="7"/>
  <c r="G895" i="7"/>
  <c r="F895" i="7"/>
  <c r="D895" i="7"/>
  <c r="C895" i="7"/>
  <c r="K894" i="7"/>
  <c r="G894" i="7"/>
  <c r="F894" i="7"/>
  <c r="D894" i="7"/>
  <c r="C894" i="7"/>
  <c r="K893" i="7"/>
  <c r="G893" i="7"/>
  <c r="F893" i="7"/>
  <c r="D893" i="7"/>
  <c r="C893" i="7"/>
  <c r="K892" i="7"/>
  <c r="G892" i="7"/>
  <c r="F892" i="7"/>
  <c r="D892" i="7"/>
  <c r="C892" i="7"/>
  <c r="K891" i="7"/>
  <c r="G891" i="7"/>
  <c r="F891" i="7"/>
  <c r="D891" i="7"/>
  <c r="C891" i="7"/>
  <c r="K890" i="7"/>
  <c r="G890" i="7"/>
  <c r="F890" i="7"/>
  <c r="D890" i="7"/>
  <c r="C890" i="7"/>
  <c r="K889" i="7"/>
  <c r="G889" i="7"/>
  <c r="F889" i="7"/>
  <c r="D889" i="7"/>
  <c r="C889" i="7"/>
  <c r="K888" i="7"/>
  <c r="G888" i="7"/>
  <c r="F888" i="7"/>
  <c r="D888" i="7"/>
  <c r="C888" i="7"/>
  <c r="K887" i="7"/>
  <c r="G887" i="7"/>
  <c r="F887" i="7"/>
  <c r="D887" i="7"/>
  <c r="C887" i="7"/>
  <c r="K886" i="7"/>
  <c r="G886" i="7"/>
  <c r="F886" i="7"/>
  <c r="D886" i="7"/>
  <c r="C886" i="7"/>
  <c r="K885" i="7"/>
  <c r="G885" i="7"/>
  <c r="F885" i="7"/>
  <c r="D885" i="7"/>
  <c r="C885" i="7"/>
  <c r="K884" i="7"/>
  <c r="G884" i="7"/>
  <c r="F884" i="7"/>
  <c r="D884" i="7"/>
  <c r="C884" i="7"/>
  <c r="K883" i="7"/>
  <c r="G883" i="7"/>
  <c r="F883" i="7"/>
  <c r="D883" i="7"/>
  <c r="C883" i="7"/>
  <c r="K882" i="7"/>
  <c r="G882" i="7"/>
  <c r="F882" i="7"/>
  <c r="D882" i="7"/>
  <c r="C882" i="7"/>
  <c r="K881" i="7"/>
  <c r="G881" i="7"/>
  <c r="F881" i="7"/>
  <c r="D881" i="7"/>
  <c r="C881" i="7"/>
  <c r="K880" i="7"/>
  <c r="G880" i="7"/>
  <c r="F880" i="7"/>
  <c r="D880" i="7"/>
  <c r="C880" i="7"/>
  <c r="K879" i="7"/>
  <c r="G879" i="7"/>
  <c r="F879" i="7"/>
  <c r="D879" i="7"/>
  <c r="C879" i="7"/>
  <c r="K878" i="7"/>
  <c r="G878" i="7"/>
  <c r="F878" i="7"/>
  <c r="D878" i="7"/>
  <c r="C878" i="7"/>
  <c r="K877" i="7"/>
  <c r="G877" i="7"/>
  <c r="F877" i="7"/>
  <c r="D877" i="7"/>
  <c r="C877" i="7"/>
  <c r="K876" i="7"/>
  <c r="G876" i="7"/>
  <c r="F876" i="7"/>
  <c r="D876" i="7"/>
  <c r="C876" i="7"/>
  <c r="K875" i="7"/>
  <c r="G875" i="7"/>
  <c r="F875" i="7"/>
  <c r="D875" i="7"/>
  <c r="C875" i="7"/>
  <c r="K874" i="7"/>
  <c r="G874" i="7"/>
  <c r="F874" i="7"/>
  <c r="D874" i="7"/>
  <c r="C874" i="7"/>
  <c r="K873" i="7"/>
  <c r="G873" i="7"/>
  <c r="F873" i="7"/>
  <c r="D873" i="7"/>
  <c r="C873" i="7"/>
  <c r="K872" i="7"/>
  <c r="G872" i="7"/>
  <c r="F872" i="7"/>
  <c r="D872" i="7"/>
  <c r="C872" i="7"/>
  <c r="K871" i="7"/>
  <c r="G871" i="7"/>
  <c r="F871" i="7"/>
  <c r="D871" i="7"/>
  <c r="C871" i="7"/>
  <c r="K870" i="7"/>
  <c r="G870" i="7"/>
  <c r="F870" i="7"/>
  <c r="D870" i="7"/>
  <c r="C870" i="7"/>
  <c r="K869" i="7"/>
  <c r="G869" i="7"/>
  <c r="F869" i="7"/>
  <c r="D869" i="7"/>
  <c r="C869" i="7"/>
  <c r="K868" i="7"/>
  <c r="G868" i="7"/>
  <c r="F868" i="7"/>
  <c r="D868" i="7"/>
  <c r="C868" i="7"/>
  <c r="K867" i="7"/>
  <c r="G867" i="7"/>
  <c r="F867" i="7"/>
  <c r="D867" i="7"/>
  <c r="C867" i="7"/>
  <c r="K866" i="7"/>
  <c r="G866" i="7"/>
  <c r="F866" i="7"/>
  <c r="D866" i="7"/>
  <c r="C866" i="7"/>
  <c r="K865" i="7"/>
  <c r="G865" i="7"/>
  <c r="F865" i="7"/>
  <c r="D865" i="7"/>
  <c r="C865" i="7"/>
  <c r="K864" i="7"/>
  <c r="G864" i="7"/>
  <c r="F864" i="7"/>
  <c r="D864" i="7"/>
  <c r="C864" i="7"/>
  <c r="K863" i="7"/>
  <c r="G863" i="7"/>
  <c r="F863" i="7"/>
  <c r="D863" i="7"/>
  <c r="C863" i="7"/>
  <c r="K862" i="7"/>
  <c r="G862" i="7"/>
  <c r="F862" i="7"/>
  <c r="D862" i="7"/>
  <c r="C862" i="7"/>
  <c r="K861" i="7"/>
  <c r="G861" i="7"/>
  <c r="F861" i="7"/>
  <c r="D861" i="7"/>
  <c r="C861" i="7"/>
  <c r="K860" i="7"/>
  <c r="G860" i="7"/>
  <c r="F860" i="7"/>
  <c r="D860" i="7"/>
  <c r="C860" i="7"/>
  <c r="K859" i="7"/>
  <c r="G859" i="7"/>
  <c r="F859" i="7"/>
  <c r="D859" i="7"/>
  <c r="C859" i="7"/>
  <c r="K858" i="7"/>
  <c r="G858" i="7"/>
  <c r="F858" i="7"/>
  <c r="D858" i="7"/>
  <c r="C858" i="7"/>
  <c r="K857" i="7"/>
  <c r="G857" i="7"/>
  <c r="F857" i="7"/>
  <c r="D857" i="7"/>
  <c r="C857" i="7"/>
  <c r="K856" i="7"/>
  <c r="G856" i="7"/>
  <c r="F856" i="7"/>
  <c r="D856" i="7"/>
  <c r="C856" i="7"/>
  <c r="K855" i="7"/>
  <c r="G855" i="7"/>
  <c r="F855" i="7"/>
  <c r="D855" i="7"/>
  <c r="C855" i="7"/>
  <c r="K854" i="7"/>
  <c r="G854" i="7"/>
  <c r="F854" i="7"/>
  <c r="D854" i="7"/>
  <c r="C854" i="7"/>
  <c r="K853" i="7"/>
  <c r="G853" i="7"/>
  <c r="F853" i="7"/>
  <c r="D853" i="7"/>
  <c r="C853" i="7"/>
  <c r="K852" i="7"/>
  <c r="G852" i="7"/>
  <c r="F852" i="7"/>
  <c r="D852" i="7"/>
  <c r="C852" i="7"/>
  <c r="K851" i="7"/>
  <c r="G851" i="7"/>
  <c r="F851" i="7"/>
  <c r="D851" i="7"/>
  <c r="C851" i="7"/>
  <c r="K850" i="7"/>
  <c r="G850" i="7"/>
  <c r="F850" i="7"/>
  <c r="D850" i="7"/>
  <c r="C850" i="7"/>
  <c r="K849" i="7"/>
  <c r="G849" i="7"/>
  <c r="F849" i="7"/>
  <c r="D849" i="7"/>
  <c r="C849" i="7"/>
  <c r="K848" i="7"/>
  <c r="G848" i="7"/>
  <c r="F848" i="7"/>
  <c r="D848" i="7"/>
  <c r="C848" i="7"/>
  <c r="K847" i="7"/>
  <c r="G847" i="7"/>
  <c r="F847" i="7"/>
  <c r="D847" i="7"/>
  <c r="C847" i="7"/>
  <c r="K846" i="7"/>
  <c r="G846" i="7"/>
  <c r="F846" i="7"/>
  <c r="D846" i="7"/>
  <c r="C846" i="7"/>
  <c r="K845" i="7"/>
  <c r="G845" i="7"/>
  <c r="F845" i="7"/>
  <c r="D845" i="7"/>
  <c r="C845" i="7"/>
  <c r="K844" i="7"/>
  <c r="G844" i="7"/>
  <c r="F844" i="7"/>
  <c r="D844" i="7"/>
  <c r="C844" i="7"/>
  <c r="K843" i="7"/>
  <c r="G843" i="7"/>
  <c r="F843" i="7"/>
  <c r="D843" i="7"/>
  <c r="C843" i="7"/>
  <c r="K842" i="7"/>
  <c r="G842" i="7"/>
  <c r="F842" i="7"/>
  <c r="D842" i="7"/>
  <c r="C842" i="7"/>
  <c r="K841" i="7"/>
  <c r="G841" i="7"/>
  <c r="F841" i="7"/>
  <c r="D841" i="7"/>
  <c r="C841" i="7"/>
  <c r="K840" i="7"/>
  <c r="G840" i="7"/>
  <c r="F840" i="7"/>
  <c r="D840" i="7"/>
  <c r="C840" i="7"/>
  <c r="K839" i="7"/>
  <c r="G839" i="7"/>
  <c r="F839" i="7"/>
  <c r="D839" i="7"/>
  <c r="C839" i="7"/>
  <c r="K838" i="7"/>
  <c r="G838" i="7"/>
  <c r="F838" i="7"/>
  <c r="D838" i="7"/>
  <c r="C838" i="7"/>
  <c r="K837" i="7"/>
  <c r="G837" i="7"/>
  <c r="F837" i="7"/>
  <c r="D837" i="7"/>
  <c r="C837" i="7"/>
  <c r="K836" i="7"/>
  <c r="G836" i="7"/>
  <c r="F836" i="7"/>
  <c r="D836" i="7"/>
  <c r="C836" i="7"/>
  <c r="K835" i="7"/>
  <c r="G835" i="7"/>
  <c r="F835" i="7"/>
  <c r="D835" i="7"/>
  <c r="C835" i="7"/>
  <c r="K834" i="7"/>
  <c r="G834" i="7"/>
  <c r="F834" i="7"/>
  <c r="D834" i="7"/>
  <c r="C834" i="7"/>
  <c r="K833" i="7"/>
  <c r="G833" i="7"/>
  <c r="F833" i="7"/>
  <c r="D833" i="7"/>
  <c r="C833" i="7"/>
  <c r="K832" i="7"/>
  <c r="G832" i="7"/>
  <c r="F832" i="7"/>
  <c r="D832" i="7"/>
  <c r="C832" i="7"/>
  <c r="K831" i="7"/>
  <c r="G831" i="7"/>
  <c r="F831" i="7"/>
  <c r="D831" i="7"/>
  <c r="C831" i="7"/>
  <c r="K830" i="7"/>
  <c r="G830" i="7"/>
  <c r="F830" i="7"/>
  <c r="D830" i="7"/>
  <c r="C830" i="7"/>
  <c r="K829" i="7"/>
  <c r="G829" i="7"/>
  <c r="F829" i="7"/>
  <c r="D829" i="7"/>
  <c r="C829" i="7"/>
  <c r="K828" i="7"/>
  <c r="G828" i="7"/>
  <c r="F828" i="7"/>
  <c r="D828" i="7"/>
  <c r="C828" i="7"/>
  <c r="K827" i="7"/>
  <c r="G827" i="7"/>
  <c r="F827" i="7"/>
  <c r="D827" i="7"/>
  <c r="C827" i="7"/>
  <c r="K826" i="7"/>
  <c r="G826" i="7"/>
  <c r="F826" i="7"/>
  <c r="D826" i="7"/>
  <c r="C826" i="7"/>
  <c r="K825" i="7"/>
  <c r="G825" i="7"/>
  <c r="F825" i="7"/>
  <c r="D825" i="7"/>
  <c r="C825" i="7"/>
  <c r="K824" i="7"/>
  <c r="G824" i="7"/>
  <c r="F824" i="7"/>
  <c r="D824" i="7"/>
  <c r="C824" i="7"/>
  <c r="K823" i="7"/>
  <c r="G823" i="7"/>
  <c r="F823" i="7"/>
  <c r="D823" i="7"/>
  <c r="C823" i="7"/>
  <c r="K822" i="7"/>
  <c r="G822" i="7"/>
  <c r="F822" i="7"/>
  <c r="D822" i="7"/>
  <c r="C822" i="7"/>
  <c r="K821" i="7"/>
  <c r="G821" i="7"/>
  <c r="F821" i="7"/>
  <c r="D821" i="7"/>
  <c r="C821" i="7"/>
  <c r="K820" i="7"/>
  <c r="G820" i="7"/>
  <c r="F820" i="7"/>
  <c r="D820" i="7"/>
  <c r="C820" i="7"/>
  <c r="K819" i="7"/>
  <c r="G819" i="7"/>
  <c r="F819" i="7"/>
  <c r="D819" i="7"/>
  <c r="C819" i="7"/>
  <c r="K818" i="7"/>
  <c r="G818" i="7"/>
  <c r="F818" i="7"/>
  <c r="D818" i="7"/>
  <c r="C818" i="7"/>
  <c r="K817" i="7"/>
  <c r="G817" i="7"/>
  <c r="F817" i="7"/>
  <c r="D817" i="7"/>
  <c r="C817" i="7"/>
  <c r="K816" i="7"/>
  <c r="G816" i="7"/>
  <c r="F816" i="7"/>
  <c r="D816" i="7"/>
  <c r="C816" i="7"/>
  <c r="K815" i="7"/>
  <c r="G815" i="7"/>
  <c r="F815" i="7"/>
  <c r="D815" i="7"/>
  <c r="C815" i="7"/>
  <c r="K814" i="7"/>
  <c r="G814" i="7"/>
  <c r="F814" i="7"/>
  <c r="D814" i="7"/>
  <c r="C814" i="7"/>
  <c r="K813" i="7"/>
  <c r="G813" i="7"/>
  <c r="F813" i="7"/>
  <c r="D813" i="7"/>
  <c r="C813" i="7"/>
  <c r="K812" i="7"/>
  <c r="G812" i="7"/>
  <c r="F812" i="7"/>
  <c r="D812" i="7"/>
  <c r="C812" i="7"/>
  <c r="K811" i="7"/>
  <c r="G811" i="7"/>
  <c r="F811" i="7"/>
  <c r="D811" i="7"/>
  <c r="C811" i="7"/>
  <c r="K810" i="7"/>
  <c r="G810" i="7"/>
  <c r="F810" i="7"/>
  <c r="D810" i="7"/>
  <c r="C810" i="7"/>
  <c r="K809" i="7"/>
  <c r="G809" i="7"/>
  <c r="F809" i="7"/>
  <c r="D809" i="7"/>
  <c r="C809" i="7"/>
  <c r="K808" i="7"/>
  <c r="G808" i="7"/>
  <c r="F808" i="7"/>
  <c r="D808" i="7"/>
  <c r="C808" i="7"/>
  <c r="K807" i="7"/>
  <c r="G807" i="7"/>
  <c r="F807" i="7"/>
  <c r="D807" i="7"/>
  <c r="C807" i="7"/>
  <c r="K806" i="7"/>
  <c r="G806" i="7"/>
  <c r="F806" i="7"/>
  <c r="D806" i="7"/>
  <c r="C806" i="7"/>
  <c r="K805" i="7"/>
  <c r="G805" i="7"/>
  <c r="F805" i="7"/>
  <c r="D805" i="7"/>
  <c r="C805" i="7"/>
  <c r="K804" i="7"/>
  <c r="G804" i="7"/>
  <c r="F804" i="7"/>
  <c r="D804" i="7"/>
  <c r="C804" i="7"/>
  <c r="K803" i="7"/>
  <c r="G803" i="7"/>
  <c r="F803" i="7"/>
  <c r="D803" i="7"/>
  <c r="C803" i="7"/>
  <c r="K802" i="7"/>
  <c r="G802" i="7"/>
  <c r="F802" i="7"/>
  <c r="D802" i="7"/>
  <c r="C802" i="7"/>
  <c r="K801" i="7"/>
  <c r="G801" i="7"/>
  <c r="F801" i="7"/>
  <c r="D801" i="7"/>
  <c r="C801" i="7"/>
  <c r="K800" i="7"/>
  <c r="G800" i="7"/>
  <c r="F800" i="7"/>
  <c r="D800" i="7"/>
  <c r="C800" i="7"/>
  <c r="K799" i="7"/>
  <c r="G799" i="7"/>
  <c r="F799" i="7"/>
  <c r="D799" i="7"/>
  <c r="C799" i="7"/>
  <c r="K798" i="7"/>
  <c r="G798" i="7"/>
  <c r="F798" i="7"/>
  <c r="D798" i="7"/>
  <c r="C798" i="7"/>
  <c r="K797" i="7"/>
  <c r="G797" i="7"/>
  <c r="F797" i="7"/>
  <c r="D797" i="7"/>
  <c r="C797" i="7"/>
  <c r="K796" i="7"/>
  <c r="G796" i="7"/>
  <c r="F796" i="7"/>
  <c r="D796" i="7"/>
  <c r="C796" i="7"/>
  <c r="K795" i="7"/>
  <c r="G795" i="7"/>
  <c r="F795" i="7"/>
  <c r="D795" i="7"/>
  <c r="C795" i="7"/>
  <c r="K794" i="7"/>
  <c r="G794" i="7"/>
  <c r="F794" i="7"/>
  <c r="D794" i="7"/>
  <c r="C794" i="7"/>
  <c r="K793" i="7"/>
  <c r="G793" i="7"/>
  <c r="F793" i="7"/>
  <c r="D793" i="7"/>
  <c r="C793" i="7"/>
  <c r="K792" i="7"/>
  <c r="G792" i="7"/>
  <c r="F792" i="7"/>
  <c r="D792" i="7"/>
  <c r="C792" i="7"/>
  <c r="K791" i="7"/>
  <c r="G791" i="7"/>
  <c r="F791" i="7"/>
  <c r="D791" i="7"/>
  <c r="C791" i="7"/>
  <c r="K790" i="7"/>
  <c r="G790" i="7"/>
  <c r="F790" i="7"/>
  <c r="D790" i="7"/>
  <c r="C790" i="7"/>
  <c r="K789" i="7"/>
  <c r="G789" i="7"/>
  <c r="F789" i="7"/>
  <c r="D789" i="7"/>
  <c r="C789" i="7"/>
  <c r="K788" i="7"/>
  <c r="G788" i="7"/>
  <c r="F788" i="7"/>
  <c r="D788" i="7"/>
  <c r="C788" i="7"/>
  <c r="K787" i="7"/>
  <c r="G787" i="7"/>
  <c r="F787" i="7"/>
  <c r="D787" i="7"/>
  <c r="C787" i="7"/>
  <c r="K786" i="7"/>
  <c r="G786" i="7"/>
  <c r="F786" i="7"/>
  <c r="D786" i="7"/>
  <c r="C786" i="7"/>
  <c r="K785" i="7"/>
  <c r="G785" i="7"/>
  <c r="F785" i="7"/>
  <c r="D785" i="7"/>
  <c r="C785" i="7"/>
  <c r="K784" i="7"/>
  <c r="G784" i="7"/>
  <c r="F784" i="7"/>
  <c r="D784" i="7"/>
  <c r="C784" i="7"/>
  <c r="K783" i="7"/>
  <c r="G783" i="7"/>
  <c r="F783" i="7"/>
  <c r="D783" i="7"/>
  <c r="C783" i="7"/>
  <c r="K782" i="7"/>
  <c r="G782" i="7"/>
  <c r="F782" i="7"/>
  <c r="D782" i="7"/>
  <c r="C782" i="7"/>
  <c r="K781" i="7"/>
  <c r="G781" i="7"/>
  <c r="F781" i="7"/>
  <c r="D781" i="7"/>
  <c r="C781" i="7"/>
  <c r="K780" i="7"/>
  <c r="G780" i="7"/>
  <c r="F780" i="7"/>
  <c r="D780" i="7"/>
  <c r="C780" i="7"/>
  <c r="K779" i="7"/>
  <c r="G779" i="7"/>
  <c r="F779" i="7"/>
  <c r="D779" i="7"/>
  <c r="C779" i="7"/>
  <c r="K778" i="7"/>
  <c r="G778" i="7"/>
  <c r="F778" i="7"/>
  <c r="D778" i="7"/>
  <c r="C778" i="7"/>
  <c r="K777" i="7"/>
  <c r="G777" i="7"/>
  <c r="F777" i="7"/>
  <c r="D777" i="7"/>
  <c r="C777" i="7"/>
  <c r="K776" i="7"/>
  <c r="G776" i="7"/>
  <c r="F776" i="7"/>
  <c r="D776" i="7"/>
  <c r="C776" i="7"/>
  <c r="K775" i="7"/>
  <c r="G775" i="7"/>
  <c r="F775" i="7"/>
  <c r="D775" i="7"/>
  <c r="C775" i="7"/>
  <c r="K774" i="7"/>
  <c r="G774" i="7"/>
  <c r="F774" i="7"/>
  <c r="D774" i="7"/>
  <c r="C774" i="7"/>
  <c r="K773" i="7"/>
  <c r="G773" i="7"/>
  <c r="F773" i="7"/>
  <c r="D773" i="7"/>
  <c r="C773" i="7"/>
  <c r="K772" i="7"/>
  <c r="G772" i="7"/>
  <c r="F772" i="7"/>
  <c r="D772" i="7"/>
  <c r="C772" i="7"/>
  <c r="K771" i="7"/>
  <c r="G771" i="7"/>
  <c r="F771" i="7"/>
  <c r="D771" i="7"/>
  <c r="C771" i="7"/>
  <c r="K770" i="7"/>
  <c r="G770" i="7"/>
  <c r="F770" i="7"/>
  <c r="D770" i="7"/>
  <c r="C770" i="7"/>
  <c r="K769" i="7"/>
  <c r="G769" i="7"/>
  <c r="F769" i="7"/>
  <c r="D769" i="7"/>
  <c r="C769" i="7"/>
  <c r="K768" i="7"/>
  <c r="G768" i="7"/>
  <c r="F768" i="7"/>
  <c r="D768" i="7"/>
  <c r="C768" i="7"/>
  <c r="K767" i="7"/>
  <c r="G767" i="7"/>
  <c r="F767" i="7"/>
  <c r="D767" i="7"/>
  <c r="C767" i="7"/>
  <c r="K766" i="7"/>
  <c r="G766" i="7"/>
  <c r="F766" i="7"/>
  <c r="D766" i="7"/>
  <c r="C766" i="7"/>
  <c r="K765" i="7"/>
  <c r="G765" i="7"/>
  <c r="F765" i="7"/>
  <c r="D765" i="7"/>
  <c r="C765" i="7"/>
  <c r="K764" i="7"/>
  <c r="G764" i="7"/>
  <c r="F764" i="7"/>
  <c r="D764" i="7"/>
  <c r="C764" i="7"/>
  <c r="K763" i="7"/>
  <c r="G763" i="7"/>
  <c r="F763" i="7"/>
  <c r="D763" i="7"/>
  <c r="C763" i="7"/>
  <c r="K762" i="7"/>
  <c r="G762" i="7"/>
  <c r="F762" i="7"/>
  <c r="D762" i="7"/>
  <c r="C762" i="7"/>
  <c r="K761" i="7"/>
  <c r="G761" i="7"/>
  <c r="F761" i="7"/>
  <c r="D761" i="7"/>
  <c r="C761" i="7"/>
  <c r="K760" i="7"/>
  <c r="G760" i="7"/>
  <c r="F760" i="7"/>
  <c r="D760" i="7"/>
  <c r="C760" i="7"/>
  <c r="K759" i="7"/>
  <c r="G759" i="7"/>
  <c r="F759" i="7"/>
  <c r="D759" i="7"/>
  <c r="C759" i="7"/>
  <c r="K758" i="7"/>
  <c r="G758" i="7"/>
  <c r="F758" i="7"/>
  <c r="D758" i="7"/>
  <c r="C758" i="7"/>
  <c r="K757" i="7"/>
  <c r="G757" i="7"/>
  <c r="F757" i="7"/>
  <c r="D757" i="7"/>
  <c r="C757" i="7"/>
  <c r="K756" i="7"/>
  <c r="G756" i="7"/>
  <c r="F756" i="7"/>
  <c r="D756" i="7"/>
  <c r="C756" i="7"/>
  <c r="K755" i="7"/>
  <c r="G755" i="7"/>
  <c r="F755" i="7"/>
  <c r="D755" i="7"/>
  <c r="C755" i="7"/>
  <c r="K754" i="7"/>
  <c r="G754" i="7"/>
  <c r="F754" i="7"/>
  <c r="D754" i="7"/>
  <c r="C754" i="7"/>
  <c r="K753" i="7"/>
  <c r="G753" i="7"/>
  <c r="F753" i="7"/>
  <c r="D753" i="7"/>
  <c r="C753" i="7"/>
  <c r="K752" i="7"/>
  <c r="G752" i="7"/>
  <c r="F752" i="7"/>
  <c r="D752" i="7"/>
  <c r="C752" i="7"/>
  <c r="K751" i="7"/>
  <c r="G751" i="7"/>
  <c r="F751" i="7"/>
  <c r="D751" i="7"/>
  <c r="C751" i="7"/>
  <c r="K750" i="7"/>
  <c r="G750" i="7"/>
  <c r="F750" i="7"/>
  <c r="D750" i="7"/>
  <c r="C750" i="7"/>
  <c r="K749" i="7"/>
  <c r="G749" i="7"/>
  <c r="F749" i="7"/>
  <c r="D749" i="7"/>
  <c r="C749" i="7"/>
  <c r="K748" i="7"/>
  <c r="G748" i="7"/>
  <c r="F748" i="7"/>
  <c r="D748" i="7"/>
  <c r="C748" i="7"/>
  <c r="K747" i="7"/>
  <c r="G747" i="7"/>
  <c r="F747" i="7"/>
  <c r="D747" i="7"/>
  <c r="C747" i="7"/>
  <c r="K746" i="7"/>
  <c r="G746" i="7"/>
  <c r="F746" i="7"/>
  <c r="D746" i="7"/>
  <c r="C746" i="7"/>
  <c r="K745" i="7"/>
  <c r="G745" i="7"/>
  <c r="F745" i="7"/>
  <c r="D745" i="7"/>
  <c r="C745" i="7"/>
  <c r="K744" i="7"/>
  <c r="G744" i="7"/>
  <c r="F744" i="7"/>
  <c r="D744" i="7"/>
  <c r="C744" i="7"/>
  <c r="K743" i="7"/>
  <c r="G743" i="7"/>
  <c r="F743" i="7"/>
  <c r="D743" i="7"/>
  <c r="C743" i="7"/>
  <c r="K742" i="7"/>
  <c r="G742" i="7"/>
  <c r="F742" i="7"/>
  <c r="D742" i="7"/>
  <c r="C742" i="7"/>
  <c r="K741" i="7"/>
  <c r="G741" i="7"/>
  <c r="F741" i="7"/>
  <c r="D741" i="7"/>
  <c r="C741" i="7"/>
  <c r="K740" i="7"/>
  <c r="G740" i="7"/>
  <c r="F740" i="7"/>
  <c r="D740" i="7"/>
  <c r="C740" i="7"/>
  <c r="K739" i="7"/>
  <c r="G739" i="7"/>
  <c r="F739" i="7"/>
  <c r="D739" i="7"/>
  <c r="C739" i="7"/>
  <c r="K738" i="7"/>
  <c r="G738" i="7"/>
  <c r="F738" i="7"/>
  <c r="D738" i="7"/>
  <c r="C738" i="7"/>
  <c r="K737" i="7"/>
  <c r="G737" i="7"/>
  <c r="F737" i="7"/>
  <c r="D737" i="7"/>
  <c r="C737" i="7"/>
  <c r="K736" i="7"/>
  <c r="G736" i="7"/>
  <c r="F736" i="7"/>
  <c r="D736" i="7"/>
  <c r="C736" i="7"/>
  <c r="K735" i="7"/>
  <c r="G735" i="7"/>
  <c r="F735" i="7"/>
  <c r="D735" i="7"/>
  <c r="C735" i="7"/>
  <c r="K734" i="7"/>
  <c r="G734" i="7"/>
  <c r="F734" i="7"/>
  <c r="D734" i="7"/>
  <c r="C734" i="7"/>
  <c r="K733" i="7"/>
  <c r="G733" i="7"/>
  <c r="F733" i="7"/>
  <c r="D733" i="7"/>
  <c r="C733" i="7"/>
  <c r="K732" i="7"/>
  <c r="G732" i="7"/>
  <c r="F732" i="7"/>
  <c r="D732" i="7"/>
  <c r="C732" i="7"/>
  <c r="K731" i="7"/>
  <c r="G731" i="7"/>
  <c r="F731" i="7"/>
  <c r="D731" i="7"/>
  <c r="C731" i="7"/>
  <c r="K730" i="7"/>
  <c r="G730" i="7"/>
  <c r="F730" i="7"/>
  <c r="D730" i="7"/>
  <c r="C730" i="7"/>
  <c r="K729" i="7"/>
  <c r="G729" i="7"/>
  <c r="F729" i="7"/>
  <c r="D729" i="7"/>
  <c r="C729" i="7"/>
  <c r="K728" i="7"/>
  <c r="G728" i="7"/>
  <c r="F728" i="7"/>
  <c r="D728" i="7"/>
  <c r="C728" i="7"/>
  <c r="K727" i="7"/>
  <c r="G727" i="7"/>
  <c r="F727" i="7"/>
  <c r="D727" i="7"/>
  <c r="C727" i="7"/>
  <c r="K726" i="7"/>
  <c r="G726" i="7"/>
  <c r="F726" i="7"/>
  <c r="D726" i="7"/>
  <c r="C726" i="7"/>
  <c r="K725" i="7"/>
  <c r="G725" i="7"/>
  <c r="F725" i="7"/>
  <c r="D725" i="7"/>
  <c r="C725" i="7"/>
  <c r="K724" i="7"/>
  <c r="G724" i="7"/>
  <c r="F724" i="7"/>
  <c r="D724" i="7"/>
  <c r="C724" i="7"/>
  <c r="K723" i="7"/>
  <c r="G723" i="7"/>
  <c r="F723" i="7"/>
  <c r="D723" i="7"/>
  <c r="C723" i="7"/>
  <c r="K722" i="7"/>
  <c r="G722" i="7"/>
  <c r="F722" i="7"/>
  <c r="D722" i="7"/>
  <c r="C722" i="7"/>
  <c r="K721" i="7"/>
  <c r="G721" i="7"/>
  <c r="F721" i="7"/>
  <c r="D721" i="7"/>
  <c r="C721" i="7"/>
  <c r="K720" i="7"/>
  <c r="G720" i="7"/>
  <c r="F720" i="7"/>
  <c r="D720" i="7"/>
  <c r="C720" i="7"/>
  <c r="K719" i="7"/>
  <c r="G719" i="7"/>
  <c r="F719" i="7"/>
  <c r="D719" i="7"/>
  <c r="C719" i="7"/>
  <c r="K718" i="7"/>
  <c r="G718" i="7"/>
  <c r="F718" i="7"/>
  <c r="D718" i="7"/>
  <c r="C718" i="7"/>
  <c r="K717" i="7"/>
  <c r="G717" i="7"/>
  <c r="F717" i="7"/>
  <c r="D717" i="7"/>
  <c r="C717" i="7"/>
  <c r="K716" i="7"/>
  <c r="G716" i="7"/>
  <c r="F716" i="7"/>
  <c r="D716" i="7"/>
  <c r="C716" i="7"/>
  <c r="K715" i="7"/>
  <c r="G715" i="7"/>
  <c r="F715" i="7"/>
  <c r="D715" i="7"/>
  <c r="C715" i="7"/>
  <c r="K714" i="7"/>
  <c r="G714" i="7"/>
  <c r="F714" i="7"/>
  <c r="D714" i="7"/>
  <c r="C714" i="7"/>
  <c r="K713" i="7"/>
  <c r="G713" i="7"/>
  <c r="F713" i="7"/>
  <c r="D713" i="7"/>
  <c r="C713" i="7"/>
  <c r="K712" i="7"/>
  <c r="G712" i="7"/>
  <c r="F712" i="7"/>
  <c r="D712" i="7"/>
  <c r="C712" i="7"/>
  <c r="K711" i="7"/>
  <c r="G711" i="7"/>
  <c r="F711" i="7"/>
  <c r="D711" i="7"/>
  <c r="C711" i="7"/>
  <c r="K710" i="7"/>
  <c r="G710" i="7"/>
  <c r="F710" i="7"/>
  <c r="D710" i="7"/>
  <c r="C710" i="7"/>
  <c r="K709" i="7"/>
  <c r="G709" i="7"/>
  <c r="F709" i="7"/>
  <c r="D709" i="7"/>
  <c r="C709" i="7"/>
  <c r="K708" i="7"/>
  <c r="G708" i="7"/>
  <c r="F708" i="7"/>
  <c r="D708" i="7"/>
  <c r="C708" i="7"/>
  <c r="K707" i="7"/>
  <c r="G707" i="7"/>
  <c r="F707" i="7"/>
  <c r="D707" i="7"/>
  <c r="C707" i="7"/>
  <c r="K706" i="7"/>
  <c r="G706" i="7"/>
  <c r="F706" i="7"/>
  <c r="D706" i="7"/>
  <c r="C706" i="7"/>
  <c r="K705" i="7"/>
  <c r="G705" i="7"/>
  <c r="F705" i="7"/>
  <c r="D705" i="7"/>
  <c r="C705" i="7"/>
  <c r="K704" i="7"/>
  <c r="G704" i="7"/>
  <c r="F704" i="7"/>
  <c r="D704" i="7"/>
  <c r="C704" i="7"/>
  <c r="K703" i="7"/>
  <c r="G703" i="7"/>
  <c r="F703" i="7"/>
  <c r="D703" i="7"/>
  <c r="C703" i="7"/>
  <c r="K702" i="7"/>
  <c r="G702" i="7"/>
  <c r="F702" i="7"/>
  <c r="D702" i="7"/>
  <c r="C702" i="7"/>
  <c r="K701" i="7"/>
  <c r="G701" i="7"/>
  <c r="F701" i="7"/>
  <c r="D701" i="7"/>
  <c r="C701" i="7"/>
  <c r="K700" i="7"/>
  <c r="G700" i="7"/>
  <c r="F700" i="7"/>
  <c r="D700" i="7"/>
  <c r="C700" i="7"/>
  <c r="K699" i="7"/>
  <c r="G699" i="7"/>
  <c r="F699" i="7"/>
  <c r="D699" i="7"/>
  <c r="C699" i="7"/>
  <c r="K698" i="7"/>
  <c r="G698" i="7"/>
  <c r="F698" i="7"/>
  <c r="D698" i="7"/>
  <c r="C698" i="7"/>
  <c r="K697" i="7"/>
  <c r="G697" i="7"/>
  <c r="F697" i="7"/>
  <c r="D697" i="7"/>
  <c r="C697" i="7"/>
  <c r="K696" i="7"/>
  <c r="G696" i="7"/>
  <c r="F696" i="7"/>
  <c r="D696" i="7"/>
  <c r="C696" i="7"/>
  <c r="K695" i="7"/>
  <c r="G695" i="7"/>
  <c r="F695" i="7"/>
  <c r="D695" i="7"/>
  <c r="C695" i="7"/>
  <c r="K694" i="7"/>
  <c r="G694" i="7"/>
  <c r="F694" i="7"/>
  <c r="D694" i="7"/>
  <c r="C694" i="7"/>
  <c r="K693" i="7"/>
  <c r="G693" i="7"/>
  <c r="F693" i="7"/>
  <c r="D693" i="7"/>
  <c r="C693" i="7"/>
  <c r="K692" i="7"/>
  <c r="G692" i="7"/>
  <c r="F692" i="7"/>
  <c r="D692" i="7"/>
  <c r="C692" i="7"/>
  <c r="K691" i="7"/>
  <c r="G691" i="7"/>
  <c r="F691" i="7"/>
  <c r="D691" i="7"/>
  <c r="C691" i="7"/>
  <c r="K690" i="7"/>
  <c r="G690" i="7"/>
  <c r="F690" i="7"/>
  <c r="D690" i="7"/>
  <c r="C690" i="7"/>
  <c r="K689" i="7"/>
  <c r="G689" i="7"/>
  <c r="F689" i="7"/>
  <c r="D689" i="7"/>
  <c r="C689" i="7"/>
  <c r="K688" i="7"/>
  <c r="G688" i="7"/>
  <c r="F688" i="7"/>
  <c r="D688" i="7"/>
  <c r="C688" i="7"/>
  <c r="K687" i="7"/>
  <c r="G687" i="7"/>
  <c r="F687" i="7"/>
  <c r="D687" i="7"/>
  <c r="C687" i="7"/>
  <c r="K686" i="7"/>
  <c r="G686" i="7"/>
  <c r="F686" i="7"/>
  <c r="D686" i="7"/>
  <c r="C686" i="7"/>
  <c r="K685" i="7"/>
  <c r="G685" i="7"/>
  <c r="F685" i="7"/>
  <c r="D685" i="7"/>
  <c r="C685" i="7"/>
  <c r="K684" i="7"/>
  <c r="G684" i="7"/>
  <c r="F684" i="7"/>
  <c r="D684" i="7"/>
  <c r="C684" i="7"/>
  <c r="K683" i="7"/>
  <c r="G683" i="7"/>
  <c r="F683" i="7"/>
  <c r="D683" i="7"/>
  <c r="C683" i="7"/>
  <c r="K682" i="7"/>
  <c r="G682" i="7"/>
  <c r="F682" i="7"/>
  <c r="D682" i="7"/>
  <c r="C682" i="7"/>
  <c r="K681" i="7"/>
  <c r="G681" i="7"/>
  <c r="F681" i="7"/>
  <c r="D681" i="7"/>
  <c r="C681" i="7"/>
  <c r="K680" i="7"/>
  <c r="G680" i="7"/>
  <c r="F680" i="7"/>
  <c r="D680" i="7"/>
  <c r="C680" i="7"/>
  <c r="K679" i="7"/>
  <c r="G679" i="7"/>
  <c r="F679" i="7"/>
  <c r="D679" i="7"/>
  <c r="C679" i="7"/>
  <c r="K678" i="7"/>
  <c r="G678" i="7"/>
  <c r="F678" i="7"/>
  <c r="D678" i="7"/>
  <c r="C678" i="7"/>
  <c r="K677" i="7"/>
  <c r="G677" i="7"/>
  <c r="F677" i="7"/>
  <c r="D677" i="7"/>
  <c r="C677" i="7"/>
  <c r="K676" i="7"/>
  <c r="G676" i="7"/>
  <c r="F676" i="7"/>
  <c r="D676" i="7"/>
  <c r="C676" i="7"/>
  <c r="K675" i="7"/>
  <c r="G675" i="7"/>
  <c r="F675" i="7"/>
  <c r="D675" i="7"/>
  <c r="C675" i="7"/>
  <c r="K674" i="7"/>
  <c r="G674" i="7"/>
  <c r="F674" i="7"/>
  <c r="D674" i="7"/>
  <c r="C674" i="7"/>
  <c r="K673" i="7"/>
  <c r="G673" i="7"/>
  <c r="F673" i="7"/>
  <c r="D673" i="7"/>
  <c r="C673" i="7"/>
  <c r="K672" i="7"/>
  <c r="G672" i="7"/>
  <c r="F672" i="7"/>
  <c r="D672" i="7"/>
  <c r="C672" i="7"/>
  <c r="K671" i="7"/>
  <c r="G671" i="7"/>
  <c r="F671" i="7"/>
  <c r="D671" i="7"/>
  <c r="C671" i="7"/>
  <c r="K670" i="7"/>
  <c r="G670" i="7"/>
  <c r="F670" i="7"/>
  <c r="D670" i="7"/>
  <c r="C670" i="7"/>
  <c r="K669" i="7"/>
  <c r="G669" i="7"/>
  <c r="F669" i="7"/>
  <c r="D669" i="7"/>
  <c r="C669" i="7"/>
  <c r="K668" i="7"/>
  <c r="G668" i="7"/>
  <c r="F668" i="7"/>
  <c r="D668" i="7"/>
  <c r="C668" i="7"/>
  <c r="K667" i="7"/>
  <c r="G667" i="7"/>
  <c r="F667" i="7"/>
  <c r="D667" i="7"/>
  <c r="C667" i="7"/>
  <c r="K666" i="7"/>
  <c r="G666" i="7"/>
  <c r="F666" i="7"/>
  <c r="D666" i="7"/>
  <c r="C666" i="7"/>
  <c r="K665" i="7"/>
  <c r="G665" i="7"/>
  <c r="F665" i="7"/>
  <c r="D665" i="7"/>
  <c r="C665" i="7"/>
  <c r="K664" i="7"/>
  <c r="G664" i="7"/>
  <c r="F664" i="7"/>
  <c r="D664" i="7"/>
  <c r="C664" i="7"/>
  <c r="K663" i="7"/>
  <c r="G663" i="7"/>
  <c r="F663" i="7"/>
  <c r="D663" i="7"/>
  <c r="C663" i="7"/>
  <c r="K662" i="7"/>
  <c r="G662" i="7"/>
  <c r="F662" i="7"/>
  <c r="D662" i="7"/>
  <c r="C662" i="7"/>
  <c r="K661" i="7"/>
  <c r="G661" i="7"/>
  <c r="F661" i="7"/>
  <c r="D661" i="7"/>
  <c r="C661" i="7"/>
  <c r="K660" i="7"/>
  <c r="G660" i="7"/>
  <c r="F660" i="7"/>
  <c r="D660" i="7"/>
  <c r="C660" i="7"/>
  <c r="K659" i="7"/>
  <c r="G659" i="7"/>
  <c r="F659" i="7"/>
  <c r="D659" i="7"/>
  <c r="C659" i="7"/>
  <c r="K658" i="7"/>
  <c r="G658" i="7"/>
  <c r="F658" i="7"/>
  <c r="D658" i="7"/>
  <c r="C658" i="7"/>
  <c r="K657" i="7"/>
  <c r="G657" i="7"/>
  <c r="F657" i="7"/>
  <c r="D657" i="7"/>
  <c r="C657" i="7"/>
  <c r="K656" i="7"/>
  <c r="G656" i="7"/>
  <c r="F656" i="7"/>
  <c r="D656" i="7"/>
  <c r="C656" i="7"/>
  <c r="K655" i="7"/>
  <c r="G655" i="7"/>
  <c r="F655" i="7"/>
  <c r="D655" i="7"/>
  <c r="C655" i="7"/>
  <c r="K654" i="7"/>
  <c r="G654" i="7"/>
  <c r="F654" i="7"/>
  <c r="D654" i="7"/>
  <c r="C654" i="7"/>
  <c r="K653" i="7"/>
  <c r="G653" i="7"/>
  <c r="F653" i="7"/>
  <c r="D653" i="7"/>
  <c r="C653" i="7"/>
  <c r="K652" i="7"/>
  <c r="G652" i="7"/>
  <c r="F652" i="7"/>
  <c r="D652" i="7"/>
  <c r="C652" i="7"/>
  <c r="K651" i="7"/>
  <c r="G651" i="7"/>
  <c r="F651" i="7"/>
  <c r="D651" i="7"/>
  <c r="C651" i="7"/>
  <c r="K650" i="7"/>
  <c r="G650" i="7"/>
  <c r="F650" i="7"/>
  <c r="D650" i="7"/>
  <c r="C650" i="7"/>
  <c r="K649" i="7"/>
  <c r="G649" i="7"/>
  <c r="F649" i="7"/>
  <c r="D649" i="7"/>
  <c r="C649" i="7"/>
  <c r="K648" i="7"/>
  <c r="G648" i="7"/>
  <c r="F648" i="7"/>
  <c r="D648" i="7"/>
  <c r="C648" i="7"/>
  <c r="K647" i="7"/>
  <c r="G647" i="7"/>
  <c r="F647" i="7"/>
  <c r="D647" i="7"/>
  <c r="C647" i="7"/>
  <c r="K646" i="7"/>
  <c r="G646" i="7"/>
  <c r="F646" i="7"/>
  <c r="D646" i="7"/>
  <c r="C646" i="7"/>
  <c r="K645" i="7"/>
  <c r="G645" i="7"/>
  <c r="F645" i="7"/>
  <c r="D645" i="7"/>
  <c r="C645" i="7"/>
  <c r="K644" i="7"/>
  <c r="G644" i="7"/>
  <c r="F644" i="7"/>
  <c r="D644" i="7"/>
  <c r="C644" i="7"/>
  <c r="K643" i="7"/>
  <c r="G643" i="7"/>
  <c r="F643" i="7"/>
  <c r="D643" i="7"/>
  <c r="C643" i="7"/>
  <c r="K642" i="7"/>
  <c r="G642" i="7"/>
  <c r="F642" i="7"/>
  <c r="D642" i="7"/>
  <c r="C642" i="7"/>
  <c r="K641" i="7"/>
  <c r="G641" i="7"/>
  <c r="F641" i="7"/>
  <c r="D641" i="7"/>
  <c r="C641" i="7"/>
  <c r="K640" i="7"/>
  <c r="G640" i="7"/>
  <c r="F640" i="7"/>
  <c r="D640" i="7"/>
  <c r="C640" i="7"/>
  <c r="K639" i="7"/>
  <c r="G639" i="7"/>
  <c r="F639" i="7"/>
  <c r="D639" i="7"/>
  <c r="C639" i="7"/>
  <c r="K638" i="7"/>
  <c r="G638" i="7"/>
  <c r="F638" i="7"/>
  <c r="D638" i="7"/>
  <c r="C638" i="7"/>
  <c r="K637" i="7"/>
  <c r="G637" i="7"/>
  <c r="F637" i="7"/>
  <c r="D637" i="7"/>
  <c r="C637" i="7"/>
  <c r="K636" i="7"/>
  <c r="G636" i="7"/>
  <c r="F636" i="7"/>
  <c r="D636" i="7"/>
  <c r="C636" i="7"/>
  <c r="K635" i="7"/>
  <c r="G635" i="7"/>
  <c r="F635" i="7"/>
  <c r="D635" i="7"/>
  <c r="C635" i="7"/>
  <c r="K634" i="7"/>
  <c r="G634" i="7"/>
  <c r="F634" i="7"/>
  <c r="D634" i="7"/>
  <c r="C634" i="7"/>
  <c r="K633" i="7"/>
  <c r="G633" i="7"/>
  <c r="F633" i="7"/>
  <c r="D633" i="7"/>
  <c r="C633" i="7"/>
  <c r="K632" i="7"/>
  <c r="G632" i="7"/>
  <c r="F632" i="7"/>
  <c r="D632" i="7"/>
  <c r="C632" i="7"/>
  <c r="K631" i="7"/>
  <c r="G631" i="7"/>
  <c r="F631" i="7"/>
  <c r="D631" i="7"/>
  <c r="C631" i="7"/>
  <c r="K630" i="7"/>
  <c r="G630" i="7"/>
  <c r="F630" i="7"/>
  <c r="D630" i="7"/>
  <c r="C630" i="7"/>
  <c r="K629" i="7"/>
  <c r="G629" i="7"/>
  <c r="F629" i="7"/>
  <c r="D629" i="7"/>
  <c r="C629" i="7"/>
  <c r="K628" i="7"/>
  <c r="G628" i="7"/>
  <c r="F628" i="7"/>
  <c r="D628" i="7"/>
  <c r="C628" i="7"/>
  <c r="K627" i="7"/>
  <c r="G627" i="7"/>
  <c r="F627" i="7"/>
  <c r="D627" i="7"/>
  <c r="C627" i="7"/>
  <c r="K626" i="7"/>
  <c r="G626" i="7"/>
  <c r="F626" i="7"/>
  <c r="D626" i="7"/>
  <c r="C626" i="7"/>
  <c r="K625" i="7"/>
  <c r="G625" i="7"/>
  <c r="F625" i="7"/>
  <c r="D625" i="7"/>
  <c r="C625" i="7"/>
  <c r="K624" i="7"/>
  <c r="G624" i="7"/>
  <c r="F624" i="7"/>
  <c r="D624" i="7"/>
  <c r="C624" i="7"/>
  <c r="K623" i="7"/>
  <c r="G623" i="7"/>
  <c r="F623" i="7"/>
  <c r="D623" i="7"/>
  <c r="C623" i="7"/>
  <c r="K622" i="7"/>
  <c r="G622" i="7"/>
  <c r="F622" i="7"/>
  <c r="D622" i="7"/>
  <c r="C622" i="7"/>
  <c r="K621" i="7"/>
  <c r="G621" i="7"/>
  <c r="F621" i="7"/>
  <c r="D621" i="7"/>
  <c r="C621" i="7"/>
  <c r="K620" i="7"/>
  <c r="G620" i="7"/>
  <c r="F620" i="7"/>
  <c r="D620" i="7"/>
  <c r="C620" i="7"/>
  <c r="K619" i="7"/>
  <c r="G619" i="7"/>
  <c r="F619" i="7"/>
  <c r="D619" i="7"/>
  <c r="C619" i="7"/>
  <c r="K618" i="7"/>
  <c r="G618" i="7"/>
  <c r="F618" i="7"/>
  <c r="D618" i="7"/>
  <c r="C618" i="7"/>
  <c r="K617" i="7"/>
  <c r="G617" i="7"/>
  <c r="F617" i="7"/>
  <c r="D617" i="7"/>
  <c r="C617" i="7"/>
  <c r="K616" i="7"/>
  <c r="G616" i="7"/>
  <c r="F616" i="7"/>
  <c r="D616" i="7"/>
  <c r="C616" i="7"/>
  <c r="K615" i="7"/>
  <c r="G615" i="7"/>
  <c r="F615" i="7"/>
  <c r="D615" i="7"/>
  <c r="C615" i="7"/>
  <c r="K614" i="7"/>
  <c r="G614" i="7"/>
  <c r="F614" i="7"/>
  <c r="D614" i="7"/>
  <c r="C614" i="7"/>
  <c r="K613" i="7"/>
  <c r="G613" i="7"/>
  <c r="F613" i="7"/>
  <c r="D613" i="7"/>
  <c r="C613" i="7"/>
  <c r="K612" i="7"/>
  <c r="G612" i="7"/>
  <c r="F612" i="7"/>
  <c r="D612" i="7"/>
  <c r="C612" i="7"/>
  <c r="K611" i="7"/>
  <c r="G611" i="7"/>
  <c r="F611" i="7"/>
  <c r="D611" i="7"/>
  <c r="C611" i="7"/>
  <c r="K610" i="7"/>
  <c r="G610" i="7"/>
  <c r="F610" i="7"/>
  <c r="D610" i="7"/>
  <c r="C610" i="7"/>
  <c r="K609" i="7"/>
  <c r="G609" i="7"/>
  <c r="F609" i="7"/>
  <c r="D609" i="7"/>
  <c r="C609" i="7"/>
  <c r="K608" i="7"/>
  <c r="G608" i="7"/>
  <c r="F608" i="7"/>
  <c r="D608" i="7"/>
  <c r="C608" i="7"/>
  <c r="K607" i="7"/>
  <c r="G607" i="7"/>
  <c r="F607" i="7"/>
  <c r="D607" i="7"/>
  <c r="C607" i="7"/>
  <c r="K606" i="7"/>
  <c r="G606" i="7"/>
  <c r="F606" i="7"/>
  <c r="D606" i="7"/>
  <c r="C606" i="7"/>
  <c r="K605" i="7"/>
  <c r="G605" i="7"/>
  <c r="F605" i="7"/>
  <c r="D605" i="7"/>
  <c r="C605" i="7"/>
  <c r="K604" i="7"/>
  <c r="G604" i="7"/>
  <c r="F604" i="7"/>
  <c r="D604" i="7"/>
  <c r="C604" i="7"/>
  <c r="K603" i="7"/>
  <c r="G603" i="7"/>
  <c r="F603" i="7"/>
  <c r="D603" i="7"/>
  <c r="C603" i="7"/>
  <c r="K602" i="7"/>
  <c r="G602" i="7"/>
  <c r="F602" i="7"/>
  <c r="D602" i="7"/>
  <c r="C602" i="7"/>
  <c r="K601" i="7"/>
  <c r="G601" i="7"/>
  <c r="F601" i="7"/>
  <c r="D601" i="7"/>
  <c r="C601" i="7"/>
  <c r="K600" i="7"/>
  <c r="G600" i="7"/>
  <c r="F600" i="7"/>
  <c r="D600" i="7"/>
  <c r="C600" i="7"/>
  <c r="K599" i="7"/>
  <c r="G599" i="7"/>
  <c r="F599" i="7"/>
  <c r="D599" i="7"/>
  <c r="C599" i="7"/>
  <c r="K598" i="7"/>
  <c r="G598" i="7"/>
  <c r="F598" i="7"/>
  <c r="D598" i="7"/>
  <c r="C598" i="7"/>
  <c r="K597" i="7"/>
  <c r="G597" i="7"/>
  <c r="F597" i="7"/>
  <c r="D597" i="7"/>
  <c r="C597" i="7"/>
  <c r="K596" i="7"/>
  <c r="G596" i="7"/>
  <c r="F596" i="7"/>
  <c r="D596" i="7"/>
  <c r="C596" i="7"/>
  <c r="K595" i="7"/>
  <c r="G595" i="7"/>
  <c r="F595" i="7"/>
  <c r="D595" i="7"/>
  <c r="C595" i="7"/>
  <c r="K594" i="7"/>
  <c r="G594" i="7"/>
  <c r="F594" i="7"/>
  <c r="D594" i="7"/>
  <c r="C594" i="7"/>
  <c r="K593" i="7"/>
  <c r="G593" i="7"/>
  <c r="F593" i="7"/>
  <c r="D593" i="7"/>
  <c r="C593" i="7"/>
  <c r="K592" i="7"/>
  <c r="G592" i="7"/>
  <c r="F592" i="7"/>
  <c r="D592" i="7"/>
  <c r="C592" i="7"/>
  <c r="K591" i="7"/>
  <c r="G591" i="7"/>
  <c r="F591" i="7"/>
  <c r="D591" i="7"/>
  <c r="C591" i="7"/>
  <c r="K590" i="7"/>
  <c r="G590" i="7"/>
  <c r="F590" i="7"/>
  <c r="D590" i="7"/>
  <c r="C590" i="7"/>
  <c r="K589" i="7"/>
  <c r="G589" i="7"/>
  <c r="F589" i="7"/>
  <c r="D589" i="7"/>
  <c r="C589" i="7"/>
  <c r="K588" i="7"/>
  <c r="G588" i="7"/>
  <c r="F588" i="7"/>
  <c r="D588" i="7"/>
  <c r="C588" i="7"/>
  <c r="K587" i="7"/>
  <c r="G587" i="7"/>
  <c r="F587" i="7"/>
  <c r="D587" i="7"/>
  <c r="C587" i="7"/>
  <c r="K586" i="7"/>
  <c r="G586" i="7"/>
  <c r="F586" i="7"/>
  <c r="D586" i="7"/>
  <c r="C586" i="7"/>
  <c r="K585" i="7"/>
  <c r="G585" i="7"/>
  <c r="F585" i="7"/>
  <c r="D585" i="7"/>
  <c r="C585" i="7"/>
  <c r="K584" i="7"/>
  <c r="G584" i="7"/>
  <c r="F584" i="7"/>
  <c r="D584" i="7"/>
  <c r="C584" i="7"/>
  <c r="K583" i="7"/>
  <c r="G583" i="7"/>
  <c r="F583" i="7"/>
  <c r="D583" i="7"/>
  <c r="C583" i="7"/>
  <c r="K582" i="7"/>
  <c r="G582" i="7"/>
  <c r="F582" i="7"/>
  <c r="D582" i="7"/>
  <c r="C582" i="7"/>
  <c r="K581" i="7"/>
  <c r="G581" i="7"/>
  <c r="F581" i="7"/>
  <c r="D581" i="7"/>
  <c r="C581" i="7"/>
  <c r="K580" i="7"/>
  <c r="G580" i="7"/>
  <c r="F580" i="7"/>
  <c r="D580" i="7"/>
  <c r="C580" i="7"/>
  <c r="K579" i="7"/>
  <c r="G579" i="7"/>
  <c r="F579" i="7"/>
  <c r="D579" i="7"/>
  <c r="C579" i="7"/>
  <c r="K578" i="7"/>
  <c r="G578" i="7"/>
  <c r="F578" i="7"/>
  <c r="D578" i="7"/>
  <c r="C578" i="7"/>
  <c r="K577" i="7"/>
  <c r="G577" i="7"/>
  <c r="F577" i="7"/>
  <c r="D577" i="7"/>
  <c r="C577" i="7"/>
  <c r="K576" i="7"/>
  <c r="G576" i="7"/>
  <c r="F576" i="7"/>
  <c r="D576" i="7"/>
  <c r="C576" i="7"/>
  <c r="K575" i="7"/>
  <c r="G575" i="7"/>
  <c r="F575" i="7"/>
  <c r="D575" i="7"/>
  <c r="C575" i="7"/>
  <c r="K574" i="7"/>
  <c r="G574" i="7"/>
  <c r="F574" i="7"/>
  <c r="D574" i="7"/>
  <c r="C574" i="7"/>
  <c r="K573" i="7"/>
  <c r="G573" i="7"/>
  <c r="F573" i="7"/>
  <c r="D573" i="7"/>
  <c r="C573" i="7"/>
  <c r="K572" i="7"/>
  <c r="G572" i="7"/>
  <c r="F572" i="7"/>
  <c r="D572" i="7"/>
  <c r="C572" i="7"/>
  <c r="K571" i="7"/>
  <c r="G571" i="7"/>
  <c r="F571" i="7"/>
  <c r="D571" i="7"/>
  <c r="C571" i="7"/>
  <c r="K570" i="7"/>
  <c r="G570" i="7"/>
  <c r="F570" i="7"/>
  <c r="D570" i="7"/>
  <c r="C570" i="7"/>
  <c r="K569" i="7"/>
  <c r="G569" i="7"/>
  <c r="F569" i="7"/>
  <c r="D569" i="7"/>
  <c r="C569" i="7"/>
  <c r="K568" i="7"/>
  <c r="G568" i="7"/>
  <c r="F568" i="7"/>
  <c r="D568" i="7"/>
  <c r="C568" i="7"/>
  <c r="K567" i="7"/>
  <c r="G567" i="7"/>
  <c r="F567" i="7"/>
  <c r="D567" i="7"/>
  <c r="C567" i="7"/>
  <c r="K566" i="7"/>
  <c r="G566" i="7"/>
  <c r="F566" i="7"/>
  <c r="D566" i="7"/>
  <c r="C566" i="7"/>
  <c r="K565" i="7"/>
  <c r="G565" i="7"/>
  <c r="F565" i="7"/>
  <c r="D565" i="7"/>
  <c r="C565" i="7"/>
  <c r="K564" i="7"/>
  <c r="G564" i="7"/>
  <c r="F564" i="7"/>
  <c r="D564" i="7"/>
  <c r="C564" i="7"/>
  <c r="K563" i="7"/>
  <c r="G563" i="7"/>
  <c r="F563" i="7"/>
  <c r="D563" i="7"/>
  <c r="C563" i="7"/>
  <c r="K562" i="7"/>
  <c r="G562" i="7"/>
  <c r="F562" i="7"/>
  <c r="D562" i="7"/>
  <c r="C562" i="7"/>
  <c r="K561" i="7"/>
  <c r="G561" i="7"/>
  <c r="F561" i="7"/>
  <c r="D561" i="7"/>
  <c r="C561" i="7"/>
  <c r="K560" i="7"/>
  <c r="G560" i="7"/>
  <c r="F560" i="7"/>
  <c r="D560" i="7"/>
  <c r="C560" i="7"/>
  <c r="K559" i="7"/>
  <c r="G559" i="7"/>
  <c r="F559" i="7"/>
  <c r="D559" i="7"/>
  <c r="C559" i="7"/>
  <c r="K558" i="7"/>
  <c r="G558" i="7"/>
  <c r="F558" i="7"/>
  <c r="D558" i="7"/>
  <c r="C558" i="7"/>
  <c r="K557" i="7"/>
  <c r="G557" i="7"/>
  <c r="F557" i="7"/>
  <c r="D557" i="7"/>
  <c r="C557" i="7"/>
  <c r="K556" i="7"/>
  <c r="G556" i="7"/>
  <c r="F556" i="7"/>
  <c r="D556" i="7"/>
  <c r="C556" i="7"/>
  <c r="K555" i="7"/>
  <c r="G555" i="7"/>
  <c r="F555" i="7"/>
  <c r="D555" i="7"/>
  <c r="C555" i="7"/>
  <c r="K554" i="7"/>
  <c r="G554" i="7"/>
  <c r="F554" i="7"/>
  <c r="D554" i="7"/>
  <c r="C554" i="7"/>
  <c r="K553" i="7"/>
  <c r="G553" i="7"/>
  <c r="F553" i="7"/>
  <c r="D553" i="7"/>
  <c r="C553" i="7"/>
  <c r="K552" i="7"/>
  <c r="G552" i="7"/>
  <c r="F552" i="7"/>
  <c r="D552" i="7"/>
  <c r="C552" i="7"/>
  <c r="K551" i="7"/>
  <c r="G551" i="7"/>
  <c r="F551" i="7"/>
  <c r="D551" i="7"/>
  <c r="C551" i="7"/>
  <c r="K550" i="7"/>
  <c r="G550" i="7"/>
  <c r="F550" i="7"/>
  <c r="D550" i="7"/>
  <c r="C550" i="7"/>
  <c r="K549" i="7"/>
  <c r="G549" i="7"/>
  <c r="F549" i="7"/>
  <c r="D549" i="7"/>
  <c r="C549" i="7"/>
  <c r="K548" i="7"/>
  <c r="G548" i="7"/>
  <c r="F548" i="7"/>
  <c r="D548" i="7"/>
  <c r="C548" i="7"/>
  <c r="K547" i="7"/>
  <c r="G547" i="7"/>
  <c r="F547" i="7"/>
  <c r="D547" i="7"/>
  <c r="C547" i="7"/>
  <c r="K546" i="7"/>
  <c r="G546" i="7"/>
  <c r="F546" i="7"/>
  <c r="D546" i="7"/>
  <c r="C546" i="7"/>
  <c r="K545" i="7"/>
  <c r="G545" i="7"/>
  <c r="F545" i="7"/>
  <c r="D545" i="7"/>
  <c r="C545" i="7"/>
  <c r="K544" i="7"/>
  <c r="G544" i="7"/>
  <c r="F544" i="7"/>
  <c r="D544" i="7"/>
  <c r="C544" i="7"/>
  <c r="K543" i="7"/>
  <c r="G543" i="7"/>
  <c r="F543" i="7"/>
  <c r="D543" i="7"/>
  <c r="C543" i="7"/>
  <c r="K542" i="7"/>
  <c r="G542" i="7"/>
  <c r="F542" i="7"/>
  <c r="D542" i="7"/>
  <c r="C542" i="7"/>
  <c r="K541" i="7"/>
  <c r="G541" i="7"/>
  <c r="F541" i="7"/>
  <c r="D541" i="7"/>
  <c r="C541" i="7"/>
  <c r="K540" i="7"/>
  <c r="G540" i="7"/>
  <c r="F540" i="7"/>
  <c r="D540" i="7"/>
  <c r="C540" i="7"/>
  <c r="K539" i="7"/>
  <c r="G539" i="7"/>
  <c r="F539" i="7"/>
  <c r="D539" i="7"/>
  <c r="C539" i="7"/>
  <c r="K538" i="7"/>
  <c r="G538" i="7"/>
  <c r="F538" i="7"/>
  <c r="D538" i="7"/>
  <c r="C538" i="7"/>
  <c r="K537" i="7"/>
  <c r="G537" i="7"/>
  <c r="F537" i="7"/>
  <c r="D537" i="7"/>
  <c r="C537" i="7"/>
  <c r="K536" i="7"/>
  <c r="G536" i="7"/>
  <c r="F536" i="7"/>
  <c r="D536" i="7"/>
  <c r="C536" i="7"/>
  <c r="K535" i="7"/>
  <c r="G535" i="7"/>
  <c r="F535" i="7"/>
  <c r="D535" i="7"/>
  <c r="C535" i="7"/>
  <c r="K534" i="7"/>
  <c r="G534" i="7"/>
  <c r="F534" i="7"/>
  <c r="D534" i="7"/>
  <c r="C534" i="7"/>
  <c r="K533" i="7"/>
  <c r="G533" i="7"/>
  <c r="F533" i="7"/>
  <c r="D533" i="7"/>
  <c r="C533" i="7"/>
  <c r="K532" i="7"/>
  <c r="G532" i="7"/>
  <c r="F532" i="7"/>
  <c r="D532" i="7"/>
  <c r="C532" i="7"/>
  <c r="K531" i="7"/>
  <c r="G531" i="7"/>
  <c r="F531" i="7"/>
  <c r="D531" i="7"/>
  <c r="C531" i="7"/>
  <c r="K530" i="7"/>
  <c r="G530" i="7"/>
  <c r="F530" i="7"/>
  <c r="D530" i="7"/>
  <c r="C530" i="7"/>
  <c r="K529" i="7"/>
  <c r="G529" i="7"/>
  <c r="F529" i="7"/>
  <c r="D529" i="7"/>
  <c r="C529" i="7"/>
  <c r="K528" i="7"/>
  <c r="G528" i="7"/>
  <c r="F528" i="7"/>
  <c r="D528" i="7"/>
  <c r="C528" i="7"/>
  <c r="K527" i="7"/>
  <c r="G527" i="7"/>
  <c r="F527" i="7"/>
  <c r="D527" i="7"/>
  <c r="C527" i="7"/>
  <c r="K526" i="7"/>
  <c r="G526" i="7"/>
  <c r="F526" i="7"/>
  <c r="D526" i="7"/>
  <c r="C526" i="7"/>
  <c r="K525" i="7"/>
  <c r="G525" i="7"/>
  <c r="F525" i="7"/>
  <c r="D525" i="7"/>
  <c r="C525" i="7"/>
  <c r="K524" i="7"/>
  <c r="G524" i="7"/>
  <c r="F524" i="7"/>
  <c r="D524" i="7"/>
  <c r="C524" i="7"/>
  <c r="K523" i="7"/>
  <c r="G523" i="7"/>
  <c r="F523" i="7"/>
  <c r="D523" i="7"/>
  <c r="C523" i="7"/>
  <c r="K522" i="7"/>
  <c r="G522" i="7"/>
  <c r="F522" i="7"/>
  <c r="D522" i="7"/>
  <c r="C522" i="7"/>
  <c r="K521" i="7"/>
  <c r="G521" i="7"/>
  <c r="F521" i="7"/>
  <c r="D521" i="7"/>
  <c r="C521" i="7"/>
  <c r="K520" i="7"/>
  <c r="G520" i="7"/>
  <c r="F520" i="7"/>
  <c r="D520" i="7"/>
  <c r="C520" i="7"/>
  <c r="K519" i="7"/>
  <c r="G519" i="7"/>
  <c r="F519" i="7"/>
  <c r="D519" i="7"/>
  <c r="C519" i="7"/>
  <c r="K518" i="7"/>
  <c r="G518" i="7"/>
  <c r="F518" i="7"/>
  <c r="D518" i="7"/>
  <c r="C518" i="7"/>
  <c r="K517" i="7"/>
  <c r="G517" i="7"/>
  <c r="F517" i="7"/>
  <c r="D517" i="7"/>
  <c r="C517" i="7"/>
  <c r="K516" i="7"/>
  <c r="G516" i="7"/>
  <c r="F516" i="7"/>
  <c r="D516" i="7"/>
  <c r="C516" i="7"/>
  <c r="K515" i="7"/>
  <c r="G515" i="7"/>
  <c r="F515" i="7"/>
  <c r="D515" i="7"/>
  <c r="C515" i="7"/>
  <c r="K514" i="7"/>
  <c r="G514" i="7"/>
  <c r="F514" i="7"/>
  <c r="D514" i="7"/>
  <c r="C514" i="7"/>
  <c r="K513" i="7"/>
  <c r="G513" i="7"/>
  <c r="F513" i="7"/>
  <c r="D513" i="7"/>
  <c r="C513" i="7"/>
  <c r="K512" i="7"/>
  <c r="G512" i="7"/>
  <c r="F512" i="7"/>
  <c r="D512" i="7"/>
  <c r="C512" i="7"/>
  <c r="K511" i="7"/>
  <c r="G511" i="7"/>
  <c r="F511" i="7"/>
  <c r="D511" i="7"/>
  <c r="C511" i="7"/>
  <c r="K510" i="7"/>
  <c r="G510" i="7"/>
  <c r="F510" i="7"/>
  <c r="D510" i="7"/>
  <c r="C510" i="7"/>
  <c r="K509" i="7"/>
  <c r="G509" i="7"/>
  <c r="F509" i="7"/>
  <c r="D509" i="7"/>
  <c r="C509" i="7"/>
  <c r="K508" i="7"/>
  <c r="G508" i="7"/>
  <c r="F508" i="7"/>
  <c r="D508" i="7"/>
  <c r="C508" i="7"/>
  <c r="K507" i="7"/>
  <c r="G507" i="7"/>
  <c r="F507" i="7"/>
  <c r="D507" i="7"/>
  <c r="C507" i="7"/>
  <c r="K506" i="7"/>
  <c r="G506" i="7"/>
  <c r="F506" i="7"/>
  <c r="D506" i="7"/>
  <c r="C506" i="7"/>
  <c r="K505" i="7"/>
  <c r="G505" i="7"/>
  <c r="F505" i="7"/>
  <c r="D505" i="7"/>
  <c r="C505" i="7"/>
  <c r="K504" i="7"/>
  <c r="G504" i="7"/>
  <c r="F504" i="7"/>
  <c r="D504" i="7"/>
  <c r="C504" i="7"/>
  <c r="K503" i="7"/>
  <c r="G503" i="7"/>
  <c r="F503" i="7"/>
  <c r="D503" i="7"/>
  <c r="C503" i="7"/>
  <c r="K502" i="7"/>
  <c r="G502" i="7"/>
  <c r="F502" i="7"/>
  <c r="D502" i="7"/>
  <c r="C502" i="7"/>
  <c r="K501" i="7"/>
  <c r="G501" i="7"/>
  <c r="F501" i="7"/>
  <c r="D501" i="7"/>
  <c r="C501" i="7"/>
  <c r="K500" i="7"/>
  <c r="G500" i="7"/>
  <c r="F500" i="7"/>
  <c r="D500" i="7"/>
  <c r="C500" i="7"/>
  <c r="K499" i="7"/>
  <c r="G499" i="7"/>
  <c r="F499" i="7"/>
  <c r="D499" i="7"/>
  <c r="C499" i="7"/>
  <c r="K498" i="7"/>
  <c r="G498" i="7"/>
  <c r="F498" i="7"/>
  <c r="D498" i="7"/>
  <c r="C498" i="7"/>
  <c r="K497" i="7"/>
  <c r="G497" i="7"/>
  <c r="F497" i="7"/>
  <c r="D497" i="7"/>
  <c r="C497" i="7"/>
  <c r="K496" i="7"/>
  <c r="G496" i="7"/>
  <c r="F496" i="7"/>
  <c r="D496" i="7"/>
  <c r="C496" i="7"/>
  <c r="K495" i="7"/>
  <c r="G495" i="7"/>
  <c r="F495" i="7"/>
  <c r="D495" i="7"/>
  <c r="C495" i="7"/>
  <c r="K494" i="7"/>
  <c r="G494" i="7"/>
  <c r="F494" i="7"/>
  <c r="D494" i="7"/>
  <c r="C494" i="7"/>
  <c r="K493" i="7"/>
  <c r="G493" i="7"/>
  <c r="F493" i="7"/>
  <c r="D493" i="7"/>
  <c r="C493" i="7"/>
  <c r="K492" i="7"/>
  <c r="G492" i="7"/>
  <c r="F492" i="7"/>
  <c r="D492" i="7"/>
  <c r="C492" i="7"/>
  <c r="K491" i="7"/>
  <c r="G491" i="7"/>
  <c r="F491" i="7"/>
  <c r="D491" i="7"/>
  <c r="C491" i="7"/>
  <c r="K490" i="7"/>
  <c r="G490" i="7"/>
  <c r="F490" i="7"/>
  <c r="D490" i="7"/>
  <c r="C490" i="7"/>
  <c r="K489" i="7"/>
  <c r="G489" i="7"/>
  <c r="F489" i="7"/>
  <c r="D489" i="7"/>
  <c r="C489" i="7"/>
  <c r="K488" i="7"/>
  <c r="G488" i="7"/>
  <c r="F488" i="7"/>
  <c r="D488" i="7"/>
  <c r="C488" i="7"/>
  <c r="K487" i="7"/>
  <c r="G487" i="7"/>
  <c r="F487" i="7"/>
  <c r="D487" i="7"/>
  <c r="C487" i="7"/>
  <c r="K486" i="7"/>
  <c r="G486" i="7"/>
  <c r="F486" i="7"/>
  <c r="D486" i="7"/>
  <c r="C486" i="7"/>
  <c r="K485" i="7"/>
  <c r="G485" i="7"/>
  <c r="F485" i="7"/>
  <c r="D485" i="7"/>
  <c r="C485" i="7"/>
  <c r="K484" i="7"/>
  <c r="G484" i="7"/>
  <c r="F484" i="7"/>
  <c r="D484" i="7"/>
  <c r="C484" i="7"/>
  <c r="K483" i="7"/>
  <c r="G483" i="7"/>
  <c r="F483" i="7"/>
  <c r="D483" i="7"/>
  <c r="C483" i="7"/>
  <c r="K482" i="7"/>
  <c r="G482" i="7"/>
  <c r="F482" i="7"/>
  <c r="D482" i="7"/>
  <c r="C482" i="7"/>
  <c r="K481" i="7"/>
  <c r="G481" i="7"/>
  <c r="F481" i="7"/>
  <c r="D481" i="7"/>
  <c r="C481" i="7"/>
  <c r="K480" i="7"/>
  <c r="G480" i="7"/>
  <c r="F480" i="7"/>
  <c r="D480" i="7"/>
  <c r="C480" i="7"/>
  <c r="K479" i="7"/>
  <c r="G479" i="7"/>
  <c r="F479" i="7"/>
  <c r="D479" i="7"/>
  <c r="C479" i="7"/>
  <c r="K478" i="7"/>
  <c r="G478" i="7"/>
  <c r="F478" i="7"/>
  <c r="D478" i="7"/>
  <c r="C478" i="7"/>
  <c r="K477" i="7"/>
  <c r="G477" i="7"/>
  <c r="F477" i="7"/>
  <c r="D477" i="7"/>
  <c r="C477" i="7"/>
  <c r="K476" i="7"/>
  <c r="G476" i="7"/>
  <c r="F476" i="7"/>
  <c r="D476" i="7"/>
  <c r="C476" i="7"/>
  <c r="K475" i="7"/>
  <c r="G475" i="7"/>
  <c r="F475" i="7"/>
  <c r="D475" i="7"/>
  <c r="C475" i="7"/>
  <c r="K474" i="7"/>
  <c r="G474" i="7"/>
  <c r="F474" i="7"/>
  <c r="D474" i="7"/>
  <c r="C474" i="7"/>
  <c r="K473" i="7"/>
  <c r="G473" i="7"/>
  <c r="F473" i="7"/>
  <c r="D473" i="7"/>
  <c r="C473" i="7"/>
  <c r="K472" i="7"/>
  <c r="G472" i="7"/>
  <c r="F472" i="7"/>
  <c r="D472" i="7"/>
  <c r="C472" i="7"/>
  <c r="K471" i="7"/>
  <c r="G471" i="7"/>
  <c r="F471" i="7"/>
  <c r="D471" i="7"/>
  <c r="C471" i="7"/>
  <c r="K470" i="7"/>
  <c r="G470" i="7"/>
  <c r="F470" i="7"/>
  <c r="D470" i="7"/>
  <c r="C470" i="7"/>
  <c r="K469" i="7"/>
  <c r="G469" i="7"/>
  <c r="F469" i="7"/>
  <c r="D469" i="7"/>
  <c r="C469" i="7"/>
  <c r="K468" i="7"/>
  <c r="G468" i="7"/>
  <c r="F468" i="7"/>
  <c r="D468" i="7"/>
  <c r="C468" i="7"/>
  <c r="K467" i="7"/>
  <c r="G467" i="7"/>
  <c r="F467" i="7"/>
  <c r="D467" i="7"/>
  <c r="C467" i="7"/>
  <c r="K466" i="7"/>
  <c r="G466" i="7"/>
  <c r="F466" i="7"/>
  <c r="D466" i="7"/>
  <c r="C466" i="7"/>
  <c r="K465" i="7"/>
  <c r="G465" i="7"/>
  <c r="F465" i="7"/>
  <c r="D465" i="7"/>
  <c r="C465" i="7"/>
  <c r="K464" i="7"/>
  <c r="G464" i="7"/>
  <c r="F464" i="7"/>
  <c r="D464" i="7"/>
  <c r="C464" i="7"/>
  <c r="K463" i="7"/>
  <c r="G463" i="7"/>
  <c r="F463" i="7"/>
  <c r="D463" i="7"/>
  <c r="C463" i="7"/>
  <c r="K462" i="7"/>
  <c r="G462" i="7"/>
  <c r="F462" i="7"/>
  <c r="D462" i="7"/>
  <c r="C462" i="7"/>
  <c r="K461" i="7"/>
  <c r="G461" i="7"/>
  <c r="F461" i="7"/>
  <c r="D461" i="7"/>
  <c r="C461" i="7"/>
  <c r="K460" i="7"/>
  <c r="G460" i="7"/>
  <c r="F460" i="7"/>
  <c r="D460" i="7"/>
  <c r="C460" i="7"/>
  <c r="K459" i="7"/>
  <c r="G459" i="7"/>
  <c r="F459" i="7"/>
  <c r="D459" i="7"/>
  <c r="C459" i="7"/>
  <c r="K458" i="7"/>
  <c r="G458" i="7"/>
  <c r="F458" i="7"/>
  <c r="D458" i="7"/>
  <c r="C458" i="7"/>
  <c r="K457" i="7"/>
  <c r="G457" i="7"/>
  <c r="F457" i="7"/>
  <c r="D457" i="7"/>
  <c r="C457" i="7"/>
  <c r="K456" i="7"/>
  <c r="G456" i="7"/>
  <c r="F456" i="7"/>
  <c r="D456" i="7"/>
  <c r="C456" i="7"/>
  <c r="K455" i="7"/>
  <c r="G455" i="7"/>
  <c r="F455" i="7"/>
  <c r="D455" i="7"/>
  <c r="C455" i="7"/>
  <c r="K454" i="7"/>
  <c r="G454" i="7"/>
  <c r="F454" i="7"/>
  <c r="D454" i="7"/>
  <c r="C454" i="7"/>
  <c r="K453" i="7"/>
  <c r="G453" i="7"/>
  <c r="F453" i="7"/>
  <c r="D453" i="7"/>
  <c r="C453" i="7"/>
  <c r="K452" i="7"/>
  <c r="G452" i="7"/>
  <c r="F452" i="7"/>
  <c r="D452" i="7"/>
  <c r="C452" i="7"/>
  <c r="K451" i="7"/>
  <c r="G451" i="7"/>
  <c r="F451" i="7"/>
  <c r="D451" i="7"/>
  <c r="C451" i="7"/>
  <c r="K450" i="7"/>
  <c r="G450" i="7"/>
  <c r="F450" i="7"/>
  <c r="D450" i="7"/>
  <c r="C450" i="7"/>
  <c r="K449" i="7"/>
  <c r="G449" i="7"/>
  <c r="F449" i="7"/>
  <c r="D449" i="7"/>
  <c r="C449" i="7"/>
  <c r="K448" i="7"/>
  <c r="G448" i="7"/>
  <c r="F448" i="7"/>
  <c r="D448" i="7"/>
  <c r="C448" i="7"/>
  <c r="K447" i="7"/>
  <c r="G447" i="7"/>
  <c r="F447" i="7"/>
  <c r="D447" i="7"/>
  <c r="C447" i="7"/>
  <c r="K446" i="7"/>
  <c r="G446" i="7"/>
  <c r="F446" i="7"/>
  <c r="D446" i="7"/>
  <c r="C446" i="7"/>
  <c r="K445" i="7"/>
  <c r="G445" i="7"/>
  <c r="F445" i="7"/>
  <c r="D445" i="7"/>
  <c r="C445" i="7"/>
  <c r="K444" i="7"/>
  <c r="G444" i="7"/>
  <c r="F444" i="7"/>
  <c r="D444" i="7"/>
  <c r="C444" i="7"/>
  <c r="K443" i="7"/>
  <c r="G443" i="7"/>
  <c r="F443" i="7"/>
  <c r="D443" i="7"/>
  <c r="C443" i="7"/>
  <c r="K442" i="7"/>
  <c r="G442" i="7"/>
  <c r="F442" i="7"/>
  <c r="D442" i="7"/>
  <c r="C442" i="7"/>
  <c r="K441" i="7"/>
  <c r="G441" i="7"/>
  <c r="F441" i="7"/>
  <c r="D441" i="7"/>
  <c r="C441" i="7"/>
  <c r="K440" i="7"/>
  <c r="G440" i="7"/>
  <c r="F440" i="7"/>
  <c r="D440" i="7"/>
  <c r="C440" i="7"/>
  <c r="K439" i="7"/>
  <c r="G439" i="7"/>
  <c r="F439" i="7"/>
  <c r="D439" i="7"/>
  <c r="C439" i="7"/>
  <c r="K438" i="7"/>
  <c r="G438" i="7"/>
  <c r="F438" i="7"/>
  <c r="D438" i="7"/>
  <c r="C438" i="7"/>
  <c r="K437" i="7"/>
  <c r="G437" i="7"/>
  <c r="F437" i="7"/>
  <c r="D437" i="7"/>
  <c r="C437" i="7"/>
  <c r="K436" i="7"/>
  <c r="G436" i="7"/>
  <c r="F436" i="7"/>
  <c r="D436" i="7"/>
  <c r="C436" i="7"/>
  <c r="K435" i="7"/>
  <c r="G435" i="7"/>
  <c r="F435" i="7"/>
  <c r="D435" i="7"/>
  <c r="C435" i="7"/>
  <c r="K434" i="7"/>
  <c r="G434" i="7"/>
  <c r="F434" i="7"/>
  <c r="D434" i="7"/>
  <c r="C434" i="7"/>
  <c r="K433" i="7"/>
  <c r="G433" i="7"/>
  <c r="F433" i="7"/>
  <c r="D433" i="7"/>
  <c r="C433" i="7"/>
  <c r="K432" i="7"/>
  <c r="G432" i="7"/>
  <c r="F432" i="7"/>
  <c r="D432" i="7"/>
  <c r="C432" i="7"/>
  <c r="K431" i="7"/>
  <c r="G431" i="7"/>
  <c r="F431" i="7"/>
  <c r="D431" i="7"/>
  <c r="C431" i="7"/>
  <c r="K430" i="7"/>
  <c r="G430" i="7"/>
  <c r="F430" i="7"/>
  <c r="D430" i="7"/>
  <c r="C430" i="7"/>
  <c r="K429" i="7"/>
  <c r="G429" i="7"/>
  <c r="F429" i="7"/>
  <c r="D429" i="7"/>
  <c r="C429" i="7"/>
  <c r="K428" i="7"/>
  <c r="G428" i="7"/>
  <c r="F428" i="7"/>
  <c r="D428" i="7"/>
  <c r="C428" i="7"/>
  <c r="K427" i="7"/>
  <c r="G427" i="7"/>
  <c r="F427" i="7"/>
  <c r="D427" i="7"/>
  <c r="C427" i="7"/>
  <c r="K426" i="7"/>
  <c r="G426" i="7"/>
  <c r="F426" i="7"/>
  <c r="D426" i="7"/>
  <c r="C426" i="7"/>
  <c r="K425" i="7"/>
  <c r="G425" i="7"/>
  <c r="F425" i="7"/>
  <c r="D425" i="7"/>
  <c r="C425" i="7"/>
  <c r="K424" i="7"/>
  <c r="G424" i="7"/>
  <c r="F424" i="7"/>
  <c r="D424" i="7"/>
  <c r="C424" i="7"/>
  <c r="K423" i="7"/>
  <c r="G423" i="7"/>
  <c r="F423" i="7"/>
  <c r="D423" i="7"/>
  <c r="C423" i="7"/>
  <c r="K422" i="7"/>
  <c r="G422" i="7"/>
  <c r="F422" i="7"/>
  <c r="D422" i="7"/>
  <c r="C422" i="7"/>
  <c r="K421" i="7"/>
  <c r="G421" i="7"/>
  <c r="F421" i="7"/>
  <c r="D421" i="7"/>
  <c r="C421" i="7"/>
  <c r="K420" i="7"/>
  <c r="G420" i="7"/>
  <c r="F420" i="7"/>
  <c r="D420" i="7"/>
  <c r="C420" i="7"/>
  <c r="K419" i="7"/>
  <c r="G419" i="7"/>
  <c r="F419" i="7"/>
  <c r="D419" i="7"/>
  <c r="C419" i="7"/>
  <c r="K418" i="7"/>
  <c r="G418" i="7"/>
  <c r="F418" i="7"/>
  <c r="D418" i="7"/>
  <c r="C418" i="7"/>
  <c r="K417" i="7"/>
  <c r="G417" i="7"/>
  <c r="F417" i="7"/>
  <c r="D417" i="7"/>
  <c r="C417" i="7"/>
  <c r="K416" i="7"/>
  <c r="G416" i="7"/>
  <c r="F416" i="7"/>
  <c r="D416" i="7"/>
  <c r="C416" i="7"/>
  <c r="K415" i="7"/>
  <c r="G415" i="7"/>
  <c r="F415" i="7"/>
  <c r="D415" i="7"/>
  <c r="C415" i="7"/>
  <c r="K414" i="7"/>
  <c r="G414" i="7"/>
  <c r="F414" i="7"/>
  <c r="D414" i="7"/>
  <c r="C414" i="7"/>
  <c r="K413" i="7"/>
  <c r="G413" i="7"/>
  <c r="F413" i="7"/>
  <c r="D413" i="7"/>
  <c r="C413" i="7"/>
  <c r="K412" i="7"/>
  <c r="G412" i="7"/>
  <c r="F412" i="7"/>
  <c r="D412" i="7"/>
  <c r="C412" i="7"/>
  <c r="K411" i="7"/>
  <c r="G411" i="7"/>
  <c r="F411" i="7"/>
  <c r="D411" i="7"/>
  <c r="C411" i="7"/>
  <c r="K410" i="7"/>
  <c r="G410" i="7"/>
  <c r="F410" i="7"/>
  <c r="D410" i="7"/>
  <c r="C410" i="7"/>
  <c r="K409" i="7"/>
  <c r="G409" i="7"/>
  <c r="F409" i="7"/>
  <c r="D409" i="7"/>
  <c r="C409" i="7"/>
  <c r="K408" i="7"/>
  <c r="G408" i="7"/>
  <c r="F408" i="7"/>
  <c r="D408" i="7"/>
  <c r="C408" i="7"/>
  <c r="K407" i="7"/>
  <c r="G407" i="7"/>
  <c r="F407" i="7"/>
  <c r="D407" i="7"/>
  <c r="C407" i="7"/>
  <c r="K406" i="7"/>
  <c r="G406" i="7"/>
  <c r="F406" i="7"/>
  <c r="D406" i="7"/>
  <c r="C406" i="7"/>
  <c r="K405" i="7"/>
  <c r="G405" i="7"/>
  <c r="F405" i="7"/>
  <c r="D405" i="7"/>
  <c r="C405" i="7"/>
  <c r="K404" i="7"/>
  <c r="G404" i="7"/>
  <c r="F404" i="7"/>
  <c r="D404" i="7"/>
  <c r="C404" i="7"/>
  <c r="K403" i="7"/>
  <c r="G403" i="7"/>
  <c r="F403" i="7"/>
  <c r="D403" i="7"/>
  <c r="C403" i="7"/>
  <c r="K402" i="7"/>
  <c r="G402" i="7"/>
  <c r="F402" i="7"/>
  <c r="D402" i="7"/>
  <c r="C402" i="7"/>
  <c r="K401" i="7"/>
  <c r="G401" i="7"/>
  <c r="F401" i="7"/>
  <c r="D401" i="7"/>
  <c r="C401" i="7"/>
  <c r="K400" i="7"/>
  <c r="G400" i="7"/>
  <c r="F400" i="7"/>
  <c r="D400" i="7"/>
  <c r="C400" i="7"/>
  <c r="K399" i="7"/>
  <c r="G399" i="7"/>
  <c r="F399" i="7"/>
  <c r="D399" i="7"/>
  <c r="C399" i="7"/>
  <c r="K398" i="7"/>
  <c r="G398" i="7"/>
  <c r="F398" i="7"/>
  <c r="D398" i="7"/>
  <c r="C398" i="7"/>
  <c r="K397" i="7"/>
  <c r="G397" i="7"/>
  <c r="F397" i="7"/>
  <c r="D397" i="7"/>
  <c r="C397" i="7"/>
  <c r="K396" i="7"/>
  <c r="G396" i="7"/>
  <c r="F396" i="7"/>
  <c r="D396" i="7"/>
  <c r="C396" i="7"/>
  <c r="K395" i="7"/>
  <c r="G395" i="7"/>
  <c r="F395" i="7"/>
  <c r="D395" i="7"/>
  <c r="C395" i="7"/>
  <c r="K394" i="7"/>
  <c r="G394" i="7"/>
  <c r="F394" i="7"/>
  <c r="D394" i="7"/>
  <c r="C394" i="7"/>
  <c r="K393" i="7"/>
  <c r="G393" i="7"/>
  <c r="F393" i="7"/>
  <c r="D393" i="7"/>
  <c r="C393" i="7"/>
  <c r="K392" i="7"/>
  <c r="G392" i="7"/>
  <c r="F392" i="7"/>
  <c r="D392" i="7"/>
  <c r="C392" i="7"/>
  <c r="K391" i="7"/>
  <c r="G391" i="7"/>
  <c r="F391" i="7"/>
  <c r="D391" i="7"/>
  <c r="C391" i="7"/>
  <c r="K390" i="7"/>
  <c r="G390" i="7"/>
  <c r="F390" i="7"/>
  <c r="D390" i="7"/>
  <c r="C390" i="7"/>
  <c r="K389" i="7"/>
  <c r="G389" i="7"/>
  <c r="F389" i="7"/>
  <c r="D389" i="7"/>
  <c r="C389" i="7"/>
  <c r="K388" i="7"/>
  <c r="G388" i="7"/>
  <c r="F388" i="7"/>
  <c r="D388" i="7"/>
  <c r="C388" i="7"/>
  <c r="K387" i="7"/>
  <c r="G387" i="7"/>
  <c r="F387" i="7"/>
  <c r="D387" i="7"/>
  <c r="C387" i="7"/>
  <c r="K386" i="7"/>
  <c r="G386" i="7"/>
  <c r="F386" i="7"/>
  <c r="D386" i="7"/>
  <c r="C386" i="7"/>
  <c r="K385" i="7"/>
  <c r="G385" i="7"/>
  <c r="F385" i="7"/>
  <c r="D385" i="7"/>
  <c r="C385" i="7"/>
  <c r="K384" i="7"/>
  <c r="G384" i="7"/>
  <c r="F384" i="7"/>
  <c r="D384" i="7"/>
  <c r="C384" i="7"/>
  <c r="K383" i="7"/>
  <c r="G383" i="7"/>
  <c r="F383" i="7"/>
  <c r="D383" i="7"/>
  <c r="C383" i="7"/>
  <c r="K382" i="7"/>
  <c r="G382" i="7"/>
  <c r="F382" i="7"/>
  <c r="D382" i="7"/>
  <c r="C382" i="7"/>
  <c r="K381" i="7"/>
  <c r="G381" i="7"/>
  <c r="F381" i="7"/>
  <c r="D381" i="7"/>
  <c r="C381" i="7"/>
  <c r="K380" i="7"/>
  <c r="G380" i="7"/>
  <c r="F380" i="7"/>
  <c r="D380" i="7"/>
  <c r="C380" i="7"/>
  <c r="K379" i="7"/>
  <c r="G379" i="7"/>
  <c r="F379" i="7"/>
  <c r="D379" i="7"/>
  <c r="C379" i="7"/>
  <c r="K378" i="7"/>
  <c r="G378" i="7"/>
  <c r="F378" i="7"/>
  <c r="D378" i="7"/>
  <c r="C378" i="7"/>
  <c r="K377" i="7"/>
  <c r="G377" i="7"/>
  <c r="F377" i="7"/>
  <c r="D377" i="7"/>
  <c r="C377" i="7"/>
  <c r="K376" i="7"/>
  <c r="G376" i="7"/>
  <c r="F376" i="7"/>
  <c r="D376" i="7"/>
  <c r="C376" i="7"/>
  <c r="K375" i="7"/>
  <c r="G375" i="7"/>
  <c r="F375" i="7"/>
  <c r="D375" i="7"/>
  <c r="C375" i="7"/>
  <c r="K374" i="7"/>
  <c r="G374" i="7"/>
  <c r="F374" i="7"/>
  <c r="D374" i="7"/>
  <c r="C374" i="7"/>
  <c r="K373" i="7"/>
  <c r="G373" i="7"/>
  <c r="F373" i="7"/>
  <c r="D373" i="7"/>
  <c r="C373" i="7"/>
  <c r="K372" i="7"/>
  <c r="G372" i="7"/>
  <c r="F372" i="7"/>
  <c r="D372" i="7"/>
  <c r="C372" i="7"/>
  <c r="K371" i="7"/>
  <c r="G371" i="7"/>
  <c r="F371" i="7"/>
  <c r="D371" i="7"/>
  <c r="C371" i="7"/>
  <c r="K370" i="7"/>
  <c r="G370" i="7"/>
  <c r="F370" i="7"/>
  <c r="D370" i="7"/>
  <c r="C370" i="7"/>
  <c r="K369" i="7"/>
  <c r="G369" i="7"/>
  <c r="F369" i="7"/>
  <c r="D369" i="7"/>
  <c r="C369" i="7"/>
  <c r="K368" i="7"/>
  <c r="G368" i="7"/>
  <c r="F368" i="7"/>
  <c r="D368" i="7"/>
  <c r="C368" i="7"/>
  <c r="K367" i="7"/>
  <c r="G367" i="7"/>
  <c r="F367" i="7"/>
  <c r="D367" i="7"/>
  <c r="C367" i="7"/>
  <c r="K366" i="7"/>
  <c r="G366" i="7"/>
  <c r="F366" i="7"/>
  <c r="D366" i="7"/>
  <c r="C366" i="7"/>
  <c r="K365" i="7"/>
  <c r="G365" i="7"/>
  <c r="F365" i="7"/>
  <c r="D365" i="7"/>
  <c r="C365" i="7"/>
  <c r="K364" i="7"/>
  <c r="G364" i="7"/>
  <c r="F364" i="7"/>
  <c r="D364" i="7"/>
  <c r="C364" i="7"/>
  <c r="K363" i="7"/>
  <c r="G363" i="7"/>
  <c r="F363" i="7"/>
  <c r="D363" i="7"/>
  <c r="C363" i="7"/>
  <c r="K362" i="7"/>
  <c r="G362" i="7"/>
  <c r="F362" i="7"/>
  <c r="D362" i="7"/>
  <c r="C362" i="7"/>
  <c r="K361" i="7"/>
  <c r="G361" i="7"/>
  <c r="F361" i="7"/>
  <c r="D361" i="7"/>
  <c r="C361" i="7"/>
  <c r="K360" i="7"/>
  <c r="G360" i="7"/>
  <c r="F360" i="7"/>
  <c r="D360" i="7"/>
  <c r="C360" i="7"/>
  <c r="K359" i="7"/>
  <c r="G359" i="7"/>
  <c r="F359" i="7"/>
  <c r="D359" i="7"/>
  <c r="C359" i="7"/>
  <c r="K358" i="7"/>
  <c r="G358" i="7"/>
  <c r="F358" i="7"/>
  <c r="D358" i="7"/>
  <c r="C358" i="7"/>
  <c r="K357" i="7"/>
  <c r="G357" i="7"/>
  <c r="F357" i="7"/>
  <c r="D357" i="7"/>
  <c r="C357" i="7"/>
  <c r="K356" i="7"/>
  <c r="G356" i="7"/>
  <c r="F356" i="7"/>
  <c r="D356" i="7"/>
  <c r="C356" i="7"/>
  <c r="K355" i="7"/>
  <c r="G355" i="7"/>
  <c r="F355" i="7"/>
  <c r="D355" i="7"/>
  <c r="C355" i="7"/>
  <c r="K354" i="7"/>
  <c r="G354" i="7"/>
  <c r="F354" i="7"/>
  <c r="D354" i="7"/>
  <c r="C354" i="7"/>
  <c r="K353" i="7"/>
  <c r="G353" i="7"/>
  <c r="F353" i="7"/>
  <c r="D353" i="7"/>
  <c r="C353" i="7"/>
  <c r="K352" i="7"/>
  <c r="G352" i="7"/>
  <c r="F352" i="7"/>
  <c r="D352" i="7"/>
  <c r="C352" i="7"/>
  <c r="K351" i="7"/>
  <c r="G351" i="7"/>
  <c r="F351" i="7"/>
  <c r="D351" i="7"/>
  <c r="C351" i="7"/>
  <c r="K350" i="7"/>
  <c r="G350" i="7"/>
  <c r="F350" i="7"/>
  <c r="D350" i="7"/>
  <c r="C350" i="7"/>
  <c r="K349" i="7"/>
  <c r="G349" i="7"/>
  <c r="F349" i="7"/>
  <c r="D349" i="7"/>
  <c r="C349" i="7"/>
  <c r="K348" i="7"/>
  <c r="G348" i="7"/>
  <c r="F348" i="7"/>
  <c r="D348" i="7"/>
  <c r="C348" i="7"/>
  <c r="K347" i="7"/>
  <c r="G347" i="7"/>
  <c r="F347" i="7"/>
  <c r="D347" i="7"/>
  <c r="C347" i="7"/>
  <c r="K346" i="7"/>
  <c r="G346" i="7"/>
  <c r="F346" i="7"/>
  <c r="D346" i="7"/>
  <c r="C346" i="7"/>
  <c r="K345" i="7"/>
  <c r="G345" i="7"/>
  <c r="F345" i="7"/>
  <c r="D345" i="7"/>
  <c r="C345" i="7"/>
  <c r="K344" i="7"/>
  <c r="G344" i="7"/>
  <c r="F344" i="7"/>
  <c r="D344" i="7"/>
  <c r="C344" i="7"/>
  <c r="K343" i="7"/>
  <c r="G343" i="7"/>
  <c r="F343" i="7"/>
  <c r="D343" i="7"/>
  <c r="C343" i="7"/>
  <c r="K342" i="7"/>
  <c r="G342" i="7"/>
  <c r="F342" i="7"/>
  <c r="D342" i="7"/>
  <c r="C342" i="7"/>
  <c r="K341" i="7"/>
  <c r="G341" i="7"/>
  <c r="F341" i="7"/>
  <c r="D341" i="7"/>
  <c r="C341" i="7"/>
  <c r="K340" i="7"/>
  <c r="G340" i="7"/>
  <c r="F340" i="7"/>
  <c r="D340" i="7"/>
  <c r="C340" i="7"/>
  <c r="K339" i="7"/>
  <c r="G339" i="7"/>
  <c r="F339" i="7"/>
  <c r="D339" i="7"/>
  <c r="C339" i="7"/>
  <c r="K338" i="7"/>
  <c r="G338" i="7"/>
  <c r="F338" i="7"/>
  <c r="D338" i="7"/>
  <c r="C338" i="7"/>
  <c r="K337" i="7"/>
  <c r="G337" i="7"/>
  <c r="F337" i="7"/>
  <c r="D337" i="7"/>
  <c r="C337" i="7"/>
  <c r="K336" i="7"/>
  <c r="G336" i="7"/>
  <c r="F336" i="7"/>
  <c r="D336" i="7"/>
  <c r="C336" i="7"/>
  <c r="K335" i="7"/>
  <c r="G335" i="7"/>
  <c r="F335" i="7"/>
  <c r="D335" i="7"/>
  <c r="C335" i="7"/>
  <c r="K334" i="7"/>
  <c r="G334" i="7"/>
  <c r="F334" i="7"/>
  <c r="D334" i="7"/>
  <c r="C334" i="7"/>
  <c r="K333" i="7"/>
  <c r="G333" i="7"/>
  <c r="F333" i="7"/>
  <c r="D333" i="7"/>
  <c r="C333" i="7"/>
  <c r="K332" i="7"/>
  <c r="G332" i="7"/>
  <c r="F332" i="7"/>
  <c r="D332" i="7"/>
  <c r="C332" i="7"/>
  <c r="K331" i="7"/>
  <c r="G331" i="7"/>
  <c r="F331" i="7"/>
  <c r="D331" i="7"/>
  <c r="C331" i="7"/>
  <c r="K330" i="7"/>
  <c r="G330" i="7"/>
  <c r="F330" i="7"/>
  <c r="D330" i="7"/>
  <c r="C330" i="7"/>
  <c r="K329" i="7"/>
  <c r="G329" i="7"/>
  <c r="F329" i="7"/>
  <c r="D329" i="7"/>
  <c r="C329" i="7"/>
  <c r="K328" i="7"/>
  <c r="G328" i="7"/>
  <c r="F328" i="7"/>
  <c r="D328" i="7"/>
  <c r="C328" i="7"/>
  <c r="K327" i="7"/>
  <c r="G327" i="7"/>
  <c r="F327" i="7"/>
  <c r="D327" i="7"/>
  <c r="C327" i="7"/>
  <c r="K326" i="7"/>
  <c r="G326" i="7"/>
  <c r="F326" i="7"/>
  <c r="D326" i="7"/>
  <c r="C326" i="7"/>
  <c r="K325" i="7"/>
  <c r="G325" i="7"/>
  <c r="F325" i="7"/>
  <c r="D325" i="7"/>
  <c r="C325" i="7"/>
  <c r="K324" i="7"/>
  <c r="G324" i="7"/>
  <c r="F324" i="7"/>
  <c r="D324" i="7"/>
  <c r="C324" i="7"/>
  <c r="K323" i="7"/>
  <c r="G323" i="7"/>
  <c r="F323" i="7"/>
  <c r="D323" i="7"/>
  <c r="C323" i="7"/>
  <c r="K322" i="7"/>
  <c r="G322" i="7"/>
  <c r="F322" i="7"/>
  <c r="D322" i="7"/>
  <c r="C322" i="7"/>
  <c r="K321" i="7"/>
  <c r="G321" i="7"/>
  <c r="F321" i="7"/>
  <c r="D321" i="7"/>
  <c r="C321" i="7"/>
  <c r="K320" i="7"/>
  <c r="G320" i="7"/>
  <c r="F320" i="7"/>
  <c r="D320" i="7"/>
  <c r="C320" i="7"/>
  <c r="K319" i="7"/>
  <c r="G319" i="7"/>
  <c r="F319" i="7"/>
  <c r="D319" i="7"/>
  <c r="C319" i="7"/>
  <c r="K318" i="7"/>
  <c r="G318" i="7"/>
  <c r="F318" i="7"/>
  <c r="D318" i="7"/>
  <c r="C318" i="7"/>
  <c r="K317" i="7"/>
  <c r="G317" i="7"/>
  <c r="F317" i="7"/>
  <c r="D317" i="7"/>
  <c r="C317" i="7"/>
  <c r="K316" i="7"/>
  <c r="G316" i="7"/>
  <c r="F316" i="7"/>
  <c r="D316" i="7"/>
  <c r="C316" i="7"/>
  <c r="K315" i="7"/>
  <c r="G315" i="7"/>
  <c r="F315" i="7"/>
  <c r="D315" i="7"/>
  <c r="C315" i="7"/>
  <c r="K314" i="7"/>
  <c r="G314" i="7"/>
  <c r="F314" i="7"/>
  <c r="D314" i="7"/>
  <c r="C314" i="7"/>
  <c r="K313" i="7"/>
  <c r="G313" i="7"/>
  <c r="F313" i="7"/>
  <c r="D313" i="7"/>
  <c r="C313" i="7"/>
  <c r="K312" i="7"/>
  <c r="G312" i="7"/>
  <c r="F312" i="7"/>
  <c r="D312" i="7"/>
  <c r="C312" i="7"/>
  <c r="K311" i="7"/>
  <c r="G311" i="7"/>
  <c r="F311" i="7"/>
  <c r="D311" i="7"/>
  <c r="C311" i="7"/>
  <c r="K310" i="7"/>
  <c r="G310" i="7"/>
  <c r="F310" i="7"/>
  <c r="D310" i="7"/>
  <c r="C310" i="7"/>
  <c r="K309" i="7"/>
  <c r="G309" i="7"/>
  <c r="F309" i="7"/>
  <c r="D309" i="7"/>
  <c r="C309" i="7"/>
  <c r="K308" i="7"/>
  <c r="G308" i="7"/>
  <c r="F308" i="7"/>
  <c r="D308" i="7"/>
  <c r="C308" i="7"/>
  <c r="K307" i="7"/>
  <c r="G307" i="7"/>
  <c r="F307" i="7"/>
  <c r="D307" i="7"/>
  <c r="C307" i="7"/>
  <c r="K306" i="7"/>
  <c r="G306" i="7"/>
  <c r="F306" i="7"/>
  <c r="D306" i="7"/>
  <c r="C306" i="7"/>
  <c r="K305" i="7"/>
  <c r="G305" i="7"/>
  <c r="F305" i="7"/>
  <c r="D305" i="7"/>
  <c r="C305" i="7"/>
  <c r="K304" i="7"/>
  <c r="G304" i="7"/>
  <c r="F304" i="7"/>
  <c r="D304" i="7"/>
  <c r="C304" i="7"/>
  <c r="K303" i="7"/>
  <c r="G303" i="7"/>
  <c r="F303" i="7"/>
  <c r="D303" i="7"/>
  <c r="C303" i="7"/>
  <c r="K302" i="7"/>
  <c r="G302" i="7"/>
  <c r="F302" i="7"/>
  <c r="D302" i="7"/>
  <c r="C302" i="7"/>
  <c r="K301" i="7"/>
  <c r="G301" i="7"/>
  <c r="F301" i="7"/>
  <c r="D301" i="7"/>
  <c r="C301" i="7"/>
  <c r="K300" i="7"/>
  <c r="G300" i="7"/>
  <c r="F300" i="7"/>
  <c r="D300" i="7"/>
  <c r="C300" i="7"/>
  <c r="K299" i="7"/>
  <c r="G299" i="7"/>
  <c r="F299" i="7"/>
  <c r="D299" i="7"/>
  <c r="C299" i="7"/>
  <c r="K298" i="7"/>
  <c r="G298" i="7"/>
  <c r="F298" i="7"/>
  <c r="D298" i="7"/>
  <c r="C298" i="7"/>
  <c r="K297" i="7"/>
  <c r="G297" i="7"/>
  <c r="F297" i="7"/>
  <c r="D297" i="7"/>
  <c r="C297" i="7"/>
  <c r="K296" i="7"/>
  <c r="G296" i="7"/>
  <c r="F296" i="7"/>
  <c r="D296" i="7"/>
  <c r="C296" i="7"/>
  <c r="K295" i="7"/>
  <c r="G295" i="7"/>
  <c r="F295" i="7"/>
  <c r="D295" i="7"/>
  <c r="C295" i="7"/>
  <c r="K294" i="7"/>
  <c r="G294" i="7"/>
  <c r="F294" i="7"/>
  <c r="D294" i="7"/>
  <c r="C294" i="7"/>
  <c r="K293" i="7"/>
  <c r="G293" i="7"/>
  <c r="F293" i="7"/>
  <c r="D293" i="7"/>
  <c r="C293" i="7"/>
  <c r="K292" i="7"/>
  <c r="G292" i="7"/>
  <c r="F292" i="7"/>
  <c r="D292" i="7"/>
  <c r="C292" i="7"/>
  <c r="K291" i="7"/>
  <c r="G291" i="7"/>
  <c r="F291" i="7"/>
  <c r="D291" i="7"/>
  <c r="C291" i="7"/>
  <c r="K290" i="7"/>
  <c r="G290" i="7"/>
  <c r="F290" i="7"/>
  <c r="D290" i="7"/>
  <c r="C290" i="7"/>
  <c r="K289" i="7"/>
  <c r="G289" i="7"/>
  <c r="F289" i="7"/>
  <c r="D289" i="7"/>
  <c r="C289" i="7"/>
  <c r="K288" i="7"/>
  <c r="G288" i="7"/>
  <c r="F288" i="7"/>
  <c r="D288" i="7"/>
  <c r="C288" i="7"/>
  <c r="K287" i="7"/>
  <c r="G287" i="7"/>
  <c r="F287" i="7"/>
  <c r="D287" i="7"/>
  <c r="C287" i="7"/>
  <c r="K286" i="7"/>
  <c r="G286" i="7"/>
  <c r="F286" i="7"/>
  <c r="D286" i="7"/>
  <c r="C286" i="7"/>
  <c r="K285" i="7"/>
  <c r="G285" i="7"/>
  <c r="F285" i="7"/>
  <c r="D285" i="7"/>
  <c r="C285" i="7"/>
  <c r="K284" i="7"/>
  <c r="G284" i="7"/>
  <c r="F284" i="7"/>
  <c r="D284" i="7"/>
  <c r="C284" i="7"/>
  <c r="K283" i="7"/>
  <c r="G283" i="7"/>
  <c r="F283" i="7"/>
  <c r="D283" i="7"/>
  <c r="C283" i="7"/>
  <c r="K282" i="7"/>
  <c r="G282" i="7"/>
  <c r="F282" i="7"/>
  <c r="D282" i="7"/>
  <c r="C282" i="7"/>
  <c r="K281" i="7"/>
  <c r="G281" i="7"/>
  <c r="F281" i="7"/>
  <c r="D281" i="7"/>
  <c r="C281" i="7"/>
  <c r="K280" i="7"/>
  <c r="G280" i="7"/>
  <c r="F280" i="7"/>
  <c r="D280" i="7"/>
  <c r="C280" i="7"/>
  <c r="K279" i="7"/>
  <c r="G279" i="7"/>
  <c r="F279" i="7"/>
  <c r="D279" i="7"/>
  <c r="C279" i="7"/>
  <c r="K278" i="7"/>
  <c r="G278" i="7"/>
  <c r="F278" i="7"/>
  <c r="D278" i="7"/>
  <c r="C278" i="7"/>
  <c r="K277" i="7"/>
  <c r="G277" i="7"/>
  <c r="F277" i="7"/>
  <c r="D277" i="7"/>
  <c r="C277" i="7"/>
  <c r="K276" i="7"/>
  <c r="G276" i="7"/>
  <c r="F276" i="7"/>
  <c r="D276" i="7"/>
  <c r="C276" i="7"/>
  <c r="K275" i="7"/>
  <c r="G275" i="7"/>
  <c r="F275" i="7"/>
  <c r="D275" i="7"/>
  <c r="C275" i="7"/>
  <c r="K274" i="7"/>
  <c r="G274" i="7"/>
  <c r="F274" i="7"/>
  <c r="D274" i="7"/>
  <c r="C274" i="7"/>
  <c r="K273" i="7"/>
  <c r="G273" i="7"/>
  <c r="F273" i="7"/>
  <c r="D273" i="7"/>
  <c r="C273" i="7"/>
  <c r="K272" i="7"/>
  <c r="G272" i="7"/>
  <c r="F272" i="7"/>
  <c r="D272" i="7"/>
  <c r="C272" i="7"/>
  <c r="K271" i="7"/>
  <c r="G271" i="7"/>
  <c r="F271" i="7"/>
  <c r="D271" i="7"/>
  <c r="C271" i="7"/>
  <c r="K270" i="7"/>
  <c r="G270" i="7"/>
  <c r="F270" i="7"/>
  <c r="D270" i="7"/>
  <c r="C270" i="7"/>
  <c r="K269" i="7"/>
  <c r="G269" i="7"/>
  <c r="F269" i="7"/>
  <c r="D269" i="7"/>
  <c r="C269" i="7"/>
  <c r="K268" i="7"/>
  <c r="G268" i="7"/>
  <c r="F268" i="7"/>
  <c r="D268" i="7"/>
  <c r="C268" i="7"/>
  <c r="K267" i="7"/>
  <c r="G267" i="7"/>
  <c r="F267" i="7"/>
  <c r="D267" i="7"/>
  <c r="C267" i="7"/>
  <c r="K266" i="7"/>
  <c r="G266" i="7"/>
  <c r="F266" i="7"/>
  <c r="D266" i="7"/>
  <c r="C266" i="7"/>
  <c r="K265" i="7"/>
  <c r="G265" i="7"/>
  <c r="F265" i="7"/>
  <c r="D265" i="7"/>
  <c r="C265" i="7"/>
  <c r="K264" i="7"/>
  <c r="G264" i="7"/>
  <c r="F264" i="7"/>
  <c r="D264" i="7"/>
  <c r="C264" i="7"/>
  <c r="K263" i="7"/>
  <c r="G263" i="7"/>
  <c r="F263" i="7"/>
  <c r="D263" i="7"/>
  <c r="C263" i="7"/>
  <c r="K262" i="7"/>
  <c r="G262" i="7"/>
  <c r="F262" i="7"/>
  <c r="D262" i="7"/>
  <c r="C262" i="7"/>
  <c r="K261" i="7"/>
  <c r="G261" i="7"/>
  <c r="F261" i="7"/>
  <c r="D261" i="7"/>
  <c r="C261" i="7"/>
  <c r="K260" i="7"/>
  <c r="G260" i="7"/>
  <c r="F260" i="7"/>
  <c r="D260" i="7"/>
  <c r="C260" i="7"/>
  <c r="K259" i="7"/>
  <c r="G259" i="7"/>
  <c r="F259" i="7"/>
  <c r="D259" i="7"/>
  <c r="C259" i="7"/>
  <c r="K258" i="7"/>
  <c r="G258" i="7"/>
  <c r="F258" i="7"/>
  <c r="D258" i="7"/>
  <c r="C258" i="7"/>
  <c r="K257" i="7"/>
  <c r="G257" i="7"/>
  <c r="F257" i="7"/>
  <c r="D257" i="7"/>
  <c r="C257" i="7"/>
  <c r="K256" i="7"/>
  <c r="G256" i="7"/>
  <c r="F256" i="7"/>
  <c r="D256" i="7"/>
  <c r="C256" i="7"/>
  <c r="K255" i="7"/>
  <c r="G255" i="7"/>
  <c r="F255" i="7"/>
  <c r="D255" i="7"/>
  <c r="C255" i="7"/>
  <c r="K254" i="7"/>
  <c r="G254" i="7"/>
  <c r="F254" i="7"/>
  <c r="D254" i="7"/>
  <c r="C254" i="7"/>
  <c r="K253" i="7"/>
  <c r="G253" i="7"/>
  <c r="F253" i="7"/>
  <c r="D253" i="7"/>
  <c r="C253" i="7"/>
  <c r="K252" i="7"/>
  <c r="G252" i="7"/>
  <c r="F252" i="7"/>
  <c r="D252" i="7"/>
  <c r="C252" i="7"/>
  <c r="K251" i="7"/>
  <c r="G251" i="7"/>
  <c r="F251" i="7"/>
  <c r="D251" i="7"/>
  <c r="C251" i="7"/>
  <c r="K250" i="7"/>
  <c r="G250" i="7"/>
  <c r="F250" i="7"/>
  <c r="D250" i="7"/>
  <c r="C250" i="7"/>
  <c r="K249" i="7"/>
  <c r="G249" i="7"/>
  <c r="F249" i="7"/>
  <c r="D249" i="7"/>
  <c r="C249" i="7"/>
  <c r="K248" i="7"/>
  <c r="G248" i="7"/>
  <c r="F248" i="7"/>
  <c r="D248" i="7"/>
  <c r="C248" i="7"/>
  <c r="K247" i="7"/>
  <c r="G247" i="7"/>
  <c r="F247" i="7"/>
  <c r="D247" i="7"/>
  <c r="C247" i="7"/>
  <c r="K246" i="7"/>
  <c r="G246" i="7"/>
  <c r="F246" i="7"/>
  <c r="D246" i="7"/>
  <c r="C246" i="7"/>
  <c r="K245" i="7"/>
  <c r="G245" i="7"/>
  <c r="F245" i="7"/>
  <c r="D245" i="7"/>
  <c r="C245" i="7"/>
  <c r="K244" i="7"/>
  <c r="G244" i="7"/>
  <c r="F244" i="7"/>
  <c r="D244" i="7"/>
  <c r="C244" i="7"/>
  <c r="K243" i="7"/>
  <c r="G243" i="7"/>
  <c r="F243" i="7"/>
  <c r="D243" i="7"/>
  <c r="C243" i="7"/>
  <c r="K242" i="7"/>
  <c r="G242" i="7"/>
  <c r="F242" i="7"/>
  <c r="D242" i="7"/>
  <c r="C242" i="7"/>
  <c r="K241" i="7"/>
  <c r="G241" i="7"/>
  <c r="F241" i="7"/>
  <c r="D241" i="7"/>
  <c r="C241" i="7"/>
  <c r="K240" i="7"/>
  <c r="G240" i="7"/>
  <c r="F240" i="7"/>
  <c r="D240" i="7"/>
  <c r="C240" i="7"/>
  <c r="K239" i="7"/>
  <c r="G239" i="7"/>
  <c r="F239" i="7"/>
  <c r="D239" i="7"/>
  <c r="C239" i="7"/>
  <c r="K238" i="7"/>
  <c r="G238" i="7"/>
  <c r="F238" i="7"/>
  <c r="D238" i="7"/>
  <c r="C238" i="7"/>
  <c r="K237" i="7"/>
  <c r="G237" i="7"/>
  <c r="F237" i="7"/>
  <c r="D237" i="7"/>
  <c r="C237" i="7"/>
  <c r="K236" i="7"/>
  <c r="G236" i="7"/>
  <c r="F236" i="7"/>
  <c r="D236" i="7"/>
  <c r="C236" i="7"/>
  <c r="K235" i="7"/>
  <c r="G235" i="7"/>
  <c r="F235" i="7"/>
  <c r="D235" i="7"/>
  <c r="C235" i="7"/>
  <c r="K234" i="7"/>
  <c r="G234" i="7"/>
  <c r="F234" i="7"/>
  <c r="D234" i="7"/>
  <c r="C234" i="7"/>
  <c r="K233" i="7"/>
  <c r="G233" i="7"/>
  <c r="F233" i="7"/>
  <c r="D233" i="7"/>
  <c r="C233" i="7"/>
  <c r="K232" i="7"/>
  <c r="G232" i="7"/>
  <c r="F232" i="7"/>
  <c r="D232" i="7"/>
  <c r="C232" i="7"/>
  <c r="K231" i="7"/>
  <c r="G231" i="7"/>
  <c r="F231" i="7"/>
  <c r="D231" i="7"/>
  <c r="C231" i="7"/>
  <c r="K230" i="7"/>
  <c r="G230" i="7"/>
  <c r="F230" i="7"/>
  <c r="D230" i="7"/>
  <c r="C230" i="7"/>
  <c r="K229" i="7"/>
  <c r="G229" i="7"/>
  <c r="F229" i="7"/>
  <c r="D229" i="7"/>
  <c r="C229" i="7"/>
  <c r="K228" i="7"/>
  <c r="G228" i="7"/>
  <c r="F228" i="7"/>
  <c r="D228" i="7"/>
  <c r="C228" i="7"/>
  <c r="K227" i="7"/>
  <c r="G227" i="7"/>
  <c r="F227" i="7"/>
  <c r="D227" i="7"/>
  <c r="C227" i="7"/>
  <c r="K226" i="7"/>
  <c r="G226" i="7"/>
  <c r="F226" i="7"/>
  <c r="D226" i="7"/>
  <c r="C226" i="7"/>
  <c r="K225" i="7"/>
  <c r="G225" i="7"/>
  <c r="F225" i="7"/>
  <c r="D225" i="7"/>
  <c r="C225" i="7"/>
  <c r="K224" i="7"/>
  <c r="G224" i="7"/>
  <c r="F224" i="7"/>
  <c r="D224" i="7"/>
  <c r="C224" i="7"/>
  <c r="K223" i="7"/>
  <c r="G223" i="7"/>
  <c r="F223" i="7"/>
  <c r="D223" i="7"/>
  <c r="C223" i="7"/>
  <c r="K222" i="7"/>
  <c r="G222" i="7"/>
  <c r="F222" i="7"/>
  <c r="D222" i="7"/>
  <c r="C222" i="7"/>
  <c r="K221" i="7"/>
  <c r="G221" i="7"/>
  <c r="F221" i="7"/>
  <c r="D221" i="7"/>
  <c r="C221" i="7"/>
  <c r="K220" i="7"/>
  <c r="G220" i="7"/>
  <c r="F220" i="7"/>
  <c r="D220" i="7"/>
  <c r="C220" i="7"/>
  <c r="K219" i="7"/>
  <c r="G219" i="7"/>
  <c r="F219" i="7"/>
  <c r="D219" i="7"/>
  <c r="C219" i="7"/>
  <c r="K218" i="7"/>
  <c r="G218" i="7"/>
  <c r="F218" i="7"/>
  <c r="D218" i="7"/>
  <c r="C218" i="7"/>
  <c r="K217" i="7"/>
  <c r="G217" i="7"/>
  <c r="F217" i="7"/>
  <c r="D217" i="7"/>
  <c r="C217" i="7"/>
  <c r="K216" i="7"/>
  <c r="G216" i="7"/>
  <c r="F216" i="7"/>
  <c r="D216" i="7"/>
  <c r="C216" i="7"/>
  <c r="K215" i="7"/>
  <c r="G215" i="7"/>
  <c r="F215" i="7"/>
  <c r="D215" i="7"/>
  <c r="C215" i="7"/>
  <c r="K214" i="7"/>
  <c r="G214" i="7"/>
  <c r="F214" i="7"/>
  <c r="D214" i="7"/>
  <c r="C214" i="7"/>
  <c r="K213" i="7"/>
  <c r="G213" i="7"/>
  <c r="F213" i="7"/>
  <c r="D213" i="7"/>
  <c r="C213" i="7"/>
  <c r="K212" i="7"/>
  <c r="G212" i="7"/>
  <c r="F212" i="7"/>
  <c r="D212" i="7"/>
  <c r="C212" i="7"/>
  <c r="K211" i="7"/>
  <c r="G211" i="7"/>
  <c r="F211" i="7"/>
  <c r="D211" i="7"/>
  <c r="C211" i="7"/>
  <c r="K210" i="7"/>
  <c r="G210" i="7"/>
  <c r="F210" i="7"/>
  <c r="D210" i="7"/>
  <c r="C210" i="7"/>
  <c r="K209" i="7"/>
  <c r="G209" i="7"/>
  <c r="F209" i="7"/>
  <c r="D209" i="7"/>
  <c r="C209" i="7"/>
  <c r="K208" i="7"/>
  <c r="G208" i="7"/>
  <c r="F208" i="7"/>
  <c r="D208" i="7"/>
  <c r="C208" i="7"/>
  <c r="K207" i="7"/>
  <c r="G207" i="7"/>
  <c r="F207" i="7"/>
  <c r="D207" i="7"/>
  <c r="C207" i="7"/>
  <c r="K206" i="7"/>
  <c r="G206" i="7"/>
  <c r="F206" i="7"/>
  <c r="D206" i="7"/>
  <c r="C206" i="7"/>
  <c r="K205" i="7"/>
  <c r="G205" i="7"/>
  <c r="F205" i="7"/>
  <c r="D205" i="7"/>
  <c r="C205" i="7"/>
  <c r="K204" i="7"/>
  <c r="G204" i="7"/>
  <c r="F204" i="7"/>
  <c r="D204" i="7"/>
  <c r="C204" i="7"/>
  <c r="K203" i="7"/>
  <c r="G203" i="7"/>
  <c r="F203" i="7"/>
  <c r="D203" i="7"/>
  <c r="C203" i="7"/>
  <c r="K202" i="7"/>
  <c r="G202" i="7"/>
  <c r="F202" i="7"/>
  <c r="D202" i="7"/>
  <c r="C202" i="7"/>
  <c r="K201" i="7"/>
  <c r="G201" i="7"/>
  <c r="F201" i="7"/>
  <c r="D201" i="7"/>
  <c r="C201" i="7"/>
  <c r="K200" i="7"/>
  <c r="G200" i="7"/>
  <c r="F200" i="7"/>
  <c r="D200" i="7"/>
  <c r="C200" i="7"/>
  <c r="K199" i="7"/>
  <c r="G199" i="7"/>
  <c r="F199" i="7"/>
  <c r="D199" i="7"/>
  <c r="C199" i="7"/>
  <c r="K198" i="7"/>
  <c r="G198" i="7"/>
  <c r="F198" i="7"/>
  <c r="D198" i="7"/>
  <c r="C198" i="7"/>
  <c r="K197" i="7"/>
  <c r="G197" i="7"/>
  <c r="F197" i="7"/>
  <c r="D197" i="7"/>
  <c r="C197" i="7"/>
  <c r="K196" i="7"/>
  <c r="G196" i="7"/>
  <c r="F196" i="7"/>
  <c r="D196" i="7"/>
  <c r="C196" i="7"/>
  <c r="K195" i="7"/>
  <c r="G195" i="7"/>
  <c r="F195" i="7"/>
  <c r="D195" i="7"/>
  <c r="C195" i="7"/>
  <c r="K194" i="7"/>
  <c r="G194" i="7"/>
  <c r="F194" i="7"/>
  <c r="D194" i="7"/>
  <c r="C194" i="7"/>
  <c r="K193" i="7"/>
  <c r="G193" i="7"/>
  <c r="F193" i="7"/>
  <c r="D193" i="7"/>
  <c r="C193" i="7"/>
  <c r="K192" i="7"/>
  <c r="G192" i="7"/>
  <c r="F192" i="7"/>
  <c r="D192" i="7"/>
  <c r="C192" i="7"/>
  <c r="K191" i="7"/>
  <c r="G191" i="7"/>
  <c r="F191" i="7"/>
  <c r="D191" i="7"/>
  <c r="C191" i="7"/>
  <c r="K190" i="7"/>
  <c r="G190" i="7"/>
  <c r="F190" i="7"/>
  <c r="D190" i="7"/>
  <c r="C190" i="7"/>
  <c r="K189" i="7"/>
  <c r="G189" i="7"/>
  <c r="F189" i="7"/>
  <c r="D189" i="7"/>
  <c r="C189" i="7"/>
  <c r="K188" i="7"/>
  <c r="G188" i="7"/>
  <c r="F188" i="7"/>
  <c r="D188" i="7"/>
  <c r="C188" i="7"/>
  <c r="K187" i="7"/>
  <c r="G187" i="7"/>
  <c r="F187" i="7"/>
  <c r="D187" i="7"/>
  <c r="C187" i="7"/>
  <c r="K186" i="7"/>
  <c r="G186" i="7"/>
  <c r="F186" i="7"/>
  <c r="D186" i="7"/>
  <c r="C186" i="7"/>
  <c r="K185" i="7"/>
  <c r="G185" i="7"/>
  <c r="F185" i="7"/>
  <c r="D185" i="7"/>
  <c r="C185" i="7"/>
  <c r="K184" i="7"/>
  <c r="G184" i="7"/>
  <c r="F184" i="7"/>
  <c r="D184" i="7"/>
  <c r="C184" i="7"/>
  <c r="K183" i="7"/>
  <c r="G183" i="7"/>
  <c r="F183" i="7"/>
  <c r="D183" i="7"/>
  <c r="C183" i="7"/>
  <c r="K182" i="7"/>
  <c r="G182" i="7"/>
  <c r="F182" i="7"/>
  <c r="D182" i="7"/>
  <c r="C182" i="7"/>
  <c r="K181" i="7"/>
  <c r="G181" i="7"/>
  <c r="F181" i="7"/>
  <c r="D181" i="7"/>
  <c r="C181" i="7"/>
  <c r="K180" i="7"/>
  <c r="G180" i="7"/>
  <c r="F180" i="7"/>
  <c r="D180" i="7"/>
  <c r="C180" i="7"/>
  <c r="K179" i="7"/>
  <c r="G179" i="7"/>
  <c r="F179" i="7"/>
  <c r="D179" i="7"/>
  <c r="C179" i="7"/>
  <c r="K178" i="7"/>
  <c r="G178" i="7"/>
  <c r="F178" i="7"/>
  <c r="D178" i="7"/>
  <c r="C178" i="7"/>
  <c r="K177" i="7"/>
  <c r="G177" i="7"/>
  <c r="F177" i="7"/>
  <c r="D177" i="7"/>
  <c r="C177" i="7"/>
  <c r="K176" i="7"/>
  <c r="G176" i="7"/>
  <c r="F176" i="7"/>
  <c r="D176" i="7"/>
  <c r="C176" i="7"/>
  <c r="K175" i="7"/>
  <c r="G175" i="7"/>
  <c r="F175" i="7"/>
  <c r="D175" i="7"/>
  <c r="C175" i="7"/>
  <c r="K174" i="7"/>
  <c r="G174" i="7"/>
  <c r="F174" i="7"/>
  <c r="D174" i="7"/>
  <c r="C174" i="7"/>
  <c r="K173" i="7"/>
  <c r="G173" i="7"/>
  <c r="F173" i="7"/>
  <c r="D173" i="7"/>
  <c r="C173" i="7"/>
  <c r="K172" i="7"/>
  <c r="G172" i="7"/>
  <c r="F172" i="7"/>
  <c r="D172" i="7"/>
  <c r="C172" i="7"/>
  <c r="K171" i="7"/>
  <c r="G171" i="7"/>
  <c r="F171" i="7"/>
  <c r="D171" i="7"/>
  <c r="C171" i="7"/>
  <c r="K170" i="7"/>
  <c r="G170" i="7"/>
  <c r="F170" i="7"/>
  <c r="D170" i="7"/>
  <c r="C170" i="7"/>
  <c r="K169" i="7"/>
  <c r="G169" i="7"/>
  <c r="F169" i="7"/>
  <c r="D169" i="7"/>
  <c r="C169" i="7"/>
  <c r="K168" i="7"/>
  <c r="G168" i="7"/>
  <c r="F168" i="7"/>
  <c r="D168" i="7"/>
  <c r="C168" i="7"/>
  <c r="K167" i="7"/>
  <c r="G167" i="7"/>
  <c r="F167" i="7"/>
  <c r="D167" i="7"/>
  <c r="C167" i="7"/>
  <c r="K166" i="7"/>
  <c r="G166" i="7"/>
  <c r="F166" i="7"/>
  <c r="D166" i="7"/>
  <c r="C166" i="7"/>
  <c r="K165" i="7"/>
  <c r="G165" i="7"/>
  <c r="F165" i="7"/>
  <c r="D165" i="7"/>
  <c r="C165" i="7"/>
  <c r="K164" i="7"/>
  <c r="G164" i="7"/>
  <c r="F164" i="7"/>
  <c r="D164" i="7"/>
  <c r="C164" i="7"/>
  <c r="K163" i="7"/>
  <c r="G163" i="7"/>
  <c r="F163" i="7"/>
  <c r="D163" i="7"/>
  <c r="C163" i="7"/>
  <c r="K162" i="7"/>
  <c r="G162" i="7"/>
  <c r="F162" i="7"/>
  <c r="D162" i="7"/>
  <c r="C162" i="7"/>
  <c r="K161" i="7"/>
  <c r="G161" i="7"/>
  <c r="F161" i="7"/>
  <c r="D161" i="7"/>
  <c r="C161" i="7"/>
  <c r="K160" i="7"/>
  <c r="G160" i="7"/>
  <c r="F160" i="7"/>
  <c r="D160" i="7"/>
  <c r="C160" i="7"/>
  <c r="K159" i="7"/>
  <c r="G159" i="7"/>
  <c r="F159" i="7"/>
  <c r="D159" i="7"/>
  <c r="C159" i="7"/>
  <c r="K158" i="7"/>
  <c r="G158" i="7"/>
  <c r="F158" i="7"/>
  <c r="D158" i="7"/>
  <c r="C158" i="7"/>
  <c r="K157" i="7"/>
  <c r="G157" i="7"/>
  <c r="F157" i="7"/>
  <c r="D157" i="7"/>
  <c r="C157" i="7"/>
  <c r="K156" i="7"/>
  <c r="G156" i="7"/>
  <c r="F156" i="7"/>
  <c r="D156" i="7"/>
  <c r="C156" i="7"/>
  <c r="K155" i="7"/>
  <c r="G155" i="7"/>
  <c r="F155" i="7"/>
  <c r="D155" i="7"/>
  <c r="C155" i="7"/>
  <c r="K154" i="7"/>
  <c r="G154" i="7"/>
  <c r="F154" i="7"/>
  <c r="D154" i="7"/>
  <c r="C154" i="7"/>
  <c r="K153" i="7"/>
  <c r="G153" i="7"/>
  <c r="F153" i="7"/>
  <c r="D153" i="7"/>
  <c r="C153" i="7"/>
  <c r="K152" i="7"/>
  <c r="G152" i="7"/>
  <c r="F152" i="7"/>
  <c r="D152" i="7"/>
  <c r="C152" i="7"/>
  <c r="K151" i="7"/>
  <c r="G151" i="7"/>
  <c r="F151" i="7"/>
  <c r="D151" i="7"/>
  <c r="C151" i="7"/>
  <c r="K150" i="7"/>
  <c r="G150" i="7"/>
  <c r="F150" i="7"/>
  <c r="D150" i="7"/>
  <c r="C150" i="7"/>
  <c r="K149" i="7"/>
  <c r="G149" i="7"/>
  <c r="F149" i="7"/>
  <c r="D149" i="7"/>
  <c r="C149" i="7"/>
  <c r="K148" i="7"/>
  <c r="G148" i="7"/>
  <c r="F148" i="7"/>
  <c r="D148" i="7"/>
  <c r="C148" i="7"/>
  <c r="K147" i="7"/>
  <c r="G147" i="7"/>
  <c r="F147" i="7"/>
  <c r="D147" i="7"/>
  <c r="C147" i="7"/>
  <c r="K146" i="7"/>
  <c r="G146" i="7"/>
  <c r="F146" i="7"/>
  <c r="D146" i="7"/>
  <c r="C146" i="7"/>
  <c r="K145" i="7"/>
  <c r="G145" i="7"/>
  <c r="F145" i="7"/>
  <c r="D145" i="7"/>
  <c r="C145" i="7"/>
  <c r="K144" i="7"/>
  <c r="G144" i="7"/>
  <c r="F144" i="7"/>
  <c r="D144" i="7"/>
  <c r="C144" i="7"/>
  <c r="K143" i="7"/>
  <c r="G143" i="7"/>
  <c r="F143" i="7"/>
  <c r="D143" i="7"/>
  <c r="C143" i="7"/>
  <c r="K142" i="7"/>
  <c r="G142" i="7"/>
  <c r="F142" i="7"/>
  <c r="D142" i="7"/>
  <c r="C142" i="7"/>
  <c r="K141" i="7"/>
  <c r="G141" i="7"/>
  <c r="F141" i="7"/>
  <c r="D141" i="7"/>
  <c r="C141" i="7"/>
  <c r="K140" i="7"/>
  <c r="G140" i="7"/>
  <c r="F140" i="7"/>
  <c r="D140" i="7"/>
  <c r="C140" i="7"/>
  <c r="K139" i="7"/>
  <c r="G139" i="7"/>
  <c r="F139" i="7"/>
  <c r="D139" i="7"/>
  <c r="C139" i="7"/>
  <c r="K138" i="7"/>
  <c r="G138" i="7"/>
  <c r="F138" i="7"/>
  <c r="D138" i="7"/>
  <c r="C138" i="7"/>
  <c r="K137" i="7"/>
  <c r="G137" i="7"/>
  <c r="F137" i="7"/>
  <c r="D137" i="7"/>
  <c r="C137" i="7"/>
  <c r="K136" i="7"/>
  <c r="G136" i="7"/>
  <c r="F136" i="7"/>
  <c r="D136" i="7"/>
  <c r="C136" i="7"/>
  <c r="K135" i="7"/>
  <c r="G135" i="7"/>
  <c r="F135" i="7"/>
  <c r="D135" i="7"/>
  <c r="C135" i="7"/>
  <c r="K134" i="7"/>
  <c r="G134" i="7"/>
  <c r="F134" i="7"/>
  <c r="D134" i="7"/>
  <c r="C134" i="7"/>
  <c r="K133" i="7"/>
  <c r="G133" i="7"/>
  <c r="F133" i="7"/>
  <c r="D133" i="7"/>
  <c r="C133" i="7"/>
  <c r="K132" i="7"/>
  <c r="G132" i="7"/>
  <c r="F132" i="7"/>
  <c r="D132" i="7"/>
  <c r="C132" i="7"/>
  <c r="K131" i="7"/>
  <c r="G131" i="7"/>
  <c r="F131" i="7"/>
  <c r="D131" i="7"/>
  <c r="C131" i="7"/>
  <c r="K130" i="7"/>
  <c r="G130" i="7"/>
  <c r="F130" i="7"/>
  <c r="D130" i="7"/>
  <c r="C130" i="7"/>
  <c r="K129" i="7"/>
  <c r="G129" i="7"/>
  <c r="F129" i="7"/>
  <c r="D129" i="7"/>
  <c r="C129" i="7"/>
  <c r="K128" i="7"/>
  <c r="G128" i="7"/>
  <c r="F128" i="7"/>
  <c r="D128" i="7"/>
  <c r="C128" i="7"/>
  <c r="K127" i="7"/>
  <c r="G127" i="7"/>
  <c r="F127" i="7"/>
  <c r="D127" i="7"/>
  <c r="C127" i="7"/>
  <c r="K126" i="7"/>
  <c r="G126" i="7"/>
  <c r="F126" i="7"/>
  <c r="D126" i="7"/>
  <c r="C126" i="7"/>
  <c r="K125" i="7"/>
  <c r="G125" i="7"/>
  <c r="F125" i="7"/>
  <c r="D125" i="7"/>
  <c r="C125" i="7"/>
  <c r="K124" i="7"/>
  <c r="G124" i="7"/>
  <c r="F124" i="7"/>
  <c r="D124" i="7"/>
  <c r="C124" i="7"/>
  <c r="K123" i="7"/>
  <c r="G123" i="7"/>
  <c r="F123" i="7"/>
  <c r="D123" i="7"/>
  <c r="C123" i="7"/>
  <c r="K122" i="7"/>
  <c r="G122" i="7"/>
  <c r="F122" i="7"/>
  <c r="D122" i="7"/>
  <c r="C122" i="7"/>
  <c r="K121" i="7"/>
  <c r="G121" i="7"/>
  <c r="F121" i="7"/>
  <c r="D121" i="7"/>
  <c r="C121" i="7"/>
  <c r="K120" i="7"/>
  <c r="G120" i="7"/>
  <c r="F120" i="7"/>
  <c r="D120" i="7"/>
  <c r="C120" i="7"/>
  <c r="K119" i="7"/>
  <c r="G119" i="7"/>
  <c r="F119" i="7"/>
  <c r="D119" i="7"/>
  <c r="C119" i="7"/>
  <c r="K118" i="7"/>
  <c r="G118" i="7"/>
  <c r="F118" i="7"/>
  <c r="D118" i="7"/>
  <c r="C118" i="7"/>
  <c r="K117" i="7"/>
  <c r="G117" i="7"/>
  <c r="F117" i="7"/>
  <c r="D117" i="7"/>
  <c r="C117" i="7"/>
  <c r="K116" i="7"/>
  <c r="G116" i="7"/>
  <c r="F116" i="7"/>
  <c r="D116" i="7"/>
  <c r="C116" i="7"/>
  <c r="K115" i="7"/>
  <c r="G115" i="7"/>
  <c r="F115" i="7"/>
  <c r="D115" i="7"/>
  <c r="C115" i="7"/>
  <c r="K114" i="7"/>
  <c r="G114" i="7"/>
  <c r="F114" i="7"/>
  <c r="D114" i="7"/>
  <c r="C114" i="7"/>
  <c r="K113" i="7"/>
  <c r="G113" i="7"/>
  <c r="F113" i="7"/>
  <c r="D113" i="7"/>
  <c r="C113" i="7"/>
  <c r="K112" i="7"/>
  <c r="G112" i="7"/>
  <c r="F112" i="7"/>
  <c r="D112" i="7"/>
  <c r="C112" i="7"/>
  <c r="K111" i="7"/>
  <c r="G111" i="7"/>
  <c r="F111" i="7"/>
  <c r="D111" i="7"/>
  <c r="C111" i="7"/>
  <c r="K110" i="7"/>
  <c r="G110" i="7"/>
  <c r="F110" i="7"/>
  <c r="D110" i="7"/>
  <c r="C110" i="7"/>
  <c r="K109" i="7"/>
  <c r="G109" i="7"/>
  <c r="F109" i="7"/>
  <c r="D109" i="7"/>
  <c r="C109" i="7"/>
  <c r="K108" i="7"/>
  <c r="G108" i="7"/>
  <c r="F108" i="7"/>
  <c r="D108" i="7"/>
  <c r="C108" i="7"/>
  <c r="K107" i="7"/>
  <c r="G107" i="7"/>
  <c r="F107" i="7"/>
  <c r="D107" i="7"/>
  <c r="C107" i="7"/>
  <c r="K106" i="7"/>
  <c r="G106" i="7"/>
  <c r="F106" i="7"/>
  <c r="D106" i="7"/>
  <c r="C106" i="7"/>
  <c r="K105" i="7"/>
  <c r="G105" i="7"/>
  <c r="F105" i="7"/>
  <c r="D105" i="7"/>
  <c r="C105" i="7"/>
  <c r="K104" i="7"/>
  <c r="G104" i="7"/>
  <c r="F104" i="7"/>
  <c r="D104" i="7"/>
  <c r="C104" i="7"/>
  <c r="K103" i="7"/>
  <c r="G103" i="7"/>
  <c r="F103" i="7"/>
  <c r="D103" i="7"/>
  <c r="C103" i="7"/>
  <c r="K102" i="7"/>
  <c r="G102" i="7"/>
  <c r="F102" i="7"/>
  <c r="D102" i="7"/>
  <c r="C102" i="7"/>
  <c r="K101" i="7"/>
  <c r="G101" i="7"/>
  <c r="F101" i="7"/>
  <c r="D101" i="7"/>
  <c r="C101" i="7"/>
  <c r="K100" i="7"/>
  <c r="G100" i="7"/>
  <c r="F100" i="7"/>
  <c r="D100" i="7"/>
  <c r="C100" i="7"/>
  <c r="K99" i="7"/>
  <c r="G99" i="7"/>
  <c r="F99" i="7"/>
  <c r="D99" i="7"/>
  <c r="C99" i="7"/>
  <c r="K98" i="7"/>
  <c r="G98" i="7"/>
  <c r="F98" i="7"/>
  <c r="D98" i="7"/>
  <c r="C98" i="7"/>
  <c r="K97" i="7"/>
  <c r="G97" i="7"/>
  <c r="F97" i="7"/>
  <c r="D97" i="7"/>
  <c r="C97" i="7"/>
  <c r="K96" i="7"/>
  <c r="G96" i="7"/>
  <c r="F96" i="7"/>
  <c r="D96" i="7"/>
  <c r="C96" i="7"/>
  <c r="K95" i="7"/>
  <c r="G95" i="7"/>
  <c r="F95" i="7"/>
  <c r="D95" i="7"/>
  <c r="C95" i="7"/>
  <c r="K94" i="7"/>
  <c r="G94" i="7"/>
  <c r="F94" i="7"/>
  <c r="D94" i="7"/>
  <c r="C94" i="7"/>
  <c r="K93" i="7"/>
  <c r="G93" i="7"/>
  <c r="F93" i="7"/>
  <c r="D93" i="7"/>
  <c r="C93" i="7"/>
  <c r="K92" i="7"/>
  <c r="G92" i="7"/>
  <c r="F92" i="7"/>
  <c r="D92" i="7"/>
  <c r="C92" i="7"/>
  <c r="K91" i="7"/>
  <c r="G91" i="7"/>
  <c r="F91" i="7"/>
  <c r="D91" i="7"/>
  <c r="C91" i="7"/>
  <c r="K90" i="7"/>
  <c r="G90" i="7"/>
  <c r="F90" i="7"/>
  <c r="D90" i="7"/>
  <c r="C90" i="7"/>
  <c r="K89" i="7"/>
  <c r="G89" i="7"/>
  <c r="F89" i="7"/>
  <c r="D89" i="7"/>
  <c r="C89" i="7"/>
  <c r="K88" i="7"/>
  <c r="G88" i="7"/>
  <c r="F88" i="7"/>
  <c r="D88" i="7"/>
  <c r="C88" i="7"/>
  <c r="K87" i="7"/>
  <c r="G87" i="7"/>
  <c r="F87" i="7"/>
  <c r="D87" i="7"/>
  <c r="C87" i="7"/>
  <c r="K86" i="7"/>
  <c r="G86" i="7"/>
  <c r="F86" i="7"/>
  <c r="D86" i="7"/>
  <c r="C86" i="7"/>
  <c r="K85" i="7"/>
  <c r="G85" i="7"/>
  <c r="F85" i="7"/>
  <c r="D85" i="7"/>
  <c r="C85" i="7"/>
  <c r="K84" i="7"/>
  <c r="G84" i="7"/>
  <c r="F84" i="7"/>
  <c r="D84" i="7"/>
  <c r="C84" i="7"/>
  <c r="K83" i="7"/>
  <c r="G83" i="7"/>
  <c r="F83" i="7"/>
  <c r="D83" i="7"/>
  <c r="C83" i="7"/>
  <c r="K82" i="7"/>
  <c r="G82" i="7"/>
  <c r="F82" i="7"/>
  <c r="D82" i="7"/>
  <c r="C82" i="7"/>
  <c r="K81" i="7"/>
  <c r="G81" i="7"/>
  <c r="F81" i="7"/>
  <c r="D81" i="7"/>
  <c r="C81" i="7"/>
  <c r="K80" i="7"/>
  <c r="G80" i="7"/>
  <c r="F80" i="7"/>
  <c r="D80" i="7"/>
  <c r="C80" i="7"/>
  <c r="K79" i="7"/>
  <c r="G79" i="7"/>
  <c r="F79" i="7"/>
  <c r="D79" i="7"/>
  <c r="C79" i="7"/>
  <c r="K78" i="7"/>
  <c r="G78" i="7"/>
  <c r="F78" i="7"/>
  <c r="D78" i="7"/>
  <c r="C78" i="7"/>
  <c r="K77" i="7"/>
  <c r="G77" i="7"/>
  <c r="F77" i="7"/>
  <c r="D77" i="7"/>
  <c r="C77" i="7"/>
  <c r="K76" i="7"/>
  <c r="G76" i="7"/>
  <c r="F76" i="7"/>
  <c r="D76" i="7"/>
  <c r="C76" i="7"/>
  <c r="K75" i="7"/>
  <c r="G75" i="7"/>
  <c r="F75" i="7"/>
  <c r="D75" i="7"/>
  <c r="C75" i="7"/>
  <c r="K74" i="7"/>
  <c r="G74" i="7"/>
  <c r="F74" i="7"/>
  <c r="D74" i="7"/>
  <c r="C74" i="7"/>
  <c r="K73" i="7"/>
  <c r="G73" i="7"/>
  <c r="F73" i="7"/>
  <c r="D73" i="7"/>
  <c r="C73" i="7"/>
  <c r="K72" i="7"/>
  <c r="G72" i="7"/>
  <c r="F72" i="7"/>
  <c r="D72" i="7"/>
  <c r="C72" i="7"/>
  <c r="K71" i="7"/>
  <c r="G71" i="7"/>
  <c r="F71" i="7"/>
  <c r="D71" i="7"/>
  <c r="C71" i="7"/>
  <c r="K70" i="7"/>
  <c r="G70" i="7"/>
  <c r="F70" i="7"/>
  <c r="D70" i="7"/>
  <c r="C70" i="7"/>
  <c r="K69" i="7"/>
  <c r="G69" i="7"/>
  <c r="F69" i="7"/>
  <c r="D69" i="7"/>
  <c r="C69" i="7"/>
  <c r="K68" i="7"/>
  <c r="G68" i="7"/>
  <c r="F68" i="7"/>
  <c r="D68" i="7"/>
  <c r="C68" i="7"/>
  <c r="K67" i="7"/>
  <c r="G67" i="7"/>
  <c r="F67" i="7"/>
  <c r="D67" i="7"/>
  <c r="C67" i="7"/>
  <c r="K66" i="7"/>
  <c r="G66" i="7"/>
  <c r="F66" i="7"/>
  <c r="D66" i="7"/>
  <c r="C66" i="7"/>
  <c r="K65" i="7"/>
  <c r="G65" i="7"/>
  <c r="F65" i="7"/>
  <c r="D65" i="7"/>
  <c r="C65" i="7"/>
  <c r="K64" i="7"/>
  <c r="G64" i="7"/>
  <c r="F64" i="7"/>
  <c r="D64" i="7"/>
  <c r="C64" i="7"/>
  <c r="K63" i="7"/>
  <c r="G63" i="7"/>
  <c r="F63" i="7"/>
  <c r="D63" i="7"/>
  <c r="C63" i="7"/>
  <c r="K62" i="7"/>
  <c r="G62" i="7"/>
  <c r="F62" i="7"/>
  <c r="D62" i="7"/>
  <c r="C62" i="7"/>
  <c r="K61" i="7"/>
  <c r="G61" i="7"/>
  <c r="F61" i="7"/>
  <c r="D61" i="7"/>
  <c r="C61" i="7"/>
  <c r="K60" i="7"/>
  <c r="G60" i="7"/>
  <c r="F60" i="7"/>
  <c r="D60" i="7"/>
  <c r="C60" i="7"/>
  <c r="K59" i="7"/>
  <c r="G59" i="7"/>
  <c r="F59" i="7"/>
  <c r="D59" i="7"/>
  <c r="C59" i="7"/>
  <c r="K58" i="7"/>
  <c r="G58" i="7"/>
  <c r="F58" i="7"/>
  <c r="D58" i="7"/>
  <c r="C58" i="7"/>
  <c r="K57" i="7"/>
  <c r="G57" i="7"/>
  <c r="F57" i="7"/>
  <c r="D57" i="7"/>
  <c r="C57" i="7"/>
  <c r="K56" i="7"/>
  <c r="G56" i="7"/>
  <c r="F56" i="7"/>
  <c r="D56" i="7"/>
  <c r="C56" i="7"/>
  <c r="K55" i="7"/>
  <c r="G55" i="7"/>
  <c r="F55" i="7"/>
  <c r="D55" i="7"/>
  <c r="C55" i="7"/>
  <c r="K54" i="7"/>
  <c r="G54" i="7"/>
  <c r="F54" i="7"/>
  <c r="D54" i="7"/>
  <c r="C54" i="7"/>
  <c r="K53" i="7"/>
  <c r="G53" i="7"/>
  <c r="F53" i="7"/>
  <c r="D53" i="7"/>
  <c r="C53" i="7"/>
  <c r="K52" i="7"/>
  <c r="G52" i="7"/>
  <c r="F52" i="7"/>
  <c r="D52" i="7"/>
  <c r="C52" i="7"/>
  <c r="K51" i="7"/>
  <c r="G51" i="7"/>
  <c r="F51" i="7"/>
  <c r="D51" i="7"/>
  <c r="C51" i="7"/>
  <c r="K50" i="7"/>
  <c r="G50" i="7"/>
  <c r="F50" i="7"/>
  <c r="D50" i="7"/>
  <c r="C50" i="7"/>
  <c r="K49" i="7"/>
  <c r="G49" i="7"/>
  <c r="F49" i="7"/>
  <c r="D49" i="7"/>
  <c r="C49" i="7"/>
  <c r="K48" i="7"/>
  <c r="G48" i="7"/>
  <c r="F48" i="7"/>
  <c r="D48" i="7"/>
  <c r="C48" i="7"/>
  <c r="K47" i="7"/>
  <c r="G47" i="7"/>
  <c r="F47" i="7"/>
  <c r="D47" i="7"/>
  <c r="C47" i="7"/>
  <c r="K46" i="7"/>
  <c r="G46" i="7"/>
  <c r="F46" i="7"/>
  <c r="D46" i="7"/>
  <c r="C46" i="7"/>
  <c r="K45" i="7"/>
  <c r="G45" i="7"/>
  <c r="F45" i="7"/>
  <c r="D45" i="7"/>
  <c r="C45" i="7"/>
  <c r="K44" i="7"/>
  <c r="G44" i="7"/>
  <c r="F44" i="7"/>
  <c r="D44" i="7"/>
  <c r="C44" i="7"/>
  <c r="K43" i="7"/>
  <c r="G43" i="7"/>
  <c r="F43" i="7"/>
  <c r="D43" i="7"/>
  <c r="C43" i="7"/>
  <c r="K42" i="7"/>
  <c r="G42" i="7"/>
  <c r="F42" i="7"/>
  <c r="D42" i="7"/>
  <c r="C42" i="7"/>
  <c r="K41" i="7"/>
  <c r="G41" i="7"/>
  <c r="F41" i="7"/>
  <c r="D41" i="7"/>
  <c r="C41" i="7"/>
  <c r="K40" i="7"/>
  <c r="G40" i="7"/>
  <c r="F40" i="7"/>
  <c r="D40" i="7"/>
  <c r="C40" i="7"/>
  <c r="K39" i="7"/>
  <c r="G39" i="7"/>
  <c r="F39" i="7"/>
  <c r="D39" i="7"/>
  <c r="C39" i="7"/>
  <c r="K38" i="7"/>
  <c r="G38" i="7"/>
  <c r="F38" i="7"/>
  <c r="D38" i="7"/>
  <c r="C38" i="7"/>
  <c r="K37" i="7"/>
  <c r="G37" i="7"/>
  <c r="F37" i="7"/>
  <c r="D37" i="7"/>
  <c r="C37" i="7"/>
  <c r="K36" i="7"/>
  <c r="G36" i="7"/>
  <c r="F36" i="7"/>
  <c r="D36" i="7"/>
  <c r="C36" i="7"/>
  <c r="K35" i="7"/>
  <c r="G35" i="7"/>
  <c r="F35" i="7"/>
  <c r="D35" i="7"/>
  <c r="C35" i="7"/>
  <c r="K34" i="7"/>
  <c r="G34" i="7"/>
  <c r="F34" i="7"/>
  <c r="D34" i="7"/>
  <c r="C34" i="7"/>
  <c r="K33" i="7"/>
  <c r="G33" i="7"/>
  <c r="F33" i="7"/>
  <c r="D33" i="7"/>
  <c r="C33" i="7"/>
  <c r="K32" i="7"/>
  <c r="G32" i="7"/>
  <c r="F32" i="7"/>
  <c r="D32" i="7"/>
  <c r="C32" i="7"/>
  <c r="K31" i="7"/>
  <c r="G31" i="7"/>
  <c r="F31" i="7"/>
  <c r="D31" i="7"/>
  <c r="C31" i="7"/>
  <c r="K30" i="7"/>
  <c r="G30" i="7"/>
  <c r="F30" i="7"/>
  <c r="D30" i="7"/>
  <c r="C30" i="7"/>
  <c r="K29" i="7"/>
  <c r="G29" i="7"/>
  <c r="F29" i="7"/>
  <c r="D29" i="7"/>
  <c r="C29" i="7"/>
  <c r="K28" i="7"/>
  <c r="G28" i="7"/>
  <c r="F28" i="7"/>
  <c r="D28" i="7"/>
  <c r="C28" i="7"/>
  <c r="K27" i="7"/>
  <c r="G27" i="7"/>
  <c r="F27" i="7"/>
  <c r="D27" i="7"/>
  <c r="C27" i="7"/>
  <c r="K26" i="7"/>
  <c r="G26" i="7"/>
  <c r="F26" i="7"/>
  <c r="D26" i="7"/>
  <c r="C26" i="7"/>
  <c r="K25" i="7"/>
  <c r="G25" i="7"/>
  <c r="F25" i="7"/>
  <c r="D25" i="7"/>
  <c r="C25" i="7"/>
  <c r="K24" i="7"/>
  <c r="G24" i="7"/>
  <c r="F24" i="7"/>
  <c r="D24" i="7"/>
  <c r="C24" i="7"/>
  <c r="K23" i="7"/>
  <c r="G23" i="7"/>
  <c r="F23" i="7"/>
  <c r="D23" i="7"/>
  <c r="C23" i="7"/>
  <c r="K22" i="7"/>
  <c r="G22" i="7"/>
  <c r="F22" i="7"/>
  <c r="D22" i="7"/>
  <c r="C22" i="7"/>
  <c r="K21" i="7"/>
  <c r="G21" i="7"/>
  <c r="F21" i="7"/>
  <c r="D21" i="7"/>
  <c r="C21" i="7"/>
  <c r="K20" i="7"/>
  <c r="G20" i="7"/>
  <c r="F20" i="7"/>
  <c r="D20" i="7"/>
  <c r="C20" i="7"/>
  <c r="K19" i="7"/>
  <c r="G19" i="7"/>
  <c r="F19" i="7"/>
  <c r="D19" i="7"/>
  <c r="C19" i="7"/>
  <c r="K18" i="7"/>
  <c r="G18" i="7"/>
  <c r="F18" i="7"/>
  <c r="D18" i="7"/>
  <c r="C18" i="7"/>
  <c r="K17" i="7"/>
  <c r="G17" i="7"/>
  <c r="F17" i="7"/>
  <c r="D17" i="7"/>
  <c r="C17" i="7"/>
  <c r="K16" i="7"/>
  <c r="G16" i="7"/>
  <c r="F16" i="7"/>
  <c r="D16" i="7"/>
  <c r="C16" i="7"/>
  <c r="K15" i="7"/>
  <c r="G15" i="7"/>
  <c r="F15" i="7"/>
  <c r="D15" i="7"/>
  <c r="C15" i="7"/>
  <c r="K14" i="7"/>
  <c r="G14" i="7"/>
  <c r="F14" i="7"/>
  <c r="D14" i="7"/>
  <c r="C14" i="7"/>
  <c r="K13" i="7"/>
  <c r="G13" i="7"/>
  <c r="F13" i="7"/>
  <c r="D13" i="7"/>
  <c r="C13" i="7"/>
  <c r="K12" i="7"/>
  <c r="G12" i="7"/>
  <c r="F12" i="7"/>
  <c r="D12" i="7"/>
  <c r="C12" i="7"/>
  <c r="K11" i="7"/>
  <c r="G11" i="7"/>
  <c r="F11" i="7"/>
  <c r="D11" i="7"/>
  <c r="C11" i="7"/>
  <c r="K10" i="7"/>
  <c r="G10" i="7"/>
  <c r="F10" i="7"/>
  <c r="D10" i="7"/>
  <c r="C10" i="7"/>
  <c r="K9" i="7"/>
  <c r="G9" i="7"/>
  <c r="F9" i="7"/>
  <c r="D9" i="7"/>
  <c r="C9" i="7"/>
  <c r="K8" i="7"/>
  <c r="G8" i="7"/>
  <c r="F8" i="7"/>
  <c r="D8" i="7"/>
  <c r="C8" i="7"/>
  <c r="K7" i="7"/>
  <c r="G7" i="7"/>
  <c r="F7" i="7"/>
  <c r="D7" i="7"/>
  <c r="C7" i="7"/>
  <c r="K6" i="7"/>
  <c r="G6" i="7"/>
  <c r="F6" i="7"/>
  <c r="D6" i="7"/>
  <c r="C6" i="7"/>
  <c r="K5" i="7"/>
  <c r="G5" i="7"/>
  <c r="F5" i="7"/>
  <c r="D5" i="7"/>
  <c r="C5" i="7"/>
  <c r="K4" i="7"/>
  <c r="G4" i="7"/>
  <c r="F4" i="7"/>
  <c r="D4" i="7"/>
  <c r="C4" i="7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O203" i="5"/>
  <c r="N203" i="5"/>
  <c r="O202" i="5"/>
  <c r="N202" i="5"/>
  <c r="O201" i="5"/>
  <c r="N201" i="5"/>
  <c r="O200" i="5"/>
  <c r="N200" i="5"/>
  <c r="O199" i="5"/>
  <c r="N199" i="5"/>
  <c r="O198" i="5"/>
  <c r="N198" i="5"/>
  <c r="O197" i="5"/>
  <c r="N197" i="5"/>
  <c r="O196" i="5"/>
  <c r="N196" i="5"/>
  <c r="O195" i="5"/>
  <c r="N195" i="5"/>
  <c r="O194" i="5"/>
  <c r="N194" i="5"/>
  <c r="O193" i="5"/>
  <c r="N193" i="5"/>
  <c r="O192" i="5"/>
  <c r="N192" i="5"/>
  <c r="O191" i="5"/>
  <c r="N191" i="5"/>
  <c r="O190" i="5"/>
  <c r="N190" i="5"/>
  <c r="O189" i="5"/>
  <c r="N189" i="5"/>
  <c r="O188" i="5"/>
  <c r="N188" i="5"/>
  <c r="O187" i="5"/>
  <c r="N187" i="5"/>
  <c r="O186" i="5"/>
  <c r="N186" i="5"/>
  <c r="O185" i="5"/>
  <c r="N185" i="5"/>
  <c r="O184" i="5"/>
  <c r="N184" i="5"/>
  <c r="O183" i="5"/>
  <c r="N183" i="5"/>
  <c r="O182" i="5"/>
  <c r="N182" i="5"/>
  <c r="O181" i="5"/>
  <c r="N181" i="5"/>
  <c r="O180" i="5"/>
  <c r="N180" i="5"/>
  <c r="O179" i="5"/>
  <c r="N179" i="5"/>
  <c r="O178" i="5"/>
  <c r="N178" i="5"/>
  <c r="O177" i="5"/>
  <c r="N177" i="5"/>
  <c r="O176" i="5"/>
  <c r="N176" i="5"/>
  <c r="O175" i="5"/>
  <c r="N175" i="5"/>
  <c r="O174" i="5"/>
  <c r="N174" i="5"/>
  <c r="O173" i="5"/>
  <c r="N173" i="5"/>
  <c r="O172" i="5"/>
  <c r="N172" i="5"/>
  <c r="O171" i="5"/>
  <c r="N171" i="5"/>
  <c r="O170" i="5"/>
  <c r="N170" i="5"/>
  <c r="O169" i="5"/>
  <c r="N169" i="5"/>
  <c r="O168" i="5"/>
  <c r="N168" i="5"/>
  <c r="O167" i="5"/>
  <c r="N167" i="5"/>
  <c r="O166" i="5"/>
  <c r="N166" i="5"/>
  <c r="O165" i="5"/>
  <c r="N165" i="5"/>
  <c r="O164" i="5"/>
  <c r="N164" i="5"/>
  <c r="O163" i="5"/>
  <c r="N163" i="5"/>
  <c r="O162" i="5"/>
  <c r="N162" i="5"/>
  <c r="O161" i="5"/>
  <c r="N161" i="5"/>
  <c r="O160" i="5"/>
  <c r="N160" i="5"/>
  <c r="O159" i="5"/>
  <c r="N159" i="5"/>
  <c r="O158" i="5"/>
  <c r="N158" i="5"/>
  <c r="O157" i="5"/>
  <c r="N157" i="5"/>
  <c r="O156" i="5"/>
  <c r="N156" i="5"/>
  <c r="O155" i="5"/>
  <c r="N155" i="5"/>
  <c r="O154" i="5"/>
  <c r="N154" i="5"/>
  <c r="O153" i="5"/>
  <c r="N153" i="5"/>
  <c r="O152" i="5"/>
  <c r="N152" i="5"/>
  <c r="O151" i="5"/>
  <c r="N151" i="5"/>
  <c r="O150" i="5"/>
  <c r="N150" i="5"/>
  <c r="O149" i="5"/>
  <c r="N149" i="5"/>
  <c r="O148" i="5"/>
  <c r="N148" i="5"/>
  <c r="O147" i="5"/>
  <c r="N147" i="5"/>
  <c r="O146" i="5"/>
  <c r="N146" i="5"/>
  <c r="O145" i="5"/>
  <c r="N145" i="5"/>
  <c r="O144" i="5"/>
  <c r="N144" i="5"/>
  <c r="O143" i="5"/>
  <c r="N143" i="5"/>
  <c r="O142" i="5"/>
  <c r="N142" i="5"/>
  <c r="O141" i="5"/>
  <c r="N141" i="5"/>
  <c r="O140" i="5"/>
  <c r="N140" i="5"/>
  <c r="O139" i="5"/>
  <c r="N139" i="5"/>
  <c r="O138" i="5"/>
  <c r="N138" i="5"/>
  <c r="O137" i="5"/>
  <c r="N137" i="5"/>
  <c r="O136" i="5"/>
  <c r="N136" i="5"/>
  <c r="O135" i="5"/>
  <c r="N135" i="5"/>
  <c r="O134" i="5"/>
  <c r="N134" i="5"/>
  <c r="O133" i="5"/>
  <c r="N133" i="5"/>
  <c r="O132" i="5"/>
  <c r="N132" i="5"/>
  <c r="O131" i="5"/>
  <c r="N131" i="5"/>
  <c r="O130" i="5"/>
  <c r="N130" i="5"/>
  <c r="O129" i="5"/>
  <c r="N129" i="5"/>
  <c r="O128" i="5"/>
  <c r="N128" i="5"/>
  <c r="O127" i="5"/>
  <c r="N127" i="5"/>
  <c r="O126" i="5"/>
  <c r="N126" i="5"/>
  <c r="O125" i="5"/>
  <c r="N125" i="5"/>
  <c r="O124" i="5"/>
  <c r="N124" i="5"/>
  <c r="O123" i="5"/>
  <c r="N123" i="5"/>
  <c r="O122" i="5"/>
  <c r="N122" i="5"/>
  <c r="O121" i="5"/>
  <c r="N121" i="5"/>
  <c r="O120" i="5"/>
  <c r="N120" i="5"/>
  <c r="O119" i="5"/>
  <c r="N119" i="5"/>
  <c r="O118" i="5"/>
  <c r="N118" i="5"/>
  <c r="O117" i="5"/>
  <c r="N117" i="5"/>
  <c r="O116" i="5"/>
  <c r="N116" i="5"/>
  <c r="O115" i="5"/>
  <c r="N115" i="5"/>
  <c r="O114" i="5"/>
  <c r="N114" i="5"/>
  <c r="O113" i="5"/>
  <c r="N113" i="5"/>
  <c r="O112" i="5"/>
  <c r="N112" i="5"/>
  <c r="O111" i="5"/>
  <c r="N111" i="5"/>
  <c r="O110" i="5"/>
  <c r="N110" i="5"/>
  <c r="O109" i="5"/>
  <c r="N109" i="5"/>
  <c r="O108" i="5"/>
  <c r="N108" i="5"/>
  <c r="O107" i="5"/>
  <c r="N107" i="5"/>
  <c r="O106" i="5"/>
  <c r="N106" i="5"/>
  <c r="O105" i="5"/>
  <c r="N105" i="5"/>
  <c r="O104" i="5"/>
  <c r="N104" i="5"/>
  <c r="O103" i="5"/>
  <c r="N103" i="5"/>
  <c r="O102" i="5"/>
  <c r="N102" i="5"/>
  <c r="O101" i="5"/>
  <c r="N101" i="5"/>
  <c r="O100" i="5"/>
  <c r="N100" i="5"/>
  <c r="O99" i="5"/>
  <c r="N99" i="5"/>
  <c r="O98" i="5"/>
  <c r="N98" i="5"/>
  <c r="O97" i="5"/>
  <c r="N97" i="5"/>
  <c r="O96" i="5"/>
  <c r="N96" i="5"/>
  <c r="O95" i="5"/>
  <c r="N95" i="5"/>
  <c r="O94" i="5"/>
  <c r="N94" i="5"/>
  <c r="O93" i="5"/>
  <c r="N93" i="5"/>
  <c r="O92" i="5"/>
  <c r="N92" i="5"/>
  <c r="O91" i="5"/>
  <c r="N91" i="5"/>
  <c r="O90" i="5"/>
  <c r="N90" i="5"/>
  <c r="O89" i="5"/>
  <c r="N89" i="5"/>
  <c r="O88" i="5"/>
  <c r="N88" i="5"/>
  <c r="O87" i="5"/>
  <c r="N87" i="5"/>
  <c r="O86" i="5"/>
  <c r="N86" i="5"/>
  <c r="O85" i="5"/>
  <c r="N85" i="5"/>
  <c r="O84" i="5"/>
  <c r="N84" i="5"/>
  <c r="O83" i="5"/>
  <c r="N83" i="5"/>
  <c r="O82" i="5"/>
  <c r="N82" i="5"/>
  <c r="O81" i="5"/>
  <c r="N81" i="5"/>
  <c r="O80" i="5"/>
  <c r="N80" i="5"/>
  <c r="O79" i="5"/>
  <c r="N79" i="5"/>
  <c r="O78" i="5"/>
  <c r="N78" i="5"/>
  <c r="O77" i="5"/>
  <c r="N77" i="5"/>
  <c r="O76" i="5"/>
  <c r="N76" i="5"/>
  <c r="O75" i="5"/>
  <c r="N75" i="5"/>
  <c r="O74" i="5"/>
  <c r="N74" i="5"/>
  <c r="O73" i="5"/>
  <c r="N73" i="5"/>
  <c r="O72" i="5"/>
  <c r="N72" i="5"/>
  <c r="O71" i="5"/>
  <c r="N71" i="5"/>
  <c r="O70" i="5"/>
  <c r="N70" i="5"/>
  <c r="O69" i="5"/>
  <c r="N69" i="5"/>
  <c r="O68" i="5"/>
  <c r="N68" i="5"/>
  <c r="O67" i="5"/>
  <c r="N67" i="5"/>
  <c r="O66" i="5"/>
  <c r="N66" i="5"/>
  <c r="O65" i="5"/>
  <c r="N65" i="5"/>
  <c r="O64" i="5"/>
  <c r="N64" i="5"/>
  <c r="O63" i="5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O53" i="5"/>
  <c r="N53" i="5"/>
  <c r="O52" i="5"/>
  <c r="N52" i="5"/>
  <c r="O51" i="5"/>
  <c r="N51" i="5"/>
  <c r="O50" i="5"/>
  <c r="N50" i="5"/>
  <c r="O49" i="5"/>
  <c r="N49" i="5"/>
  <c r="O48" i="5"/>
  <c r="N48" i="5"/>
  <c r="O47" i="5"/>
  <c r="N47" i="5"/>
  <c r="O46" i="5"/>
  <c r="N46" i="5"/>
  <c r="O45" i="5"/>
  <c r="N45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L203" i="3"/>
  <c r="K203" i="3"/>
  <c r="J203" i="3"/>
  <c r="I203" i="3"/>
  <c r="L202" i="3"/>
  <c r="K202" i="3"/>
  <c r="J202" i="3"/>
  <c r="I202" i="3"/>
  <c r="L201" i="3"/>
  <c r="K201" i="3"/>
  <c r="J201" i="3"/>
  <c r="I201" i="3"/>
  <c r="L200" i="3"/>
  <c r="K200" i="3"/>
  <c r="J200" i="3"/>
  <c r="I200" i="3"/>
  <c r="L199" i="3"/>
  <c r="K199" i="3"/>
  <c r="J199" i="3"/>
  <c r="I199" i="3"/>
  <c r="L198" i="3"/>
  <c r="K198" i="3"/>
  <c r="J198" i="3"/>
  <c r="I198" i="3"/>
  <c r="L197" i="3"/>
  <c r="K197" i="3"/>
  <c r="J197" i="3"/>
  <c r="I197" i="3"/>
  <c r="L196" i="3"/>
  <c r="K196" i="3"/>
  <c r="J196" i="3"/>
  <c r="I196" i="3"/>
  <c r="L195" i="3"/>
  <c r="K195" i="3"/>
  <c r="J195" i="3"/>
  <c r="I195" i="3"/>
  <c r="L194" i="3"/>
  <c r="K194" i="3"/>
  <c r="J194" i="3"/>
  <c r="I194" i="3"/>
  <c r="L193" i="3"/>
  <c r="K193" i="3"/>
  <c r="J193" i="3"/>
  <c r="I193" i="3"/>
  <c r="L192" i="3"/>
  <c r="K192" i="3"/>
  <c r="J192" i="3"/>
  <c r="I192" i="3"/>
  <c r="L191" i="3"/>
  <c r="K191" i="3"/>
  <c r="J191" i="3"/>
  <c r="I191" i="3"/>
  <c r="L190" i="3"/>
  <c r="K190" i="3"/>
  <c r="J190" i="3"/>
  <c r="I190" i="3"/>
  <c r="L189" i="3"/>
  <c r="K189" i="3"/>
  <c r="J189" i="3"/>
  <c r="I189" i="3"/>
  <c r="L188" i="3"/>
  <c r="K188" i="3"/>
  <c r="J188" i="3"/>
  <c r="I188" i="3"/>
  <c r="L187" i="3"/>
  <c r="K187" i="3"/>
  <c r="J187" i="3"/>
  <c r="I187" i="3"/>
  <c r="L186" i="3"/>
  <c r="K186" i="3"/>
  <c r="J186" i="3"/>
  <c r="I186" i="3"/>
  <c r="L185" i="3"/>
  <c r="K185" i="3"/>
  <c r="J185" i="3"/>
  <c r="I185" i="3"/>
  <c r="L184" i="3"/>
  <c r="K184" i="3"/>
  <c r="J184" i="3"/>
  <c r="I184" i="3"/>
  <c r="L183" i="3"/>
  <c r="K183" i="3"/>
  <c r="J183" i="3"/>
  <c r="I183" i="3"/>
  <c r="L182" i="3"/>
  <c r="K182" i="3"/>
  <c r="J182" i="3"/>
  <c r="I182" i="3"/>
  <c r="L181" i="3"/>
  <c r="K181" i="3"/>
  <c r="J181" i="3"/>
  <c r="I181" i="3"/>
  <c r="L180" i="3"/>
  <c r="K180" i="3"/>
  <c r="J180" i="3"/>
  <c r="I180" i="3"/>
  <c r="L179" i="3"/>
  <c r="K179" i="3"/>
  <c r="J179" i="3"/>
  <c r="I179" i="3"/>
  <c r="L178" i="3"/>
  <c r="K178" i="3"/>
  <c r="J178" i="3"/>
  <c r="I178" i="3"/>
  <c r="L177" i="3"/>
  <c r="K177" i="3"/>
  <c r="J177" i="3"/>
  <c r="I177" i="3"/>
  <c r="L176" i="3"/>
  <c r="K176" i="3"/>
  <c r="J176" i="3"/>
  <c r="I176" i="3"/>
  <c r="L175" i="3"/>
  <c r="K175" i="3"/>
  <c r="J175" i="3"/>
  <c r="I175" i="3"/>
  <c r="L174" i="3"/>
  <c r="K174" i="3"/>
  <c r="J174" i="3"/>
  <c r="I174" i="3"/>
  <c r="L173" i="3"/>
  <c r="K173" i="3"/>
  <c r="J173" i="3"/>
  <c r="I173" i="3"/>
  <c r="L172" i="3"/>
  <c r="K172" i="3"/>
  <c r="J172" i="3"/>
  <c r="I172" i="3"/>
  <c r="L171" i="3"/>
  <c r="K171" i="3"/>
  <c r="J171" i="3"/>
  <c r="I171" i="3"/>
  <c r="L170" i="3"/>
  <c r="K170" i="3"/>
  <c r="J170" i="3"/>
  <c r="I170" i="3"/>
  <c r="L169" i="3"/>
  <c r="K169" i="3"/>
  <c r="J169" i="3"/>
  <c r="I169" i="3"/>
  <c r="L168" i="3"/>
  <c r="K168" i="3"/>
  <c r="J168" i="3"/>
  <c r="I168" i="3"/>
  <c r="L167" i="3"/>
  <c r="K167" i="3"/>
  <c r="J167" i="3"/>
  <c r="I167" i="3"/>
  <c r="L166" i="3"/>
  <c r="K166" i="3"/>
  <c r="J166" i="3"/>
  <c r="I166" i="3"/>
  <c r="L165" i="3"/>
  <c r="K165" i="3"/>
  <c r="J165" i="3"/>
  <c r="I165" i="3"/>
  <c r="L164" i="3"/>
  <c r="K164" i="3"/>
  <c r="J164" i="3"/>
  <c r="I164" i="3"/>
  <c r="L163" i="3"/>
  <c r="K163" i="3"/>
  <c r="J163" i="3"/>
  <c r="I163" i="3"/>
  <c r="L162" i="3"/>
  <c r="K162" i="3"/>
  <c r="J162" i="3"/>
  <c r="I162" i="3"/>
  <c r="L161" i="3"/>
  <c r="K161" i="3"/>
  <c r="J161" i="3"/>
  <c r="I161" i="3"/>
  <c r="L160" i="3"/>
  <c r="K160" i="3"/>
  <c r="J160" i="3"/>
  <c r="I160" i="3"/>
  <c r="L159" i="3"/>
  <c r="K159" i="3"/>
  <c r="J159" i="3"/>
  <c r="I159" i="3"/>
  <c r="L158" i="3"/>
  <c r="K158" i="3"/>
  <c r="J158" i="3"/>
  <c r="I158" i="3"/>
  <c r="L157" i="3"/>
  <c r="K157" i="3"/>
  <c r="J157" i="3"/>
  <c r="I157" i="3"/>
  <c r="L156" i="3"/>
  <c r="K156" i="3"/>
  <c r="J156" i="3"/>
  <c r="I156" i="3"/>
  <c r="L155" i="3"/>
  <c r="K155" i="3"/>
  <c r="J155" i="3"/>
  <c r="I155" i="3"/>
  <c r="L154" i="3"/>
  <c r="K154" i="3"/>
  <c r="J154" i="3"/>
  <c r="I154" i="3"/>
  <c r="L153" i="3"/>
  <c r="K153" i="3"/>
  <c r="J153" i="3"/>
  <c r="I153" i="3"/>
  <c r="L152" i="3"/>
  <c r="K152" i="3"/>
  <c r="J152" i="3"/>
  <c r="I152" i="3"/>
  <c r="L151" i="3"/>
  <c r="K151" i="3"/>
  <c r="J151" i="3"/>
  <c r="I151" i="3"/>
  <c r="L150" i="3"/>
  <c r="K150" i="3"/>
  <c r="J150" i="3"/>
  <c r="I150" i="3"/>
  <c r="L149" i="3"/>
  <c r="K149" i="3"/>
  <c r="J149" i="3"/>
  <c r="I149" i="3"/>
  <c r="L148" i="3"/>
  <c r="K148" i="3"/>
  <c r="J148" i="3"/>
  <c r="I148" i="3"/>
  <c r="L147" i="3"/>
  <c r="K147" i="3"/>
  <c r="J147" i="3"/>
  <c r="I147" i="3"/>
  <c r="L146" i="3"/>
  <c r="K146" i="3"/>
  <c r="J146" i="3"/>
  <c r="I146" i="3"/>
  <c r="L145" i="3"/>
  <c r="K145" i="3"/>
  <c r="J145" i="3"/>
  <c r="I145" i="3"/>
  <c r="L144" i="3"/>
  <c r="K144" i="3"/>
  <c r="J144" i="3"/>
  <c r="I144" i="3"/>
  <c r="L143" i="3"/>
  <c r="K143" i="3"/>
  <c r="J143" i="3"/>
  <c r="I143" i="3"/>
  <c r="L142" i="3"/>
  <c r="K142" i="3"/>
  <c r="J142" i="3"/>
  <c r="I142" i="3"/>
  <c r="L141" i="3"/>
  <c r="K141" i="3"/>
  <c r="J141" i="3"/>
  <c r="I141" i="3"/>
  <c r="L140" i="3"/>
  <c r="K140" i="3"/>
  <c r="J140" i="3"/>
  <c r="I140" i="3"/>
  <c r="L139" i="3"/>
  <c r="K139" i="3"/>
  <c r="J139" i="3"/>
  <c r="I139" i="3"/>
  <c r="L138" i="3"/>
  <c r="K138" i="3"/>
  <c r="J138" i="3"/>
  <c r="I138" i="3"/>
  <c r="L137" i="3"/>
  <c r="K137" i="3"/>
  <c r="J137" i="3"/>
  <c r="I137" i="3"/>
  <c r="L136" i="3"/>
  <c r="K136" i="3"/>
  <c r="J136" i="3"/>
  <c r="I136" i="3"/>
  <c r="L135" i="3"/>
  <c r="K135" i="3"/>
  <c r="J135" i="3"/>
  <c r="I135" i="3"/>
  <c r="L134" i="3"/>
  <c r="K134" i="3"/>
  <c r="J134" i="3"/>
  <c r="I134" i="3"/>
  <c r="L133" i="3"/>
  <c r="K133" i="3"/>
  <c r="J133" i="3"/>
  <c r="I133" i="3"/>
  <c r="L132" i="3"/>
  <c r="K132" i="3"/>
  <c r="J132" i="3"/>
  <c r="I132" i="3"/>
  <c r="L131" i="3"/>
  <c r="K131" i="3"/>
  <c r="J131" i="3"/>
  <c r="I131" i="3"/>
  <c r="L130" i="3"/>
  <c r="K130" i="3"/>
  <c r="J130" i="3"/>
  <c r="I130" i="3"/>
  <c r="L129" i="3"/>
  <c r="K129" i="3"/>
  <c r="J129" i="3"/>
  <c r="I129" i="3"/>
  <c r="L128" i="3"/>
  <c r="K128" i="3"/>
  <c r="J128" i="3"/>
  <c r="I128" i="3"/>
  <c r="L127" i="3"/>
  <c r="K127" i="3"/>
  <c r="J127" i="3"/>
  <c r="I127" i="3"/>
  <c r="L126" i="3"/>
  <c r="K126" i="3"/>
  <c r="J126" i="3"/>
  <c r="I126" i="3"/>
  <c r="L125" i="3"/>
  <c r="K125" i="3"/>
  <c r="J125" i="3"/>
  <c r="I125" i="3"/>
  <c r="L124" i="3"/>
  <c r="K124" i="3"/>
  <c r="J124" i="3"/>
  <c r="I124" i="3"/>
  <c r="L123" i="3"/>
  <c r="K123" i="3"/>
  <c r="J123" i="3"/>
  <c r="I123" i="3"/>
  <c r="L122" i="3"/>
  <c r="K122" i="3"/>
  <c r="J122" i="3"/>
  <c r="I122" i="3"/>
  <c r="L121" i="3"/>
  <c r="K121" i="3"/>
  <c r="J121" i="3"/>
  <c r="I121" i="3"/>
  <c r="L120" i="3"/>
  <c r="K120" i="3"/>
  <c r="J120" i="3"/>
  <c r="I120" i="3"/>
  <c r="L119" i="3"/>
  <c r="K119" i="3"/>
  <c r="J119" i="3"/>
  <c r="I119" i="3"/>
  <c r="L118" i="3"/>
  <c r="K118" i="3"/>
  <c r="J118" i="3"/>
  <c r="I118" i="3"/>
  <c r="L117" i="3"/>
  <c r="K117" i="3"/>
  <c r="J117" i="3"/>
  <c r="I117" i="3"/>
  <c r="L116" i="3"/>
  <c r="K116" i="3"/>
  <c r="J116" i="3"/>
  <c r="I116" i="3"/>
  <c r="L115" i="3"/>
  <c r="K115" i="3"/>
  <c r="J115" i="3"/>
  <c r="I115" i="3"/>
  <c r="L114" i="3"/>
  <c r="K114" i="3"/>
  <c r="J114" i="3"/>
  <c r="I114" i="3"/>
  <c r="L113" i="3"/>
  <c r="K113" i="3"/>
  <c r="J113" i="3"/>
  <c r="I113" i="3"/>
  <c r="L112" i="3"/>
  <c r="K112" i="3"/>
  <c r="J112" i="3"/>
  <c r="I112" i="3"/>
  <c r="L111" i="3"/>
  <c r="K111" i="3"/>
  <c r="J111" i="3"/>
  <c r="I111" i="3"/>
  <c r="L110" i="3"/>
  <c r="K110" i="3"/>
  <c r="J110" i="3"/>
  <c r="I110" i="3"/>
  <c r="L109" i="3"/>
  <c r="K109" i="3"/>
  <c r="J109" i="3"/>
  <c r="I109" i="3"/>
  <c r="L108" i="3"/>
  <c r="K108" i="3"/>
  <c r="J108" i="3"/>
  <c r="I108" i="3"/>
  <c r="L107" i="3"/>
  <c r="K107" i="3"/>
  <c r="J107" i="3"/>
  <c r="I107" i="3"/>
  <c r="L106" i="3"/>
  <c r="K106" i="3"/>
  <c r="J106" i="3"/>
  <c r="I106" i="3"/>
  <c r="L105" i="3"/>
  <c r="K105" i="3"/>
  <c r="J105" i="3"/>
  <c r="I105" i="3"/>
  <c r="L104" i="3"/>
  <c r="K104" i="3"/>
  <c r="J104" i="3"/>
  <c r="I104" i="3"/>
  <c r="L103" i="3"/>
  <c r="K103" i="3"/>
  <c r="J103" i="3"/>
  <c r="I103" i="3"/>
  <c r="L102" i="3"/>
  <c r="K102" i="3"/>
  <c r="J102" i="3"/>
  <c r="I102" i="3"/>
  <c r="L101" i="3"/>
  <c r="K101" i="3"/>
  <c r="J101" i="3"/>
  <c r="I101" i="3"/>
  <c r="L100" i="3"/>
  <c r="K100" i="3"/>
  <c r="J100" i="3"/>
  <c r="I100" i="3"/>
  <c r="L99" i="3"/>
  <c r="K99" i="3"/>
  <c r="J99" i="3"/>
  <c r="I99" i="3"/>
  <c r="L98" i="3"/>
  <c r="K98" i="3"/>
  <c r="J98" i="3"/>
  <c r="I98" i="3"/>
  <c r="L97" i="3"/>
  <c r="K97" i="3"/>
  <c r="J97" i="3"/>
  <c r="I97" i="3"/>
  <c r="L96" i="3"/>
  <c r="K96" i="3"/>
  <c r="J96" i="3"/>
  <c r="I96" i="3"/>
  <c r="L95" i="3"/>
  <c r="K95" i="3"/>
  <c r="J95" i="3"/>
  <c r="I95" i="3"/>
  <c r="L94" i="3"/>
  <c r="K94" i="3"/>
  <c r="J94" i="3"/>
  <c r="I94" i="3"/>
  <c r="L93" i="3"/>
  <c r="K93" i="3"/>
  <c r="J93" i="3"/>
  <c r="I93" i="3"/>
  <c r="L92" i="3"/>
  <c r="K92" i="3"/>
  <c r="J92" i="3"/>
  <c r="I92" i="3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L22" i="3"/>
  <c r="K22" i="3"/>
  <c r="J22" i="3"/>
  <c r="I22" i="3"/>
  <c r="L21" i="3"/>
  <c r="K21" i="3"/>
  <c r="J21" i="3"/>
  <c r="I21" i="3"/>
  <c r="L20" i="3"/>
  <c r="K20" i="3"/>
  <c r="J20" i="3"/>
  <c r="I20" i="3"/>
  <c r="L19" i="3"/>
  <c r="K19" i="3"/>
  <c r="J19" i="3"/>
  <c r="I19" i="3"/>
  <c r="L18" i="3"/>
  <c r="K18" i="3"/>
  <c r="J18" i="3"/>
  <c r="I18" i="3"/>
  <c r="L17" i="3"/>
  <c r="K17" i="3"/>
  <c r="J17" i="3"/>
  <c r="I17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D7" i="11"/>
  <c r="B7" i="11"/>
</calcChain>
</file>

<file path=xl/sharedStrings.xml><?xml version="1.0" encoding="utf-8"?>
<sst xmlns="http://schemas.openxmlformats.org/spreadsheetml/2006/main" count="469" uniqueCount="330">
  <si>
    <t>إعدادات النظام وتعريف خطة التدريب</t>
  </si>
  <si>
    <t>البند</t>
  </si>
  <si>
    <t>القيمة</t>
  </si>
  <si>
    <t>شرح الاستخدام</t>
  </si>
  <si>
    <t>مصدر/مسؤول الاعتماد</t>
  </si>
  <si>
    <t>اسم المنشأة</t>
  </si>
  <si>
    <t>يُستكمل</t>
  </si>
  <si>
    <t>الاسم الرسمي للمنشأة</t>
  </si>
  <si>
    <t>إدارة المنشأة</t>
  </si>
  <si>
    <t>نوع المنشأة</t>
  </si>
  <si>
    <t>مستشفى</t>
  </si>
  <si>
    <t>اختر النوع الفعلي</t>
  </si>
  <si>
    <t>الجودة</t>
  </si>
  <si>
    <t>سنة الخطة</t>
  </si>
  <si>
    <t>غيّر السنة عند بدء دورة جديدة</t>
  </si>
  <si>
    <t>الموارد البشرية</t>
  </si>
  <si>
    <t>نسبة النجاح</t>
  </si>
  <si>
    <t>الحد الأدنى للتقييم البعدي</t>
  </si>
  <si>
    <t>الجودة والتدريب</t>
  </si>
  <si>
    <t>نسبة الحضور</t>
  </si>
  <si>
    <t>الحد الأدنى لإكمال النشاط</t>
  </si>
  <si>
    <t>إصدار الدليل</t>
  </si>
  <si>
    <t>سجل رقم وتاريخ آخر دليل GAHAR معتمد</t>
  </si>
  <si>
    <t>تنبيه</t>
  </si>
  <si>
    <t>هذه أداة تشغيلية وليست بديلًا عن دليل GAHAR الرسمي</t>
  </si>
  <si>
    <t>طابق البنود مع نطاق المنشأة والإصدار الساري قبل الاعتماد</t>
  </si>
  <si>
    <t>مسؤول الجودة</t>
  </si>
  <si>
    <t>كتالوج محاور ومعايير التدريب - مرجع التخصيص</t>
  </si>
  <si>
    <t>كود المحور</t>
  </si>
  <si>
    <t>المحور</t>
  </si>
  <si>
    <t>موضوع/متطلب التدريب</t>
  </si>
  <si>
    <t>الفئات المعنية</t>
  </si>
  <si>
    <t>دليل الإثبات المتوقع</t>
  </si>
  <si>
    <t>تكرار مقترح</t>
  </si>
  <si>
    <t>ملاحظات المطابقة</t>
  </si>
  <si>
    <t>HRP</t>
  </si>
  <si>
    <t>إدارة الموارد البشرية</t>
  </si>
  <si>
    <t>التعريف، الوصف الوظيفي، الكفاءة، التقييم وإعادة التدريب</t>
  </si>
  <si>
    <t>كل العاملين</t>
  </si>
  <si>
    <t>خطة تدريب، مصفوفة كفاءة، سجلات حضور وتقييم</t>
  </si>
  <si>
    <t>سنوي/عند التعيين</t>
  </si>
  <si>
    <t>اربطه بسياسة المنشأة</t>
  </si>
  <si>
    <t>PFR</t>
  </si>
  <si>
    <t>حقوق المريض والأسرة</t>
  </si>
  <si>
    <t>الحقوق، الخصوصية، الموافقة، الشكاوى والتواصل</t>
  </si>
  <si>
    <t>مادة، اختبار، حالات تطبيقية، سجل شكاوى</t>
  </si>
  <si>
    <t>سنوي</t>
  </si>
  <si>
    <t>تحقق من سياسة حقوق المريض</t>
  </si>
  <si>
    <t>IPC</t>
  </si>
  <si>
    <t>مكافحة العدوى</t>
  </si>
  <si>
    <t>نظافة اليدين، PPE، العزل، النفايات، التعرض المهني</t>
  </si>
  <si>
    <t>سريري/خدمات معاونة</t>
  </si>
  <si>
    <t>قائمة ملاحظة، تدريب عملي، نتائج تدقيق</t>
  </si>
  <si>
    <t>ربع سنوي</t>
  </si>
  <si>
    <t>حسب تقييم مخاطر العدوى</t>
  </si>
  <si>
    <t>MMU</t>
  </si>
  <si>
    <t>إدارة الدواء</t>
  </si>
  <si>
    <t>التخزين، التحقق، الأدوية عالية الخطورة، الإبلاغ</t>
  </si>
  <si>
    <t>أطباء/تمريض/صيدلة</t>
  </si>
  <si>
    <t>محاكاة، اختبار، مراجعة خطأ دوائي</t>
  </si>
  <si>
    <t>حسب قائمة الأدوية الحرجة</t>
  </si>
  <si>
    <t>FMS</t>
  </si>
  <si>
    <t>السلامة وإدارة المنشأة</t>
  </si>
  <si>
    <t>الحريق، الإخلاء، الطوارئ، المواد الخطرة، الأمن</t>
  </si>
  <si>
    <t>سيناريو، زمن إخلاء، محضر تمرين</t>
  </si>
  <si>
    <t>سنوي/نصف سنوي</t>
  </si>
  <si>
    <t>حسب خطة الطوارئ</t>
  </si>
  <si>
    <t>QPS</t>
  </si>
  <si>
    <t>الجودة وسلامة المريض</t>
  </si>
  <si>
    <t>الإبلاغ، تحليل السبب، مؤشرات الأداء، PDSA</t>
  </si>
  <si>
    <t>قادة الأقسام والجودة</t>
  </si>
  <si>
    <t>خطة تحسين، محضر لجنة، مؤشر قبل/بعد</t>
  </si>
  <si>
    <t>اربطه بالمخاطر الفعلية</t>
  </si>
  <si>
    <t>HIS</t>
  </si>
  <si>
    <t>المعلومات والسجلات</t>
  </si>
  <si>
    <t>التوثيق، السرية، الصلاحيات، الأمن السيبراني</t>
  </si>
  <si>
    <t>سريري/سجلات/IT</t>
  </si>
  <si>
    <t>تدقيق ملفات، اختبار، سجل صلاحيات</t>
  </si>
  <si>
    <t>طبق سياسة حماية البيانات</t>
  </si>
  <si>
    <t>GLD</t>
  </si>
  <si>
    <t>القيادة والحوكمة</t>
  </si>
  <si>
    <t>المسؤوليات، إدارة المخاطر، استمرارية الأعمال</t>
  </si>
  <si>
    <t>القيادة ورؤساء الأقسام</t>
  </si>
  <si>
    <t>محاضر، تمرين، خطة استمرارية</t>
  </si>
  <si>
    <t>وفق هيكل المنشأة</t>
  </si>
  <si>
    <t>قاعدة بيانات العاملين - الإدخال الأساسي</t>
  </si>
  <si>
    <t>كود الموظف</t>
  </si>
  <si>
    <t>الاسم</t>
  </si>
  <si>
    <t>القسم</t>
  </si>
  <si>
    <t>المسمى</t>
  </si>
  <si>
    <t>الفئة</t>
  </si>
  <si>
    <t>تاريخ التعيين</t>
  </si>
  <si>
    <t>الحالة</t>
  </si>
  <si>
    <t>المدير</t>
  </si>
  <si>
    <t>عدد الأنشطة</t>
  </si>
  <si>
    <t>متوسط التقييم</t>
  </si>
  <si>
    <t>حالة التدريب</t>
  </si>
  <si>
    <t>EMP-001</t>
  </si>
  <si>
    <t>التمريض</t>
  </si>
  <si>
    <t>ممرض/ة</t>
  </si>
  <si>
    <t>سريري</t>
  </si>
  <si>
    <t>نشط</t>
  </si>
  <si>
    <t>رئيس التمريض</t>
  </si>
  <si>
    <t>EMP-002</t>
  </si>
  <si>
    <t>الصيدلية</t>
  </si>
  <si>
    <t>صيدلي</t>
  </si>
  <si>
    <t>15/02/2025</t>
  </si>
  <si>
    <t>مدير الصيدلية</t>
  </si>
  <si>
    <t>EMP-003</t>
  </si>
  <si>
    <t>الاستقبال</t>
  </si>
  <si>
    <t>موظف استقبال</t>
  </si>
  <si>
    <t>إداري</t>
  </si>
  <si>
    <t>مدير الخدمة</t>
  </si>
  <si>
    <t>تحليل الاحتياج التدريبي - قبل إعداد الخطة</t>
  </si>
  <si>
    <t>كود الاحتياج</t>
  </si>
  <si>
    <t>الفجوة/الخطر</t>
  </si>
  <si>
    <t>مصدر الاحتياج</t>
  </si>
  <si>
    <t>الأثر</t>
  </si>
  <si>
    <t>الأولوية</t>
  </si>
  <si>
    <t>الكفاءة المطلوبة</t>
  </si>
  <si>
    <t>الإجراء التدريبي</t>
  </si>
  <si>
    <t>المسؤول</t>
  </si>
  <si>
    <t>موعد الإغلاق</t>
  </si>
  <si>
    <t>NEED-001</t>
  </si>
  <si>
    <t>كل الأقسام</t>
  </si>
  <si>
    <t>عدم اكتمال سجلات التدريب والكفاءة</t>
  </si>
  <si>
    <t>تدقيق داخلي</t>
  </si>
  <si>
    <t>مرتفع</t>
  </si>
  <si>
    <t>عاجل</t>
  </si>
  <si>
    <t>إدارة التدريب والتوثيق</t>
  </si>
  <si>
    <t>بناء النظام وتدريب المستخدمين</t>
  </si>
  <si>
    <t>31/01/2026</t>
  </si>
  <si>
    <t>مفتوح</t>
  </si>
  <si>
    <t>NEED-002</t>
  </si>
  <si>
    <t>تفاوت الالتزام بنظافة اليدين</t>
  </si>
  <si>
    <t>مؤشر مكافحة العدوى</t>
  </si>
  <si>
    <t>تدريب عملي وتدقيق ملاحظة</t>
  </si>
  <si>
    <t>28/02/2026</t>
  </si>
  <si>
    <t>NEED-003</t>
  </si>
  <si>
    <t>الأدوية</t>
  </si>
  <si>
    <t>حاجة إلى توحيد التحقق من الدواء</t>
  </si>
  <si>
    <t>بلاغات/مخاطر</t>
  </si>
  <si>
    <t>سلامة الدواء</t>
  </si>
  <si>
    <t>محاكاة واختبار كفاءة</t>
  </si>
  <si>
    <t>31/03/2026</t>
  </si>
  <si>
    <t>الخطة السنوية المعتمدة - اربط كل نشاط باحتياج ومحور ودليل</t>
  </si>
  <si>
    <t>كود النشاط</t>
  </si>
  <si>
    <t>الشهر</t>
  </si>
  <si>
    <t>عنوان النشاط</t>
  </si>
  <si>
    <t>الهدف القابل للقياس</t>
  </si>
  <si>
    <t>نوع النشاط</t>
  </si>
  <si>
    <t>الساعات</t>
  </si>
  <si>
    <t>التاريخ المخطط</t>
  </si>
  <si>
    <t>التاريخ الفعلي</t>
  </si>
  <si>
    <t>عدد الحضور</t>
  </si>
  <si>
    <t>دليل الإثبات</t>
  </si>
  <si>
    <t>ملاحظات التحسين</t>
  </si>
  <si>
    <t>TR-001</t>
  </si>
  <si>
    <t>يناير</t>
  </si>
  <si>
    <t>نظام التدريب ومصفوفة الكفاءة</t>
  </si>
  <si>
    <t>يسجل المستخدم نشاطًا وموظفًا وتقييمًا دون أخطاء</t>
  </si>
  <si>
    <t>مسؤولو التدريب</t>
  </si>
  <si>
    <t>ورشة نظام</t>
  </si>
  <si>
    <t>15/01/2026</t>
  </si>
  <si>
    <t>مخطط</t>
  </si>
  <si>
    <t>TR-002</t>
  </si>
  <si>
    <t>حقوق وواجبات العاملين ومدونة السلوك</t>
  </si>
  <si>
    <t>يشرح العامل 5 حقوق و5 واجبات وقناة إبلاغ</t>
  </si>
  <si>
    <t>تعريفي</t>
  </si>
  <si>
    <t>22/01/2026</t>
  </si>
  <si>
    <t>TR-003</t>
  </si>
  <si>
    <t>فبراير</t>
  </si>
  <si>
    <t>نظافة اليدين ومعدات الوقاية</t>
  </si>
  <si>
    <t>يجتاز العامل قائمة ملاحظة المهارة بنسبة 80%</t>
  </si>
  <si>
    <t>التمريض والخدمات</t>
  </si>
  <si>
    <t>عملي</t>
  </si>
  <si>
    <t>TR-004</t>
  </si>
  <si>
    <t>مارس</t>
  </si>
  <si>
    <t>سلامة الدواء والأدوية عالية الخطورة</t>
  </si>
  <si>
    <t>يطبق خطوات التحقق الخمس في محاكاة</t>
  </si>
  <si>
    <t>أطباء وتمريض وصيدلة</t>
  </si>
  <si>
    <t>محاكاة</t>
  </si>
  <si>
    <t>TR-005</t>
  </si>
  <si>
    <t>الحريق والإخلاء ونقطة التجمع</t>
  </si>
  <si>
    <t>يصل الفريق لنقطة التجمع خلال الزمن المستهدف</t>
  </si>
  <si>
    <t>تمرين طوارئ</t>
  </si>
  <si>
    <t>السلامة المهنية</t>
  </si>
  <si>
    <t>24/03/2026</t>
  </si>
  <si>
    <t>TR-006</t>
  </si>
  <si>
    <t>أبريل</t>
  </si>
  <si>
    <t>الإبلاغ عن الحوادث وتحليل السبب الجذري</t>
  </si>
  <si>
    <t>يبني الفريق خطة PDSA لحادثة تدريبية</t>
  </si>
  <si>
    <t>قادة الأقسام</t>
  </si>
  <si>
    <t>دراسة حالة</t>
  </si>
  <si>
    <t>14/04/2026</t>
  </si>
  <si>
    <t>TR-007</t>
  </si>
  <si>
    <t>مايو</t>
  </si>
  <si>
    <t>التوثيق الطبي وسرية المعلومات</t>
  </si>
  <si>
    <t>يحقق الملف التدريبي 90% في قائمة التدقيق</t>
  </si>
  <si>
    <t>سريري وسجلات</t>
  </si>
  <si>
    <t>تطبيقي</t>
  </si>
  <si>
    <t>السجلات الطبية</t>
  </si>
  <si>
    <t>TR-008</t>
  </si>
  <si>
    <t>يونيو</t>
  </si>
  <si>
    <t>حقوق المريض والشكاوى والموافقة</t>
  </si>
  <si>
    <t>يتعامل مع الحالة وفق السياسة دون خرق خصوصية</t>
  </si>
  <si>
    <t>لعب أدوار</t>
  </si>
  <si>
    <t>خدمة العملاء</t>
  </si>
  <si>
    <t>16/06/2026</t>
  </si>
  <si>
    <t>TR-009</t>
  </si>
  <si>
    <t>AOP/COP</t>
  </si>
  <si>
    <t>يوليو</t>
  </si>
  <si>
    <t>التقييم الأولي والتصعيد والتسليم SBAR</t>
  </si>
  <si>
    <t>ينفذ تسليم حالة منظمًا بدرجة 80%</t>
  </si>
  <si>
    <t>أطباء وتمريض</t>
  </si>
  <si>
    <t>الإدارة الطبية</t>
  </si>
  <si>
    <t>14/07/2026</t>
  </si>
  <si>
    <t>TR-010</t>
  </si>
  <si>
    <t>أغسطس</t>
  </si>
  <si>
    <t>النفايات والمواد الخطرة والتعرض المهني</t>
  </si>
  <si>
    <t>يفرز وينقل النفايات وفق القائمة المعتمدة</t>
  </si>
  <si>
    <t>كل الفئات المعنية</t>
  </si>
  <si>
    <t>السلامة والعدوى</t>
  </si>
  <si>
    <t>TR-011</t>
  </si>
  <si>
    <t>سبتمبر</t>
  </si>
  <si>
    <t>تقييم الكفاءة وإعادة التدريب</t>
  </si>
  <si>
    <t>يحدد المدير فجوة الكفاءة ويضع إجراءً فرديًا</t>
  </si>
  <si>
    <t>رؤساء الأقسام</t>
  </si>
  <si>
    <t>تقييم عملي</t>
  </si>
  <si>
    <t>15/09/2026</t>
  </si>
  <si>
    <t>TR-012</t>
  </si>
  <si>
    <t>GLD/QPS</t>
  </si>
  <si>
    <t>أكتوبر</t>
  </si>
  <si>
    <t>إدارة الأزمات واستمرارية الأعمال</t>
  </si>
  <si>
    <t>يحدد الفريق الأدوار ومسارات التصعيد</t>
  </si>
  <si>
    <t>القيادة والطوارئ</t>
  </si>
  <si>
    <t>تمرين مكتبي</t>
  </si>
  <si>
    <t>13/10/2026</t>
  </si>
  <si>
    <t>TR-013</t>
  </si>
  <si>
    <t>QPS/HRP</t>
  </si>
  <si>
    <t>ديسمبر</t>
  </si>
  <si>
    <t>المراجعة السنوية وخطة العام القادم</t>
  </si>
  <si>
    <t>يعرض المسؤول مؤشرات التدريب وخطة تحسين</t>
  </si>
  <si>
    <t>الإدارة والجودة</t>
  </si>
  <si>
    <t>مراجعة</t>
  </si>
  <si>
    <t>الجودة والموارد البشرية</t>
  </si>
  <si>
    <t>سجل التنفيذ الفعلي - جلسة لكل تنفيذ</t>
  </si>
  <si>
    <t>كود الجلسة</t>
  </si>
  <si>
    <t>المكان</t>
  </si>
  <si>
    <t>المدرب</t>
  </si>
  <si>
    <t>السعة</t>
  </si>
  <si>
    <t>التكلفة</t>
  </si>
  <si>
    <t>حالة الجلسة</t>
  </si>
  <si>
    <t>SES-001</t>
  </si>
  <si>
    <t>قاعة التدريب</t>
  </si>
  <si>
    <t>SES-002</t>
  </si>
  <si>
    <t>الحضور - الإدخال اليومي الوحيد للحضور</t>
  </si>
  <si>
    <t>رقم</t>
  </si>
  <si>
    <t>التاريخ</t>
  </si>
  <si>
    <t>اسم الموظف</t>
  </si>
  <si>
    <t>حضر؟</t>
  </si>
  <si>
    <t>وقت الدخول</t>
  </si>
  <si>
    <t>توقيع/إثبات</t>
  </si>
  <si>
    <t>حالة السجل</t>
  </si>
  <si>
    <t>ملاحظات</t>
  </si>
  <si>
    <t>التقييم - أدخل الدرجات وتظهر النتيجة تلقائيًا</t>
  </si>
  <si>
    <t>قبلي %</t>
  </si>
  <si>
    <t>بعدي %</t>
  </si>
  <si>
    <t>الدرجة المعتمدة</t>
  </si>
  <si>
    <t>النتيجة</t>
  </si>
  <si>
    <t>مقيم الكفاءة</t>
  </si>
  <si>
    <t>تاريخ التقييم</t>
  </si>
  <si>
    <t>إجراء التحسين</t>
  </si>
  <si>
    <t>رابط نموذج التقييم</t>
  </si>
  <si>
    <t>مصفوفة الكفاءة - القرار النهائي لكل موظف</t>
  </si>
  <si>
    <t>الكفاءة/المهارة</t>
  </si>
  <si>
    <t>النشاط المرجعي</t>
  </si>
  <si>
    <t>درجة الكفاءة %</t>
  </si>
  <si>
    <t>المقيم</t>
  </si>
  <si>
    <t>موعد إعادة التقييم</t>
  </si>
  <si>
    <t>إجراء تصحيحي</t>
  </si>
  <si>
    <t>رابط الدليل</t>
  </si>
  <si>
    <t>نظافة اليدين</t>
  </si>
  <si>
    <t>حقوق المريض والشكاوى</t>
  </si>
  <si>
    <t>سجل الأدلة - اربط كل نشاط بملف يمكن عرضه أثناء المراجعة</t>
  </si>
  <si>
    <t>كود الدليل</t>
  </si>
  <si>
    <t>نوع الدليل</t>
  </si>
  <si>
    <t>اسم الملف/الرابط</t>
  </si>
  <si>
    <t>تاريخ الحفظ</t>
  </si>
  <si>
    <t>مراجع الجودة</t>
  </si>
  <si>
    <t>EVD-001</t>
  </si>
  <si>
    <t>مادة تدريب</t>
  </si>
  <si>
    <t>مسؤول التدريب</t>
  </si>
  <si>
    <t>مطلوب</t>
  </si>
  <si>
    <t>EVD-002</t>
  </si>
  <si>
    <t>كشف حضور</t>
  </si>
  <si>
    <t>EVD-003</t>
  </si>
  <si>
    <t>نتائج تقييم وخطة تحسين</t>
  </si>
  <si>
    <t>لوحة مؤشرات الإدارة والجودة</t>
  </si>
  <si>
    <t>المؤشر</t>
  </si>
  <si>
    <t>المستهدف</t>
  </si>
  <si>
    <t>مصدر البيانات</t>
  </si>
  <si>
    <t>الموظفون النشطون</t>
  </si>
  <si>
    <t>كل الموظفين</t>
  </si>
  <si>
    <t>Employees</t>
  </si>
  <si>
    <t>الأنشطة المخططة</t>
  </si>
  <si>
    <t>حسب الخطة</t>
  </si>
  <si>
    <t>Plan</t>
  </si>
  <si>
    <t>الأنشطة المنفذة</t>
  </si>
  <si>
    <t>100% من المستحق</t>
  </si>
  <si>
    <t>نسبة تنفيذ الخطة</t>
  </si>
  <si>
    <t>&gt;=90%</t>
  </si>
  <si>
    <t>سجلات الحضور</t>
  </si>
  <si>
    <t>حسب الجلسات</t>
  </si>
  <si>
    <t>Attendance</t>
  </si>
  <si>
    <t>&gt;=80%</t>
  </si>
  <si>
    <t>متوسط التقييم البعدي</t>
  </si>
  <si>
    <t>&gt;=70%</t>
  </si>
  <si>
    <t>Evaluation</t>
  </si>
  <si>
    <t>حالات إعادة التدريب</t>
  </si>
  <si>
    <t>0 أو خطة تصحيح</t>
  </si>
  <si>
    <t>أدلة مكتملة</t>
  </si>
  <si>
    <t>100% للأنشطة المنفذة</t>
  </si>
  <si>
    <t>Evidence</t>
  </si>
  <si>
    <t>كفاءات غير مكتملة</t>
  </si>
  <si>
    <t>Competency</t>
  </si>
  <si>
    <t>التقرير الشهري - يختار المستخدم الشهر</t>
  </si>
  <si>
    <t>المنفذ</t>
  </si>
  <si>
    <t>نسبة التنفيذ</t>
  </si>
  <si>
    <t>الإجراءات المفتوحة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</si>
</sst>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D3617"/>
        <bgColor indexed="64"/>
      </patternFill>
    </fill>
    <fill>
      <patternFill patternType="solid">
        <fgColor rgb="FF784E1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122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30" formatCode="@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84E1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tendanc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alu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endanc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E94603-1D37-40F7-9500-691A78FB1D31}" name="tblEvidence" displayName="tblEvidence" ref="A3:J203" totalsRowShown="0" headerRowDxfId="1" dataDxfId="0">
  <autoFilter ref="A3:J203" xr:uid="{77E94603-1D37-40F7-9500-691A78FB1D31}"/>
  <tableColumns count="10">
    <tableColumn id="1" xr3:uid="{5CC62CA6-F3A1-4249-A10A-90455DF8AA30}" name="كود الدليل" dataDxfId="11"/>
    <tableColumn id="2" xr3:uid="{6968DB99-5CD5-4B7D-84DE-526C317EDFB3}" name="كود النشاط" dataDxfId="10"/>
    <tableColumn id="3" xr3:uid="{F114B68E-8946-43FE-85D6-3C0F041C0071}" name="كود الجلسة" dataDxfId="9"/>
    <tableColumn id="4" xr3:uid="{4BA439F8-700A-4EE5-B767-03EF77B4E813}" name="نوع الدليل" dataDxfId="8"/>
    <tableColumn id="5" xr3:uid="{6B69E19C-F99B-437B-86A7-906123D130AF}" name="اسم الملف/الرابط" dataDxfId="7"/>
    <tableColumn id="6" xr3:uid="{CFB439D5-4EFC-4BB6-8B66-34AE5984FCA7}" name="المسؤول" dataDxfId="6"/>
    <tableColumn id="7" xr3:uid="{8755FA04-C8C2-4805-8395-5125AE8C6048}" name="تاريخ الحفظ" dataDxfId="5"/>
    <tableColumn id="8" xr3:uid="{8FEE29CA-E6FD-4018-B376-1AD0750BAC5F}" name="الحالة" dataDxfId="4"/>
    <tableColumn id="9" xr3:uid="{15BD6E21-14CA-48D5-8221-C1B985A7A28E}" name="مراجع الجودة" dataDxfId="3"/>
    <tableColumn id="10" xr3:uid="{C3B555E7-2B55-4305-9258-899F05C5F953}" name="ملاحظات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AD243E-D53B-4686-A804-4397590DE6D4}" name="tblCompetency" displayName="tblCompetency" ref="A3:L203" totalsRowShown="0" headerRowDxfId="12" dataDxfId="25">
  <autoFilter ref="A3:L203" xr:uid="{1CAD243E-D53B-4686-A804-4397590DE6D4}"/>
  <tableColumns count="12">
    <tableColumn id="1" xr3:uid="{1F678B79-1A1B-46AC-8D36-0D0154FCB759}" name="كود الموظف" dataDxfId="24"/>
    <tableColumn id="2" xr3:uid="{13C13C98-8632-403F-8482-4E99D42A3AFD}" name="اسم الموظف" dataDxfId="23">
      <calculatedColumnFormula>IFERROR(VLOOKUP(A4,Employees!A:L,2,FALSE),"")</calculatedColumnFormula>
    </tableColumn>
    <tableColumn id="3" xr3:uid="{301B6A6B-CB42-4690-891B-0690CEA4A6B6}" name="القسم" dataDxfId="22">
      <calculatedColumnFormula>IFERROR(VLOOKUP(A4,Employees!A:L,3,FALSE),"")</calculatedColumnFormula>
    </tableColumn>
    <tableColumn id="4" xr3:uid="{2AE7A474-B1D5-4824-849B-F8D2D3FBBDD6}" name="الكفاءة/المهارة" dataDxfId="21"/>
    <tableColumn id="5" xr3:uid="{AC4C3972-D634-4297-8F41-F4129C092EAF}" name="النشاط المرجعي" dataDxfId="20"/>
    <tableColumn id="6" xr3:uid="{59AF32A2-826B-4859-B3DC-88364DC5275E}" name="درجة الكفاءة %" dataDxfId="19"/>
    <tableColumn id="7" xr3:uid="{7D7D07B5-7557-436F-BB20-DD4046A7C006}" name="تاريخ التقييم" dataDxfId="18"/>
    <tableColumn id="8" xr3:uid="{9CEF6F42-B874-47E1-AB25-7577ACD7179E}" name="المقيم" dataDxfId="17"/>
    <tableColumn id="9" xr3:uid="{1744E02D-9FEA-4484-BF83-052B19C4E1F3}" name="الحالة" dataDxfId="16"/>
    <tableColumn id="10" xr3:uid="{A80621E0-4A48-42AF-8352-AAB6CBB3515C}" name="موعد إعادة التقييم" dataDxfId="15"/>
    <tableColumn id="11" xr3:uid="{492F2569-C83C-4406-8BD0-FF88C40554E3}" name="إجراء تصحيحي" dataDxfId="14"/>
    <tableColumn id="12" xr3:uid="{1FA21687-A013-4974-A91E-A04994594BAB}" name="رابط الدليل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5A3774-AC5A-4D6F-A16F-14797EA42780}" name="tblEvaluation" displayName="tblEvaluation" ref="A3:M1003" totalsRowShown="0" headerRowDxfId="26" dataDxfId="40">
  <autoFilter ref="A3:M1003" xr:uid="{A35A3774-AC5A-4D6F-A16F-14797EA42780}"/>
  <tableColumns count="13">
    <tableColumn id="1" xr3:uid="{027ED370-9D2E-4DA5-85B4-717693A9EA95}" name="رقم" dataDxfId="39"/>
    <tableColumn id="2" xr3:uid="{ACECC777-26F5-4DCD-BAD1-BE7CAF3F52EC}" name="كود الجلسة" dataDxfId="38"/>
    <tableColumn id="3" xr3:uid="{AC52D8B1-15BD-4AFC-ADD7-17FA40D292D4}" name="كود النشاط" dataDxfId="37">
      <calculatedColumnFormula>IFERROR(VLOOKUP(B4,Sessions!A:J,2,FALSE),"")</calculatedColumnFormula>
    </tableColumn>
    <tableColumn id="4" xr3:uid="{7331ECE7-3EF2-4924-9BE6-705300772C57}" name="كود الموظف" dataDxfId="36"/>
    <tableColumn id="5" xr3:uid="{3B9A6D2E-BCD5-4EF0-842A-4830138EE23B}" name="اسم الموظف" dataDxfId="35">
      <calculatedColumnFormula>IFERROR(VLOOKUP(D4,Employees!A:L,2,FALSE),"")</calculatedColumnFormula>
    </tableColumn>
    <tableColumn id="6" xr3:uid="{C874056B-D91E-493C-84C6-7B42989BCABF}" name="قبلي %" dataDxfId="34"/>
    <tableColumn id="7" xr3:uid="{CE000B0D-DDF9-4F08-A769-4928C31894CD}" name="بعدي %" dataDxfId="33"/>
    <tableColumn id="8" xr3:uid="{F8767417-9D70-48C6-8129-682D77F72581}" name="الدرجة المعتمدة" dataDxfId="32">
      <calculatedColumnFormula>IF(G4="","",G4)</calculatedColumnFormula>
    </tableColumn>
    <tableColumn id="9" xr3:uid="{8923EFD5-0538-4873-B9CA-0F712E3C770E}" name="النتيجة" dataDxfId="31"/>
    <tableColumn id="10" xr3:uid="{6E8B3BA9-9F37-46FC-AB12-A1C77B089B3A}" name="مقيم الكفاءة" dataDxfId="30"/>
    <tableColumn id="11" xr3:uid="{719FD9AE-711D-47F1-BD46-79E6B71FC2A2}" name="تاريخ التقييم" dataDxfId="29"/>
    <tableColumn id="12" xr3:uid="{28362B44-9170-44B8-AD7E-89CDE6266FFF}" name="إجراء التحسين" dataDxfId="28"/>
    <tableColumn id="13" xr3:uid="{FF43335F-41D0-490D-9E24-CC9BDB575280}" name="رابط نموذج التقييم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4DC52B-BE91-4655-8684-7CDC6E5CE440}" name="tblAttendance" displayName="tblAttendance" ref="A3:L1003" totalsRowShown="0" headerRowDxfId="41" dataDxfId="54">
  <autoFilter ref="A3:L1003" xr:uid="{F84DC52B-BE91-4655-8684-7CDC6E5CE440}"/>
  <tableColumns count="12">
    <tableColumn id="1" xr3:uid="{B352A7CF-12AF-4231-9DF0-CD3CF42F901C}" name="رقم" dataDxfId="53"/>
    <tableColumn id="2" xr3:uid="{6D6CF62A-613D-42B0-B9F0-66563C1E4995}" name="كود الجلسة" dataDxfId="52"/>
    <tableColumn id="3" xr3:uid="{64AABC7C-73DA-474F-9B78-52EA8895737B}" name="كود النشاط" dataDxfId="51">
      <calculatedColumnFormula>IFERROR(VLOOKUP(B4,Sessions!A:J,2,FALSE),"")</calculatedColumnFormula>
    </tableColumn>
    <tableColumn id="4" xr3:uid="{03E6F266-0566-4FA1-94B5-71BA110A0AE6}" name="التاريخ" dataDxfId="50">
      <calculatedColumnFormula>IFERROR(VLOOKUP(B4,Sessions!A:J,3,FALSE),"")</calculatedColumnFormula>
    </tableColumn>
    <tableColumn id="5" xr3:uid="{121DABAA-D036-4DB1-8FBF-F8E69F43C159}" name="كود الموظف" dataDxfId="49"/>
    <tableColumn id="6" xr3:uid="{56914D84-1E9A-4595-AE5D-06D8F4B7B30B}" name="اسم الموظف" dataDxfId="48">
      <calculatedColumnFormula>IFERROR(VLOOKUP(E4,Employees!A:L,2,FALSE),"")</calculatedColumnFormula>
    </tableColumn>
    <tableColumn id="7" xr3:uid="{EFF2D315-E33A-494A-B463-94C571F27245}" name="القسم" dataDxfId="47">
      <calculatedColumnFormula>IFERROR(VLOOKUP(E4,Employees!A:L,3,FALSE),"")</calculatedColumnFormula>
    </tableColumn>
    <tableColumn id="8" xr3:uid="{3954D880-4978-4C17-95E8-353640A2A7F6}" name="حضر؟" dataDxfId="46"/>
    <tableColumn id="9" xr3:uid="{330FA57A-F531-48DE-B268-94097843FD98}" name="وقت الدخول" dataDxfId="45"/>
    <tableColumn id="10" xr3:uid="{D3BEF402-EE4E-446A-9854-1EEC273DC508}" name="توقيع/إثبات" dataDxfId="44"/>
    <tableColumn id="11" xr3:uid="{0FE41C8B-1D15-46CF-BA4B-B7FCF0B79066}" name="حالة السجل" dataDxfId="43">
      <calculatedColumnFormula>IF(B4="","",IF(OR(E4="",H4=""),"ناقص",IF(H4="نعم","مكتمل","غائب")))</calculatedColumnFormula>
    </tableColumn>
    <tableColumn id="12" xr3:uid="{B6E552A2-5273-45F0-A88E-AFCD190AF556}" name="ملاحظات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3BF141-288D-4EA3-8B8B-413185D2CD6B}" name="tblSessions" displayName="tblSessions" ref="A3:J203" totalsRowShown="0" headerRowDxfId="55" dataDxfId="66">
  <autoFilter ref="A3:J203" xr:uid="{553BF141-288D-4EA3-8B8B-413185D2CD6B}"/>
  <tableColumns count="10">
    <tableColumn id="1" xr3:uid="{0433E273-C5F0-4B38-A00F-E17AB4568884}" name="كود الجلسة" dataDxfId="65"/>
    <tableColumn id="2" xr3:uid="{AC4FD54A-5349-41E5-8AF3-9F9BC6883405}" name="كود النشاط" dataDxfId="64"/>
    <tableColumn id="3" xr3:uid="{995E538D-9D02-4184-AEC5-D5CA14926ABC}" name="التاريخ الفعلي" dataDxfId="63"/>
    <tableColumn id="4" xr3:uid="{F299392C-249D-4B97-AF03-1765BC40675E}" name="المكان" dataDxfId="62"/>
    <tableColumn id="5" xr3:uid="{06932786-A5D3-411C-A6BE-E1BBE2D71F69}" name="المدرب" dataDxfId="61"/>
    <tableColumn id="6" xr3:uid="{9790B0C6-4BE5-4267-987C-590BEA7AC8BB}" name="السعة" dataDxfId="60"/>
    <tableColumn id="7" xr3:uid="{8564D21F-BDD5-4757-A9BF-214783A57551}" name="عدد الحضور" dataDxfId="59">
      <calculatedColumnFormula>IF(A4="","",COUNTIFS([1]Attendance!B:B,B4,[1]Attendance!J:J,C4,[1]Attendance!F:F,"نعم"))</calculatedColumnFormula>
    </tableColumn>
    <tableColumn id="8" xr3:uid="{CEDC7D17-9E29-4719-A882-DDA9B2B5FB79}" name="نسبة الحضور" dataDxfId="58">
      <calculatedColumnFormula>IFERROR(G4/F4,0)</calculatedColumnFormula>
    </tableColumn>
    <tableColumn id="9" xr3:uid="{3C4E22F5-B71D-4408-A715-2C4F71F147E9}" name="التكلفة" dataDxfId="57"/>
    <tableColumn id="10" xr3:uid="{9B0D02C7-0818-4A50-A950-A3D1A5684F7C}" name="حالة الجلسة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11D84D-81F9-4D2F-AB56-4267E8DE8E2B}" name="tblPlan" displayName="tblPlan" ref="A3:Q203" totalsRowShown="0" headerRowDxfId="67" dataDxfId="85">
  <autoFilter ref="A3:Q203" xr:uid="{A211D84D-81F9-4D2F-AB56-4267E8DE8E2B}"/>
  <tableColumns count="17">
    <tableColumn id="1" xr3:uid="{CBF51836-5949-4919-86F4-73E04DDE19E9}" name="كود النشاط" dataDxfId="84"/>
    <tableColumn id="2" xr3:uid="{E6617C21-7CAE-437E-AF0C-8B7A50FDE2A7}" name="كود الاحتياج" dataDxfId="83"/>
    <tableColumn id="3" xr3:uid="{F45FABDF-FF1D-40A3-A718-55D9413B75DB}" name="كود المحور" dataDxfId="82"/>
    <tableColumn id="4" xr3:uid="{45AC7605-ADF0-43F0-BF4E-EAF53320BC85}" name="الشهر" dataDxfId="81"/>
    <tableColumn id="5" xr3:uid="{5DB77914-3A7A-4D6F-8356-039D5E89ED66}" name="عنوان النشاط" dataDxfId="80"/>
    <tableColumn id="6" xr3:uid="{4CBAE678-261A-49F1-852A-E81463778ABD}" name="الهدف القابل للقياس" dataDxfId="79"/>
    <tableColumn id="7" xr3:uid="{55F97BDF-01CE-4663-9B78-35E7572E1CC8}" name="الفئة" dataDxfId="78"/>
    <tableColumn id="8" xr3:uid="{76B28E4A-0AFD-4706-8623-D14102F536B8}" name="نوع النشاط" dataDxfId="77"/>
    <tableColumn id="9" xr3:uid="{34A996D3-A8D3-4DE4-8CFB-4F25A1600D9F}" name="المسؤول" dataDxfId="76"/>
    <tableColumn id="10" xr3:uid="{ED75A3A2-12AF-4719-B106-C060FC6BA8A8}" name="الساعات" dataDxfId="75"/>
    <tableColumn id="11" xr3:uid="{A68B1F5F-AF0B-4758-A005-CB7D789843B7}" name="التاريخ المخطط" dataDxfId="74"/>
    <tableColumn id="12" xr3:uid="{5FCF7AF5-789D-42F6-BEE5-92F1278F5954}" name="التاريخ الفعلي" dataDxfId="73"/>
    <tableColumn id="13" xr3:uid="{D41CE944-CAF2-4086-B460-9463F8376E1B}" name="الحالة" dataDxfId="72"/>
    <tableColumn id="14" xr3:uid="{D07BD10B-CB9E-4944-8F32-5F7F0BB92980}" name="عدد الحضور" dataDxfId="71">
      <calculatedColumnFormula>IF(A4="","",COUNTIFS([1]Attendance!B:B,A4,[1]Attendance!F:F,"نعم"))</calculatedColumnFormula>
    </tableColumn>
    <tableColumn id="15" xr3:uid="{5332E03E-BA29-47CC-9524-115587B41DB2}" name="متوسط التقييم" dataDxfId="70">
      <calculatedColumnFormula>IFERROR(AVERAGEIF([2]Evaluation!B:B,A4,[2]Evaluation!H:H),"")</calculatedColumnFormula>
    </tableColumn>
    <tableColumn id="16" xr3:uid="{CE78303B-654D-477E-A85F-DC3288DA23E9}" name="دليل الإثبات" dataDxfId="69"/>
    <tableColumn id="17" xr3:uid="{8B809947-F6F5-41F9-94BE-3477E2CB59BC}" name="ملاحظات التحسين" dataDxfId="6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2522C1-D8FA-4CE0-8B1A-17858A71C402}" name="tblNeeds" displayName="tblNeeds" ref="A3:K203" totalsRowShown="0" headerRowDxfId="87" dataDxfId="86">
  <autoFilter ref="A3:K203" xr:uid="{BE2522C1-D8FA-4CE0-8B1A-17858A71C402}"/>
  <tableColumns count="11">
    <tableColumn id="1" xr3:uid="{414B0E9E-F656-4437-99FF-C190F41D61D4}" name="كود الاحتياج" dataDxfId="98"/>
    <tableColumn id="2" xr3:uid="{4C27D3C7-FC29-4528-8803-9EC42FC622C5}" name="القسم" dataDxfId="97"/>
    <tableColumn id="3" xr3:uid="{FCE30DCA-A41D-45D9-A9BD-A1C6F7131D38}" name="الفجوة/الخطر" dataDxfId="96"/>
    <tableColumn id="4" xr3:uid="{895AAF7C-15E3-44EF-BBDC-949A60E25475}" name="مصدر الاحتياج" dataDxfId="95"/>
    <tableColumn id="5" xr3:uid="{F042386B-4BBD-40B4-8BD0-61459DB44676}" name="الأثر" dataDxfId="94"/>
    <tableColumn id="6" xr3:uid="{9206FA12-B0AF-4AA2-9C13-AC537E9D1FA4}" name="الأولوية" dataDxfId="93"/>
    <tableColumn id="7" xr3:uid="{6CA9FE9E-3F19-453A-A04B-76859F302FFD}" name="الكفاءة المطلوبة" dataDxfId="92"/>
    <tableColumn id="8" xr3:uid="{317BBC60-FBBC-4941-A00A-B9662245FDB2}" name="الإجراء التدريبي" dataDxfId="91"/>
    <tableColumn id="9" xr3:uid="{A632CEA9-2BFD-48C8-A0D0-463175359278}" name="المسؤول" dataDxfId="90"/>
    <tableColumn id="10" xr3:uid="{601D4AB5-28DD-47F2-B57A-4961F1459E8A}" name="موعد الإغلاق" dataDxfId="89"/>
    <tableColumn id="11" xr3:uid="{7A29C20A-F3EA-46D5-9184-96DF8270BD55}" name="الحالة" dataDxfId="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FE12D-7D28-4D2D-B1FE-0695FBD77028}" name="tblEmployees" displayName="tblEmployees" ref="A3:L203" totalsRowShown="0" headerRowDxfId="99" dataDxfId="112">
  <autoFilter ref="A3:L203" xr:uid="{927FE12D-7D28-4D2D-B1FE-0695FBD77028}"/>
  <tableColumns count="12">
    <tableColumn id="1" xr3:uid="{9B35133C-2DD9-4122-9C46-4B96995D1422}" name="كود الموظف" dataDxfId="111"/>
    <tableColumn id="2" xr3:uid="{E94AA05E-6394-4033-A19C-F9A3BA88EA8D}" name="الاسم" dataDxfId="110"/>
    <tableColumn id="3" xr3:uid="{698527BE-D506-4F58-9C2C-B93E02F886BC}" name="القسم" dataDxfId="109"/>
    <tableColumn id="4" xr3:uid="{B6B98E93-D732-4127-9024-EB2F6C54034D}" name="المسمى" dataDxfId="108"/>
    <tableColumn id="5" xr3:uid="{D7B2EB01-4181-4240-9885-6C6DD4A7DFC1}" name="الفئة" dataDxfId="107"/>
    <tableColumn id="6" xr3:uid="{948A2EB6-E6A1-4E63-96DE-F70F21F4222D}" name="تاريخ التعيين" dataDxfId="106"/>
    <tableColumn id="7" xr3:uid="{5835F5D2-62FF-4286-81FC-965B699E423C}" name="الحالة" dataDxfId="105"/>
    <tableColumn id="8" xr3:uid="{99CE1CFC-F99B-420F-AC32-2B1AB85186EE}" name="المدير" dataDxfId="104"/>
    <tableColumn id="9" xr3:uid="{2A445955-E361-448A-A2AE-868398F6D8EB}" name="عدد الأنشطة" dataDxfId="103">
      <calculatedColumnFormula>IF(A4="","",COUNTIF([1]Attendance!D:D,A4))</calculatedColumnFormula>
    </tableColumn>
    <tableColumn id="10" xr3:uid="{AEC0B97D-1168-459D-AE8C-783830348D25}" name="نسبة الحضور" dataDxfId="102">
      <calculatedColumnFormula>IFERROR(COUNTIFS([1]Attendance!D:D,A4,[1]Attendance!F:F,"نعم")/I4,0)</calculatedColumnFormula>
    </tableColumn>
    <tableColumn id="11" xr3:uid="{D7C45068-9B16-4151-9D52-EEC51716A64F}" name="متوسط التقييم" dataDxfId="101">
      <calculatedColumnFormula>IFERROR(AVERAGEIF([2]Evaluation!D:D,A4,[2]Evaluation!H:H),"")</calculatedColumnFormula>
    </tableColumn>
    <tableColumn id="12" xr3:uid="{968B4C4B-D560-4457-AA76-5ACC2DAE2B2C}" name="حالة التدريب" dataDxfId="10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C6717-AC3B-4B33-8E12-4E8DD8DE08F1}" name="tblStandards" displayName="tblStandards" ref="A3:G11" totalsRowShown="0" headerRowDxfId="113" dataDxfId="121">
  <autoFilter ref="A3:G11" xr:uid="{CC1C6717-AC3B-4B33-8E12-4E8DD8DE08F1}"/>
  <tableColumns count="7">
    <tableColumn id="1" xr3:uid="{6E068FA8-CBF9-472A-9204-0CEDEBEC9A52}" name="كود المحور" dataDxfId="120"/>
    <tableColumn id="2" xr3:uid="{C20DBADB-698E-4CD5-AB06-AE8FBF4523EE}" name="المحور" dataDxfId="119"/>
    <tableColumn id="3" xr3:uid="{B0B9ACC7-593C-4A28-B8FD-4D9020FF5F84}" name="موضوع/متطلب التدريب" dataDxfId="118"/>
    <tableColumn id="4" xr3:uid="{08EA14C6-4E23-4574-8B99-85B848984817}" name="الفئات المعنية" dataDxfId="117"/>
    <tableColumn id="5" xr3:uid="{9206A184-76AF-4A59-8128-000FE840114D}" name="دليل الإثبات المتوقع" dataDxfId="116"/>
    <tableColumn id="6" xr3:uid="{6C7757C0-B8A5-48BF-9A7A-510036544B18}" name="تكرار مقترح" dataDxfId="115"/>
    <tableColumn id="7" xr3:uid="{72B74D02-88BC-4AFB-BB6A-252C37584C0F}" name="ملاحظات المطابقة" dataDxfId="1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A299-35ED-4A32-A8C8-FC0BFADA688F}">
  <dimension ref="A1:H8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2.7109375" style="1" bestFit="1" customWidth="1"/>
    <col min="2" max="2" width="3.7109375" style="1" bestFit="1" customWidth="1"/>
    <col min="3" max="16384" width="9.140625" style="1"/>
  </cols>
  <sheetData>
    <row r="1" spans="1:8" x14ac:dyDescent="0.2">
      <c r="A1" s="2" t="s">
        <v>326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 t="s">
        <v>147</v>
      </c>
      <c r="B3" s="3" t="s">
        <v>158</v>
      </c>
      <c r="C3" s="3"/>
      <c r="D3" s="3"/>
      <c r="E3" s="3"/>
      <c r="F3" s="3"/>
      <c r="G3" s="3"/>
      <c r="H3" s="3"/>
    </row>
    <row r="4" spans="1:8" x14ac:dyDescent="0.2">
      <c r="A4" s="3" t="s">
        <v>94</v>
      </c>
      <c r="B4" s="3">
        <f>COUNTIF(Plan!D:D,B3)</f>
        <v>2</v>
      </c>
      <c r="C4" s="3"/>
      <c r="D4" s="3"/>
      <c r="E4" s="3"/>
      <c r="F4" s="3"/>
      <c r="G4" s="3"/>
      <c r="H4" s="3"/>
    </row>
    <row r="5" spans="1:8" x14ac:dyDescent="0.2">
      <c r="A5" s="3" t="s">
        <v>327</v>
      </c>
      <c r="B5" s="3">
        <f>COUNTIFS(Plan!D:D,B3,Plan!M:M,"منفذ")</f>
        <v>0</v>
      </c>
      <c r="C5" s="3"/>
      <c r="D5" s="3"/>
      <c r="E5" s="3"/>
      <c r="F5" s="3"/>
      <c r="G5" s="3"/>
      <c r="H5" s="3"/>
    </row>
    <row r="6" spans="1:8" x14ac:dyDescent="0.2">
      <c r="A6" s="3" t="s">
        <v>328</v>
      </c>
      <c r="B6" s="6">
        <f>IFERROR(B5/B4,0)</f>
        <v>0</v>
      </c>
      <c r="C6" s="3"/>
      <c r="D6" s="3"/>
      <c r="E6" s="3"/>
      <c r="F6" s="3"/>
      <c r="G6" s="3"/>
      <c r="H6" s="3"/>
    </row>
    <row r="7" spans="1:8" x14ac:dyDescent="0.2">
      <c r="A7" s="3" t="s">
        <v>154</v>
      </c>
      <c r="B7" s="3">
        <f>SUMPRODUCT(--(TEXT(Attendance!D4:D1003,"mmmm")=B3),--(Attendance!H4:H1003="نعم"))</f>
        <v>0</v>
      </c>
      <c r="C7" s="3"/>
      <c r="D7" s="3"/>
      <c r="E7" s="3"/>
      <c r="F7" s="3"/>
      <c r="G7" s="3"/>
      <c r="H7" s="3"/>
    </row>
    <row r="8" spans="1:8" x14ac:dyDescent="0.2">
      <c r="A8" s="3" t="s">
        <v>329</v>
      </c>
      <c r="B8" s="3">
        <f>COUNTIF(Needs!K:K,"مفتوح")</f>
        <v>3</v>
      </c>
      <c r="C8" s="3"/>
      <c r="D8" s="3"/>
      <c r="E8" s="3"/>
      <c r="F8" s="3"/>
      <c r="G8" s="3"/>
      <c r="H8" s="3"/>
    </row>
  </sheetData>
  <mergeCells count="1">
    <mergeCell ref="A1:H1"/>
  </mergeCells>
  <dataValidations count="1">
    <dataValidation type="list" allowBlank="1" showInputMessage="1" showErrorMessage="1" sqref="B3" xr:uid="{7F061A8F-9A2D-4C83-BC15-7E454A3847BB}">
      <formula1>"يناير,فبراير,مارس,أبريل,مايو,يونيو,يوليو,أغسطس,سبتمبر,أكتوبر,نوفمبر,ديسمبر"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60E5-DC1F-4FA7-8564-DF3677A235B7}">
  <dimension ref="A1:E13"/>
  <sheetViews>
    <sheetView rightToLeft="1" workbookViewId="0">
      <pane ySplit="3" topLeftCell="A4" activePane="bottomLeft" state="frozenSplit"/>
      <selection pane="bottomLeft" sqref="A1:E1"/>
    </sheetView>
  </sheetViews>
  <sheetFormatPr defaultRowHeight="12.75" x14ac:dyDescent="0.2"/>
  <cols>
    <col min="1" max="1" width="13.42578125" style="1" bestFit="1" customWidth="1"/>
    <col min="2" max="2" width="4.42578125" style="1" bestFit="1" customWidth="1"/>
    <col min="3" max="3" width="15.42578125" style="1" bestFit="1" customWidth="1"/>
    <col min="4" max="4" width="9" style="1" bestFit="1" customWidth="1"/>
    <col min="5" max="5" width="11.42578125" style="1" bestFit="1" customWidth="1"/>
    <col min="6" max="16384" width="9.140625" style="1"/>
  </cols>
  <sheetData>
    <row r="1" spans="1:5" x14ac:dyDescent="0.2">
      <c r="A1" s="2" t="s">
        <v>298</v>
      </c>
      <c r="B1" s="2"/>
      <c r="C1" s="2"/>
      <c r="D1" s="2"/>
      <c r="E1" s="2"/>
    </row>
    <row r="2" spans="1:5" x14ac:dyDescent="0.2">
      <c r="A2" s="3"/>
      <c r="B2" s="3"/>
      <c r="C2" s="3"/>
      <c r="D2" s="3"/>
      <c r="E2" s="3"/>
    </row>
    <row r="3" spans="1:5" x14ac:dyDescent="0.2">
      <c r="A3" s="4" t="s">
        <v>299</v>
      </c>
      <c r="B3" s="4" t="s">
        <v>2</v>
      </c>
      <c r="C3" s="4" t="s">
        <v>300</v>
      </c>
      <c r="D3" s="4" t="s">
        <v>92</v>
      </c>
      <c r="E3" s="4" t="s">
        <v>301</v>
      </c>
    </row>
    <row r="4" spans="1:5" x14ac:dyDescent="0.2">
      <c r="A4" s="3" t="s">
        <v>302</v>
      </c>
      <c r="B4" s="3">
        <f>COUNTIF(Employees!G:G,"نشط")</f>
        <v>3</v>
      </c>
      <c r="C4" s="3" t="s">
        <v>303</v>
      </c>
      <c r="D4" s="3" t="str">
        <f>IF(B4="","",IF(ISNUMBER(B4),IF(OR(4="0 أو خطة تصحيح",B4&gt;=0),"راجع المؤشر","راجع المؤشر"),""))</f>
        <v>راجع المؤشر</v>
      </c>
      <c r="E4" s="3" t="s">
        <v>304</v>
      </c>
    </row>
    <row r="5" spans="1:5" x14ac:dyDescent="0.2">
      <c r="A5" s="3" t="s">
        <v>305</v>
      </c>
      <c r="B5" s="3">
        <f>COUNTIF(Plan!A:A,"TR-*")</f>
        <v>13</v>
      </c>
      <c r="C5" s="3" t="s">
        <v>306</v>
      </c>
      <c r="D5" s="3" t="str">
        <f>IF(B5="","",IF(ISNUMBER(B5),IF(OR(5="0 أو خطة تصحيح",B5&gt;=0),"راجع المؤشر","راجع المؤشر"),""))</f>
        <v>راجع المؤشر</v>
      </c>
      <c r="E5" s="3" t="s">
        <v>307</v>
      </c>
    </row>
    <row r="6" spans="1:5" x14ac:dyDescent="0.2">
      <c r="A6" s="3" t="s">
        <v>308</v>
      </c>
      <c r="B6" s="3">
        <f>COUNTIF(Plan!M:M,"منفذ")</f>
        <v>0</v>
      </c>
      <c r="C6" s="3" t="s">
        <v>309</v>
      </c>
      <c r="D6" s="3" t="str">
        <f>IF(B6="","",IF(ISNUMBER(B6),IF(OR(6="0 أو خطة تصحيح",B6&gt;=0),"راجع المؤشر","راجع المؤشر"),""))</f>
        <v>راجع المؤشر</v>
      </c>
      <c r="E6" s="3" t="s">
        <v>307</v>
      </c>
    </row>
    <row r="7" spans="1:5" x14ac:dyDescent="0.2">
      <c r="A7" s="3" t="s">
        <v>310</v>
      </c>
      <c r="B7" s="6">
        <f ca="1">IFERROR(B7/B6,0)</f>
        <v>0</v>
      </c>
      <c r="C7" s="3" t="s">
        <v>311</v>
      </c>
      <c r="D7" s="3">
        <f ca="1">IF(B7="","",IF(ISNUMBER(B7),IF(OR(7="0 أو خطة تصحيح",B7&gt;=0),"راجع المؤشر","راجع المؤشر"),""))</f>
        <v>0</v>
      </c>
      <c r="E7" s="3" t="s">
        <v>307</v>
      </c>
    </row>
    <row r="8" spans="1:5" x14ac:dyDescent="0.2">
      <c r="A8" s="3" t="s">
        <v>312</v>
      </c>
      <c r="B8" s="3">
        <f>COUNTIF(Attendance!E:E,"EMP-*")</f>
        <v>0</v>
      </c>
      <c r="C8" s="3" t="s">
        <v>313</v>
      </c>
      <c r="D8" s="3" t="str">
        <f>IF(B8="","",IF(ISNUMBER(B8),IF(OR(8="0 أو خطة تصحيح",B8&gt;=0),"راجع المؤشر","راجع المؤشر"),""))</f>
        <v>راجع المؤشر</v>
      </c>
      <c r="E8" s="3" t="s">
        <v>314</v>
      </c>
    </row>
    <row r="9" spans="1:5" x14ac:dyDescent="0.2">
      <c r="A9" s="3" t="s">
        <v>19</v>
      </c>
      <c r="B9" s="6">
        <f>IFERROR(COUNTIF(Attendance!H:H,"نعم")/B8,0)</f>
        <v>0</v>
      </c>
      <c r="C9" s="3" t="s">
        <v>315</v>
      </c>
      <c r="D9" s="3" t="str">
        <f>IF(B9="","",IF(ISNUMBER(B9),IF(OR(9="0 أو خطة تصحيح",B9&gt;=0),"راجع المؤشر","راجع المؤشر"),""))</f>
        <v>راجع المؤشر</v>
      </c>
      <c r="E9" s="3" t="s">
        <v>314</v>
      </c>
    </row>
    <row r="10" spans="1:5" x14ac:dyDescent="0.2">
      <c r="A10" s="3" t="s">
        <v>316</v>
      </c>
      <c r="B10" s="6">
        <f>IFERROR(AVERAGE(Evaluation!H:H),0)</f>
        <v>0</v>
      </c>
      <c r="C10" s="3" t="s">
        <v>317</v>
      </c>
      <c r="D10" s="3" t="str">
        <f>IF(B10="","",IF(ISNUMBER(B10),IF(OR(10="0 أو خطة تصحيح",B10&gt;=0),"راجع المؤشر","راجع المؤشر"),""))</f>
        <v>راجع المؤشر</v>
      </c>
      <c r="E10" s="3" t="s">
        <v>318</v>
      </c>
    </row>
    <row r="11" spans="1:5" x14ac:dyDescent="0.2">
      <c r="A11" s="3" t="s">
        <v>319</v>
      </c>
      <c r="B11" s="3">
        <f>COUNTIF(Evaluation!I:I,"إعادة تدريب")</f>
        <v>0</v>
      </c>
      <c r="C11" s="3" t="s">
        <v>320</v>
      </c>
      <c r="D11" s="3" t="str">
        <f>IF(B11="","",IF(ISNUMBER(B11),IF(OR(11="0 أو خطة تصحيح",B11&gt;=0),"راجع المؤشر","راجع المؤشر"),""))</f>
        <v>راجع المؤشر</v>
      </c>
      <c r="E11" s="3" t="s">
        <v>318</v>
      </c>
    </row>
    <row r="12" spans="1:5" x14ac:dyDescent="0.2">
      <c r="A12" s="3" t="s">
        <v>321</v>
      </c>
      <c r="B12" s="3">
        <f>COUNTIF(Evidence!H:H,"مكتمل")</f>
        <v>0</v>
      </c>
      <c r="C12" s="3" t="s">
        <v>322</v>
      </c>
      <c r="D12" s="3" t="str">
        <f>IF(B12="","",IF(ISNUMBER(B12),IF(OR(12="0 أو خطة تصحيح",B12&gt;=0),"راجع المؤشر","راجع المؤشر"),""))</f>
        <v>راجع المؤشر</v>
      </c>
      <c r="E12" s="3" t="s">
        <v>323</v>
      </c>
    </row>
    <row r="13" spans="1:5" x14ac:dyDescent="0.2">
      <c r="A13" s="3" t="s">
        <v>324</v>
      </c>
      <c r="B13" s="3">
        <f>COUNTIF(Competency!I:I,"غير كفء - إعادة تدريب")</f>
        <v>0</v>
      </c>
      <c r="C13" s="3" t="s">
        <v>320</v>
      </c>
      <c r="D13" s="3" t="str">
        <f>IF(B13="","",IF(ISNUMBER(B13),IF(OR(13="0 أو خطة تصحيح",B13&gt;=0),"راجع المؤشر","راجع المؤشر"),""))</f>
        <v>راجع المؤشر</v>
      </c>
      <c r="E13" s="3" t="s">
        <v>325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95A2-5C91-4D59-9E98-83F5CBFD7F41}">
  <dimension ref="A1:J6"/>
  <sheetViews>
    <sheetView rightToLeft="1" workbookViewId="0">
      <pane ySplit="3" topLeftCell="A4" activePane="bottomLeft" state="frozenSplit"/>
      <selection pane="bottomLeft" sqref="A1:J1"/>
    </sheetView>
  </sheetViews>
  <sheetFormatPr defaultRowHeight="12.75" x14ac:dyDescent="0.2"/>
  <cols>
    <col min="1" max="1" width="11.5703125" style="1" bestFit="1" customWidth="1"/>
    <col min="2" max="2" width="12.28515625" style="1" bestFit="1" customWidth="1"/>
    <col min="3" max="3" width="12.42578125" style="1" bestFit="1" customWidth="1"/>
    <col min="4" max="4" width="11.85546875" style="1" bestFit="1" customWidth="1"/>
    <col min="5" max="5" width="16.140625" style="1" bestFit="1" customWidth="1"/>
    <col min="6" max="6" width="10.85546875" style="1" bestFit="1" customWidth="1"/>
    <col min="7" max="7" width="13" style="1" bestFit="1" customWidth="1"/>
    <col min="8" max="8" width="9" style="1" bestFit="1" customWidth="1"/>
    <col min="9" max="9" width="13.85546875" style="1" bestFit="1" customWidth="1"/>
    <col min="10" max="10" width="10.85546875" style="1" bestFit="1" customWidth="1"/>
    <col min="11" max="16384" width="9.140625" style="1"/>
  </cols>
  <sheetData>
    <row r="1" spans="1:10" x14ac:dyDescent="0.2">
      <c r="A1" s="2" t="s">
        <v>284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">
      <c r="A3" s="4" t="s">
        <v>285</v>
      </c>
      <c r="B3" s="4" t="s">
        <v>146</v>
      </c>
      <c r="C3" s="4" t="s">
        <v>247</v>
      </c>
      <c r="D3" s="4" t="s">
        <v>286</v>
      </c>
      <c r="E3" s="4" t="s">
        <v>287</v>
      </c>
      <c r="F3" s="4" t="s">
        <v>121</v>
      </c>
      <c r="G3" s="4" t="s">
        <v>288</v>
      </c>
      <c r="H3" s="4" t="s">
        <v>92</v>
      </c>
      <c r="I3" s="4" t="s">
        <v>289</v>
      </c>
      <c r="J3" s="4" t="s">
        <v>264</v>
      </c>
    </row>
    <row r="4" spans="1:10" x14ac:dyDescent="0.2">
      <c r="A4" s="3" t="s">
        <v>290</v>
      </c>
      <c r="B4" s="3" t="s">
        <v>157</v>
      </c>
      <c r="C4" s="3" t="s">
        <v>253</v>
      </c>
      <c r="D4" s="3" t="s">
        <v>291</v>
      </c>
      <c r="E4" s="3"/>
      <c r="F4" s="3" t="s">
        <v>292</v>
      </c>
      <c r="G4" s="3" t="s">
        <v>163</v>
      </c>
      <c r="H4" s="3" t="s">
        <v>293</v>
      </c>
      <c r="I4" s="3"/>
      <c r="J4" s="3"/>
    </row>
    <row r="5" spans="1:10" x14ac:dyDescent="0.2">
      <c r="A5" s="3" t="s">
        <v>294</v>
      </c>
      <c r="B5" s="3" t="s">
        <v>157</v>
      </c>
      <c r="C5" s="3" t="s">
        <v>253</v>
      </c>
      <c r="D5" s="3" t="s">
        <v>295</v>
      </c>
      <c r="E5" s="3"/>
      <c r="F5" s="3" t="s">
        <v>292</v>
      </c>
      <c r="G5" s="3" t="s">
        <v>163</v>
      </c>
      <c r="H5" s="3" t="s">
        <v>293</v>
      </c>
      <c r="I5" s="3"/>
      <c r="J5" s="3"/>
    </row>
    <row r="6" spans="1:10" ht="25.5" x14ac:dyDescent="0.2">
      <c r="A6" s="3" t="s">
        <v>296</v>
      </c>
      <c r="B6" s="3" t="s">
        <v>157</v>
      </c>
      <c r="C6" s="3" t="s">
        <v>253</v>
      </c>
      <c r="D6" s="3" t="s">
        <v>297</v>
      </c>
      <c r="E6" s="3"/>
      <c r="F6" s="3" t="s">
        <v>292</v>
      </c>
      <c r="G6" s="3" t="s">
        <v>163</v>
      </c>
      <c r="H6" s="3" t="s">
        <v>293</v>
      </c>
      <c r="I6" s="3"/>
      <c r="J6" s="3"/>
    </row>
  </sheetData>
  <mergeCells count="1">
    <mergeCell ref="A1:J1"/>
  </mergeCells>
  <dataValidations count="1">
    <dataValidation type="list" allowBlank="1" showInputMessage="1" showErrorMessage="1" sqref="H4:H203" xr:uid="{83BC7E96-26E0-49CC-BF31-BF6608602630}">
      <formula1>"مطلوب,مكتمل,قيد المراجعة,غير منطبق"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B8F6-A22E-4B0D-98A5-F2D7C661D088}">
  <dimension ref="A1:L203"/>
  <sheetViews>
    <sheetView rightToLeft="1" workbookViewId="0">
      <pane ySplit="3" topLeftCell="A4" activePane="bottomLeft" state="frozenSplit"/>
      <selection pane="bottomLeft" sqref="A1:L1"/>
    </sheetView>
  </sheetViews>
  <sheetFormatPr defaultRowHeight="12.75" x14ac:dyDescent="0.2"/>
  <cols>
    <col min="1" max="1" width="13.140625" style="1" bestFit="1" customWidth="1"/>
    <col min="2" max="2" width="13.28515625" style="1" bestFit="1" customWidth="1"/>
    <col min="3" max="3" width="8.85546875" style="1" bestFit="1" customWidth="1"/>
    <col min="4" max="4" width="14.42578125" style="1" bestFit="1" customWidth="1"/>
    <col min="5" max="5" width="15.42578125" style="1" bestFit="1" customWidth="1"/>
    <col min="6" max="6" width="15.28515625" style="1" bestFit="1" customWidth="1"/>
    <col min="7" max="7" width="13.42578125" style="1" bestFit="1" customWidth="1"/>
    <col min="8" max="9" width="9" style="1" bestFit="1" customWidth="1"/>
    <col min="10" max="10" width="16.7109375" style="1" bestFit="1" customWidth="1"/>
    <col min="11" max="11" width="15.42578125" style="1" bestFit="1" customWidth="1"/>
    <col min="12" max="12" width="12.28515625" style="1" bestFit="1" customWidth="1"/>
    <col min="13" max="16384" width="9.140625" style="1"/>
  </cols>
  <sheetData>
    <row r="1" spans="1:12" x14ac:dyDescent="0.2">
      <c r="A1" s="2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 t="s">
        <v>86</v>
      </c>
      <c r="B3" s="4" t="s">
        <v>259</v>
      </c>
      <c r="C3" s="4" t="s">
        <v>88</v>
      </c>
      <c r="D3" s="4" t="s">
        <v>275</v>
      </c>
      <c r="E3" s="4" t="s">
        <v>276</v>
      </c>
      <c r="F3" s="4" t="s">
        <v>277</v>
      </c>
      <c r="G3" s="4" t="s">
        <v>271</v>
      </c>
      <c r="H3" s="4" t="s">
        <v>278</v>
      </c>
      <c r="I3" s="4" t="s">
        <v>92</v>
      </c>
      <c r="J3" s="4" t="s">
        <v>279</v>
      </c>
      <c r="K3" s="4" t="s">
        <v>280</v>
      </c>
      <c r="L3" s="4" t="s">
        <v>281</v>
      </c>
    </row>
    <row r="4" spans="1:12" x14ac:dyDescent="0.2">
      <c r="A4" s="3" t="s">
        <v>97</v>
      </c>
      <c r="B4" s="3" t="str">
        <f>IFERROR(VLOOKUP(A4,Employees!A:L,2,FALSE),"")</f>
        <v>يُستكمل</v>
      </c>
      <c r="C4" s="3" t="str">
        <f>IFERROR(VLOOKUP(A4,Employees!A:L,3,FALSE),"")</f>
        <v>التمريض</v>
      </c>
      <c r="D4" s="3" t="s">
        <v>282</v>
      </c>
      <c r="E4" s="3" t="s">
        <v>170</v>
      </c>
      <c r="F4" s="6"/>
      <c r="G4" s="3"/>
      <c r="H4" s="3"/>
      <c r="I4" s="3" t="str">
        <f>IF(F4="","لم يقيم",IF(F4&gt;=Setup!B7,"كفء","غير كفء - إعادة تدريب"))</f>
        <v>لم يقيم</v>
      </c>
      <c r="J4" s="3"/>
      <c r="K4" s="3"/>
      <c r="L4" s="3"/>
    </row>
    <row r="5" spans="1:12" x14ac:dyDescent="0.2">
      <c r="A5" s="3" t="s">
        <v>103</v>
      </c>
      <c r="B5" s="3" t="str">
        <f>IFERROR(VLOOKUP(A5,Employees!A:L,2,FALSE),"")</f>
        <v>يُستكمل</v>
      </c>
      <c r="C5" s="3" t="str">
        <f>IFERROR(VLOOKUP(A5,Employees!A:L,3,FALSE),"")</f>
        <v>الصيدلية</v>
      </c>
      <c r="D5" s="3" t="s">
        <v>142</v>
      </c>
      <c r="E5" s="3" t="s">
        <v>176</v>
      </c>
      <c r="F5" s="6"/>
      <c r="G5" s="3"/>
      <c r="H5" s="3"/>
      <c r="I5" s="3" t="str">
        <f>IF(F5="","لم يقيم",IF(F5&gt;=Setup!B7,"كفء","غير كفء - إعادة تدريب"))</f>
        <v>لم يقيم</v>
      </c>
      <c r="J5" s="3"/>
      <c r="K5" s="3"/>
      <c r="L5" s="3"/>
    </row>
    <row r="6" spans="1:12" ht="25.5" x14ac:dyDescent="0.2">
      <c r="A6" s="3" t="s">
        <v>108</v>
      </c>
      <c r="B6" s="3" t="str">
        <f>IFERROR(VLOOKUP(A6,Employees!A:L,2,FALSE),"")</f>
        <v>يُستكمل</v>
      </c>
      <c r="C6" s="3" t="str">
        <f>IFERROR(VLOOKUP(A6,Employees!A:L,3,FALSE),"")</f>
        <v>الاستقبال</v>
      </c>
      <c r="D6" s="3" t="s">
        <v>283</v>
      </c>
      <c r="E6" s="3" t="s">
        <v>202</v>
      </c>
      <c r="F6" s="6"/>
      <c r="G6" s="3"/>
      <c r="H6" s="3"/>
      <c r="I6" s="3" t="str">
        <f>IF(F6="","لم يقيم",IF(F6&gt;=Setup!B7,"كفء","غير كفء - إعادة تدريب"))</f>
        <v>لم يقيم</v>
      </c>
      <c r="J6" s="3"/>
      <c r="K6" s="3"/>
      <c r="L6" s="3"/>
    </row>
    <row r="7" spans="1:12" x14ac:dyDescent="0.2">
      <c r="A7" s="3"/>
      <c r="B7" s="3" t="str">
        <f>IFERROR(VLOOKUP(A7,Employees!A:L,2,FALSE),"")</f>
        <v/>
      </c>
      <c r="C7" s="3" t="str">
        <f>IFERROR(VLOOKUP(A7,Employees!A:L,3,FALSE),"")</f>
        <v/>
      </c>
      <c r="D7" s="3"/>
      <c r="E7" s="3"/>
      <c r="F7" s="6"/>
      <c r="G7" s="3"/>
      <c r="H7" s="3"/>
      <c r="I7" s="3" t="str">
        <f>IF(F7="","لم يقيم",IF(F7&gt;=Setup!B7,"كفء","غير كفء - إعادة تدريب"))</f>
        <v>لم يقيم</v>
      </c>
      <c r="J7" s="3"/>
      <c r="K7" s="3"/>
      <c r="L7" s="3"/>
    </row>
    <row r="8" spans="1:12" x14ac:dyDescent="0.2">
      <c r="A8" s="3"/>
      <c r="B8" s="3" t="str">
        <f>IFERROR(VLOOKUP(A8,Employees!A:L,2,FALSE),"")</f>
        <v/>
      </c>
      <c r="C8" s="3" t="str">
        <f>IFERROR(VLOOKUP(A8,Employees!A:L,3,FALSE),"")</f>
        <v/>
      </c>
      <c r="D8" s="3"/>
      <c r="E8" s="3"/>
      <c r="F8" s="6"/>
      <c r="G8" s="3"/>
      <c r="H8" s="3"/>
      <c r="I8" s="3" t="str">
        <f>IF(F8="","لم يقيم",IF(F8&gt;=Setup!B7,"كفء","غير كفء - إعادة تدريب"))</f>
        <v>لم يقيم</v>
      </c>
      <c r="J8" s="3"/>
      <c r="K8" s="3"/>
      <c r="L8" s="3"/>
    </row>
    <row r="9" spans="1:12" x14ac:dyDescent="0.2">
      <c r="A9" s="3"/>
      <c r="B9" s="3" t="str">
        <f>IFERROR(VLOOKUP(A9,Employees!A:L,2,FALSE),"")</f>
        <v/>
      </c>
      <c r="C9" s="3" t="str">
        <f>IFERROR(VLOOKUP(A9,Employees!A:L,3,FALSE),"")</f>
        <v/>
      </c>
      <c r="D9" s="3"/>
      <c r="E9" s="3"/>
      <c r="F9" s="6"/>
      <c r="G9" s="3"/>
      <c r="H9" s="3"/>
      <c r="I9" s="3" t="str">
        <f>IF(F9="","لم يقيم",IF(F9&gt;=Setup!B7,"كفء","غير كفء - إعادة تدريب"))</f>
        <v>لم يقيم</v>
      </c>
      <c r="J9" s="3"/>
      <c r="K9" s="3"/>
      <c r="L9" s="3"/>
    </row>
    <row r="10" spans="1:12" x14ac:dyDescent="0.2">
      <c r="A10" s="3"/>
      <c r="B10" s="3" t="str">
        <f>IFERROR(VLOOKUP(A10,Employees!A:L,2,FALSE),"")</f>
        <v/>
      </c>
      <c r="C10" s="3" t="str">
        <f>IFERROR(VLOOKUP(A10,Employees!A:L,3,FALSE),"")</f>
        <v/>
      </c>
      <c r="D10" s="3"/>
      <c r="E10" s="3"/>
      <c r="F10" s="6"/>
      <c r="G10" s="3"/>
      <c r="H10" s="3"/>
      <c r="I10" s="3" t="str">
        <f>IF(F10="","لم يقيم",IF(F10&gt;=Setup!B7,"كفء","غير كفء - إعادة تدريب"))</f>
        <v>لم يقيم</v>
      </c>
      <c r="J10" s="3"/>
      <c r="K10" s="3"/>
      <c r="L10" s="3"/>
    </row>
    <row r="11" spans="1:12" x14ac:dyDescent="0.2">
      <c r="A11" s="3"/>
      <c r="B11" s="3" t="str">
        <f>IFERROR(VLOOKUP(A11,Employees!A:L,2,FALSE),"")</f>
        <v/>
      </c>
      <c r="C11" s="3" t="str">
        <f>IFERROR(VLOOKUP(A11,Employees!A:L,3,FALSE),"")</f>
        <v/>
      </c>
      <c r="D11" s="3"/>
      <c r="E11" s="3"/>
      <c r="F11" s="6"/>
      <c r="G11" s="3"/>
      <c r="H11" s="3"/>
      <c r="I11" s="3" t="str">
        <f>IF(F11="","لم يقيم",IF(F11&gt;=Setup!B7,"كفء","غير كفء - إعادة تدريب"))</f>
        <v>لم يقيم</v>
      </c>
      <c r="J11" s="3"/>
      <c r="K11" s="3"/>
      <c r="L11" s="3"/>
    </row>
    <row r="12" spans="1:12" x14ac:dyDescent="0.2">
      <c r="A12" s="3"/>
      <c r="B12" s="3" t="str">
        <f>IFERROR(VLOOKUP(A12,Employees!A:L,2,FALSE),"")</f>
        <v/>
      </c>
      <c r="C12" s="3" t="str">
        <f>IFERROR(VLOOKUP(A12,Employees!A:L,3,FALSE),"")</f>
        <v/>
      </c>
      <c r="D12" s="3"/>
      <c r="E12" s="3"/>
      <c r="F12" s="6"/>
      <c r="G12" s="3"/>
      <c r="H12" s="3"/>
      <c r="I12" s="3" t="str">
        <f>IF(F12="","لم يقيم",IF(F12&gt;=Setup!B7,"كفء","غير كفء - إعادة تدريب"))</f>
        <v>لم يقيم</v>
      </c>
      <c r="J12" s="3"/>
      <c r="K12" s="3"/>
      <c r="L12" s="3"/>
    </row>
    <row r="13" spans="1:12" x14ac:dyDescent="0.2">
      <c r="A13" s="3"/>
      <c r="B13" s="3" t="str">
        <f>IFERROR(VLOOKUP(A13,Employees!A:L,2,FALSE),"")</f>
        <v/>
      </c>
      <c r="C13" s="3" t="str">
        <f>IFERROR(VLOOKUP(A13,Employees!A:L,3,FALSE),"")</f>
        <v/>
      </c>
      <c r="D13" s="3"/>
      <c r="E13" s="3"/>
      <c r="F13" s="6"/>
      <c r="G13" s="3"/>
      <c r="H13" s="3"/>
      <c r="I13" s="3" t="str">
        <f>IF(F13="","لم يقيم",IF(F13&gt;=Setup!B7,"كفء","غير كفء - إعادة تدريب"))</f>
        <v>لم يقيم</v>
      </c>
      <c r="J13" s="3"/>
      <c r="K13" s="3"/>
      <c r="L13" s="3"/>
    </row>
    <row r="14" spans="1:12" x14ac:dyDescent="0.2">
      <c r="A14" s="3"/>
      <c r="B14" s="3" t="str">
        <f>IFERROR(VLOOKUP(A14,Employees!A:L,2,FALSE),"")</f>
        <v/>
      </c>
      <c r="C14" s="3" t="str">
        <f>IFERROR(VLOOKUP(A14,Employees!A:L,3,FALSE),"")</f>
        <v/>
      </c>
      <c r="D14" s="3"/>
      <c r="E14" s="3"/>
      <c r="F14" s="6"/>
      <c r="G14" s="3"/>
      <c r="H14" s="3"/>
      <c r="I14" s="3" t="str">
        <f>IF(F14="","لم يقيم",IF(F14&gt;=Setup!B7,"كفء","غير كفء - إعادة تدريب"))</f>
        <v>لم يقيم</v>
      </c>
      <c r="J14" s="3"/>
      <c r="K14" s="3"/>
      <c r="L14" s="3"/>
    </row>
    <row r="15" spans="1:12" x14ac:dyDescent="0.2">
      <c r="A15" s="3"/>
      <c r="B15" s="3" t="str">
        <f>IFERROR(VLOOKUP(A15,Employees!A:L,2,FALSE),"")</f>
        <v/>
      </c>
      <c r="C15" s="3" t="str">
        <f>IFERROR(VLOOKUP(A15,Employees!A:L,3,FALSE),"")</f>
        <v/>
      </c>
      <c r="D15" s="3"/>
      <c r="E15" s="3"/>
      <c r="F15" s="6"/>
      <c r="G15" s="3"/>
      <c r="H15" s="3"/>
      <c r="I15" s="3" t="str">
        <f>IF(F15="","لم يقيم",IF(F15&gt;=Setup!B7,"كفء","غير كفء - إعادة تدريب"))</f>
        <v>لم يقيم</v>
      </c>
      <c r="J15" s="3"/>
      <c r="K15" s="3"/>
      <c r="L15" s="3"/>
    </row>
    <row r="16" spans="1:12" x14ac:dyDescent="0.2">
      <c r="A16" s="3"/>
      <c r="B16" s="3" t="str">
        <f>IFERROR(VLOOKUP(A16,Employees!A:L,2,FALSE),"")</f>
        <v/>
      </c>
      <c r="C16" s="3" t="str">
        <f>IFERROR(VLOOKUP(A16,Employees!A:L,3,FALSE),"")</f>
        <v/>
      </c>
      <c r="D16" s="3"/>
      <c r="E16" s="3"/>
      <c r="F16" s="6"/>
      <c r="G16" s="3"/>
      <c r="H16" s="3"/>
      <c r="I16" s="3" t="str">
        <f>IF(F16="","لم يقيم",IF(F16&gt;=Setup!B7,"كفء","غير كفء - إعادة تدريب"))</f>
        <v>لم يقيم</v>
      </c>
      <c r="J16" s="3"/>
      <c r="K16" s="3"/>
      <c r="L16" s="3"/>
    </row>
    <row r="17" spans="1:12" x14ac:dyDescent="0.2">
      <c r="A17" s="3"/>
      <c r="B17" s="3" t="str">
        <f>IFERROR(VLOOKUP(A17,Employees!A:L,2,FALSE),"")</f>
        <v/>
      </c>
      <c r="C17" s="3" t="str">
        <f>IFERROR(VLOOKUP(A17,Employees!A:L,3,FALSE),"")</f>
        <v/>
      </c>
      <c r="D17" s="3"/>
      <c r="E17" s="3"/>
      <c r="F17" s="6"/>
      <c r="G17" s="3"/>
      <c r="H17" s="3"/>
      <c r="I17" s="3" t="str">
        <f>IF(F17="","لم يقيم",IF(F17&gt;=Setup!B7,"كفء","غير كفء - إعادة تدريب"))</f>
        <v>لم يقيم</v>
      </c>
      <c r="J17" s="3"/>
      <c r="K17" s="3"/>
      <c r="L17" s="3"/>
    </row>
    <row r="18" spans="1:12" x14ac:dyDescent="0.2">
      <c r="A18" s="3"/>
      <c r="B18" s="3" t="str">
        <f>IFERROR(VLOOKUP(A18,Employees!A:L,2,FALSE),"")</f>
        <v/>
      </c>
      <c r="C18" s="3" t="str">
        <f>IFERROR(VLOOKUP(A18,Employees!A:L,3,FALSE),"")</f>
        <v/>
      </c>
      <c r="D18" s="3"/>
      <c r="E18" s="3"/>
      <c r="F18" s="6"/>
      <c r="G18" s="3"/>
      <c r="H18" s="3"/>
      <c r="I18" s="3" t="str">
        <f>IF(F18="","لم يقيم",IF(F18&gt;=Setup!B7,"كفء","غير كفء - إعادة تدريب"))</f>
        <v>لم يقيم</v>
      </c>
      <c r="J18" s="3"/>
      <c r="K18" s="3"/>
      <c r="L18" s="3"/>
    </row>
    <row r="19" spans="1:12" x14ac:dyDescent="0.2">
      <c r="A19" s="3"/>
      <c r="B19" s="3" t="str">
        <f>IFERROR(VLOOKUP(A19,Employees!A:L,2,FALSE),"")</f>
        <v/>
      </c>
      <c r="C19" s="3" t="str">
        <f>IFERROR(VLOOKUP(A19,Employees!A:L,3,FALSE),"")</f>
        <v/>
      </c>
      <c r="D19" s="3"/>
      <c r="E19" s="3"/>
      <c r="F19" s="6"/>
      <c r="G19" s="3"/>
      <c r="H19" s="3"/>
      <c r="I19" s="3" t="str">
        <f>IF(F19="","لم يقيم",IF(F19&gt;=Setup!B7,"كفء","غير كفء - إعادة تدريب"))</f>
        <v>لم يقيم</v>
      </c>
      <c r="J19" s="3"/>
      <c r="K19" s="3"/>
      <c r="L19" s="3"/>
    </row>
    <row r="20" spans="1:12" x14ac:dyDescent="0.2">
      <c r="A20" s="3"/>
      <c r="B20" s="3" t="str">
        <f>IFERROR(VLOOKUP(A20,Employees!A:L,2,FALSE),"")</f>
        <v/>
      </c>
      <c r="C20" s="3" t="str">
        <f>IFERROR(VLOOKUP(A20,Employees!A:L,3,FALSE),"")</f>
        <v/>
      </c>
      <c r="D20" s="3"/>
      <c r="E20" s="3"/>
      <c r="F20" s="6"/>
      <c r="G20" s="3"/>
      <c r="H20" s="3"/>
      <c r="I20" s="3" t="str">
        <f>IF(F20="","لم يقيم",IF(F20&gt;=Setup!B7,"كفء","غير كفء - إعادة تدريب"))</f>
        <v>لم يقيم</v>
      </c>
      <c r="J20" s="3"/>
      <c r="K20" s="3"/>
      <c r="L20" s="3"/>
    </row>
    <row r="21" spans="1:12" x14ac:dyDescent="0.2">
      <c r="A21" s="3"/>
      <c r="B21" s="3" t="str">
        <f>IFERROR(VLOOKUP(A21,Employees!A:L,2,FALSE),"")</f>
        <v/>
      </c>
      <c r="C21" s="3" t="str">
        <f>IFERROR(VLOOKUP(A21,Employees!A:L,3,FALSE),"")</f>
        <v/>
      </c>
      <c r="D21" s="3"/>
      <c r="E21" s="3"/>
      <c r="F21" s="6"/>
      <c r="G21" s="3"/>
      <c r="H21" s="3"/>
      <c r="I21" s="3" t="str">
        <f>IF(F21="","لم يقيم",IF(F21&gt;=Setup!B7,"كفء","غير كفء - إعادة تدريب"))</f>
        <v>لم يقيم</v>
      </c>
      <c r="J21" s="3"/>
      <c r="K21" s="3"/>
      <c r="L21" s="3"/>
    </row>
    <row r="22" spans="1:12" x14ac:dyDescent="0.2">
      <c r="A22" s="3"/>
      <c r="B22" s="3" t="str">
        <f>IFERROR(VLOOKUP(A22,Employees!A:L,2,FALSE),"")</f>
        <v/>
      </c>
      <c r="C22" s="3" t="str">
        <f>IFERROR(VLOOKUP(A22,Employees!A:L,3,FALSE),"")</f>
        <v/>
      </c>
      <c r="D22" s="3"/>
      <c r="E22" s="3"/>
      <c r="F22" s="6"/>
      <c r="G22" s="3"/>
      <c r="H22" s="3"/>
      <c r="I22" s="3" t="str">
        <f>IF(F22="","لم يقيم",IF(F22&gt;=Setup!B7,"كفء","غير كفء - إعادة تدريب"))</f>
        <v>لم يقيم</v>
      </c>
      <c r="J22" s="3"/>
      <c r="K22" s="3"/>
      <c r="L22" s="3"/>
    </row>
    <row r="23" spans="1:12" x14ac:dyDescent="0.2">
      <c r="A23" s="3"/>
      <c r="B23" s="3" t="str">
        <f>IFERROR(VLOOKUP(A23,Employees!A:L,2,FALSE),"")</f>
        <v/>
      </c>
      <c r="C23" s="3" t="str">
        <f>IFERROR(VLOOKUP(A23,Employees!A:L,3,FALSE),"")</f>
        <v/>
      </c>
      <c r="D23" s="3"/>
      <c r="E23" s="3"/>
      <c r="F23" s="6"/>
      <c r="G23" s="3"/>
      <c r="H23" s="3"/>
      <c r="I23" s="3" t="str">
        <f>IF(F23="","لم يقيم",IF(F23&gt;=Setup!B7,"كفء","غير كفء - إعادة تدريب"))</f>
        <v>لم يقيم</v>
      </c>
      <c r="J23" s="3"/>
      <c r="K23" s="3"/>
      <c r="L23" s="3"/>
    </row>
    <row r="24" spans="1:12" x14ac:dyDescent="0.2">
      <c r="A24" s="3"/>
      <c r="B24" s="3" t="str">
        <f>IFERROR(VLOOKUP(A24,Employees!A:L,2,FALSE),"")</f>
        <v/>
      </c>
      <c r="C24" s="3" t="str">
        <f>IFERROR(VLOOKUP(A24,Employees!A:L,3,FALSE),"")</f>
        <v/>
      </c>
      <c r="D24" s="3"/>
      <c r="E24" s="3"/>
      <c r="F24" s="6"/>
      <c r="G24" s="3"/>
      <c r="H24" s="3"/>
      <c r="I24" s="3" t="str">
        <f>IF(F24="","لم يقيم",IF(F24&gt;=Setup!B7,"كفء","غير كفء - إعادة تدريب"))</f>
        <v>لم يقيم</v>
      </c>
      <c r="J24" s="3"/>
      <c r="K24" s="3"/>
      <c r="L24" s="3"/>
    </row>
    <row r="25" spans="1:12" x14ac:dyDescent="0.2">
      <c r="A25" s="3"/>
      <c r="B25" s="3" t="str">
        <f>IFERROR(VLOOKUP(A25,Employees!A:L,2,FALSE),"")</f>
        <v/>
      </c>
      <c r="C25" s="3" t="str">
        <f>IFERROR(VLOOKUP(A25,Employees!A:L,3,FALSE),"")</f>
        <v/>
      </c>
      <c r="D25" s="3"/>
      <c r="E25" s="3"/>
      <c r="F25" s="6"/>
      <c r="G25" s="3"/>
      <c r="H25" s="3"/>
      <c r="I25" s="3" t="str">
        <f>IF(F25="","لم يقيم",IF(F25&gt;=Setup!B7,"كفء","غير كفء - إعادة تدريب"))</f>
        <v>لم يقيم</v>
      </c>
      <c r="J25" s="3"/>
      <c r="K25" s="3"/>
      <c r="L25" s="3"/>
    </row>
    <row r="26" spans="1:12" x14ac:dyDescent="0.2">
      <c r="A26" s="3"/>
      <c r="B26" s="3" t="str">
        <f>IFERROR(VLOOKUP(A26,Employees!A:L,2,FALSE),"")</f>
        <v/>
      </c>
      <c r="C26" s="3" t="str">
        <f>IFERROR(VLOOKUP(A26,Employees!A:L,3,FALSE),"")</f>
        <v/>
      </c>
      <c r="D26" s="3"/>
      <c r="E26" s="3"/>
      <c r="F26" s="6"/>
      <c r="G26" s="3"/>
      <c r="H26" s="3"/>
      <c r="I26" s="3" t="str">
        <f>IF(F26="","لم يقيم",IF(F26&gt;=Setup!B7,"كفء","غير كفء - إعادة تدريب"))</f>
        <v>لم يقيم</v>
      </c>
      <c r="J26" s="3"/>
      <c r="K26" s="3"/>
      <c r="L26" s="3"/>
    </row>
    <row r="27" spans="1:12" x14ac:dyDescent="0.2">
      <c r="A27" s="3"/>
      <c r="B27" s="3" t="str">
        <f>IFERROR(VLOOKUP(A27,Employees!A:L,2,FALSE),"")</f>
        <v/>
      </c>
      <c r="C27" s="3" t="str">
        <f>IFERROR(VLOOKUP(A27,Employees!A:L,3,FALSE),"")</f>
        <v/>
      </c>
      <c r="D27" s="3"/>
      <c r="E27" s="3"/>
      <c r="F27" s="6"/>
      <c r="G27" s="3"/>
      <c r="H27" s="3"/>
      <c r="I27" s="3" t="str">
        <f>IF(F27="","لم يقيم",IF(F27&gt;=Setup!B7,"كفء","غير كفء - إعادة تدريب"))</f>
        <v>لم يقيم</v>
      </c>
      <c r="J27" s="3"/>
      <c r="K27" s="3"/>
      <c r="L27" s="3"/>
    </row>
    <row r="28" spans="1:12" x14ac:dyDescent="0.2">
      <c r="A28" s="3"/>
      <c r="B28" s="3" t="str">
        <f>IFERROR(VLOOKUP(A28,Employees!A:L,2,FALSE),"")</f>
        <v/>
      </c>
      <c r="C28" s="3" t="str">
        <f>IFERROR(VLOOKUP(A28,Employees!A:L,3,FALSE),"")</f>
        <v/>
      </c>
      <c r="D28" s="3"/>
      <c r="E28" s="3"/>
      <c r="F28" s="6"/>
      <c r="G28" s="3"/>
      <c r="H28" s="3"/>
      <c r="I28" s="3" t="str">
        <f>IF(F28="","لم يقيم",IF(F28&gt;=Setup!B7,"كفء","غير كفء - إعادة تدريب"))</f>
        <v>لم يقيم</v>
      </c>
      <c r="J28" s="3"/>
      <c r="K28" s="3"/>
      <c r="L28" s="3"/>
    </row>
    <row r="29" spans="1:12" x14ac:dyDescent="0.2">
      <c r="A29" s="3"/>
      <c r="B29" s="3" t="str">
        <f>IFERROR(VLOOKUP(A29,Employees!A:L,2,FALSE),"")</f>
        <v/>
      </c>
      <c r="C29" s="3" t="str">
        <f>IFERROR(VLOOKUP(A29,Employees!A:L,3,FALSE),"")</f>
        <v/>
      </c>
      <c r="D29" s="3"/>
      <c r="E29" s="3"/>
      <c r="F29" s="6"/>
      <c r="G29" s="3"/>
      <c r="H29" s="3"/>
      <c r="I29" s="3" t="str">
        <f>IF(F29="","لم يقيم",IF(F29&gt;=Setup!B7,"كفء","غير كفء - إعادة تدريب"))</f>
        <v>لم يقيم</v>
      </c>
      <c r="J29" s="3"/>
      <c r="K29" s="3"/>
      <c r="L29" s="3"/>
    </row>
    <row r="30" spans="1:12" x14ac:dyDescent="0.2">
      <c r="A30" s="3"/>
      <c r="B30" s="3" t="str">
        <f>IFERROR(VLOOKUP(A30,Employees!A:L,2,FALSE),"")</f>
        <v/>
      </c>
      <c r="C30" s="3" t="str">
        <f>IFERROR(VLOOKUP(A30,Employees!A:L,3,FALSE),"")</f>
        <v/>
      </c>
      <c r="D30" s="3"/>
      <c r="E30" s="3"/>
      <c r="F30" s="6"/>
      <c r="G30" s="3"/>
      <c r="H30" s="3"/>
      <c r="I30" s="3" t="str">
        <f>IF(F30="","لم يقيم",IF(F30&gt;=Setup!B7,"كفء","غير كفء - إعادة تدريب"))</f>
        <v>لم يقيم</v>
      </c>
      <c r="J30" s="3"/>
      <c r="K30" s="3"/>
      <c r="L30" s="3"/>
    </row>
    <row r="31" spans="1:12" x14ac:dyDescent="0.2">
      <c r="A31" s="3"/>
      <c r="B31" s="3" t="str">
        <f>IFERROR(VLOOKUP(A31,Employees!A:L,2,FALSE),"")</f>
        <v/>
      </c>
      <c r="C31" s="3" t="str">
        <f>IFERROR(VLOOKUP(A31,Employees!A:L,3,FALSE),"")</f>
        <v/>
      </c>
      <c r="D31" s="3"/>
      <c r="E31" s="3"/>
      <c r="F31" s="6"/>
      <c r="G31" s="3"/>
      <c r="H31" s="3"/>
      <c r="I31" s="3" t="str">
        <f>IF(F31="","لم يقيم",IF(F31&gt;=Setup!B7,"كفء","غير كفء - إعادة تدريب"))</f>
        <v>لم يقيم</v>
      </c>
      <c r="J31" s="3"/>
      <c r="K31" s="3"/>
      <c r="L31" s="3"/>
    </row>
    <row r="32" spans="1:12" x14ac:dyDescent="0.2">
      <c r="A32" s="3"/>
      <c r="B32" s="3" t="str">
        <f>IFERROR(VLOOKUP(A32,Employees!A:L,2,FALSE),"")</f>
        <v/>
      </c>
      <c r="C32" s="3" t="str">
        <f>IFERROR(VLOOKUP(A32,Employees!A:L,3,FALSE),"")</f>
        <v/>
      </c>
      <c r="D32" s="3"/>
      <c r="E32" s="3"/>
      <c r="F32" s="6"/>
      <c r="G32" s="3"/>
      <c r="H32" s="3"/>
      <c r="I32" s="3" t="str">
        <f>IF(F32="","لم يقيم",IF(F32&gt;=Setup!B7,"كفء","غير كفء - إعادة تدريب"))</f>
        <v>لم يقيم</v>
      </c>
      <c r="J32" s="3"/>
      <c r="K32" s="3"/>
      <c r="L32" s="3"/>
    </row>
    <row r="33" spans="1:12" x14ac:dyDescent="0.2">
      <c r="A33" s="3"/>
      <c r="B33" s="3" t="str">
        <f>IFERROR(VLOOKUP(A33,Employees!A:L,2,FALSE),"")</f>
        <v/>
      </c>
      <c r="C33" s="3" t="str">
        <f>IFERROR(VLOOKUP(A33,Employees!A:L,3,FALSE),"")</f>
        <v/>
      </c>
      <c r="D33" s="3"/>
      <c r="E33" s="3"/>
      <c r="F33" s="6"/>
      <c r="G33" s="3"/>
      <c r="H33" s="3"/>
      <c r="I33" s="3" t="str">
        <f>IF(F33="","لم يقيم",IF(F33&gt;=Setup!B7,"كفء","غير كفء - إعادة تدريب"))</f>
        <v>لم يقيم</v>
      </c>
      <c r="J33" s="3"/>
      <c r="K33" s="3"/>
      <c r="L33" s="3"/>
    </row>
    <row r="34" spans="1:12" x14ac:dyDescent="0.2">
      <c r="A34" s="3"/>
      <c r="B34" s="3" t="str">
        <f>IFERROR(VLOOKUP(A34,Employees!A:L,2,FALSE),"")</f>
        <v/>
      </c>
      <c r="C34" s="3" t="str">
        <f>IFERROR(VLOOKUP(A34,Employees!A:L,3,FALSE),"")</f>
        <v/>
      </c>
      <c r="D34" s="3"/>
      <c r="E34" s="3"/>
      <c r="F34" s="6"/>
      <c r="G34" s="3"/>
      <c r="H34" s="3"/>
      <c r="I34" s="3" t="str">
        <f>IF(F34="","لم يقيم",IF(F34&gt;=Setup!B7,"كفء","غير كفء - إعادة تدريب"))</f>
        <v>لم يقيم</v>
      </c>
      <c r="J34" s="3"/>
      <c r="K34" s="3"/>
      <c r="L34" s="3"/>
    </row>
    <row r="35" spans="1:12" x14ac:dyDescent="0.2">
      <c r="A35" s="3"/>
      <c r="B35" s="3" t="str">
        <f>IFERROR(VLOOKUP(A35,Employees!A:L,2,FALSE),"")</f>
        <v/>
      </c>
      <c r="C35" s="3" t="str">
        <f>IFERROR(VLOOKUP(A35,Employees!A:L,3,FALSE),"")</f>
        <v/>
      </c>
      <c r="D35" s="3"/>
      <c r="E35" s="3"/>
      <c r="F35" s="6"/>
      <c r="G35" s="3"/>
      <c r="H35" s="3"/>
      <c r="I35" s="3" t="str">
        <f>IF(F35="","لم يقيم",IF(F35&gt;=Setup!B7,"كفء","غير كفء - إعادة تدريب"))</f>
        <v>لم يقيم</v>
      </c>
      <c r="J35" s="3"/>
      <c r="K35" s="3"/>
      <c r="L35" s="3"/>
    </row>
    <row r="36" spans="1:12" x14ac:dyDescent="0.2">
      <c r="A36" s="3"/>
      <c r="B36" s="3" t="str">
        <f>IFERROR(VLOOKUP(A36,Employees!A:L,2,FALSE),"")</f>
        <v/>
      </c>
      <c r="C36" s="3" t="str">
        <f>IFERROR(VLOOKUP(A36,Employees!A:L,3,FALSE),"")</f>
        <v/>
      </c>
      <c r="D36" s="3"/>
      <c r="E36" s="3"/>
      <c r="F36" s="6"/>
      <c r="G36" s="3"/>
      <c r="H36" s="3"/>
      <c r="I36" s="3" t="str">
        <f>IF(F36="","لم يقيم",IF(F36&gt;=Setup!B7,"كفء","غير كفء - إعادة تدريب"))</f>
        <v>لم يقيم</v>
      </c>
      <c r="J36" s="3"/>
      <c r="K36" s="3"/>
      <c r="L36" s="3"/>
    </row>
    <row r="37" spans="1:12" x14ac:dyDescent="0.2">
      <c r="A37" s="3"/>
      <c r="B37" s="3" t="str">
        <f>IFERROR(VLOOKUP(A37,Employees!A:L,2,FALSE),"")</f>
        <v/>
      </c>
      <c r="C37" s="3" t="str">
        <f>IFERROR(VLOOKUP(A37,Employees!A:L,3,FALSE),"")</f>
        <v/>
      </c>
      <c r="D37" s="3"/>
      <c r="E37" s="3"/>
      <c r="F37" s="6"/>
      <c r="G37" s="3"/>
      <c r="H37" s="3"/>
      <c r="I37" s="3" t="str">
        <f>IF(F37="","لم يقيم",IF(F37&gt;=Setup!B7,"كفء","غير كفء - إعادة تدريب"))</f>
        <v>لم يقيم</v>
      </c>
      <c r="J37" s="3"/>
      <c r="K37" s="3"/>
      <c r="L37" s="3"/>
    </row>
    <row r="38" spans="1:12" x14ac:dyDescent="0.2">
      <c r="A38" s="3"/>
      <c r="B38" s="3" t="str">
        <f>IFERROR(VLOOKUP(A38,Employees!A:L,2,FALSE),"")</f>
        <v/>
      </c>
      <c r="C38" s="3" t="str">
        <f>IFERROR(VLOOKUP(A38,Employees!A:L,3,FALSE),"")</f>
        <v/>
      </c>
      <c r="D38" s="3"/>
      <c r="E38" s="3"/>
      <c r="F38" s="6"/>
      <c r="G38" s="3"/>
      <c r="H38" s="3"/>
      <c r="I38" s="3" t="str">
        <f>IF(F38="","لم يقيم",IF(F38&gt;=Setup!B7,"كفء","غير كفء - إعادة تدريب"))</f>
        <v>لم يقيم</v>
      </c>
      <c r="J38" s="3"/>
      <c r="K38" s="3"/>
      <c r="L38" s="3"/>
    </row>
    <row r="39" spans="1:12" x14ac:dyDescent="0.2">
      <c r="A39" s="3"/>
      <c r="B39" s="3" t="str">
        <f>IFERROR(VLOOKUP(A39,Employees!A:L,2,FALSE),"")</f>
        <v/>
      </c>
      <c r="C39" s="3" t="str">
        <f>IFERROR(VLOOKUP(A39,Employees!A:L,3,FALSE),"")</f>
        <v/>
      </c>
      <c r="D39" s="3"/>
      <c r="E39" s="3"/>
      <c r="F39" s="6"/>
      <c r="G39" s="3"/>
      <c r="H39" s="3"/>
      <c r="I39" s="3" t="str">
        <f>IF(F39="","لم يقيم",IF(F39&gt;=Setup!B7,"كفء","غير كفء - إعادة تدريب"))</f>
        <v>لم يقيم</v>
      </c>
      <c r="J39" s="3"/>
      <c r="K39" s="3"/>
      <c r="L39" s="3"/>
    </row>
    <row r="40" spans="1:12" x14ac:dyDescent="0.2">
      <c r="A40" s="3"/>
      <c r="B40" s="3" t="str">
        <f>IFERROR(VLOOKUP(A40,Employees!A:L,2,FALSE),"")</f>
        <v/>
      </c>
      <c r="C40" s="3" t="str">
        <f>IFERROR(VLOOKUP(A40,Employees!A:L,3,FALSE),"")</f>
        <v/>
      </c>
      <c r="D40" s="3"/>
      <c r="E40" s="3"/>
      <c r="F40" s="6"/>
      <c r="G40" s="3"/>
      <c r="H40" s="3"/>
      <c r="I40" s="3" t="str">
        <f>IF(F40="","لم يقيم",IF(F40&gt;=Setup!B7,"كفء","غير كفء - إعادة تدريب"))</f>
        <v>لم يقيم</v>
      </c>
      <c r="J40" s="3"/>
      <c r="K40" s="3"/>
      <c r="L40" s="3"/>
    </row>
    <row r="41" spans="1:12" x14ac:dyDescent="0.2">
      <c r="A41" s="3"/>
      <c r="B41" s="3" t="str">
        <f>IFERROR(VLOOKUP(A41,Employees!A:L,2,FALSE),"")</f>
        <v/>
      </c>
      <c r="C41" s="3" t="str">
        <f>IFERROR(VLOOKUP(A41,Employees!A:L,3,FALSE),"")</f>
        <v/>
      </c>
      <c r="D41" s="3"/>
      <c r="E41" s="3"/>
      <c r="F41" s="6"/>
      <c r="G41" s="3"/>
      <c r="H41" s="3"/>
      <c r="I41" s="3" t="str">
        <f>IF(F41="","لم يقيم",IF(F41&gt;=Setup!B7,"كفء","غير كفء - إعادة تدريب"))</f>
        <v>لم يقيم</v>
      </c>
      <c r="J41" s="3"/>
      <c r="K41" s="3"/>
      <c r="L41" s="3"/>
    </row>
    <row r="42" spans="1:12" x14ac:dyDescent="0.2">
      <c r="A42" s="3"/>
      <c r="B42" s="3" t="str">
        <f>IFERROR(VLOOKUP(A42,Employees!A:L,2,FALSE),"")</f>
        <v/>
      </c>
      <c r="C42" s="3" t="str">
        <f>IFERROR(VLOOKUP(A42,Employees!A:L,3,FALSE),"")</f>
        <v/>
      </c>
      <c r="D42" s="3"/>
      <c r="E42" s="3"/>
      <c r="F42" s="6"/>
      <c r="G42" s="3"/>
      <c r="H42" s="3"/>
      <c r="I42" s="3" t="str">
        <f>IF(F42="","لم يقيم",IF(F42&gt;=Setup!B7,"كفء","غير كفء - إعادة تدريب"))</f>
        <v>لم يقيم</v>
      </c>
      <c r="J42" s="3"/>
      <c r="K42" s="3"/>
      <c r="L42" s="3"/>
    </row>
    <row r="43" spans="1:12" x14ac:dyDescent="0.2">
      <c r="A43" s="3"/>
      <c r="B43" s="3" t="str">
        <f>IFERROR(VLOOKUP(A43,Employees!A:L,2,FALSE),"")</f>
        <v/>
      </c>
      <c r="C43" s="3" t="str">
        <f>IFERROR(VLOOKUP(A43,Employees!A:L,3,FALSE),"")</f>
        <v/>
      </c>
      <c r="D43" s="3"/>
      <c r="E43" s="3"/>
      <c r="F43" s="6"/>
      <c r="G43" s="3"/>
      <c r="H43" s="3"/>
      <c r="I43" s="3" t="str">
        <f>IF(F43="","لم يقيم",IF(F43&gt;=Setup!B7,"كفء","غير كفء - إعادة تدريب"))</f>
        <v>لم يقيم</v>
      </c>
      <c r="J43" s="3"/>
      <c r="K43" s="3"/>
      <c r="L43" s="3"/>
    </row>
    <row r="44" spans="1:12" x14ac:dyDescent="0.2">
      <c r="A44" s="3"/>
      <c r="B44" s="3" t="str">
        <f>IFERROR(VLOOKUP(A44,Employees!A:L,2,FALSE),"")</f>
        <v/>
      </c>
      <c r="C44" s="3" t="str">
        <f>IFERROR(VLOOKUP(A44,Employees!A:L,3,FALSE),"")</f>
        <v/>
      </c>
      <c r="D44" s="3"/>
      <c r="E44" s="3"/>
      <c r="F44" s="6"/>
      <c r="G44" s="3"/>
      <c r="H44" s="3"/>
      <c r="I44" s="3" t="str">
        <f>IF(F44="","لم يقيم",IF(F44&gt;=Setup!B7,"كفء","غير كفء - إعادة تدريب"))</f>
        <v>لم يقيم</v>
      </c>
      <c r="J44" s="3"/>
      <c r="K44" s="3"/>
      <c r="L44" s="3"/>
    </row>
    <row r="45" spans="1:12" x14ac:dyDescent="0.2">
      <c r="A45" s="3"/>
      <c r="B45" s="3" t="str">
        <f>IFERROR(VLOOKUP(A45,Employees!A:L,2,FALSE),"")</f>
        <v/>
      </c>
      <c r="C45" s="3" t="str">
        <f>IFERROR(VLOOKUP(A45,Employees!A:L,3,FALSE),"")</f>
        <v/>
      </c>
      <c r="D45" s="3"/>
      <c r="E45" s="3"/>
      <c r="F45" s="6"/>
      <c r="G45" s="3"/>
      <c r="H45" s="3"/>
      <c r="I45" s="3" t="str">
        <f>IF(F45="","لم يقيم",IF(F45&gt;=Setup!B7,"كفء","غير كفء - إعادة تدريب"))</f>
        <v>لم يقيم</v>
      </c>
      <c r="J45" s="3"/>
      <c r="K45" s="3"/>
      <c r="L45" s="3"/>
    </row>
    <row r="46" spans="1:12" x14ac:dyDescent="0.2">
      <c r="A46" s="3"/>
      <c r="B46" s="3" t="str">
        <f>IFERROR(VLOOKUP(A46,Employees!A:L,2,FALSE),"")</f>
        <v/>
      </c>
      <c r="C46" s="3" t="str">
        <f>IFERROR(VLOOKUP(A46,Employees!A:L,3,FALSE),"")</f>
        <v/>
      </c>
      <c r="D46" s="3"/>
      <c r="E46" s="3"/>
      <c r="F46" s="6"/>
      <c r="G46" s="3"/>
      <c r="H46" s="3"/>
      <c r="I46" s="3" t="str">
        <f>IF(F46="","لم يقيم",IF(F46&gt;=Setup!B7,"كفء","غير كفء - إعادة تدريب"))</f>
        <v>لم يقيم</v>
      </c>
      <c r="J46" s="3"/>
      <c r="K46" s="3"/>
      <c r="L46" s="3"/>
    </row>
    <row r="47" spans="1:12" x14ac:dyDescent="0.2">
      <c r="A47" s="3"/>
      <c r="B47" s="3" t="str">
        <f>IFERROR(VLOOKUP(A47,Employees!A:L,2,FALSE),"")</f>
        <v/>
      </c>
      <c r="C47" s="3" t="str">
        <f>IFERROR(VLOOKUP(A47,Employees!A:L,3,FALSE),"")</f>
        <v/>
      </c>
      <c r="D47" s="3"/>
      <c r="E47" s="3"/>
      <c r="F47" s="6"/>
      <c r="G47" s="3"/>
      <c r="H47" s="3"/>
      <c r="I47" s="3" t="str">
        <f>IF(F47="","لم يقيم",IF(F47&gt;=Setup!B7,"كفء","غير كفء - إعادة تدريب"))</f>
        <v>لم يقيم</v>
      </c>
      <c r="J47" s="3"/>
      <c r="K47" s="3"/>
      <c r="L47" s="3"/>
    </row>
    <row r="48" spans="1:12" x14ac:dyDescent="0.2">
      <c r="A48" s="3"/>
      <c r="B48" s="3" t="str">
        <f>IFERROR(VLOOKUP(A48,Employees!A:L,2,FALSE),"")</f>
        <v/>
      </c>
      <c r="C48" s="3" t="str">
        <f>IFERROR(VLOOKUP(A48,Employees!A:L,3,FALSE),"")</f>
        <v/>
      </c>
      <c r="D48" s="3"/>
      <c r="E48" s="3"/>
      <c r="F48" s="6"/>
      <c r="G48" s="3"/>
      <c r="H48" s="3"/>
      <c r="I48" s="3" t="str">
        <f>IF(F48="","لم يقيم",IF(F48&gt;=Setup!B7,"كفء","غير كفء - إعادة تدريب"))</f>
        <v>لم يقيم</v>
      </c>
      <c r="J48" s="3"/>
      <c r="K48" s="3"/>
      <c r="L48" s="3"/>
    </row>
    <row r="49" spans="1:12" x14ac:dyDescent="0.2">
      <c r="A49" s="3"/>
      <c r="B49" s="3" t="str">
        <f>IFERROR(VLOOKUP(A49,Employees!A:L,2,FALSE),"")</f>
        <v/>
      </c>
      <c r="C49" s="3" t="str">
        <f>IFERROR(VLOOKUP(A49,Employees!A:L,3,FALSE),"")</f>
        <v/>
      </c>
      <c r="D49" s="3"/>
      <c r="E49" s="3"/>
      <c r="F49" s="6"/>
      <c r="G49" s="3"/>
      <c r="H49" s="3"/>
      <c r="I49" s="3" t="str">
        <f>IF(F49="","لم يقيم",IF(F49&gt;=Setup!B7,"كفء","غير كفء - إعادة تدريب"))</f>
        <v>لم يقيم</v>
      </c>
      <c r="J49" s="3"/>
      <c r="K49" s="3"/>
      <c r="L49" s="3"/>
    </row>
    <row r="50" spans="1:12" x14ac:dyDescent="0.2">
      <c r="A50" s="3"/>
      <c r="B50" s="3" t="str">
        <f>IFERROR(VLOOKUP(A50,Employees!A:L,2,FALSE),"")</f>
        <v/>
      </c>
      <c r="C50" s="3" t="str">
        <f>IFERROR(VLOOKUP(A50,Employees!A:L,3,FALSE),"")</f>
        <v/>
      </c>
      <c r="D50" s="3"/>
      <c r="E50" s="3"/>
      <c r="F50" s="6"/>
      <c r="G50" s="3"/>
      <c r="H50" s="3"/>
      <c r="I50" s="3" t="str">
        <f>IF(F50="","لم يقيم",IF(F50&gt;=Setup!B7,"كفء","غير كفء - إعادة تدريب"))</f>
        <v>لم يقيم</v>
      </c>
      <c r="J50" s="3"/>
      <c r="K50" s="3"/>
      <c r="L50" s="3"/>
    </row>
    <row r="51" spans="1:12" x14ac:dyDescent="0.2">
      <c r="A51" s="3"/>
      <c r="B51" s="3" t="str">
        <f>IFERROR(VLOOKUP(A51,Employees!A:L,2,FALSE),"")</f>
        <v/>
      </c>
      <c r="C51" s="3" t="str">
        <f>IFERROR(VLOOKUP(A51,Employees!A:L,3,FALSE),"")</f>
        <v/>
      </c>
      <c r="D51" s="3"/>
      <c r="E51" s="3"/>
      <c r="F51" s="6"/>
      <c r="G51" s="3"/>
      <c r="H51" s="3"/>
      <c r="I51" s="3" t="str">
        <f>IF(F51="","لم يقيم",IF(F51&gt;=Setup!B7,"كفء","غير كفء - إعادة تدريب"))</f>
        <v>لم يقيم</v>
      </c>
      <c r="J51" s="3"/>
      <c r="K51" s="3"/>
      <c r="L51" s="3"/>
    </row>
    <row r="52" spans="1:12" x14ac:dyDescent="0.2">
      <c r="A52" s="3"/>
      <c r="B52" s="3" t="str">
        <f>IFERROR(VLOOKUP(A52,Employees!A:L,2,FALSE),"")</f>
        <v/>
      </c>
      <c r="C52" s="3" t="str">
        <f>IFERROR(VLOOKUP(A52,Employees!A:L,3,FALSE),"")</f>
        <v/>
      </c>
      <c r="D52" s="3"/>
      <c r="E52" s="3"/>
      <c r="F52" s="6"/>
      <c r="G52" s="3"/>
      <c r="H52" s="3"/>
      <c r="I52" s="3" t="str">
        <f>IF(F52="","لم يقيم",IF(F52&gt;=Setup!B7,"كفء","غير كفء - إعادة تدريب"))</f>
        <v>لم يقيم</v>
      </c>
      <c r="J52" s="3"/>
      <c r="K52" s="3"/>
      <c r="L52" s="3"/>
    </row>
    <row r="53" spans="1:12" x14ac:dyDescent="0.2">
      <c r="A53" s="3"/>
      <c r="B53" s="3" t="str">
        <f>IFERROR(VLOOKUP(A53,Employees!A:L,2,FALSE),"")</f>
        <v/>
      </c>
      <c r="C53" s="3" t="str">
        <f>IFERROR(VLOOKUP(A53,Employees!A:L,3,FALSE),"")</f>
        <v/>
      </c>
      <c r="D53" s="3"/>
      <c r="E53" s="3"/>
      <c r="F53" s="6"/>
      <c r="G53" s="3"/>
      <c r="H53" s="3"/>
      <c r="I53" s="3" t="str">
        <f>IF(F53="","لم يقيم",IF(F53&gt;=Setup!B7,"كفء","غير كفء - إعادة تدريب"))</f>
        <v>لم يقيم</v>
      </c>
      <c r="J53" s="3"/>
      <c r="K53" s="3"/>
      <c r="L53" s="3"/>
    </row>
    <row r="54" spans="1:12" x14ac:dyDescent="0.2">
      <c r="A54" s="3"/>
      <c r="B54" s="3" t="str">
        <f>IFERROR(VLOOKUP(A54,Employees!A:L,2,FALSE),"")</f>
        <v/>
      </c>
      <c r="C54" s="3" t="str">
        <f>IFERROR(VLOOKUP(A54,Employees!A:L,3,FALSE),"")</f>
        <v/>
      </c>
      <c r="D54" s="3"/>
      <c r="E54" s="3"/>
      <c r="F54" s="6"/>
      <c r="G54" s="3"/>
      <c r="H54" s="3"/>
      <c r="I54" s="3" t="str">
        <f>IF(F54="","لم يقيم",IF(F54&gt;=Setup!B7,"كفء","غير كفء - إعادة تدريب"))</f>
        <v>لم يقيم</v>
      </c>
      <c r="J54" s="3"/>
      <c r="K54" s="3"/>
      <c r="L54" s="3"/>
    </row>
    <row r="55" spans="1:12" x14ac:dyDescent="0.2">
      <c r="A55" s="3"/>
      <c r="B55" s="3" t="str">
        <f>IFERROR(VLOOKUP(A55,Employees!A:L,2,FALSE),"")</f>
        <v/>
      </c>
      <c r="C55" s="3" t="str">
        <f>IFERROR(VLOOKUP(A55,Employees!A:L,3,FALSE),"")</f>
        <v/>
      </c>
      <c r="D55" s="3"/>
      <c r="E55" s="3"/>
      <c r="F55" s="6"/>
      <c r="G55" s="3"/>
      <c r="H55" s="3"/>
      <c r="I55" s="3" t="str">
        <f>IF(F55="","لم يقيم",IF(F55&gt;=Setup!B7,"كفء","غير كفء - إعادة تدريب"))</f>
        <v>لم يقيم</v>
      </c>
      <c r="J55" s="3"/>
      <c r="K55" s="3"/>
      <c r="L55" s="3"/>
    </row>
    <row r="56" spans="1:12" x14ac:dyDescent="0.2">
      <c r="A56" s="3"/>
      <c r="B56" s="3" t="str">
        <f>IFERROR(VLOOKUP(A56,Employees!A:L,2,FALSE),"")</f>
        <v/>
      </c>
      <c r="C56" s="3" t="str">
        <f>IFERROR(VLOOKUP(A56,Employees!A:L,3,FALSE),"")</f>
        <v/>
      </c>
      <c r="D56" s="3"/>
      <c r="E56" s="3"/>
      <c r="F56" s="6"/>
      <c r="G56" s="3"/>
      <c r="H56" s="3"/>
      <c r="I56" s="3" t="str">
        <f>IF(F56="","لم يقيم",IF(F56&gt;=Setup!B7,"كفء","غير كفء - إعادة تدريب"))</f>
        <v>لم يقيم</v>
      </c>
      <c r="J56" s="3"/>
      <c r="K56" s="3"/>
      <c r="L56" s="3"/>
    </row>
    <row r="57" spans="1:12" x14ac:dyDescent="0.2">
      <c r="A57" s="3"/>
      <c r="B57" s="3" t="str">
        <f>IFERROR(VLOOKUP(A57,Employees!A:L,2,FALSE),"")</f>
        <v/>
      </c>
      <c r="C57" s="3" t="str">
        <f>IFERROR(VLOOKUP(A57,Employees!A:L,3,FALSE),"")</f>
        <v/>
      </c>
      <c r="D57" s="3"/>
      <c r="E57" s="3"/>
      <c r="F57" s="6"/>
      <c r="G57" s="3"/>
      <c r="H57" s="3"/>
      <c r="I57" s="3" t="str">
        <f>IF(F57="","لم يقيم",IF(F57&gt;=Setup!B7,"كفء","غير كفء - إعادة تدريب"))</f>
        <v>لم يقيم</v>
      </c>
      <c r="J57" s="3"/>
      <c r="K57" s="3"/>
      <c r="L57" s="3"/>
    </row>
    <row r="58" spans="1:12" x14ac:dyDescent="0.2">
      <c r="A58" s="3"/>
      <c r="B58" s="3" t="str">
        <f>IFERROR(VLOOKUP(A58,Employees!A:L,2,FALSE),"")</f>
        <v/>
      </c>
      <c r="C58" s="3" t="str">
        <f>IFERROR(VLOOKUP(A58,Employees!A:L,3,FALSE),"")</f>
        <v/>
      </c>
      <c r="D58" s="3"/>
      <c r="E58" s="3"/>
      <c r="F58" s="6"/>
      <c r="G58" s="3"/>
      <c r="H58" s="3"/>
      <c r="I58" s="3" t="str">
        <f>IF(F58="","لم يقيم",IF(F58&gt;=Setup!B7,"كفء","غير كفء - إعادة تدريب"))</f>
        <v>لم يقيم</v>
      </c>
      <c r="J58" s="3"/>
      <c r="K58" s="3"/>
      <c r="L58" s="3"/>
    </row>
    <row r="59" spans="1:12" x14ac:dyDescent="0.2">
      <c r="A59" s="3"/>
      <c r="B59" s="3" t="str">
        <f>IFERROR(VLOOKUP(A59,Employees!A:L,2,FALSE),"")</f>
        <v/>
      </c>
      <c r="C59" s="3" t="str">
        <f>IFERROR(VLOOKUP(A59,Employees!A:L,3,FALSE),"")</f>
        <v/>
      </c>
      <c r="D59" s="3"/>
      <c r="E59" s="3"/>
      <c r="F59" s="6"/>
      <c r="G59" s="3"/>
      <c r="H59" s="3"/>
      <c r="I59" s="3" t="str">
        <f>IF(F59="","لم يقيم",IF(F59&gt;=Setup!B7,"كفء","غير كفء - إعادة تدريب"))</f>
        <v>لم يقيم</v>
      </c>
      <c r="J59" s="3"/>
      <c r="K59" s="3"/>
      <c r="L59" s="3"/>
    </row>
    <row r="60" spans="1:12" x14ac:dyDescent="0.2">
      <c r="A60" s="3"/>
      <c r="B60" s="3" t="str">
        <f>IFERROR(VLOOKUP(A60,Employees!A:L,2,FALSE),"")</f>
        <v/>
      </c>
      <c r="C60" s="3" t="str">
        <f>IFERROR(VLOOKUP(A60,Employees!A:L,3,FALSE),"")</f>
        <v/>
      </c>
      <c r="D60" s="3"/>
      <c r="E60" s="3"/>
      <c r="F60" s="6"/>
      <c r="G60" s="3"/>
      <c r="H60" s="3"/>
      <c r="I60" s="3" t="str">
        <f>IF(F60="","لم يقيم",IF(F60&gt;=Setup!B7,"كفء","غير كفء - إعادة تدريب"))</f>
        <v>لم يقيم</v>
      </c>
      <c r="J60" s="3"/>
      <c r="K60" s="3"/>
      <c r="L60" s="3"/>
    </row>
    <row r="61" spans="1:12" x14ac:dyDescent="0.2">
      <c r="A61" s="3"/>
      <c r="B61" s="3" t="str">
        <f>IFERROR(VLOOKUP(A61,Employees!A:L,2,FALSE),"")</f>
        <v/>
      </c>
      <c r="C61" s="3" t="str">
        <f>IFERROR(VLOOKUP(A61,Employees!A:L,3,FALSE),"")</f>
        <v/>
      </c>
      <c r="D61" s="3"/>
      <c r="E61" s="3"/>
      <c r="F61" s="6"/>
      <c r="G61" s="3"/>
      <c r="H61" s="3"/>
      <c r="I61" s="3" t="str">
        <f>IF(F61="","لم يقيم",IF(F61&gt;=Setup!B7,"كفء","غير كفء - إعادة تدريب"))</f>
        <v>لم يقيم</v>
      </c>
      <c r="J61" s="3"/>
      <c r="K61" s="3"/>
      <c r="L61" s="3"/>
    </row>
    <row r="62" spans="1:12" x14ac:dyDescent="0.2">
      <c r="A62" s="3"/>
      <c r="B62" s="3" t="str">
        <f>IFERROR(VLOOKUP(A62,Employees!A:L,2,FALSE),"")</f>
        <v/>
      </c>
      <c r="C62" s="3" t="str">
        <f>IFERROR(VLOOKUP(A62,Employees!A:L,3,FALSE),"")</f>
        <v/>
      </c>
      <c r="D62" s="3"/>
      <c r="E62" s="3"/>
      <c r="F62" s="6"/>
      <c r="G62" s="3"/>
      <c r="H62" s="3"/>
      <c r="I62" s="3" t="str">
        <f>IF(F62="","لم يقيم",IF(F62&gt;=Setup!B7,"كفء","غير كفء - إعادة تدريب"))</f>
        <v>لم يقيم</v>
      </c>
      <c r="J62" s="3"/>
      <c r="K62" s="3"/>
      <c r="L62" s="3"/>
    </row>
    <row r="63" spans="1:12" x14ac:dyDescent="0.2">
      <c r="A63" s="3"/>
      <c r="B63" s="3" t="str">
        <f>IFERROR(VLOOKUP(A63,Employees!A:L,2,FALSE),"")</f>
        <v/>
      </c>
      <c r="C63" s="3" t="str">
        <f>IFERROR(VLOOKUP(A63,Employees!A:L,3,FALSE),"")</f>
        <v/>
      </c>
      <c r="D63" s="3"/>
      <c r="E63" s="3"/>
      <c r="F63" s="6"/>
      <c r="G63" s="3"/>
      <c r="H63" s="3"/>
      <c r="I63" s="3" t="str">
        <f>IF(F63="","لم يقيم",IF(F63&gt;=Setup!B7,"كفء","غير كفء - إعادة تدريب"))</f>
        <v>لم يقيم</v>
      </c>
      <c r="J63" s="3"/>
      <c r="K63" s="3"/>
      <c r="L63" s="3"/>
    </row>
    <row r="64" spans="1:12" x14ac:dyDescent="0.2">
      <c r="A64" s="3"/>
      <c r="B64" s="3" t="str">
        <f>IFERROR(VLOOKUP(A64,Employees!A:L,2,FALSE),"")</f>
        <v/>
      </c>
      <c r="C64" s="3" t="str">
        <f>IFERROR(VLOOKUP(A64,Employees!A:L,3,FALSE),"")</f>
        <v/>
      </c>
      <c r="D64" s="3"/>
      <c r="E64" s="3"/>
      <c r="F64" s="6"/>
      <c r="G64" s="3"/>
      <c r="H64" s="3"/>
      <c r="I64" s="3" t="str">
        <f>IF(F64="","لم يقيم",IF(F64&gt;=Setup!B7,"كفء","غير كفء - إعادة تدريب"))</f>
        <v>لم يقيم</v>
      </c>
      <c r="J64" s="3"/>
      <c r="K64" s="3"/>
      <c r="L64" s="3"/>
    </row>
    <row r="65" spans="1:12" x14ac:dyDescent="0.2">
      <c r="A65" s="3"/>
      <c r="B65" s="3" t="str">
        <f>IFERROR(VLOOKUP(A65,Employees!A:L,2,FALSE),"")</f>
        <v/>
      </c>
      <c r="C65" s="3" t="str">
        <f>IFERROR(VLOOKUP(A65,Employees!A:L,3,FALSE),"")</f>
        <v/>
      </c>
      <c r="D65" s="3"/>
      <c r="E65" s="3"/>
      <c r="F65" s="6"/>
      <c r="G65" s="3"/>
      <c r="H65" s="3"/>
      <c r="I65" s="3" t="str">
        <f>IF(F65="","لم يقيم",IF(F65&gt;=Setup!B7,"كفء","غير كفء - إعادة تدريب"))</f>
        <v>لم يقيم</v>
      </c>
      <c r="J65" s="3"/>
      <c r="K65" s="3"/>
      <c r="L65" s="3"/>
    </row>
    <row r="66" spans="1:12" x14ac:dyDescent="0.2">
      <c r="A66" s="3"/>
      <c r="B66" s="3" t="str">
        <f>IFERROR(VLOOKUP(A66,Employees!A:L,2,FALSE),"")</f>
        <v/>
      </c>
      <c r="C66" s="3" t="str">
        <f>IFERROR(VLOOKUP(A66,Employees!A:L,3,FALSE),"")</f>
        <v/>
      </c>
      <c r="D66" s="3"/>
      <c r="E66" s="3"/>
      <c r="F66" s="6"/>
      <c r="G66" s="3"/>
      <c r="H66" s="3"/>
      <c r="I66" s="3" t="str">
        <f>IF(F66="","لم يقيم",IF(F66&gt;=Setup!B7,"كفء","غير كفء - إعادة تدريب"))</f>
        <v>لم يقيم</v>
      </c>
      <c r="J66" s="3"/>
      <c r="K66" s="3"/>
      <c r="L66" s="3"/>
    </row>
    <row r="67" spans="1:12" x14ac:dyDescent="0.2">
      <c r="A67" s="3"/>
      <c r="B67" s="3" t="str">
        <f>IFERROR(VLOOKUP(A67,Employees!A:L,2,FALSE),"")</f>
        <v/>
      </c>
      <c r="C67" s="3" t="str">
        <f>IFERROR(VLOOKUP(A67,Employees!A:L,3,FALSE),"")</f>
        <v/>
      </c>
      <c r="D67" s="3"/>
      <c r="E67" s="3"/>
      <c r="F67" s="6"/>
      <c r="G67" s="3"/>
      <c r="H67" s="3"/>
      <c r="I67" s="3" t="str">
        <f>IF(F67="","لم يقيم",IF(F67&gt;=Setup!B7,"كفء","غير كفء - إعادة تدريب"))</f>
        <v>لم يقيم</v>
      </c>
      <c r="J67" s="3"/>
      <c r="K67" s="3"/>
      <c r="L67" s="3"/>
    </row>
    <row r="68" spans="1:12" x14ac:dyDescent="0.2">
      <c r="A68" s="3"/>
      <c r="B68" s="3" t="str">
        <f>IFERROR(VLOOKUP(A68,Employees!A:L,2,FALSE),"")</f>
        <v/>
      </c>
      <c r="C68" s="3" t="str">
        <f>IFERROR(VLOOKUP(A68,Employees!A:L,3,FALSE),"")</f>
        <v/>
      </c>
      <c r="D68" s="3"/>
      <c r="E68" s="3"/>
      <c r="F68" s="6"/>
      <c r="G68" s="3"/>
      <c r="H68" s="3"/>
      <c r="I68" s="3" t="str">
        <f>IF(F68="","لم يقيم",IF(F68&gt;=Setup!B7,"كفء","غير كفء - إعادة تدريب"))</f>
        <v>لم يقيم</v>
      </c>
      <c r="J68" s="3"/>
      <c r="K68" s="3"/>
      <c r="L68" s="3"/>
    </row>
    <row r="69" spans="1:12" x14ac:dyDescent="0.2">
      <c r="A69" s="3"/>
      <c r="B69" s="3" t="str">
        <f>IFERROR(VLOOKUP(A69,Employees!A:L,2,FALSE),"")</f>
        <v/>
      </c>
      <c r="C69" s="3" t="str">
        <f>IFERROR(VLOOKUP(A69,Employees!A:L,3,FALSE),"")</f>
        <v/>
      </c>
      <c r="D69" s="3"/>
      <c r="E69" s="3"/>
      <c r="F69" s="6"/>
      <c r="G69" s="3"/>
      <c r="H69" s="3"/>
      <c r="I69" s="3" t="str">
        <f>IF(F69="","لم يقيم",IF(F69&gt;=Setup!B7,"كفء","غير كفء - إعادة تدريب"))</f>
        <v>لم يقيم</v>
      </c>
      <c r="J69" s="3"/>
      <c r="K69" s="3"/>
      <c r="L69" s="3"/>
    </row>
    <row r="70" spans="1:12" x14ac:dyDescent="0.2">
      <c r="A70" s="3"/>
      <c r="B70" s="3" t="str">
        <f>IFERROR(VLOOKUP(A70,Employees!A:L,2,FALSE),"")</f>
        <v/>
      </c>
      <c r="C70" s="3" t="str">
        <f>IFERROR(VLOOKUP(A70,Employees!A:L,3,FALSE),"")</f>
        <v/>
      </c>
      <c r="D70" s="3"/>
      <c r="E70" s="3"/>
      <c r="F70" s="6"/>
      <c r="G70" s="3"/>
      <c r="H70" s="3"/>
      <c r="I70" s="3" t="str">
        <f>IF(F70="","لم يقيم",IF(F70&gt;=Setup!B7,"كفء","غير كفء - إعادة تدريب"))</f>
        <v>لم يقيم</v>
      </c>
      <c r="J70" s="3"/>
      <c r="K70" s="3"/>
      <c r="L70" s="3"/>
    </row>
    <row r="71" spans="1:12" x14ac:dyDescent="0.2">
      <c r="A71" s="3"/>
      <c r="B71" s="3" t="str">
        <f>IFERROR(VLOOKUP(A71,Employees!A:L,2,FALSE),"")</f>
        <v/>
      </c>
      <c r="C71" s="3" t="str">
        <f>IFERROR(VLOOKUP(A71,Employees!A:L,3,FALSE),"")</f>
        <v/>
      </c>
      <c r="D71" s="3"/>
      <c r="E71" s="3"/>
      <c r="F71" s="6"/>
      <c r="G71" s="3"/>
      <c r="H71" s="3"/>
      <c r="I71" s="3" t="str">
        <f>IF(F71="","لم يقيم",IF(F71&gt;=Setup!B7,"كفء","غير كفء - إعادة تدريب"))</f>
        <v>لم يقيم</v>
      </c>
      <c r="J71" s="3"/>
      <c r="K71" s="3"/>
      <c r="L71" s="3"/>
    </row>
    <row r="72" spans="1:12" x14ac:dyDescent="0.2">
      <c r="A72" s="3"/>
      <c r="B72" s="3" t="str">
        <f>IFERROR(VLOOKUP(A72,Employees!A:L,2,FALSE),"")</f>
        <v/>
      </c>
      <c r="C72" s="3" t="str">
        <f>IFERROR(VLOOKUP(A72,Employees!A:L,3,FALSE),"")</f>
        <v/>
      </c>
      <c r="D72" s="3"/>
      <c r="E72" s="3"/>
      <c r="F72" s="6"/>
      <c r="G72" s="3"/>
      <c r="H72" s="3"/>
      <c r="I72" s="3" t="str">
        <f>IF(F72="","لم يقيم",IF(F72&gt;=Setup!B7,"كفء","غير كفء - إعادة تدريب"))</f>
        <v>لم يقيم</v>
      </c>
      <c r="J72" s="3"/>
      <c r="K72" s="3"/>
      <c r="L72" s="3"/>
    </row>
    <row r="73" spans="1:12" x14ac:dyDescent="0.2">
      <c r="A73" s="3"/>
      <c r="B73" s="3" t="str">
        <f>IFERROR(VLOOKUP(A73,Employees!A:L,2,FALSE),"")</f>
        <v/>
      </c>
      <c r="C73" s="3" t="str">
        <f>IFERROR(VLOOKUP(A73,Employees!A:L,3,FALSE),"")</f>
        <v/>
      </c>
      <c r="D73" s="3"/>
      <c r="E73" s="3"/>
      <c r="F73" s="6"/>
      <c r="G73" s="3"/>
      <c r="H73" s="3"/>
      <c r="I73" s="3" t="str">
        <f>IF(F73="","لم يقيم",IF(F73&gt;=Setup!B7,"كفء","غير كفء - إعادة تدريب"))</f>
        <v>لم يقيم</v>
      </c>
      <c r="J73" s="3"/>
      <c r="K73" s="3"/>
      <c r="L73" s="3"/>
    </row>
    <row r="74" spans="1:12" x14ac:dyDescent="0.2">
      <c r="A74" s="3"/>
      <c r="B74" s="3" t="str">
        <f>IFERROR(VLOOKUP(A74,Employees!A:L,2,FALSE),"")</f>
        <v/>
      </c>
      <c r="C74" s="3" t="str">
        <f>IFERROR(VLOOKUP(A74,Employees!A:L,3,FALSE),"")</f>
        <v/>
      </c>
      <c r="D74" s="3"/>
      <c r="E74" s="3"/>
      <c r="F74" s="6"/>
      <c r="G74" s="3"/>
      <c r="H74" s="3"/>
      <c r="I74" s="3" t="str">
        <f>IF(F74="","لم يقيم",IF(F74&gt;=Setup!B7,"كفء","غير كفء - إعادة تدريب"))</f>
        <v>لم يقيم</v>
      </c>
      <c r="J74" s="3"/>
      <c r="K74" s="3"/>
      <c r="L74" s="3"/>
    </row>
    <row r="75" spans="1:12" x14ac:dyDescent="0.2">
      <c r="A75" s="3"/>
      <c r="B75" s="3" t="str">
        <f>IFERROR(VLOOKUP(A75,Employees!A:L,2,FALSE),"")</f>
        <v/>
      </c>
      <c r="C75" s="3" t="str">
        <f>IFERROR(VLOOKUP(A75,Employees!A:L,3,FALSE),"")</f>
        <v/>
      </c>
      <c r="D75" s="3"/>
      <c r="E75" s="3"/>
      <c r="F75" s="6"/>
      <c r="G75" s="3"/>
      <c r="H75" s="3"/>
      <c r="I75" s="3" t="str">
        <f>IF(F75="","لم يقيم",IF(F75&gt;=Setup!B7,"كفء","غير كفء - إعادة تدريب"))</f>
        <v>لم يقيم</v>
      </c>
      <c r="J75" s="3"/>
      <c r="K75" s="3"/>
      <c r="L75" s="3"/>
    </row>
    <row r="76" spans="1:12" x14ac:dyDescent="0.2">
      <c r="A76" s="3"/>
      <c r="B76" s="3" t="str">
        <f>IFERROR(VLOOKUP(A76,Employees!A:L,2,FALSE),"")</f>
        <v/>
      </c>
      <c r="C76" s="3" t="str">
        <f>IFERROR(VLOOKUP(A76,Employees!A:L,3,FALSE),"")</f>
        <v/>
      </c>
      <c r="D76" s="3"/>
      <c r="E76" s="3"/>
      <c r="F76" s="6"/>
      <c r="G76" s="3"/>
      <c r="H76" s="3"/>
      <c r="I76" s="3" t="str">
        <f>IF(F76="","لم يقيم",IF(F76&gt;=Setup!B7,"كفء","غير كفء - إعادة تدريب"))</f>
        <v>لم يقيم</v>
      </c>
      <c r="J76" s="3"/>
      <c r="K76" s="3"/>
      <c r="L76" s="3"/>
    </row>
    <row r="77" spans="1:12" x14ac:dyDescent="0.2">
      <c r="A77" s="3"/>
      <c r="B77" s="3" t="str">
        <f>IFERROR(VLOOKUP(A77,Employees!A:L,2,FALSE),"")</f>
        <v/>
      </c>
      <c r="C77" s="3" t="str">
        <f>IFERROR(VLOOKUP(A77,Employees!A:L,3,FALSE),"")</f>
        <v/>
      </c>
      <c r="D77" s="3"/>
      <c r="E77" s="3"/>
      <c r="F77" s="6"/>
      <c r="G77" s="3"/>
      <c r="H77" s="3"/>
      <c r="I77" s="3" t="str">
        <f>IF(F77="","لم يقيم",IF(F77&gt;=Setup!B7,"كفء","غير كفء - إعادة تدريب"))</f>
        <v>لم يقيم</v>
      </c>
      <c r="J77" s="3"/>
      <c r="K77" s="3"/>
      <c r="L77" s="3"/>
    </row>
    <row r="78" spans="1:12" x14ac:dyDescent="0.2">
      <c r="A78" s="3"/>
      <c r="B78" s="3" t="str">
        <f>IFERROR(VLOOKUP(A78,Employees!A:L,2,FALSE),"")</f>
        <v/>
      </c>
      <c r="C78" s="3" t="str">
        <f>IFERROR(VLOOKUP(A78,Employees!A:L,3,FALSE),"")</f>
        <v/>
      </c>
      <c r="D78" s="3"/>
      <c r="E78" s="3"/>
      <c r="F78" s="6"/>
      <c r="G78" s="3"/>
      <c r="H78" s="3"/>
      <c r="I78" s="3" t="str">
        <f>IF(F78="","لم يقيم",IF(F78&gt;=Setup!B7,"كفء","غير كفء - إعادة تدريب"))</f>
        <v>لم يقيم</v>
      </c>
      <c r="J78" s="3"/>
      <c r="K78" s="3"/>
      <c r="L78" s="3"/>
    </row>
    <row r="79" spans="1:12" x14ac:dyDescent="0.2">
      <c r="A79" s="3"/>
      <c r="B79" s="3" t="str">
        <f>IFERROR(VLOOKUP(A79,Employees!A:L,2,FALSE),"")</f>
        <v/>
      </c>
      <c r="C79" s="3" t="str">
        <f>IFERROR(VLOOKUP(A79,Employees!A:L,3,FALSE),"")</f>
        <v/>
      </c>
      <c r="D79" s="3"/>
      <c r="E79" s="3"/>
      <c r="F79" s="6"/>
      <c r="G79" s="3"/>
      <c r="H79" s="3"/>
      <c r="I79" s="3" t="str">
        <f>IF(F79="","لم يقيم",IF(F79&gt;=Setup!B7,"كفء","غير كفء - إعادة تدريب"))</f>
        <v>لم يقيم</v>
      </c>
      <c r="J79" s="3"/>
      <c r="K79" s="3"/>
      <c r="L79" s="3"/>
    </row>
    <row r="80" spans="1:12" x14ac:dyDescent="0.2">
      <c r="A80" s="3"/>
      <c r="B80" s="3" t="str">
        <f>IFERROR(VLOOKUP(A80,Employees!A:L,2,FALSE),"")</f>
        <v/>
      </c>
      <c r="C80" s="3" t="str">
        <f>IFERROR(VLOOKUP(A80,Employees!A:L,3,FALSE),"")</f>
        <v/>
      </c>
      <c r="D80" s="3"/>
      <c r="E80" s="3"/>
      <c r="F80" s="6"/>
      <c r="G80" s="3"/>
      <c r="H80" s="3"/>
      <c r="I80" s="3" t="str">
        <f>IF(F80="","لم يقيم",IF(F80&gt;=Setup!B7,"كفء","غير كفء - إعادة تدريب"))</f>
        <v>لم يقيم</v>
      </c>
      <c r="J80" s="3"/>
      <c r="K80" s="3"/>
      <c r="L80" s="3"/>
    </row>
    <row r="81" spans="1:12" x14ac:dyDescent="0.2">
      <c r="A81" s="3"/>
      <c r="B81" s="3" t="str">
        <f>IFERROR(VLOOKUP(A81,Employees!A:L,2,FALSE),"")</f>
        <v/>
      </c>
      <c r="C81" s="3" t="str">
        <f>IFERROR(VLOOKUP(A81,Employees!A:L,3,FALSE),"")</f>
        <v/>
      </c>
      <c r="D81" s="3"/>
      <c r="E81" s="3"/>
      <c r="F81" s="6"/>
      <c r="G81" s="3"/>
      <c r="H81" s="3"/>
      <c r="I81" s="3" t="str">
        <f>IF(F81="","لم يقيم",IF(F81&gt;=Setup!B7,"كفء","غير كفء - إعادة تدريب"))</f>
        <v>لم يقيم</v>
      </c>
      <c r="J81" s="3"/>
      <c r="K81" s="3"/>
      <c r="L81" s="3"/>
    </row>
    <row r="82" spans="1:12" x14ac:dyDescent="0.2">
      <c r="A82" s="3"/>
      <c r="B82" s="3" t="str">
        <f>IFERROR(VLOOKUP(A82,Employees!A:L,2,FALSE),"")</f>
        <v/>
      </c>
      <c r="C82" s="3" t="str">
        <f>IFERROR(VLOOKUP(A82,Employees!A:L,3,FALSE),"")</f>
        <v/>
      </c>
      <c r="D82" s="3"/>
      <c r="E82" s="3"/>
      <c r="F82" s="6"/>
      <c r="G82" s="3"/>
      <c r="H82" s="3"/>
      <c r="I82" s="3" t="str">
        <f>IF(F82="","لم يقيم",IF(F82&gt;=Setup!B7,"كفء","غير كفء - إعادة تدريب"))</f>
        <v>لم يقيم</v>
      </c>
      <c r="J82" s="3"/>
      <c r="K82" s="3"/>
      <c r="L82" s="3"/>
    </row>
    <row r="83" spans="1:12" x14ac:dyDescent="0.2">
      <c r="A83" s="3"/>
      <c r="B83" s="3" t="str">
        <f>IFERROR(VLOOKUP(A83,Employees!A:L,2,FALSE),"")</f>
        <v/>
      </c>
      <c r="C83" s="3" t="str">
        <f>IFERROR(VLOOKUP(A83,Employees!A:L,3,FALSE),"")</f>
        <v/>
      </c>
      <c r="D83" s="3"/>
      <c r="E83" s="3"/>
      <c r="F83" s="6"/>
      <c r="G83" s="3"/>
      <c r="H83" s="3"/>
      <c r="I83" s="3" t="str">
        <f>IF(F83="","لم يقيم",IF(F83&gt;=Setup!B7,"كفء","غير كفء - إعادة تدريب"))</f>
        <v>لم يقيم</v>
      </c>
      <c r="J83" s="3"/>
      <c r="K83" s="3"/>
      <c r="L83" s="3"/>
    </row>
    <row r="84" spans="1:12" x14ac:dyDescent="0.2">
      <c r="A84" s="3"/>
      <c r="B84" s="3" t="str">
        <f>IFERROR(VLOOKUP(A84,Employees!A:L,2,FALSE),"")</f>
        <v/>
      </c>
      <c r="C84" s="3" t="str">
        <f>IFERROR(VLOOKUP(A84,Employees!A:L,3,FALSE),"")</f>
        <v/>
      </c>
      <c r="D84" s="3"/>
      <c r="E84" s="3"/>
      <c r="F84" s="6"/>
      <c r="G84" s="3"/>
      <c r="H84" s="3"/>
      <c r="I84" s="3" t="str">
        <f>IF(F84="","لم يقيم",IF(F84&gt;=Setup!B7,"كفء","غير كفء - إعادة تدريب"))</f>
        <v>لم يقيم</v>
      </c>
      <c r="J84" s="3"/>
      <c r="K84" s="3"/>
      <c r="L84" s="3"/>
    </row>
    <row r="85" spans="1:12" x14ac:dyDescent="0.2">
      <c r="A85" s="3"/>
      <c r="B85" s="3" t="str">
        <f>IFERROR(VLOOKUP(A85,Employees!A:L,2,FALSE),"")</f>
        <v/>
      </c>
      <c r="C85" s="3" t="str">
        <f>IFERROR(VLOOKUP(A85,Employees!A:L,3,FALSE),"")</f>
        <v/>
      </c>
      <c r="D85" s="3"/>
      <c r="E85" s="3"/>
      <c r="F85" s="6"/>
      <c r="G85" s="3"/>
      <c r="H85" s="3"/>
      <c r="I85" s="3" t="str">
        <f>IF(F85="","لم يقيم",IF(F85&gt;=Setup!B7,"كفء","غير كفء - إعادة تدريب"))</f>
        <v>لم يقيم</v>
      </c>
      <c r="J85" s="3"/>
      <c r="K85" s="3"/>
      <c r="L85" s="3"/>
    </row>
    <row r="86" spans="1:12" x14ac:dyDescent="0.2">
      <c r="A86" s="3"/>
      <c r="B86" s="3" t="str">
        <f>IFERROR(VLOOKUP(A86,Employees!A:L,2,FALSE),"")</f>
        <v/>
      </c>
      <c r="C86" s="3" t="str">
        <f>IFERROR(VLOOKUP(A86,Employees!A:L,3,FALSE),"")</f>
        <v/>
      </c>
      <c r="D86" s="3"/>
      <c r="E86" s="3"/>
      <c r="F86" s="6"/>
      <c r="G86" s="3"/>
      <c r="H86" s="3"/>
      <c r="I86" s="3" t="str">
        <f>IF(F86="","لم يقيم",IF(F86&gt;=Setup!B7,"كفء","غير كفء - إعادة تدريب"))</f>
        <v>لم يقيم</v>
      </c>
      <c r="J86" s="3"/>
      <c r="K86" s="3"/>
      <c r="L86" s="3"/>
    </row>
    <row r="87" spans="1:12" x14ac:dyDescent="0.2">
      <c r="A87" s="3"/>
      <c r="B87" s="3" t="str">
        <f>IFERROR(VLOOKUP(A87,Employees!A:L,2,FALSE),"")</f>
        <v/>
      </c>
      <c r="C87" s="3" t="str">
        <f>IFERROR(VLOOKUP(A87,Employees!A:L,3,FALSE),"")</f>
        <v/>
      </c>
      <c r="D87" s="3"/>
      <c r="E87" s="3"/>
      <c r="F87" s="6"/>
      <c r="G87" s="3"/>
      <c r="H87" s="3"/>
      <c r="I87" s="3" t="str">
        <f>IF(F87="","لم يقيم",IF(F87&gt;=Setup!B7,"كفء","غير كفء - إعادة تدريب"))</f>
        <v>لم يقيم</v>
      </c>
      <c r="J87" s="3"/>
      <c r="K87" s="3"/>
      <c r="L87" s="3"/>
    </row>
    <row r="88" spans="1:12" x14ac:dyDescent="0.2">
      <c r="A88" s="3"/>
      <c r="B88" s="3" t="str">
        <f>IFERROR(VLOOKUP(A88,Employees!A:L,2,FALSE),"")</f>
        <v/>
      </c>
      <c r="C88" s="3" t="str">
        <f>IFERROR(VLOOKUP(A88,Employees!A:L,3,FALSE),"")</f>
        <v/>
      </c>
      <c r="D88" s="3"/>
      <c r="E88" s="3"/>
      <c r="F88" s="6"/>
      <c r="G88" s="3"/>
      <c r="H88" s="3"/>
      <c r="I88" s="3" t="str">
        <f>IF(F88="","لم يقيم",IF(F88&gt;=Setup!B7,"كفء","غير كفء - إعادة تدريب"))</f>
        <v>لم يقيم</v>
      </c>
      <c r="J88" s="3"/>
      <c r="K88" s="3"/>
      <c r="L88" s="3"/>
    </row>
    <row r="89" spans="1:12" x14ac:dyDescent="0.2">
      <c r="A89" s="3"/>
      <c r="B89" s="3" t="str">
        <f>IFERROR(VLOOKUP(A89,Employees!A:L,2,FALSE),"")</f>
        <v/>
      </c>
      <c r="C89" s="3" t="str">
        <f>IFERROR(VLOOKUP(A89,Employees!A:L,3,FALSE),"")</f>
        <v/>
      </c>
      <c r="D89" s="3"/>
      <c r="E89" s="3"/>
      <c r="F89" s="6"/>
      <c r="G89" s="3"/>
      <c r="H89" s="3"/>
      <c r="I89" s="3" t="str">
        <f>IF(F89="","لم يقيم",IF(F89&gt;=Setup!B7,"كفء","غير كفء - إعادة تدريب"))</f>
        <v>لم يقيم</v>
      </c>
      <c r="J89" s="3"/>
      <c r="K89" s="3"/>
      <c r="L89" s="3"/>
    </row>
    <row r="90" spans="1:12" x14ac:dyDescent="0.2">
      <c r="A90" s="3"/>
      <c r="B90" s="3" t="str">
        <f>IFERROR(VLOOKUP(A90,Employees!A:L,2,FALSE),"")</f>
        <v/>
      </c>
      <c r="C90" s="3" t="str">
        <f>IFERROR(VLOOKUP(A90,Employees!A:L,3,FALSE),"")</f>
        <v/>
      </c>
      <c r="D90" s="3"/>
      <c r="E90" s="3"/>
      <c r="F90" s="6"/>
      <c r="G90" s="3"/>
      <c r="H90" s="3"/>
      <c r="I90" s="3" t="str">
        <f>IF(F90="","لم يقيم",IF(F90&gt;=Setup!B7,"كفء","غير كفء - إعادة تدريب"))</f>
        <v>لم يقيم</v>
      </c>
      <c r="J90" s="3"/>
      <c r="K90" s="3"/>
      <c r="L90" s="3"/>
    </row>
    <row r="91" spans="1:12" x14ac:dyDescent="0.2">
      <c r="A91" s="3"/>
      <c r="B91" s="3" t="str">
        <f>IFERROR(VLOOKUP(A91,Employees!A:L,2,FALSE),"")</f>
        <v/>
      </c>
      <c r="C91" s="3" t="str">
        <f>IFERROR(VLOOKUP(A91,Employees!A:L,3,FALSE),"")</f>
        <v/>
      </c>
      <c r="D91" s="3"/>
      <c r="E91" s="3"/>
      <c r="F91" s="6"/>
      <c r="G91" s="3"/>
      <c r="H91" s="3"/>
      <c r="I91" s="3" t="str">
        <f>IF(F91="","لم يقيم",IF(F91&gt;=Setup!B7,"كفء","غير كفء - إعادة تدريب"))</f>
        <v>لم يقيم</v>
      </c>
      <c r="J91" s="3"/>
      <c r="K91" s="3"/>
      <c r="L91" s="3"/>
    </row>
    <row r="92" spans="1:12" x14ac:dyDescent="0.2">
      <c r="A92" s="3"/>
      <c r="B92" s="3" t="str">
        <f>IFERROR(VLOOKUP(A92,Employees!A:L,2,FALSE),"")</f>
        <v/>
      </c>
      <c r="C92" s="3" t="str">
        <f>IFERROR(VLOOKUP(A92,Employees!A:L,3,FALSE),"")</f>
        <v/>
      </c>
      <c r="D92" s="3"/>
      <c r="E92" s="3"/>
      <c r="F92" s="6"/>
      <c r="G92" s="3"/>
      <c r="H92" s="3"/>
      <c r="I92" s="3" t="str">
        <f>IF(F92="","لم يقيم",IF(F92&gt;=Setup!B7,"كفء","غير كفء - إعادة تدريب"))</f>
        <v>لم يقيم</v>
      </c>
      <c r="J92" s="3"/>
      <c r="K92" s="3"/>
      <c r="L92" s="3"/>
    </row>
    <row r="93" spans="1:12" x14ac:dyDescent="0.2">
      <c r="A93" s="3"/>
      <c r="B93" s="3" t="str">
        <f>IFERROR(VLOOKUP(A93,Employees!A:L,2,FALSE),"")</f>
        <v/>
      </c>
      <c r="C93" s="3" t="str">
        <f>IFERROR(VLOOKUP(A93,Employees!A:L,3,FALSE),"")</f>
        <v/>
      </c>
      <c r="D93" s="3"/>
      <c r="E93" s="3"/>
      <c r="F93" s="6"/>
      <c r="G93" s="3"/>
      <c r="H93" s="3"/>
      <c r="I93" s="3" t="str">
        <f>IF(F93="","لم يقيم",IF(F93&gt;=Setup!B7,"كفء","غير كفء - إعادة تدريب"))</f>
        <v>لم يقيم</v>
      </c>
      <c r="J93" s="3"/>
      <c r="K93" s="3"/>
      <c r="L93" s="3"/>
    </row>
    <row r="94" spans="1:12" x14ac:dyDescent="0.2">
      <c r="A94" s="3"/>
      <c r="B94" s="3" t="str">
        <f>IFERROR(VLOOKUP(A94,Employees!A:L,2,FALSE),"")</f>
        <v/>
      </c>
      <c r="C94" s="3" t="str">
        <f>IFERROR(VLOOKUP(A94,Employees!A:L,3,FALSE),"")</f>
        <v/>
      </c>
      <c r="D94" s="3"/>
      <c r="E94" s="3"/>
      <c r="F94" s="6"/>
      <c r="G94" s="3"/>
      <c r="H94" s="3"/>
      <c r="I94" s="3" t="str">
        <f>IF(F94="","لم يقيم",IF(F94&gt;=Setup!B7,"كفء","غير كفء - إعادة تدريب"))</f>
        <v>لم يقيم</v>
      </c>
      <c r="J94" s="3"/>
      <c r="K94" s="3"/>
      <c r="L94" s="3"/>
    </row>
    <row r="95" spans="1:12" x14ac:dyDescent="0.2">
      <c r="A95" s="3"/>
      <c r="B95" s="3" t="str">
        <f>IFERROR(VLOOKUP(A95,Employees!A:L,2,FALSE),"")</f>
        <v/>
      </c>
      <c r="C95" s="3" t="str">
        <f>IFERROR(VLOOKUP(A95,Employees!A:L,3,FALSE),"")</f>
        <v/>
      </c>
      <c r="D95" s="3"/>
      <c r="E95" s="3"/>
      <c r="F95" s="6"/>
      <c r="G95" s="3"/>
      <c r="H95" s="3"/>
      <c r="I95" s="3" t="str">
        <f>IF(F95="","لم يقيم",IF(F95&gt;=Setup!B7,"كفء","غير كفء - إعادة تدريب"))</f>
        <v>لم يقيم</v>
      </c>
      <c r="J95" s="3"/>
      <c r="K95" s="3"/>
      <c r="L95" s="3"/>
    </row>
    <row r="96" spans="1:12" x14ac:dyDescent="0.2">
      <c r="A96" s="3"/>
      <c r="B96" s="3" t="str">
        <f>IFERROR(VLOOKUP(A96,Employees!A:L,2,FALSE),"")</f>
        <v/>
      </c>
      <c r="C96" s="3" t="str">
        <f>IFERROR(VLOOKUP(A96,Employees!A:L,3,FALSE),"")</f>
        <v/>
      </c>
      <c r="D96" s="3"/>
      <c r="E96" s="3"/>
      <c r="F96" s="6"/>
      <c r="G96" s="3"/>
      <c r="H96" s="3"/>
      <c r="I96" s="3" t="str">
        <f>IF(F96="","لم يقيم",IF(F96&gt;=Setup!B7,"كفء","غير كفء - إعادة تدريب"))</f>
        <v>لم يقيم</v>
      </c>
      <c r="J96" s="3"/>
      <c r="K96" s="3"/>
      <c r="L96" s="3"/>
    </row>
    <row r="97" spans="1:12" x14ac:dyDescent="0.2">
      <c r="A97" s="3"/>
      <c r="B97" s="3" t="str">
        <f>IFERROR(VLOOKUP(A97,Employees!A:L,2,FALSE),"")</f>
        <v/>
      </c>
      <c r="C97" s="3" t="str">
        <f>IFERROR(VLOOKUP(A97,Employees!A:L,3,FALSE),"")</f>
        <v/>
      </c>
      <c r="D97" s="3"/>
      <c r="E97" s="3"/>
      <c r="F97" s="6"/>
      <c r="G97" s="3"/>
      <c r="H97" s="3"/>
      <c r="I97" s="3" t="str">
        <f>IF(F97="","لم يقيم",IF(F97&gt;=Setup!B7,"كفء","غير كفء - إعادة تدريب"))</f>
        <v>لم يقيم</v>
      </c>
      <c r="J97" s="3"/>
      <c r="K97" s="3"/>
      <c r="L97" s="3"/>
    </row>
    <row r="98" spans="1:12" x14ac:dyDescent="0.2">
      <c r="A98" s="3"/>
      <c r="B98" s="3" t="str">
        <f>IFERROR(VLOOKUP(A98,Employees!A:L,2,FALSE),"")</f>
        <v/>
      </c>
      <c r="C98" s="3" t="str">
        <f>IFERROR(VLOOKUP(A98,Employees!A:L,3,FALSE),"")</f>
        <v/>
      </c>
      <c r="D98" s="3"/>
      <c r="E98" s="3"/>
      <c r="F98" s="6"/>
      <c r="G98" s="3"/>
      <c r="H98" s="3"/>
      <c r="I98" s="3" t="str">
        <f>IF(F98="","لم يقيم",IF(F98&gt;=Setup!B7,"كفء","غير كفء - إعادة تدريب"))</f>
        <v>لم يقيم</v>
      </c>
      <c r="J98" s="3"/>
      <c r="K98" s="3"/>
      <c r="L98" s="3"/>
    </row>
    <row r="99" spans="1:12" x14ac:dyDescent="0.2">
      <c r="A99" s="3"/>
      <c r="B99" s="3" t="str">
        <f>IFERROR(VLOOKUP(A99,Employees!A:L,2,FALSE),"")</f>
        <v/>
      </c>
      <c r="C99" s="3" t="str">
        <f>IFERROR(VLOOKUP(A99,Employees!A:L,3,FALSE),"")</f>
        <v/>
      </c>
      <c r="D99" s="3"/>
      <c r="E99" s="3"/>
      <c r="F99" s="6"/>
      <c r="G99" s="3"/>
      <c r="H99" s="3"/>
      <c r="I99" s="3" t="str">
        <f>IF(F99="","لم يقيم",IF(F99&gt;=Setup!B7,"كفء","غير كفء - إعادة تدريب"))</f>
        <v>لم يقيم</v>
      </c>
      <c r="J99" s="3"/>
      <c r="K99" s="3"/>
      <c r="L99" s="3"/>
    </row>
    <row r="100" spans="1:12" x14ac:dyDescent="0.2">
      <c r="A100" s="3"/>
      <c r="B100" s="3" t="str">
        <f>IFERROR(VLOOKUP(A100,Employees!A:L,2,FALSE),"")</f>
        <v/>
      </c>
      <c r="C100" s="3" t="str">
        <f>IFERROR(VLOOKUP(A100,Employees!A:L,3,FALSE),"")</f>
        <v/>
      </c>
      <c r="D100" s="3"/>
      <c r="E100" s="3"/>
      <c r="F100" s="6"/>
      <c r="G100" s="3"/>
      <c r="H100" s="3"/>
      <c r="I100" s="3" t="str">
        <f>IF(F100="","لم يقيم",IF(F100&gt;=Setup!B7,"كفء","غير كفء - إعادة تدريب"))</f>
        <v>لم يقيم</v>
      </c>
      <c r="J100" s="3"/>
      <c r="K100" s="3"/>
      <c r="L100" s="3"/>
    </row>
    <row r="101" spans="1:12" x14ac:dyDescent="0.2">
      <c r="A101" s="3"/>
      <c r="B101" s="3" t="str">
        <f>IFERROR(VLOOKUP(A101,Employees!A:L,2,FALSE),"")</f>
        <v/>
      </c>
      <c r="C101" s="3" t="str">
        <f>IFERROR(VLOOKUP(A101,Employees!A:L,3,FALSE),"")</f>
        <v/>
      </c>
      <c r="D101" s="3"/>
      <c r="E101" s="3"/>
      <c r="F101" s="6"/>
      <c r="G101" s="3"/>
      <c r="H101" s="3"/>
      <c r="I101" s="3" t="str">
        <f>IF(F101="","لم يقيم",IF(F101&gt;=Setup!B7,"كفء","غير كفء - إعادة تدريب"))</f>
        <v>لم يقيم</v>
      </c>
      <c r="J101" s="3"/>
      <c r="K101" s="3"/>
      <c r="L101" s="3"/>
    </row>
    <row r="102" spans="1:12" x14ac:dyDescent="0.2">
      <c r="A102" s="3"/>
      <c r="B102" s="3" t="str">
        <f>IFERROR(VLOOKUP(A102,Employees!A:L,2,FALSE),"")</f>
        <v/>
      </c>
      <c r="C102" s="3" t="str">
        <f>IFERROR(VLOOKUP(A102,Employees!A:L,3,FALSE),"")</f>
        <v/>
      </c>
      <c r="D102" s="3"/>
      <c r="E102" s="3"/>
      <c r="F102" s="6"/>
      <c r="G102" s="3"/>
      <c r="H102" s="3"/>
      <c r="I102" s="3" t="str">
        <f>IF(F102="","لم يقيم",IF(F102&gt;=Setup!B7,"كفء","غير كفء - إعادة تدريب"))</f>
        <v>لم يقيم</v>
      </c>
      <c r="J102" s="3"/>
      <c r="K102" s="3"/>
      <c r="L102" s="3"/>
    </row>
    <row r="103" spans="1:12" x14ac:dyDescent="0.2">
      <c r="A103" s="3"/>
      <c r="B103" s="3" t="str">
        <f>IFERROR(VLOOKUP(A103,Employees!A:L,2,FALSE),"")</f>
        <v/>
      </c>
      <c r="C103" s="3" t="str">
        <f>IFERROR(VLOOKUP(A103,Employees!A:L,3,FALSE),"")</f>
        <v/>
      </c>
      <c r="D103" s="3"/>
      <c r="E103" s="3"/>
      <c r="F103" s="6"/>
      <c r="G103" s="3"/>
      <c r="H103" s="3"/>
      <c r="I103" s="3" t="str">
        <f>IF(F103="","لم يقيم",IF(F103&gt;=Setup!B7,"كفء","غير كفء - إعادة تدريب"))</f>
        <v>لم يقيم</v>
      </c>
      <c r="J103" s="3"/>
      <c r="K103" s="3"/>
      <c r="L103" s="3"/>
    </row>
    <row r="104" spans="1:12" x14ac:dyDescent="0.2">
      <c r="A104" s="3"/>
      <c r="B104" s="3" t="str">
        <f>IFERROR(VLOOKUP(A104,Employees!A:L,2,FALSE),"")</f>
        <v/>
      </c>
      <c r="C104" s="3" t="str">
        <f>IFERROR(VLOOKUP(A104,Employees!A:L,3,FALSE),"")</f>
        <v/>
      </c>
      <c r="D104" s="3"/>
      <c r="E104" s="3"/>
      <c r="F104" s="6"/>
      <c r="G104" s="3"/>
      <c r="H104" s="3"/>
      <c r="I104" s="3" t="str">
        <f>IF(F104="","لم يقيم",IF(F104&gt;=Setup!B7,"كفء","غير كفء - إعادة تدريب"))</f>
        <v>لم يقيم</v>
      </c>
      <c r="J104" s="3"/>
      <c r="K104" s="3"/>
      <c r="L104" s="3"/>
    </row>
    <row r="105" spans="1:12" x14ac:dyDescent="0.2">
      <c r="A105" s="3"/>
      <c r="B105" s="3" t="str">
        <f>IFERROR(VLOOKUP(A105,Employees!A:L,2,FALSE),"")</f>
        <v/>
      </c>
      <c r="C105" s="3" t="str">
        <f>IFERROR(VLOOKUP(A105,Employees!A:L,3,FALSE),"")</f>
        <v/>
      </c>
      <c r="D105" s="3"/>
      <c r="E105" s="3"/>
      <c r="F105" s="6"/>
      <c r="G105" s="3"/>
      <c r="H105" s="3"/>
      <c r="I105" s="3" t="str">
        <f>IF(F105="","لم يقيم",IF(F105&gt;=Setup!B7,"كفء","غير كفء - إعادة تدريب"))</f>
        <v>لم يقيم</v>
      </c>
      <c r="J105" s="3"/>
      <c r="K105" s="3"/>
      <c r="L105" s="3"/>
    </row>
    <row r="106" spans="1:12" x14ac:dyDescent="0.2">
      <c r="A106" s="3"/>
      <c r="B106" s="3" t="str">
        <f>IFERROR(VLOOKUP(A106,Employees!A:L,2,FALSE),"")</f>
        <v/>
      </c>
      <c r="C106" s="3" t="str">
        <f>IFERROR(VLOOKUP(A106,Employees!A:L,3,FALSE),"")</f>
        <v/>
      </c>
      <c r="D106" s="3"/>
      <c r="E106" s="3"/>
      <c r="F106" s="6"/>
      <c r="G106" s="3"/>
      <c r="H106" s="3"/>
      <c r="I106" s="3" t="str">
        <f>IF(F106="","لم يقيم",IF(F106&gt;=Setup!B7,"كفء","غير كفء - إعادة تدريب"))</f>
        <v>لم يقيم</v>
      </c>
      <c r="J106" s="3"/>
      <c r="K106" s="3"/>
      <c r="L106" s="3"/>
    </row>
    <row r="107" spans="1:12" x14ac:dyDescent="0.2">
      <c r="A107" s="3"/>
      <c r="B107" s="3" t="str">
        <f>IFERROR(VLOOKUP(A107,Employees!A:L,2,FALSE),"")</f>
        <v/>
      </c>
      <c r="C107" s="3" t="str">
        <f>IFERROR(VLOOKUP(A107,Employees!A:L,3,FALSE),"")</f>
        <v/>
      </c>
      <c r="D107" s="3"/>
      <c r="E107" s="3"/>
      <c r="F107" s="6"/>
      <c r="G107" s="3"/>
      <c r="H107" s="3"/>
      <c r="I107" s="3" t="str">
        <f>IF(F107="","لم يقيم",IF(F107&gt;=Setup!B7,"كفء","غير كفء - إعادة تدريب"))</f>
        <v>لم يقيم</v>
      </c>
      <c r="J107" s="3"/>
      <c r="K107" s="3"/>
      <c r="L107" s="3"/>
    </row>
    <row r="108" spans="1:12" x14ac:dyDescent="0.2">
      <c r="A108" s="3"/>
      <c r="B108" s="3" t="str">
        <f>IFERROR(VLOOKUP(A108,Employees!A:L,2,FALSE),"")</f>
        <v/>
      </c>
      <c r="C108" s="3" t="str">
        <f>IFERROR(VLOOKUP(A108,Employees!A:L,3,FALSE),"")</f>
        <v/>
      </c>
      <c r="D108" s="3"/>
      <c r="E108" s="3"/>
      <c r="F108" s="6"/>
      <c r="G108" s="3"/>
      <c r="H108" s="3"/>
      <c r="I108" s="3" t="str">
        <f>IF(F108="","لم يقيم",IF(F108&gt;=Setup!B7,"كفء","غير كفء - إعادة تدريب"))</f>
        <v>لم يقيم</v>
      </c>
      <c r="J108" s="3"/>
      <c r="K108" s="3"/>
      <c r="L108" s="3"/>
    </row>
    <row r="109" spans="1:12" x14ac:dyDescent="0.2">
      <c r="A109" s="3"/>
      <c r="B109" s="3" t="str">
        <f>IFERROR(VLOOKUP(A109,Employees!A:L,2,FALSE),"")</f>
        <v/>
      </c>
      <c r="C109" s="3" t="str">
        <f>IFERROR(VLOOKUP(A109,Employees!A:L,3,FALSE),"")</f>
        <v/>
      </c>
      <c r="D109" s="3"/>
      <c r="E109" s="3"/>
      <c r="F109" s="6"/>
      <c r="G109" s="3"/>
      <c r="H109" s="3"/>
      <c r="I109" s="3" t="str">
        <f>IF(F109="","لم يقيم",IF(F109&gt;=Setup!B7,"كفء","غير كفء - إعادة تدريب"))</f>
        <v>لم يقيم</v>
      </c>
      <c r="J109" s="3"/>
      <c r="K109" s="3"/>
      <c r="L109" s="3"/>
    </row>
    <row r="110" spans="1:12" x14ac:dyDescent="0.2">
      <c r="A110" s="3"/>
      <c r="B110" s="3" t="str">
        <f>IFERROR(VLOOKUP(A110,Employees!A:L,2,FALSE),"")</f>
        <v/>
      </c>
      <c r="C110" s="3" t="str">
        <f>IFERROR(VLOOKUP(A110,Employees!A:L,3,FALSE),"")</f>
        <v/>
      </c>
      <c r="D110" s="3"/>
      <c r="E110" s="3"/>
      <c r="F110" s="6"/>
      <c r="G110" s="3"/>
      <c r="H110" s="3"/>
      <c r="I110" s="3" t="str">
        <f>IF(F110="","لم يقيم",IF(F110&gt;=Setup!B7,"كفء","غير كفء - إعادة تدريب"))</f>
        <v>لم يقيم</v>
      </c>
      <c r="J110" s="3"/>
      <c r="K110" s="3"/>
      <c r="L110" s="3"/>
    </row>
    <row r="111" spans="1:12" x14ac:dyDescent="0.2">
      <c r="A111" s="3"/>
      <c r="B111" s="3" t="str">
        <f>IFERROR(VLOOKUP(A111,Employees!A:L,2,FALSE),"")</f>
        <v/>
      </c>
      <c r="C111" s="3" t="str">
        <f>IFERROR(VLOOKUP(A111,Employees!A:L,3,FALSE),"")</f>
        <v/>
      </c>
      <c r="D111" s="3"/>
      <c r="E111" s="3"/>
      <c r="F111" s="6"/>
      <c r="G111" s="3"/>
      <c r="H111" s="3"/>
      <c r="I111" s="3" t="str">
        <f>IF(F111="","لم يقيم",IF(F111&gt;=Setup!B7,"كفء","غير كفء - إعادة تدريب"))</f>
        <v>لم يقيم</v>
      </c>
      <c r="J111" s="3"/>
      <c r="K111" s="3"/>
      <c r="L111" s="3"/>
    </row>
    <row r="112" spans="1:12" x14ac:dyDescent="0.2">
      <c r="A112" s="3"/>
      <c r="B112" s="3" t="str">
        <f>IFERROR(VLOOKUP(A112,Employees!A:L,2,FALSE),"")</f>
        <v/>
      </c>
      <c r="C112" s="3" t="str">
        <f>IFERROR(VLOOKUP(A112,Employees!A:L,3,FALSE),"")</f>
        <v/>
      </c>
      <c r="D112" s="3"/>
      <c r="E112" s="3"/>
      <c r="F112" s="6"/>
      <c r="G112" s="3"/>
      <c r="H112" s="3"/>
      <c r="I112" s="3" t="str">
        <f>IF(F112="","لم يقيم",IF(F112&gt;=Setup!B7,"كفء","غير كفء - إعادة تدريب"))</f>
        <v>لم يقيم</v>
      </c>
      <c r="J112" s="3"/>
      <c r="K112" s="3"/>
      <c r="L112" s="3"/>
    </row>
    <row r="113" spans="1:12" x14ac:dyDescent="0.2">
      <c r="A113" s="3"/>
      <c r="B113" s="3" t="str">
        <f>IFERROR(VLOOKUP(A113,Employees!A:L,2,FALSE),"")</f>
        <v/>
      </c>
      <c r="C113" s="3" t="str">
        <f>IFERROR(VLOOKUP(A113,Employees!A:L,3,FALSE),"")</f>
        <v/>
      </c>
      <c r="D113" s="3"/>
      <c r="E113" s="3"/>
      <c r="F113" s="6"/>
      <c r="G113" s="3"/>
      <c r="H113" s="3"/>
      <c r="I113" s="3" t="str">
        <f>IF(F113="","لم يقيم",IF(F113&gt;=Setup!B7,"كفء","غير كفء - إعادة تدريب"))</f>
        <v>لم يقيم</v>
      </c>
      <c r="J113" s="3"/>
      <c r="K113" s="3"/>
      <c r="L113" s="3"/>
    </row>
    <row r="114" spans="1:12" x14ac:dyDescent="0.2">
      <c r="A114" s="3"/>
      <c r="B114" s="3" t="str">
        <f>IFERROR(VLOOKUP(A114,Employees!A:L,2,FALSE),"")</f>
        <v/>
      </c>
      <c r="C114" s="3" t="str">
        <f>IFERROR(VLOOKUP(A114,Employees!A:L,3,FALSE),"")</f>
        <v/>
      </c>
      <c r="D114" s="3"/>
      <c r="E114" s="3"/>
      <c r="F114" s="6"/>
      <c r="G114" s="3"/>
      <c r="H114" s="3"/>
      <c r="I114" s="3" t="str">
        <f>IF(F114="","لم يقيم",IF(F114&gt;=Setup!B7,"كفء","غير كفء - إعادة تدريب"))</f>
        <v>لم يقيم</v>
      </c>
      <c r="J114" s="3"/>
      <c r="K114" s="3"/>
      <c r="L114" s="3"/>
    </row>
    <row r="115" spans="1:12" x14ac:dyDescent="0.2">
      <c r="A115" s="3"/>
      <c r="B115" s="3" t="str">
        <f>IFERROR(VLOOKUP(A115,Employees!A:L,2,FALSE),"")</f>
        <v/>
      </c>
      <c r="C115" s="3" t="str">
        <f>IFERROR(VLOOKUP(A115,Employees!A:L,3,FALSE),"")</f>
        <v/>
      </c>
      <c r="D115" s="3"/>
      <c r="E115" s="3"/>
      <c r="F115" s="6"/>
      <c r="G115" s="3"/>
      <c r="H115" s="3"/>
      <c r="I115" s="3" t="str">
        <f>IF(F115="","لم يقيم",IF(F115&gt;=Setup!B7,"كفء","غير كفء - إعادة تدريب"))</f>
        <v>لم يقيم</v>
      </c>
      <c r="J115" s="3"/>
      <c r="K115" s="3"/>
      <c r="L115" s="3"/>
    </row>
    <row r="116" spans="1:12" x14ac:dyDescent="0.2">
      <c r="A116" s="3"/>
      <c r="B116" s="3" t="str">
        <f>IFERROR(VLOOKUP(A116,Employees!A:L,2,FALSE),"")</f>
        <v/>
      </c>
      <c r="C116" s="3" t="str">
        <f>IFERROR(VLOOKUP(A116,Employees!A:L,3,FALSE),"")</f>
        <v/>
      </c>
      <c r="D116" s="3"/>
      <c r="E116" s="3"/>
      <c r="F116" s="6"/>
      <c r="G116" s="3"/>
      <c r="H116" s="3"/>
      <c r="I116" s="3" t="str">
        <f>IF(F116="","لم يقيم",IF(F116&gt;=Setup!B7,"كفء","غير كفء - إعادة تدريب"))</f>
        <v>لم يقيم</v>
      </c>
      <c r="J116" s="3"/>
      <c r="K116" s="3"/>
      <c r="L116" s="3"/>
    </row>
    <row r="117" spans="1:12" x14ac:dyDescent="0.2">
      <c r="A117" s="3"/>
      <c r="B117" s="3" t="str">
        <f>IFERROR(VLOOKUP(A117,Employees!A:L,2,FALSE),"")</f>
        <v/>
      </c>
      <c r="C117" s="3" t="str">
        <f>IFERROR(VLOOKUP(A117,Employees!A:L,3,FALSE),"")</f>
        <v/>
      </c>
      <c r="D117" s="3"/>
      <c r="E117" s="3"/>
      <c r="F117" s="6"/>
      <c r="G117" s="3"/>
      <c r="H117" s="3"/>
      <c r="I117" s="3" t="str">
        <f>IF(F117="","لم يقيم",IF(F117&gt;=Setup!B7,"كفء","غير كفء - إعادة تدريب"))</f>
        <v>لم يقيم</v>
      </c>
      <c r="J117" s="3"/>
      <c r="K117" s="3"/>
      <c r="L117" s="3"/>
    </row>
    <row r="118" spans="1:12" x14ac:dyDescent="0.2">
      <c r="A118" s="3"/>
      <c r="B118" s="3" t="str">
        <f>IFERROR(VLOOKUP(A118,Employees!A:L,2,FALSE),"")</f>
        <v/>
      </c>
      <c r="C118" s="3" t="str">
        <f>IFERROR(VLOOKUP(A118,Employees!A:L,3,FALSE),"")</f>
        <v/>
      </c>
      <c r="D118" s="3"/>
      <c r="E118" s="3"/>
      <c r="F118" s="6"/>
      <c r="G118" s="3"/>
      <c r="H118" s="3"/>
      <c r="I118" s="3" t="str">
        <f>IF(F118="","لم يقيم",IF(F118&gt;=Setup!B7,"كفء","غير كفء - إعادة تدريب"))</f>
        <v>لم يقيم</v>
      </c>
      <c r="J118" s="3"/>
      <c r="K118" s="3"/>
      <c r="L118" s="3"/>
    </row>
    <row r="119" spans="1:12" x14ac:dyDescent="0.2">
      <c r="A119" s="3"/>
      <c r="B119" s="3" t="str">
        <f>IFERROR(VLOOKUP(A119,Employees!A:L,2,FALSE),"")</f>
        <v/>
      </c>
      <c r="C119" s="3" t="str">
        <f>IFERROR(VLOOKUP(A119,Employees!A:L,3,FALSE),"")</f>
        <v/>
      </c>
      <c r="D119" s="3"/>
      <c r="E119" s="3"/>
      <c r="F119" s="6"/>
      <c r="G119" s="3"/>
      <c r="H119" s="3"/>
      <c r="I119" s="3" t="str">
        <f>IF(F119="","لم يقيم",IF(F119&gt;=Setup!B7,"كفء","غير كفء - إعادة تدريب"))</f>
        <v>لم يقيم</v>
      </c>
      <c r="J119" s="3"/>
      <c r="K119" s="3"/>
      <c r="L119" s="3"/>
    </row>
    <row r="120" spans="1:12" x14ac:dyDescent="0.2">
      <c r="A120" s="3"/>
      <c r="B120" s="3" t="str">
        <f>IFERROR(VLOOKUP(A120,Employees!A:L,2,FALSE),"")</f>
        <v/>
      </c>
      <c r="C120" s="3" t="str">
        <f>IFERROR(VLOOKUP(A120,Employees!A:L,3,FALSE),"")</f>
        <v/>
      </c>
      <c r="D120" s="3"/>
      <c r="E120" s="3"/>
      <c r="F120" s="6"/>
      <c r="G120" s="3"/>
      <c r="H120" s="3"/>
      <c r="I120" s="3" t="str">
        <f>IF(F120="","لم يقيم",IF(F120&gt;=Setup!B7,"كفء","غير كفء - إعادة تدريب"))</f>
        <v>لم يقيم</v>
      </c>
      <c r="J120" s="3"/>
      <c r="K120" s="3"/>
      <c r="L120" s="3"/>
    </row>
    <row r="121" spans="1:12" x14ac:dyDescent="0.2">
      <c r="A121" s="3"/>
      <c r="B121" s="3" t="str">
        <f>IFERROR(VLOOKUP(A121,Employees!A:L,2,FALSE),"")</f>
        <v/>
      </c>
      <c r="C121" s="3" t="str">
        <f>IFERROR(VLOOKUP(A121,Employees!A:L,3,FALSE),"")</f>
        <v/>
      </c>
      <c r="D121" s="3"/>
      <c r="E121" s="3"/>
      <c r="F121" s="6"/>
      <c r="G121" s="3"/>
      <c r="H121" s="3"/>
      <c r="I121" s="3" t="str">
        <f>IF(F121="","لم يقيم",IF(F121&gt;=Setup!B7,"كفء","غير كفء - إعادة تدريب"))</f>
        <v>لم يقيم</v>
      </c>
      <c r="J121" s="3"/>
      <c r="K121" s="3"/>
      <c r="L121" s="3"/>
    </row>
    <row r="122" spans="1:12" x14ac:dyDescent="0.2">
      <c r="A122" s="3"/>
      <c r="B122" s="3" t="str">
        <f>IFERROR(VLOOKUP(A122,Employees!A:L,2,FALSE),"")</f>
        <v/>
      </c>
      <c r="C122" s="3" t="str">
        <f>IFERROR(VLOOKUP(A122,Employees!A:L,3,FALSE),"")</f>
        <v/>
      </c>
      <c r="D122" s="3"/>
      <c r="E122" s="3"/>
      <c r="F122" s="6"/>
      <c r="G122" s="3"/>
      <c r="H122" s="3"/>
      <c r="I122" s="3" t="str">
        <f>IF(F122="","لم يقيم",IF(F122&gt;=Setup!B7,"كفء","غير كفء - إعادة تدريب"))</f>
        <v>لم يقيم</v>
      </c>
      <c r="J122" s="3"/>
      <c r="K122" s="3"/>
      <c r="L122" s="3"/>
    </row>
    <row r="123" spans="1:12" x14ac:dyDescent="0.2">
      <c r="A123" s="3"/>
      <c r="B123" s="3" t="str">
        <f>IFERROR(VLOOKUP(A123,Employees!A:L,2,FALSE),"")</f>
        <v/>
      </c>
      <c r="C123" s="3" t="str">
        <f>IFERROR(VLOOKUP(A123,Employees!A:L,3,FALSE),"")</f>
        <v/>
      </c>
      <c r="D123" s="3"/>
      <c r="E123" s="3"/>
      <c r="F123" s="6"/>
      <c r="G123" s="3"/>
      <c r="H123" s="3"/>
      <c r="I123" s="3" t="str">
        <f>IF(F123="","لم يقيم",IF(F123&gt;=Setup!B7,"كفء","غير كفء - إعادة تدريب"))</f>
        <v>لم يقيم</v>
      </c>
      <c r="J123" s="3"/>
      <c r="K123" s="3"/>
      <c r="L123" s="3"/>
    </row>
    <row r="124" spans="1:12" x14ac:dyDescent="0.2">
      <c r="A124" s="3"/>
      <c r="B124" s="3" t="str">
        <f>IFERROR(VLOOKUP(A124,Employees!A:L,2,FALSE),"")</f>
        <v/>
      </c>
      <c r="C124" s="3" t="str">
        <f>IFERROR(VLOOKUP(A124,Employees!A:L,3,FALSE),"")</f>
        <v/>
      </c>
      <c r="D124" s="3"/>
      <c r="E124" s="3"/>
      <c r="F124" s="6"/>
      <c r="G124" s="3"/>
      <c r="H124" s="3"/>
      <c r="I124" s="3" t="str">
        <f>IF(F124="","لم يقيم",IF(F124&gt;=Setup!B7,"كفء","غير كفء - إعادة تدريب"))</f>
        <v>لم يقيم</v>
      </c>
      <c r="J124" s="3"/>
      <c r="K124" s="3"/>
      <c r="L124" s="3"/>
    </row>
    <row r="125" spans="1:12" x14ac:dyDescent="0.2">
      <c r="A125" s="3"/>
      <c r="B125" s="3" t="str">
        <f>IFERROR(VLOOKUP(A125,Employees!A:L,2,FALSE),"")</f>
        <v/>
      </c>
      <c r="C125" s="3" t="str">
        <f>IFERROR(VLOOKUP(A125,Employees!A:L,3,FALSE),"")</f>
        <v/>
      </c>
      <c r="D125" s="3"/>
      <c r="E125" s="3"/>
      <c r="F125" s="6"/>
      <c r="G125" s="3"/>
      <c r="H125" s="3"/>
      <c r="I125" s="3" t="str">
        <f>IF(F125="","لم يقيم",IF(F125&gt;=Setup!B7,"كفء","غير كفء - إعادة تدريب"))</f>
        <v>لم يقيم</v>
      </c>
      <c r="J125" s="3"/>
      <c r="K125" s="3"/>
      <c r="L125" s="3"/>
    </row>
    <row r="126" spans="1:12" x14ac:dyDescent="0.2">
      <c r="A126" s="3"/>
      <c r="B126" s="3" t="str">
        <f>IFERROR(VLOOKUP(A126,Employees!A:L,2,FALSE),"")</f>
        <v/>
      </c>
      <c r="C126" s="3" t="str">
        <f>IFERROR(VLOOKUP(A126,Employees!A:L,3,FALSE),"")</f>
        <v/>
      </c>
      <c r="D126" s="3"/>
      <c r="E126" s="3"/>
      <c r="F126" s="6"/>
      <c r="G126" s="3"/>
      <c r="H126" s="3"/>
      <c r="I126" s="3" t="str">
        <f>IF(F126="","لم يقيم",IF(F126&gt;=Setup!B7,"كفء","غير كفء - إعادة تدريب"))</f>
        <v>لم يقيم</v>
      </c>
      <c r="J126" s="3"/>
      <c r="K126" s="3"/>
      <c r="L126" s="3"/>
    </row>
    <row r="127" spans="1:12" x14ac:dyDescent="0.2">
      <c r="A127" s="3"/>
      <c r="B127" s="3" t="str">
        <f>IFERROR(VLOOKUP(A127,Employees!A:L,2,FALSE),"")</f>
        <v/>
      </c>
      <c r="C127" s="3" t="str">
        <f>IFERROR(VLOOKUP(A127,Employees!A:L,3,FALSE),"")</f>
        <v/>
      </c>
      <c r="D127" s="3"/>
      <c r="E127" s="3"/>
      <c r="F127" s="6"/>
      <c r="G127" s="3"/>
      <c r="H127" s="3"/>
      <c r="I127" s="3" t="str">
        <f>IF(F127="","لم يقيم",IF(F127&gt;=Setup!B7,"كفء","غير كفء - إعادة تدريب"))</f>
        <v>لم يقيم</v>
      </c>
      <c r="J127" s="3"/>
      <c r="K127" s="3"/>
      <c r="L127" s="3"/>
    </row>
    <row r="128" spans="1:12" x14ac:dyDescent="0.2">
      <c r="A128" s="3"/>
      <c r="B128" s="3" t="str">
        <f>IFERROR(VLOOKUP(A128,Employees!A:L,2,FALSE),"")</f>
        <v/>
      </c>
      <c r="C128" s="3" t="str">
        <f>IFERROR(VLOOKUP(A128,Employees!A:L,3,FALSE),"")</f>
        <v/>
      </c>
      <c r="D128" s="3"/>
      <c r="E128" s="3"/>
      <c r="F128" s="6"/>
      <c r="G128" s="3"/>
      <c r="H128" s="3"/>
      <c r="I128" s="3" t="str">
        <f>IF(F128="","لم يقيم",IF(F128&gt;=Setup!B7,"كفء","غير كفء - إعادة تدريب"))</f>
        <v>لم يقيم</v>
      </c>
      <c r="J128" s="3"/>
      <c r="K128" s="3"/>
      <c r="L128" s="3"/>
    </row>
    <row r="129" spans="1:12" x14ac:dyDescent="0.2">
      <c r="A129" s="3"/>
      <c r="B129" s="3" t="str">
        <f>IFERROR(VLOOKUP(A129,Employees!A:L,2,FALSE),"")</f>
        <v/>
      </c>
      <c r="C129" s="3" t="str">
        <f>IFERROR(VLOOKUP(A129,Employees!A:L,3,FALSE),"")</f>
        <v/>
      </c>
      <c r="D129" s="3"/>
      <c r="E129" s="3"/>
      <c r="F129" s="6"/>
      <c r="G129" s="3"/>
      <c r="H129" s="3"/>
      <c r="I129" s="3" t="str">
        <f>IF(F129="","لم يقيم",IF(F129&gt;=Setup!B7,"كفء","غير كفء - إعادة تدريب"))</f>
        <v>لم يقيم</v>
      </c>
      <c r="J129" s="3"/>
      <c r="K129" s="3"/>
      <c r="L129" s="3"/>
    </row>
    <row r="130" spans="1:12" x14ac:dyDescent="0.2">
      <c r="A130" s="3"/>
      <c r="B130" s="3" t="str">
        <f>IFERROR(VLOOKUP(A130,Employees!A:L,2,FALSE),"")</f>
        <v/>
      </c>
      <c r="C130" s="3" t="str">
        <f>IFERROR(VLOOKUP(A130,Employees!A:L,3,FALSE),"")</f>
        <v/>
      </c>
      <c r="D130" s="3"/>
      <c r="E130" s="3"/>
      <c r="F130" s="6"/>
      <c r="G130" s="3"/>
      <c r="H130" s="3"/>
      <c r="I130" s="3" t="str">
        <f>IF(F130="","لم يقيم",IF(F130&gt;=Setup!B7,"كفء","غير كفء - إعادة تدريب"))</f>
        <v>لم يقيم</v>
      </c>
      <c r="J130" s="3"/>
      <c r="K130" s="3"/>
      <c r="L130" s="3"/>
    </row>
    <row r="131" spans="1:12" x14ac:dyDescent="0.2">
      <c r="A131" s="3"/>
      <c r="B131" s="3" t="str">
        <f>IFERROR(VLOOKUP(A131,Employees!A:L,2,FALSE),"")</f>
        <v/>
      </c>
      <c r="C131" s="3" t="str">
        <f>IFERROR(VLOOKUP(A131,Employees!A:L,3,FALSE),"")</f>
        <v/>
      </c>
      <c r="D131" s="3"/>
      <c r="E131" s="3"/>
      <c r="F131" s="6"/>
      <c r="G131" s="3"/>
      <c r="H131" s="3"/>
      <c r="I131" s="3" t="str">
        <f>IF(F131="","لم يقيم",IF(F131&gt;=Setup!B7,"كفء","غير كفء - إعادة تدريب"))</f>
        <v>لم يقيم</v>
      </c>
      <c r="J131" s="3"/>
      <c r="K131" s="3"/>
      <c r="L131" s="3"/>
    </row>
    <row r="132" spans="1:12" x14ac:dyDescent="0.2">
      <c r="A132" s="3"/>
      <c r="B132" s="3" t="str">
        <f>IFERROR(VLOOKUP(A132,Employees!A:L,2,FALSE),"")</f>
        <v/>
      </c>
      <c r="C132" s="3" t="str">
        <f>IFERROR(VLOOKUP(A132,Employees!A:L,3,FALSE),"")</f>
        <v/>
      </c>
      <c r="D132" s="3"/>
      <c r="E132" s="3"/>
      <c r="F132" s="6"/>
      <c r="G132" s="3"/>
      <c r="H132" s="3"/>
      <c r="I132" s="3" t="str">
        <f>IF(F132="","لم يقيم",IF(F132&gt;=Setup!B7,"كفء","غير كفء - إعادة تدريب"))</f>
        <v>لم يقيم</v>
      </c>
      <c r="J132" s="3"/>
      <c r="K132" s="3"/>
      <c r="L132" s="3"/>
    </row>
    <row r="133" spans="1:12" x14ac:dyDescent="0.2">
      <c r="A133" s="3"/>
      <c r="B133" s="3" t="str">
        <f>IFERROR(VLOOKUP(A133,Employees!A:L,2,FALSE),"")</f>
        <v/>
      </c>
      <c r="C133" s="3" t="str">
        <f>IFERROR(VLOOKUP(A133,Employees!A:L,3,FALSE),"")</f>
        <v/>
      </c>
      <c r="D133" s="3"/>
      <c r="E133" s="3"/>
      <c r="F133" s="6"/>
      <c r="G133" s="3"/>
      <c r="H133" s="3"/>
      <c r="I133" s="3" t="str">
        <f>IF(F133="","لم يقيم",IF(F133&gt;=Setup!B7,"كفء","غير كفء - إعادة تدريب"))</f>
        <v>لم يقيم</v>
      </c>
      <c r="J133" s="3"/>
      <c r="K133" s="3"/>
      <c r="L133" s="3"/>
    </row>
    <row r="134" spans="1:12" x14ac:dyDescent="0.2">
      <c r="A134" s="3"/>
      <c r="B134" s="3" t="str">
        <f>IFERROR(VLOOKUP(A134,Employees!A:L,2,FALSE),"")</f>
        <v/>
      </c>
      <c r="C134" s="3" t="str">
        <f>IFERROR(VLOOKUP(A134,Employees!A:L,3,FALSE),"")</f>
        <v/>
      </c>
      <c r="D134" s="3"/>
      <c r="E134" s="3"/>
      <c r="F134" s="6"/>
      <c r="G134" s="3"/>
      <c r="H134" s="3"/>
      <c r="I134" s="3" t="str">
        <f>IF(F134="","لم يقيم",IF(F134&gt;=Setup!B7,"كفء","غير كفء - إعادة تدريب"))</f>
        <v>لم يقيم</v>
      </c>
      <c r="J134" s="3"/>
      <c r="K134" s="3"/>
      <c r="L134" s="3"/>
    </row>
    <row r="135" spans="1:12" x14ac:dyDescent="0.2">
      <c r="A135" s="3"/>
      <c r="B135" s="3" t="str">
        <f>IFERROR(VLOOKUP(A135,Employees!A:L,2,FALSE),"")</f>
        <v/>
      </c>
      <c r="C135" s="3" t="str">
        <f>IFERROR(VLOOKUP(A135,Employees!A:L,3,FALSE),"")</f>
        <v/>
      </c>
      <c r="D135" s="3"/>
      <c r="E135" s="3"/>
      <c r="F135" s="6"/>
      <c r="G135" s="3"/>
      <c r="H135" s="3"/>
      <c r="I135" s="3" t="str">
        <f>IF(F135="","لم يقيم",IF(F135&gt;=Setup!B7,"كفء","غير كفء - إعادة تدريب"))</f>
        <v>لم يقيم</v>
      </c>
      <c r="J135" s="3"/>
      <c r="K135" s="3"/>
      <c r="L135" s="3"/>
    </row>
    <row r="136" spans="1:12" x14ac:dyDescent="0.2">
      <c r="A136" s="3"/>
      <c r="B136" s="3" t="str">
        <f>IFERROR(VLOOKUP(A136,Employees!A:L,2,FALSE),"")</f>
        <v/>
      </c>
      <c r="C136" s="3" t="str">
        <f>IFERROR(VLOOKUP(A136,Employees!A:L,3,FALSE),"")</f>
        <v/>
      </c>
      <c r="D136" s="3"/>
      <c r="E136" s="3"/>
      <c r="F136" s="6"/>
      <c r="G136" s="3"/>
      <c r="H136" s="3"/>
      <c r="I136" s="3" t="str">
        <f>IF(F136="","لم يقيم",IF(F136&gt;=Setup!B7,"كفء","غير كفء - إعادة تدريب"))</f>
        <v>لم يقيم</v>
      </c>
      <c r="J136" s="3"/>
      <c r="K136" s="3"/>
      <c r="L136" s="3"/>
    </row>
    <row r="137" spans="1:12" x14ac:dyDescent="0.2">
      <c r="A137" s="3"/>
      <c r="B137" s="3" t="str">
        <f>IFERROR(VLOOKUP(A137,Employees!A:L,2,FALSE),"")</f>
        <v/>
      </c>
      <c r="C137" s="3" t="str">
        <f>IFERROR(VLOOKUP(A137,Employees!A:L,3,FALSE),"")</f>
        <v/>
      </c>
      <c r="D137" s="3"/>
      <c r="E137" s="3"/>
      <c r="F137" s="6"/>
      <c r="G137" s="3"/>
      <c r="H137" s="3"/>
      <c r="I137" s="3" t="str">
        <f>IF(F137="","لم يقيم",IF(F137&gt;=Setup!B7,"كفء","غير كفء - إعادة تدريب"))</f>
        <v>لم يقيم</v>
      </c>
      <c r="J137" s="3"/>
      <c r="K137" s="3"/>
      <c r="L137" s="3"/>
    </row>
    <row r="138" spans="1:12" x14ac:dyDescent="0.2">
      <c r="A138" s="3"/>
      <c r="B138" s="3" t="str">
        <f>IFERROR(VLOOKUP(A138,Employees!A:L,2,FALSE),"")</f>
        <v/>
      </c>
      <c r="C138" s="3" t="str">
        <f>IFERROR(VLOOKUP(A138,Employees!A:L,3,FALSE),"")</f>
        <v/>
      </c>
      <c r="D138" s="3"/>
      <c r="E138" s="3"/>
      <c r="F138" s="6"/>
      <c r="G138" s="3"/>
      <c r="H138" s="3"/>
      <c r="I138" s="3" t="str">
        <f>IF(F138="","لم يقيم",IF(F138&gt;=Setup!B7,"كفء","غير كفء - إعادة تدريب"))</f>
        <v>لم يقيم</v>
      </c>
      <c r="J138" s="3"/>
      <c r="K138" s="3"/>
      <c r="L138" s="3"/>
    </row>
    <row r="139" spans="1:12" x14ac:dyDescent="0.2">
      <c r="A139" s="3"/>
      <c r="B139" s="3" t="str">
        <f>IFERROR(VLOOKUP(A139,Employees!A:L,2,FALSE),"")</f>
        <v/>
      </c>
      <c r="C139" s="3" t="str">
        <f>IFERROR(VLOOKUP(A139,Employees!A:L,3,FALSE),"")</f>
        <v/>
      </c>
      <c r="D139" s="3"/>
      <c r="E139" s="3"/>
      <c r="F139" s="6"/>
      <c r="G139" s="3"/>
      <c r="H139" s="3"/>
      <c r="I139" s="3" t="str">
        <f>IF(F139="","لم يقيم",IF(F139&gt;=Setup!B7,"كفء","غير كفء - إعادة تدريب"))</f>
        <v>لم يقيم</v>
      </c>
      <c r="J139" s="3"/>
      <c r="K139" s="3"/>
      <c r="L139" s="3"/>
    </row>
    <row r="140" spans="1:12" x14ac:dyDescent="0.2">
      <c r="A140" s="3"/>
      <c r="B140" s="3" t="str">
        <f>IFERROR(VLOOKUP(A140,Employees!A:L,2,FALSE),"")</f>
        <v/>
      </c>
      <c r="C140" s="3" t="str">
        <f>IFERROR(VLOOKUP(A140,Employees!A:L,3,FALSE),"")</f>
        <v/>
      </c>
      <c r="D140" s="3"/>
      <c r="E140" s="3"/>
      <c r="F140" s="6"/>
      <c r="G140" s="3"/>
      <c r="H140" s="3"/>
      <c r="I140" s="3" t="str">
        <f>IF(F140="","لم يقيم",IF(F140&gt;=Setup!B7,"كفء","غير كفء - إعادة تدريب"))</f>
        <v>لم يقيم</v>
      </c>
      <c r="J140" s="3"/>
      <c r="K140" s="3"/>
      <c r="L140" s="3"/>
    </row>
    <row r="141" spans="1:12" x14ac:dyDescent="0.2">
      <c r="A141" s="3"/>
      <c r="B141" s="3" t="str">
        <f>IFERROR(VLOOKUP(A141,Employees!A:L,2,FALSE),"")</f>
        <v/>
      </c>
      <c r="C141" s="3" t="str">
        <f>IFERROR(VLOOKUP(A141,Employees!A:L,3,FALSE),"")</f>
        <v/>
      </c>
      <c r="D141" s="3"/>
      <c r="E141" s="3"/>
      <c r="F141" s="6"/>
      <c r="G141" s="3"/>
      <c r="H141" s="3"/>
      <c r="I141" s="3" t="str">
        <f>IF(F141="","لم يقيم",IF(F141&gt;=Setup!B7,"كفء","غير كفء - إعادة تدريب"))</f>
        <v>لم يقيم</v>
      </c>
      <c r="J141" s="3"/>
      <c r="K141" s="3"/>
      <c r="L141" s="3"/>
    </row>
    <row r="142" spans="1:12" x14ac:dyDescent="0.2">
      <c r="A142" s="3"/>
      <c r="B142" s="3" t="str">
        <f>IFERROR(VLOOKUP(A142,Employees!A:L,2,FALSE),"")</f>
        <v/>
      </c>
      <c r="C142" s="3" t="str">
        <f>IFERROR(VLOOKUP(A142,Employees!A:L,3,FALSE),"")</f>
        <v/>
      </c>
      <c r="D142" s="3"/>
      <c r="E142" s="3"/>
      <c r="F142" s="6"/>
      <c r="G142" s="3"/>
      <c r="H142" s="3"/>
      <c r="I142" s="3" t="str">
        <f>IF(F142="","لم يقيم",IF(F142&gt;=Setup!B7,"كفء","غير كفء - إعادة تدريب"))</f>
        <v>لم يقيم</v>
      </c>
      <c r="J142" s="3"/>
      <c r="K142" s="3"/>
      <c r="L142" s="3"/>
    </row>
    <row r="143" spans="1:12" x14ac:dyDescent="0.2">
      <c r="A143" s="3"/>
      <c r="B143" s="3" t="str">
        <f>IFERROR(VLOOKUP(A143,Employees!A:L,2,FALSE),"")</f>
        <v/>
      </c>
      <c r="C143" s="3" t="str">
        <f>IFERROR(VLOOKUP(A143,Employees!A:L,3,FALSE),"")</f>
        <v/>
      </c>
      <c r="D143" s="3"/>
      <c r="E143" s="3"/>
      <c r="F143" s="6"/>
      <c r="G143" s="3"/>
      <c r="H143" s="3"/>
      <c r="I143" s="3" t="str">
        <f>IF(F143="","لم يقيم",IF(F143&gt;=Setup!B7,"كفء","غير كفء - إعادة تدريب"))</f>
        <v>لم يقيم</v>
      </c>
      <c r="J143" s="3"/>
      <c r="K143" s="3"/>
      <c r="L143" s="3"/>
    </row>
    <row r="144" spans="1:12" x14ac:dyDescent="0.2">
      <c r="A144" s="3"/>
      <c r="B144" s="3" t="str">
        <f>IFERROR(VLOOKUP(A144,Employees!A:L,2,FALSE),"")</f>
        <v/>
      </c>
      <c r="C144" s="3" t="str">
        <f>IFERROR(VLOOKUP(A144,Employees!A:L,3,FALSE),"")</f>
        <v/>
      </c>
      <c r="D144" s="3"/>
      <c r="E144" s="3"/>
      <c r="F144" s="6"/>
      <c r="G144" s="3"/>
      <c r="H144" s="3"/>
      <c r="I144" s="3" t="str">
        <f>IF(F144="","لم يقيم",IF(F144&gt;=Setup!B7,"كفء","غير كفء - إعادة تدريب"))</f>
        <v>لم يقيم</v>
      </c>
      <c r="J144" s="3"/>
      <c r="K144" s="3"/>
      <c r="L144" s="3"/>
    </row>
    <row r="145" spans="1:12" x14ac:dyDescent="0.2">
      <c r="A145" s="3"/>
      <c r="B145" s="3" t="str">
        <f>IFERROR(VLOOKUP(A145,Employees!A:L,2,FALSE),"")</f>
        <v/>
      </c>
      <c r="C145" s="3" t="str">
        <f>IFERROR(VLOOKUP(A145,Employees!A:L,3,FALSE),"")</f>
        <v/>
      </c>
      <c r="D145" s="3"/>
      <c r="E145" s="3"/>
      <c r="F145" s="6"/>
      <c r="G145" s="3"/>
      <c r="H145" s="3"/>
      <c r="I145" s="3" t="str">
        <f>IF(F145="","لم يقيم",IF(F145&gt;=Setup!B7,"كفء","غير كفء - إعادة تدريب"))</f>
        <v>لم يقيم</v>
      </c>
      <c r="J145" s="3"/>
      <c r="K145" s="3"/>
      <c r="L145" s="3"/>
    </row>
    <row r="146" spans="1:12" x14ac:dyDescent="0.2">
      <c r="A146" s="3"/>
      <c r="B146" s="3" t="str">
        <f>IFERROR(VLOOKUP(A146,Employees!A:L,2,FALSE),"")</f>
        <v/>
      </c>
      <c r="C146" s="3" t="str">
        <f>IFERROR(VLOOKUP(A146,Employees!A:L,3,FALSE),"")</f>
        <v/>
      </c>
      <c r="D146" s="3"/>
      <c r="E146" s="3"/>
      <c r="F146" s="6"/>
      <c r="G146" s="3"/>
      <c r="H146" s="3"/>
      <c r="I146" s="3" t="str">
        <f>IF(F146="","لم يقيم",IF(F146&gt;=Setup!B7,"كفء","غير كفء - إعادة تدريب"))</f>
        <v>لم يقيم</v>
      </c>
      <c r="J146" s="3"/>
      <c r="K146" s="3"/>
      <c r="L146" s="3"/>
    </row>
    <row r="147" spans="1:12" x14ac:dyDescent="0.2">
      <c r="A147" s="3"/>
      <c r="B147" s="3" t="str">
        <f>IFERROR(VLOOKUP(A147,Employees!A:L,2,FALSE),"")</f>
        <v/>
      </c>
      <c r="C147" s="3" t="str">
        <f>IFERROR(VLOOKUP(A147,Employees!A:L,3,FALSE),"")</f>
        <v/>
      </c>
      <c r="D147" s="3"/>
      <c r="E147" s="3"/>
      <c r="F147" s="6"/>
      <c r="G147" s="3"/>
      <c r="H147" s="3"/>
      <c r="I147" s="3" t="str">
        <f>IF(F147="","لم يقيم",IF(F147&gt;=Setup!B7,"كفء","غير كفء - إعادة تدريب"))</f>
        <v>لم يقيم</v>
      </c>
      <c r="J147" s="3"/>
      <c r="K147" s="3"/>
      <c r="L147" s="3"/>
    </row>
    <row r="148" spans="1:12" x14ac:dyDescent="0.2">
      <c r="A148" s="3"/>
      <c r="B148" s="3" t="str">
        <f>IFERROR(VLOOKUP(A148,Employees!A:L,2,FALSE),"")</f>
        <v/>
      </c>
      <c r="C148" s="3" t="str">
        <f>IFERROR(VLOOKUP(A148,Employees!A:L,3,FALSE),"")</f>
        <v/>
      </c>
      <c r="D148" s="3"/>
      <c r="E148" s="3"/>
      <c r="F148" s="6"/>
      <c r="G148" s="3"/>
      <c r="H148" s="3"/>
      <c r="I148" s="3" t="str">
        <f>IF(F148="","لم يقيم",IF(F148&gt;=Setup!B7,"كفء","غير كفء - إعادة تدريب"))</f>
        <v>لم يقيم</v>
      </c>
      <c r="J148" s="3"/>
      <c r="K148" s="3"/>
      <c r="L148" s="3"/>
    </row>
    <row r="149" spans="1:12" x14ac:dyDescent="0.2">
      <c r="A149" s="3"/>
      <c r="B149" s="3" t="str">
        <f>IFERROR(VLOOKUP(A149,Employees!A:L,2,FALSE),"")</f>
        <v/>
      </c>
      <c r="C149" s="3" t="str">
        <f>IFERROR(VLOOKUP(A149,Employees!A:L,3,FALSE),"")</f>
        <v/>
      </c>
      <c r="D149" s="3"/>
      <c r="E149" s="3"/>
      <c r="F149" s="6"/>
      <c r="G149" s="3"/>
      <c r="H149" s="3"/>
      <c r="I149" s="3" t="str">
        <f>IF(F149="","لم يقيم",IF(F149&gt;=Setup!B7,"كفء","غير كفء - إعادة تدريب"))</f>
        <v>لم يقيم</v>
      </c>
      <c r="J149" s="3"/>
      <c r="K149" s="3"/>
      <c r="L149" s="3"/>
    </row>
    <row r="150" spans="1:12" x14ac:dyDescent="0.2">
      <c r="A150" s="3"/>
      <c r="B150" s="3" t="str">
        <f>IFERROR(VLOOKUP(A150,Employees!A:L,2,FALSE),"")</f>
        <v/>
      </c>
      <c r="C150" s="3" t="str">
        <f>IFERROR(VLOOKUP(A150,Employees!A:L,3,FALSE),"")</f>
        <v/>
      </c>
      <c r="D150" s="3"/>
      <c r="E150" s="3"/>
      <c r="F150" s="6"/>
      <c r="G150" s="3"/>
      <c r="H150" s="3"/>
      <c r="I150" s="3" t="str">
        <f>IF(F150="","لم يقيم",IF(F150&gt;=Setup!B7,"كفء","غير كفء - إعادة تدريب"))</f>
        <v>لم يقيم</v>
      </c>
      <c r="J150" s="3"/>
      <c r="K150" s="3"/>
      <c r="L150" s="3"/>
    </row>
    <row r="151" spans="1:12" x14ac:dyDescent="0.2">
      <c r="A151" s="3"/>
      <c r="B151" s="3" t="str">
        <f>IFERROR(VLOOKUP(A151,Employees!A:L,2,FALSE),"")</f>
        <v/>
      </c>
      <c r="C151" s="3" t="str">
        <f>IFERROR(VLOOKUP(A151,Employees!A:L,3,FALSE),"")</f>
        <v/>
      </c>
      <c r="D151" s="3"/>
      <c r="E151" s="3"/>
      <c r="F151" s="6"/>
      <c r="G151" s="3"/>
      <c r="H151" s="3"/>
      <c r="I151" s="3" t="str">
        <f>IF(F151="","لم يقيم",IF(F151&gt;=Setup!B7,"كفء","غير كفء - إعادة تدريب"))</f>
        <v>لم يقيم</v>
      </c>
      <c r="J151" s="3"/>
      <c r="K151" s="3"/>
      <c r="L151" s="3"/>
    </row>
    <row r="152" spans="1:12" x14ac:dyDescent="0.2">
      <c r="A152" s="3"/>
      <c r="B152" s="3" t="str">
        <f>IFERROR(VLOOKUP(A152,Employees!A:L,2,FALSE),"")</f>
        <v/>
      </c>
      <c r="C152" s="3" t="str">
        <f>IFERROR(VLOOKUP(A152,Employees!A:L,3,FALSE),"")</f>
        <v/>
      </c>
      <c r="D152" s="3"/>
      <c r="E152" s="3"/>
      <c r="F152" s="6"/>
      <c r="G152" s="3"/>
      <c r="H152" s="3"/>
      <c r="I152" s="3" t="str">
        <f>IF(F152="","لم يقيم",IF(F152&gt;=Setup!B7,"كفء","غير كفء - إعادة تدريب"))</f>
        <v>لم يقيم</v>
      </c>
      <c r="J152" s="3"/>
      <c r="K152" s="3"/>
      <c r="L152" s="3"/>
    </row>
    <row r="153" spans="1:12" x14ac:dyDescent="0.2">
      <c r="A153" s="3"/>
      <c r="B153" s="3" t="str">
        <f>IFERROR(VLOOKUP(A153,Employees!A:L,2,FALSE),"")</f>
        <v/>
      </c>
      <c r="C153" s="3" t="str">
        <f>IFERROR(VLOOKUP(A153,Employees!A:L,3,FALSE),"")</f>
        <v/>
      </c>
      <c r="D153" s="3"/>
      <c r="E153" s="3"/>
      <c r="F153" s="6"/>
      <c r="G153" s="3"/>
      <c r="H153" s="3"/>
      <c r="I153" s="3" t="str">
        <f>IF(F153="","لم يقيم",IF(F153&gt;=Setup!B7,"كفء","غير كفء - إعادة تدريب"))</f>
        <v>لم يقيم</v>
      </c>
      <c r="J153" s="3"/>
      <c r="K153" s="3"/>
      <c r="L153" s="3"/>
    </row>
    <row r="154" spans="1:12" x14ac:dyDescent="0.2">
      <c r="A154" s="3"/>
      <c r="B154" s="3" t="str">
        <f>IFERROR(VLOOKUP(A154,Employees!A:L,2,FALSE),"")</f>
        <v/>
      </c>
      <c r="C154" s="3" t="str">
        <f>IFERROR(VLOOKUP(A154,Employees!A:L,3,FALSE),"")</f>
        <v/>
      </c>
      <c r="D154" s="3"/>
      <c r="E154" s="3"/>
      <c r="F154" s="6"/>
      <c r="G154" s="3"/>
      <c r="H154" s="3"/>
      <c r="I154" s="3" t="str">
        <f>IF(F154="","لم يقيم",IF(F154&gt;=Setup!B7,"كفء","غير كفء - إعادة تدريب"))</f>
        <v>لم يقيم</v>
      </c>
      <c r="J154" s="3"/>
      <c r="K154" s="3"/>
      <c r="L154" s="3"/>
    </row>
    <row r="155" spans="1:12" x14ac:dyDescent="0.2">
      <c r="A155" s="3"/>
      <c r="B155" s="3" t="str">
        <f>IFERROR(VLOOKUP(A155,Employees!A:L,2,FALSE),"")</f>
        <v/>
      </c>
      <c r="C155" s="3" t="str">
        <f>IFERROR(VLOOKUP(A155,Employees!A:L,3,FALSE),"")</f>
        <v/>
      </c>
      <c r="D155" s="3"/>
      <c r="E155" s="3"/>
      <c r="F155" s="6"/>
      <c r="G155" s="3"/>
      <c r="H155" s="3"/>
      <c r="I155" s="3" t="str">
        <f>IF(F155="","لم يقيم",IF(F155&gt;=Setup!B7,"كفء","غير كفء - إعادة تدريب"))</f>
        <v>لم يقيم</v>
      </c>
      <c r="J155" s="3"/>
      <c r="K155" s="3"/>
      <c r="L155" s="3"/>
    </row>
    <row r="156" spans="1:12" x14ac:dyDescent="0.2">
      <c r="A156" s="3"/>
      <c r="B156" s="3" t="str">
        <f>IFERROR(VLOOKUP(A156,Employees!A:L,2,FALSE),"")</f>
        <v/>
      </c>
      <c r="C156" s="3" t="str">
        <f>IFERROR(VLOOKUP(A156,Employees!A:L,3,FALSE),"")</f>
        <v/>
      </c>
      <c r="D156" s="3"/>
      <c r="E156" s="3"/>
      <c r="F156" s="6"/>
      <c r="G156" s="3"/>
      <c r="H156" s="3"/>
      <c r="I156" s="3" t="str">
        <f>IF(F156="","لم يقيم",IF(F156&gt;=Setup!B7,"كفء","غير كفء - إعادة تدريب"))</f>
        <v>لم يقيم</v>
      </c>
      <c r="J156" s="3"/>
      <c r="K156" s="3"/>
      <c r="L156" s="3"/>
    </row>
    <row r="157" spans="1:12" x14ac:dyDescent="0.2">
      <c r="A157" s="3"/>
      <c r="B157" s="3" t="str">
        <f>IFERROR(VLOOKUP(A157,Employees!A:L,2,FALSE),"")</f>
        <v/>
      </c>
      <c r="C157" s="3" t="str">
        <f>IFERROR(VLOOKUP(A157,Employees!A:L,3,FALSE),"")</f>
        <v/>
      </c>
      <c r="D157" s="3"/>
      <c r="E157" s="3"/>
      <c r="F157" s="6"/>
      <c r="G157" s="3"/>
      <c r="H157" s="3"/>
      <c r="I157" s="3" t="str">
        <f>IF(F157="","لم يقيم",IF(F157&gt;=Setup!B7,"كفء","غير كفء - إعادة تدريب"))</f>
        <v>لم يقيم</v>
      </c>
      <c r="J157" s="3"/>
      <c r="K157" s="3"/>
      <c r="L157" s="3"/>
    </row>
    <row r="158" spans="1:12" x14ac:dyDescent="0.2">
      <c r="A158" s="3"/>
      <c r="B158" s="3" t="str">
        <f>IFERROR(VLOOKUP(A158,Employees!A:L,2,FALSE),"")</f>
        <v/>
      </c>
      <c r="C158" s="3" t="str">
        <f>IFERROR(VLOOKUP(A158,Employees!A:L,3,FALSE),"")</f>
        <v/>
      </c>
      <c r="D158" s="3"/>
      <c r="E158" s="3"/>
      <c r="F158" s="6"/>
      <c r="G158" s="3"/>
      <c r="H158" s="3"/>
      <c r="I158" s="3" t="str">
        <f>IF(F158="","لم يقيم",IF(F158&gt;=Setup!B7,"كفء","غير كفء - إعادة تدريب"))</f>
        <v>لم يقيم</v>
      </c>
      <c r="J158" s="3"/>
      <c r="K158" s="3"/>
      <c r="L158" s="3"/>
    </row>
    <row r="159" spans="1:12" x14ac:dyDescent="0.2">
      <c r="A159" s="3"/>
      <c r="B159" s="3" t="str">
        <f>IFERROR(VLOOKUP(A159,Employees!A:L,2,FALSE),"")</f>
        <v/>
      </c>
      <c r="C159" s="3" t="str">
        <f>IFERROR(VLOOKUP(A159,Employees!A:L,3,FALSE),"")</f>
        <v/>
      </c>
      <c r="D159" s="3"/>
      <c r="E159" s="3"/>
      <c r="F159" s="6"/>
      <c r="G159" s="3"/>
      <c r="H159" s="3"/>
      <c r="I159" s="3" t="str">
        <f>IF(F159="","لم يقيم",IF(F159&gt;=Setup!B7,"كفء","غير كفء - إعادة تدريب"))</f>
        <v>لم يقيم</v>
      </c>
      <c r="J159" s="3"/>
      <c r="K159" s="3"/>
      <c r="L159" s="3"/>
    </row>
    <row r="160" spans="1:12" x14ac:dyDescent="0.2">
      <c r="A160" s="3"/>
      <c r="B160" s="3" t="str">
        <f>IFERROR(VLOOKUP(A160,Employees!A:L,2,FALSE),"")</f>
        <v/>
      </c>
      <c r="C160" s="3" t="str">
        <f>IFERROR(VLOOKUP(A160,Employees!A:L,3,FALSE),"")</f>
        <v/>
      </c>
      <c r="D160" s="3"/>
      <c r="E160" s="3"/>
      <c r="F160" s="6"/>
      <c r="G160" s="3"/>
      <c r="H160" s="3"/>
      <c r="I160" s="3" t="str">
        <f>IF(F160="","لم يقيم",IF(F160&gt;=Setup!B7,"كفء","غير كفء - إعادة تدريب"))</f>
        <v>لم يقيم</v>
      </c>
      <c r="J160" s="3"/>
      <c r="K160" s="3"/>
      <c r="L160" s="3"/>
    </row>
    <row r="161" spans="1:12" x14ac:dyDescent="0.2">
      <c r="A161" s="3"/>
      <c r="B161" s="3" t="str">
        <f>IFERROR(VLOOKUP(A161,Employees!A:L,2,FALSE),"")</f>
        <v/>
      </c>
      <c r="C161" s="3" t="str">
        <f>IFERROR(VLOOKUP(A161,Employees!A:L,3,FALSE),"")</f>
        <v/>
      </c>
      <c r="D161" s="3"/>
      <c r="E161" s="3"/>
      <c r="F161" s="6"/>
      <c r="G161" s="3"/>
      <c r="H161" s="3"/>
      <c r="I161" s="3" t="str">
        <f>IF(F161="","لم يقيم",IF(F161&gt;=Setup!B7,"كفء","غير كفء - إعادة تدريب"))</f>
        <v>لم يقيم</v>
      </c>
      <c r="J161" s="3"/>
      <c r="K161" s="3"/>
      <c r="L161" s="3"/>
    </row>
    <row r="162" spans="1:12" x14ac:dyDescent="0.2">
      <c r="A162" s="3"/>
      <c r="B162" s="3" t="str">
        <f>IFERROR(VLOOKUP(A162,Employees!A:L,2,FALSE),"")</f>
        <v/>
      </c>
      <c r="C162" s="3" t="str">
        <f>IFERROR(VLOOKUP(A162,Employees!A:L,3,FALSE),"")</f>
        <v/>
      </c>
      <c r="D162" s="3"/>
      <c r="E162" s="3"/>
      <c r="F162" s="6"/>
      <c r="G162" s="3"/>
      <c r="H162" s="3"/>
      <c r="I162" s="3" t="str">
        <f>IF(F162="","لم يقيم",IF(F162&gt;=Setup!B7,"كفء","غير كفء - إعادة تدريب"))</f>
        <v>لم يقيم</v>
      </c>
      <c r="J162" s="3"/>
      <c r="K162" s="3"/>
      <c r="L162" s="3"/>
    </row>
    <row r="163" spans="1:12" x14ac:dyDescent="0.2">
      <c r="A163" s="3"/>
      <c r="B163" s="3" t="str">
        <f>IFERROR(VLOOKUP(A163,Employees!A:L,2,FALSE),"")</f>
        <v/>
      </c>
      <c r="C163" s="3" t="str">
        <f>IFERROR(VLOOKUP(A163,Employees!A:L,3,FALSE),"")</f>
        <v/>
      </c>
      <c r="D163" s="3"/>
      <c r="E163" s="3"/>
      <c r="F163" s="6"/>
      <c r="G163" s="3"/>
      <c r="H163" s="3"/>
      <c r="I163" s="3" t="str">
        <f>IF(F163="","لم يقيم",IF(F163&gt;=Setup!B7,"كفء","غير كفء - إعادة تدريب"))</f>
        <v>لم يقيم</v>
      </c>
      <c r="J163" s="3"/>
      <c r="K163" s="3"/>
      <c r="L163" s="3"/>
    </row>
    <row r="164" spans="1:12" x14ac:dyDescent="0.2">
      <c r="A164" s="3"/>
      <c r="B164" s="3" t="str">
        <f>IFERROR(VLOOKUP(A164,Employees!A:L,2,FALSE),"")</f>
        <v/>
      </c>
      <c r="C164" s="3" t="str">
        <f>IFERROR(VLOOKUP(A164,Employees!A:L,3,FALSE),"")</f>
        <v/>
      </c>
      <c r="D164" s="3"/>
      <c r="E164" s="3"/>
      <c r="F164" s="6"/>
      <c r="G164" s="3"/>
      <c r="H164" s="3"/>
      <c r="I164" s="3" t="str">
        <f>IF(F164="","لم يقيم",IF(F164&gt;=Setup!B7,"كفء","غير كفء - إعادة تدريب"))</f>
        <v>لم يقيم</v>
      </c>
      <c r="J164" s="3"/>
      <c r="K164" s="3"/>
      <c r="L164" s="3"/>
    </row>
    <row r="165" spans="1:12" x14ac:dyDescent="0.2">
      <c r="A165" s="3"/>
      <c r="B165" s="3" t="str">
        <f>IFERROR(VLOOKUP(A165,Employees!A:L,2,FALSE),"")</f>
        <v/>
      </c>
      <c r="C165" s="3" t="str">
        <f>IFERROR(VLOOKUP(A165,Employees!A:L,3,FALSE),"")</f>
        <v/>
      </c>
      <c r="D165" s="3"/>
      <c r="E165" s="3"/>
      <c r="F165" s="6"/>
      <c r="G165" s="3"/>
      <c r="H165" s="3"/>
      <c r="I165" s="3" t="str">
        <f>IF(F165="","لم يقيم",IF(F165&gt;=Setup!B7,"كفء","غير كفء - إعادة تدريب"))</f>
        <v>لم يقيم</v>
      </c>
      <c r="J165" s="3"/>
      <c r="K165" s="3"/>
      <c r="L165" s="3"/>
    </row>
    <row r="166" spans="1:12" x14ac:dyDescent="0.2">
      <c r="A166" s="3"/>
      <c r="B166" s="3" t="str">
        <f>IFERROR(VLOOKUP(A166,Employees!A:L,2,FALSE),"")</f>
        <v/>
      </c>
      <c r="C166" s="3" t="str">
        <f>IFERROR(VLOOKUP(A166,Employees!A:L,3,FALSE),"")</f>
        <v/>
      </c>
      <c r="D166" s="3"/>
      <c r="E166" s="3"/>
      <c r="F166" s="6"/>
      <c r="G166" s="3"/>
      <c r="H166" s="3"/>
      <c r="I166" s="3" t="str">
        <f>IF(F166="","لم يقيم",IF(F166&gt;=Setup!B7,"كفء","غير كفء - إعادة تدريب"))</f>
        <v>لم يقيم</v>
      </c>
      <c r="J166" s="3"/>
      <c r="K166" s="3"/>
      <c r="L166" s="3"/>
    </row>
    <row r="167" spans="1:12" x14ac:dyDescent="0.2">
      <c r="A167" s="3"/>
      <c r="B167" s="3" t="str">
        <f>IFERROR(VLOOKUP(A167,Employees!A:L,2,FALSE),"")</f>
        <v/>
      </c>
      <c r="C167" s="3" t="str">
        <f>IFERROR(VLOOKUP(A167,Employees!A:L,3,FALSE),"")</f>
        <v/>
      </c>
      <c r="D167" s="3"/>
      <c r="E167" s="3"/>
      <c r="F167" s="6"/>
      <c r="G167" s="3"/>
      <c r="H167" s="3"/>
      <c r="I167" s="3" t="str">
        <f>IF(F167="","لم يقيم",IF(F167&gt;=Setup!B7,"كفء","غير كفء - إعادة تدريب"))</f>
        <v>لم يقيم</v>
      </c>
      <c r="J167" s="3"/>
      <c r="K167" s="3"/>
      <c r="L167" s="3"/>
    </row>
    <row r="168" spans="1:12" x14ac:dyDescent="0.2">
      <c r="A168" s="3"/>
      <c r="B168" s="3" t="str">
        <f>IFERROR(VLOOKUP(A168,Employees!A:L,2,FALSE),"")</f>
        <v/>
      </c>
      <c r="C168" s="3" t="str">
        <f>IFERROR(VLOOKUP(A168,Employees!A:L,3,FALSE),"")</f>
        <v/>
      </c>
      <c r="D168" s="3"/>
      <c r="E168" s="3"/>
      <c r="F168" s="6"/>
      <c r="G168" s="3"/>
      <c r="H168" s="3"/>
      <c r="I168" s="3" t="str">
        <f>IF(F168="","لم يقيم",IF(F168&gt;=Setup!B7,"كفء","غير كفء - إعادة تدريب"))</f>
        <v>لم يقيم</v>
      </c>
      <c r="J168" s="3"/>
      <c r="K168" s="3"/>
      <c r="L168" s="3"/>
    </row>
    <row r="169" spans="1:12" x14ac:dyDescent="0.2">
      <c r="A169" s="3"/>
      <c r="B169" s="3" t="str">
        <f>IFERROR(VLOOKUP(A169,Employees!A:L,2,FALSE),"")</f>
        <v/>
      </c>
      <c r="C169" s="3" t="str">
        <f>IFERROR(VLOOKUP(A169,Employees!A:L,3,FALSE),"")</f>
        <v/>
      </c>
      <c r="D169" s="3"/>
      <c r="E169" s="3"/>
      <c r="F169" s="6"/>
      <c r="G169" s="3"/>
      <c r="H169" s="3"/>
      <c r="I169" s="3" t="str">
        <f>IF(F169="","لم يقيم",IF(F169&gt;=Setup!B7,"كفء","غير كفء - إعادة تدريب"))</f>
        <v>لم يقيم</v>
      </c>
      <c r="J169" s="3"/>
      <c r="K169" s="3"/>
      <c r="L169" s="3"/>
    </row>
    <row r="170" spans="1:12" x14ac:dyDescent="0.2">
      <c r="A170" s="3"/>
      <c r="B170" s="3" t="str">
        <f>IFERROR(VLOOKUP(A170,Employees!A:L,2,FALSE),"")</f>
        <v/>
      </c>
      <c r="C170" s="3" t="str">
        <f>IFERROR(VLOOKUP(A170,Employees!A:L,3,FALSE),"")</f>
        <v/>
      </c>
      <c r="D170" s="3"/>
      <c r="E170" s="3"/>
      <c r="F170" s="6"/>
      <c r="G170" s="3"/>
      <c r="H170" s="3"/>
      <c r="I170" s="3" t="str">
        <f>IF(F170="","لم يقيم",IF(F170&gt;=Setup!B7,"كفء","غير كفء - إعادة تدريب"))</f>
        <v>لم يقيم</v>
      </c>
      <c r="J170" s="3"/>
      <c r="K170" s="3"/>
      <c r="L170" s="3"/>
    </row>
    <row r="171" spans="1:12" x14ac:dyDescent="0.2">
      <c r="A171" s="3"/>
      <c r="B171" s="3" t="str">
        <f>IFERROR(VLOOKUP(A171,Employees!A:L,2,FALSE),"")</f>
        <v/>
      </c>
      <c r="C171" s="3" t="str">
        <f>IFERROR(VLOOKUP(A171,Employees!A:L,3,FALSE),"")</f>
        <v/>
      </c>
      <c r="D171" s="3"/>
      <c r="E171" s="3"/>
      <c r="F171" s="6"/>
      <c r="G171" s="3"/>
      <c r="H171" s="3"/>
      <c r="I171" s="3" t="str">
        <f>IF(F171="","لم يقيم",IF(F171&gt;=Setup!B7,"كفء","غير كفء - إعادة تدريب"))</f>
        <v>لم يقيم</v>
      </c>
      <c r="J171" s="3"/>
      <c r="K171" s="3"/>
      <c r="L171" s="3"/>
    </row>
    <row r="172" spans="1:12" x14ac:dyDescent="0.2">
      <c r="A172" s="3"/>
      <c r="B172" s="3" t="str">
        <f>IFERROR(VLOOKUP(A172,Employees!A:L,2,FALSE),"")</f>
        <v/>
      </c>
      <c r="C172" s="3" t="str">
        <f>IFERROR(VLOOKUP(A172,Employees!A:L,3,FALSE),"")</f>
        <v/>
      </c>
      <c r="D172" s="3"/>
      <c r="E172" s="3"/>
      <c r="F172" s="6"/>
      <c r="G172" s="3"/>
      <c r="H172" s="3"/>
      <c r="I172" s="3" t="str">
        <f>IF(F172="","لم يقيم",IF(F172&gt;=Setup!B7,"كفء","غير كفء - إعادة تدريب"))</f>
        <v>لم يقيم</v>
      </c>
      <c r="J172" s="3"/>
      <c r="K172" s="3"/>
      <c r="L172" s="3"/>
    </row>
    <row r="173" spans="1:12" x14ac:dyDescent="0.2">
      <c r="A173" s="3"/>
      <c r="B173" s="3" t="str">
        <f>IFERROR(VLOOKUP(A173,Employees!A:L,2,FALSE),"")</f>
        <v/>
      </c>
      <c r="C173" s="3" t="str">
        <f>IFERROR(VLOOKUP(A173,Employees!A:L,3,FALSE),"")</f>
        <v/>
      </c>
      <c r="D173" s="3"/>
      <c r="E173" s="3"/>
      <c r="F173" s="6"/>
      <c r="G173" s="3"/>
      <c r="H173" s="3"/>
      <c r="I173" s="3" t="str">
        <f>IF(F173="","لم يقيم",IF(F173&gt;=Setup!B7,"كفء","غير كفء - إعادة تدريب"))</f>
        <v>لم يقيم</v>
      </c>
      <c r="J173" s="3"/>
      <c r="K173" s="3"/>
      <c r="L173" s="3"/>
    </row>
    <row r="174" spans="1:12" x14ac:dyDescent="0.2">
      <c r="A174" s="3"/>
      <c r="B174" s="3" t="str">
        <f>IFERROR(VLOOKUP(A174,Employees!A:L,2,FALSE),"")</f>
        <v/>
      </c>
      <c r="C174" s="3" t="str">
        <f>IFERROR(VLOOKUP(A174,Employees!A:L,3,FALSE),"")</f>
        <v/>
      </c>
      <c r="D174" s="3"/>
      <c r="E174" s="3"/>
      <c r="F174" s="6"/>
      <c r="G174" s="3"/>
      <c r="H174" s="3"/>
      <c r="I174" s="3" t="str">
        <f>IF(F174="","لم يقيم",IF(F174&gt;=Setup!B7,"كفء","غير كفء - إعادة تدريب"))</f>
        <v>لم يقيم</v>
      </c>
      <c r="J174" s="3"/>
      <c r="K174" s="3"/>
      <c r="L174" s="3"/>
    </row>
    <row r="175" spans="1:12" x14ac:dyDescent="0.2">
      <c r="A175" s="3"/>
      <c r="B175" s="3" t="str">
        <f>IFERROR(VLOOKUP(A175,Employees!A:L,2,FALSE),"")</f>
        <v/>
      </c>
      <c r="C175" s="3" t="str">
        <f>IFERROR(VLOOKUP(A175,Employees!A:L,3,FALSE),"")</f>
        <v/>
      </c>
      <c r="D175" s="3"/>
      <c r="E175" s="3"/>
      <c r="F175" s="6"/>
      <c r="G175" s="3"/>
      <c r="H175" s="3"/>
      <c r="I175" s="3" t="str">
        <f>IF(F175="","لم يقيم",IF(F175&gt;=Setup!B7,"كفء","غير كفء - إعادة تدريب"))</f>
        <v>لم يقيم</v>
      </c>
      <c r="J175" s="3"/>
      <c r="K175" s="3"/>
      <c r="L175" s="3"/>
    </row>
    <row r="176" spans="1:12" x14ac:dyDescent="0.2">
      <c r="A176" s="3"/>
      <c r="B176" s="3" t="str">
        <f>IFERROR(VLOOKUP(A176,Employees!A:L,2,FALSE),"")</f>
        <v/>
      </c>
      <c r="C176" s="3" t="str">
        <f>IFERROR(VLOOKUP(A176,Employees!A:L,3,FALSE),"")</f>
        <v/>
      </c>
      <c r="D176" s="3"/>
      <c r="E176" s="3"/>
      <c r="F176" s="6"/>
      <c r="G176" s="3"/>
      <c r="H176" s="3"/>
      <c r="I176" s="3" t="str">
        <f>IF(F176="","لم يقيم",IF(F176&gt;=Setup!B7,"كفء","غير كفء - إعادة تدريب"))</f>
        <v>لم يقيم</v>
      </c>
      <c r="J176" s="3"/>
      <c r="K176" s="3"/>
      <c r="L176" s="3"/>
    </row>
    <row r="177" spans="1:12" x14ac:dyDescent="0.2">
      <c r="A177" s="3"/>
      <c r="B177" s="3" t="str">
        <f>IFERROR(VLOOKUP(A177,Employees!A:L,2,FALSE),"")</f>
        <v/>
      </c>
      <c r="C177" s="3" t="str">
        <f>IFERROR(VLOOKUP(A177,Employees!A:L,3,FALSE),"")</f>
        <v/>
      </c>
      <c r="D177" s="3"/>
      <c r="E177" s="3"/>
      <c r="F177" s="6"/>
      <c r="G177" s="3"/>
      <c r="H177" s="3"/>
      <c r="I177" s="3" t="str">
        <f>IF(F177="","لم يقيم",IF(F177&gt;=Setup!B7,"كفء","غير كفء - إعادة تدريب"))</f>
        <v>لم يقيم</v>
      </c>
      <c r="J177" s="3"/>
      <c r="K177" s="3"/>
      <c r="L177" s="3"/>
    </row>
    <row r="178" spans="1:12" x14ac:dyDescent="0.2">
      <c r="A178" s="3"/>
      <c r="B178" s="3" t="str">
        <f>IFERROR(VLOOKUP(A178,Employees!A:L,2,FALSE),"")</f>
        <v/>
      </c>
      <c r="C178" s="3" t="str">
        <f>IFERROR(VLOOKUP(A178,Employees!A:L,3,FALSE),"")</f>
        <v/>
      </c>
      <c r="D178" s="3"/>
      <c r="E178" s="3"/>
      <c r="F178" s="6"/>
      <c r="G178" s="3"/>
      <c r="H178" s="3"/>
      <c r="I178" s="3" t="str">
        <f>IF(F178="","لم يقيم",IF(F178&gt;=Setup!B7,"كفء","غير كفء - إعادة تدريب"))</f>
        <v>لم يقيم</v>
      </c>
      <c r="J178" s="3"/>
      <c r="K178" s="3"/>
      <c r="L178" s="3"/>
    </row>
    <row r="179" spans="1:12" x14ac:dyDescent="0.2">
      <c r="A179" s="3"/>
      <c r="B179" s="3" t="str">
        <f>IFERROR(VLOOKUP(A179,Employees!A:L,2,FALSE),"")</f>
        <v/>
      </c>
      <c r="C179" s="3" t="str">
        <f>IFERROR(VLOOKUP(A179,Employees!A:L,3,FALSE),"")</f>
        <v/>
      </c>
      <c r="D179" s="3"/>
      <c r="E179" s="3"/>
      <c r="F179" s="6"/>
      <c r="G179" s="3"/>
      <c r="H179" s="3"/>
      <c r="I179" s="3" t="str">
        <f>IF(F179="","لم يقيم",IF(F179&gt;=Setup!B7,"كفء","غير كفء - إعادة تدريب"))</f>
        <v>لم يقيم</v>
      </c>
      <c r="J179" s="3"/>
      <c r="K179" s="3"/>
      <c r="L179" s="3"/>
    </row>
    <row r="180" spans="1:12" x14ac:dyDescent="0.2">
      <c r="A180" s="3"/>
      <c r="B180" s="3" t="str">
        <f>IFERROR(VLOOKUP(A180,Employees!A:L,2,FALSE),"")</f>
        <v/>
      </c>
      <c r="C180" s="3" t="str">
        <f>IFERROR(VLOOKUP(A180,Employees!A:L,3,FALSE),"")</f>
        <v/>
      </c>
      <c r="D180" s="3"/>
      <c r="E180" s="3"/>
      <c r="F180" s="6"/>
      <c r="G180" s="3"/>
      <c r="H180" s="3"/>
      <c r="I180" s="3" t="str">
        <f>IF(F180="","لم يقيم",IF(F180&gt;=Setup!B7,"كفء","غير كفء - إعادة تدريب"))</f>
        <v>لم يقيم</v>
      </c>
      <c r="J180" s="3"/>
      <c r="K180" s="3"/>
      <c r="L180" s="3"/>
    </row>
    <row r="181" spans="1:12" x14ac:dyDescent="0.2">
      <c r="A181" s="3"/>
      <c r="B181" s="3" t="str">
        <f>IFERROR(VLOOKUP(A181,Employees!A:L,2,FALSE),"")</f>
        <v/>
      </c>
      <c r="C181" s="3" t="str">
        <f>IFERROR(VLOOKUP(A181,Employees!A:L,3,FALSE),"")</f>
        <v/>
      </c>
      <c r="D181" s="3"/>
      <c r="E181" s="3"/>
      <c r="F181" s="6"/>
      <c r="G181" s="3"/>
      <c r="H181" s="3"/>
      <c r="I181" s="3" t="str">
        <f>IF(F181="","لم يقيم",IF(F181&gt;=Setup!B7,"كفء","غير كفء - إعادة تدريب"))</f>
        <v>لم يقيم</v>
      </c>
      <c r="J181" s="3"/>
      <c r="K181" s="3"/>
      <c r="L181" s="3"/>
    </row>
    <row r="182" spans="1:12" x14ac:dyDescent="0.2">
      <c r="A182" s="3"/>
      <c r="B182" s="3" t="str">
        <f>IFERROR(VLOOKUP(A182,Employees!A:L,2,FALSE),"")</f>
        <v/>
      </c>
      <c r="C182" s="3" t="str">
        <f>IFERROR(VLOOKUP(A182,Employees!A:L,3,FALSE),"")</f>
        <v/>
      </c>
      <c r="D182" s="3"/>
      <c r="E182" s="3"/>
      <c r="F182" s="6"/>
      <c r="G182" s="3"/>
      <c r="H182" s="3"/>
      <c r="I182" s="3" t="str">
        <f>IF(F182="","لم يقيم",IF(F182&gt;=Setup!B7,"كفء","غير كفء - إعادة تدريب"))</f>
        <v>لم يقيم</v>
      </c>
      <c r="J182" s="3"/>
      <c r="K182" s="3"/>
      <c r="L182" s="3"/>
    </row>
    <row r="183" spans="1:12" x14ac:dyDescent="0.2">
      <c r="A183" s="3"/>
      <c r="B183" s="3" t="str">
        <f>IFERROR(VLOOKUP(A183,Employees!A:L,2,FALSE),"")</f>
        <v/>
      </c>
      <c r="C183" s="3" t="str">
        <f>IFERROR(VLOOKUP(A183,Employees!A:L,3,FALSE),"")</f>
        <v/>
      </c>
      <c r="D183" s="3"/>
      <c r="E183" s="3"/>
      <c r="F183" s="6"/>
      <c r="G183" s="3"/>
      <c r="H183" s="3"/>
      <c r="I183" s="3" t="str">
        <f>IF(F183="","لم يقيم",IF(F183&gt;=Setup!B7,"كفء","غير كفء - إعادة تدريب"))</f>
        <v>لم يقيم</v>
      </c>
      <c r="J183" s="3"/>
      <c r="K183" s="3"/>
      <c r="L183" s="3"/>
    </row>
    <row r="184" spans="1:12" x14ac:dyDescent="0.2">
      <c r="A184" s="3"/>
      <c r="B184" s="3" t="str">
        <f>IFERROR(VLOOKUP(A184,Employees!A:L,2,FALSE),"")</f>
        <v/>
      </c>
      <c r="C184" s="3" t="str">
        <f>IFERROR(VLOOKUP(A184,Employees!A:L,3,FALSE),"")</f>
        <v/>
      </c>
      <c r="D184" s="3"/>
      <c r="E184" s="3"/>
      <c r="F184" s="6"/>
      <c r="G184" s="3"/>
      <c r="H184" s="3"/>
      <c r="I184" s="3" t="str">
        <f>IF(F184="","لم يقيم",IF(F184&gt;=Setup!B7,"كفء","غير كفء - إعادة تدريب"))</f>
        <v>لم يقيم</v>
      </c>
      <c r="J184" s="3"/>
      <c r="K184" s="3"/>
      <c r="L184" s="3"/>
    </row>
    <row r="185" spans="1:12" x14ac:dyDescent="0.2">
      <c r="A185" s="3"/>
      <c r="B185" s="3" t="str">
        <f>IFERROR(VLOOKUP(A185,Employees!A:L,2,FALSE),"")</f>
        <v/>
      </c>
      <c r="C185" s="3" t="str">
        <f>IFERROR(VLOOKUP(A185,Employees!A:L,3,FALSE),"")</f>
        <v/>
      </c>
      <c r="D185" s="3"/>
      <c r="E185" s="3"/>
      <c r="F185" s="6"/>
      <c r="G185" s="3"/>
      <c r="H185" s="3"/>
      <c r="I185" s="3" t="str">
        <f>IF(F185="","لم يقيم",IF(F185&gt;=Setup!B7,"كفء","غير كفء - إعادة تدريب"))</f>
        <v>لم يقيم</v>
      </c>
      <c r="J185" s="3"/>
      <c r="K185" s="3"/>
      <c r="L185" s="3"/>
    </row>
    <row r="186" spans="1:12" x14ac:dyDescent="0.2">
      <c r="A186" s="3"/>
      <c r="B186" s="3" t="str">
        <f>IFERROR(VLOOKUP(A186,Employees!A:L,2,FALSE),"")</f>
        <v/>
      </c>
      <c r="C186" s="3" t="str">
        <f>IFERROR(VLOOKUP(A186,Employees!A:L,3,FALSE),"")</f>
        <v/>
      </c>
      <c r="D186" s="3"/>
      <c r="E186" s="3"/>
      <c r="F186" s="6"/>
      <c r="G186" s="3"/>
      <c r="H186" s="3"/>
      <c r="I186" s="3" t="str">
        <f>IF(F186="","لم يقيم",IF(F186&gt;=Setup!B7,"كفء","غير كفء - إعادة تدريب"))</f>
        <v>لم يقيم</v>
      </c>
      <c r="J186" s="3"/>
      <c r="K186" s="3"/>
      <c r="L186" s="3"/>
    </row>
    <row r="187" spans="1:12" x14ac:dyDescent="0.2">
      <c r="A187" s="3"/>
      <c r="B187" s="3" t="str">
        <f>IFERROR(VLOOKUP(A187,Employees!A:L,2,FALSE),"")</f>
        <v/>
      </c>
      <c r="C187" s="3" t="str">
        <f>IFERROR(VLOOKUP(A187,Employees!A:L,3,FALSE),"")</f>
        <v/>
      </c>
      <c r="D187" s="3"/>
      <c r="E187" s="3"/>
      <c r="F187" s="6"/>
      <c r="G187" s="3"/>
      <c r="H187" s="3"/>
      <c r="I187" s="3" t="str">
        <f>IF(F187="","لم يقيم",IF(F187&gt;=Setup!B7,"كفء","غير كفء - إعادة تدريب"))</f>
        <v>لم يقيم</v>
      </c>
      <c r="J187" s="3"/>
      <c r="K187" s="3"/>
      <c r="L187" s="3"/>
    </row>
    <row r="188" spans="1:12" x14ac:dyDescent="0.2">
      <c r="A188" s="3"/>
      <c r="B188" s="3" t="str">
        <f>IFERROR(VLOOKUP(A188,Employees!A:L,2,FALSE),"")</f>
        <v/>
      </c>
      <c r="C188" s="3" t="str">
        <f>IFERROR(VLOOKUP(A188,Employees!A:L,3,FALSE),"")</f>
        <v/>
      </c>
      <c r="D188" s="3"/>
      <c r="E188" s="3"/>
      <c r="F188" s="6"/>
      <c r="G188" s="3"/>
      <c r="H188" s="3"/>
      <c r="I188" s="3" t="str">
        <f>IF(F188="","لم يقيم",IF(F188&gt;=Setup!B7,"كفء","غير كفء - إعادة تدريب"))</f>
        <v>لم يقيم</v>
      </c>
      <c r="J188" s="3"/>
      <c r="K188" s="3"/>
      <c r="L188" s="3"/>
    </row>
    <row r="189" spans="1:12" x14ac:dyDescent="0.2">
      <c r="A189" s="3"/>
      <c r="B189" s="3" t="str">
        <f>IFERROR(VLOOKUP(A189,Employees!A:L,2,FALSE),"")</f>
        <v/>
      </c>
      <c r="C189" s="3" t="str">
        <f>IFERROR(VLOOKUP(A189,Employees!A:L,3,FALSE),"")</f>
        <v/>
      </c>
      <c r="D189" s="3"/>
      <c r="E189" s="3"/>
      <c r="F189" s="6"/>
      <c r="G189" s="3"/>
      <c r="H189" s="3"/>
      <c r="I189" s="3" t="str">
        <f>IF(F189="","لم يقيم",IF(F189&gt;=Setup!B7,"كفء","غير كفء - إعادة تدريب"))</f>
        <v>لم يقيم</v>
      </c>
      <c r="J189" s="3"/>
      <c r="K189" s="3"/>
      <c r="L189" s="3"/>
    </row>
    <row r="190" spans="1:12" x14ac:dyDescent="0.2">
      <c r="A190" s="3"/>
      <c r="B190" s="3" t="str">
        <f>IFERROR(VLOOKUP(A190,Employees!A:L,2,FALSE),"")</f>
        <v/>
      </c>
      <c r="C190" s="3" t="str">
        <f>IFERROR(VLOOKUP(A190,Employees!A:L,3,FALSE),"")</f>
        <v/>
      </c>
      <c r="D190" s="3"/>
      <c r="E190" s="3"/>
      <c r="F190" s="6"/>
      <c r="G190" s="3"/>
      <c r="H190" s="3"/>
      <c r="I190" s="3" t="str">
        <f>IF(F190="","لم يقيم",IF(F190&gt;=Setup!B7,"كفء","غير كفء - إعادة تدريب"))</f>
        <v>لم يقيم</v>
      </c>
      <c r="J190" s="3"/>
      <c r="K190" s="3"/>
      <c r="L190" s="3"/>
    </row>
    <row r="191" spans="1:12" x14ac:dyDescent="0.2">
      <c r="A191" s="3"/>
      <c r="B191" s="3" t="str">
        <f>IFERROR(VLOOKUP(A191,Employees!A:L,2,FALSE),"")</f>
        <v/>
      </c>
      <c r="C191" s="3" t="str">
        <f>IFERROR(VLOOKUP(A191,Employees!A:L,3,FALSE),"")</f>
        <v/>
      </c>
      <c r="D191" s="3"/>
      <c r="E191" s="3"/>
      <c r="F191" s="6"/>
      <c r="G191" s="3"/>
      <c r="H191" s="3"/>
      <c r="I191" s="3" t="str">
        <f>IF(F191="","لم يقيم",IF(F191&gt;=Setup!B7,"كفء","غير كفء - إعادة تدريب"))</f>
        <v>لم يقيم</v>
      </c>
      <c r="J191" s="3"/>
      <c r="K191" s="3"/>
      <c r="L191" s="3"/>
    </row>
    <row r="192" spans="1:12" x14ac:dyDescent="0.2">
      <c r="A192" s="3"/>
      <c r="B192" s="3" t="str">
        <f>IFERROR(VLOOKUP(A192,Employees!A:L,2,FALSE),"")</f>
        <v/>
      </c>
      <c r="C192" s="3" t="str">
        <f>IFERROR(VLOOKUP(A192,Employees!A:L,3,FALSE),"")</f>
        <v/>
      </c>
      <c r="D192" s="3"/>
      <c r="E192" s="3"/>
      <c r="F192" s="6"/>
      <c r="G192" s="3"/>
      <c r="H192" s="3"/>
      <c r="I192" s="3" t="str">
        <f>IF(F192="","لم يقيم",IF(F192&gt;=Setup!B7,"كفء","غير كفء - إعادة تدريب"))</f>
        <v>لم يقيم</v>
      </c>
      <c r="J192" s="3"/>
      <c r="K192" s="3"/>
      <c r="L192" s="3"/>
    </row>
    <row r="193" spans="1:12" x14ac:dyDescent="0.2">
      <c r="A193" s="3"/>
      <c r="B193" s="3" t="str">
        <f>IFERROR(VLOOKUP(A193,Employees!A:L,2,FALSE),"")</f>
        <v/>
      </c>
      <c r="C193" s="3" t="str">
        <f>IFERROR(VLOOKUP(A193,Employees!A:L,3,FALSE),"")</f>
        <v/>
      </c>
      <c r="D193" s="3"/>
      <c r="E193" s="3"/>
      <c r="F193" s="6"/>
      <c r="G193" s="3"/>
      <c r="H193" s="3"/>
      <c r="I193" s="3" t="str">
        <f>IF(F193="","لم يقيم",IF(F193&gt;=Setup!B7,"كفء","غير كفء - إعادة تدريب"))</f>
        <v>لم يقيم</v>
      </c>
      <c r="J193" s="3"/>
      <c r="K193" s="3"/>
      <c r="L193" s="3"/>
    </row>
    <row r="194" spans="1:12" x14ac:dyDescent="0.2">
      <c r="A194" s="3"/>
      <c r="B194" s="3" t="str">
        <f>IFERROR(VLOOKUP(A194,Employees!A:L,2,FALSE),"")</f>
        <v/>
      </c>
      <c r="C194" s="3" t="str">
        <f>IFERROR(VLOOKUP(A194,Employees!A:L,3,FALSE),"")</f>
        <v/>
      </c>
      <c r="D194" s="3"/>
      <c r="E194" s="3"/>
      <c r="F194" s="6"/>
      <c r="G194" s="3"/>
      <c r="H194" s="3"/>
      <c r="I194" s="3" t="str">
        <f>IF(F194="","لم يقيم",IF(F194&gt;=Setup!B7,"كفء","غير كفء - إعادة تدريب"))</f>
        <v>لم يقيم</v>
      </c>
      <c r="J194" s="3"/>
      <c r="K194" s="3"/>
      <c r="L194" s="3"/>
    </row>
    <row r="195" spans="1:12" x14ac:dyDescent="0.2">
      <c r="A195" s="3"/>
      <c r="B195" s="3" t="str">
        <f>IFERROR(VLOOKUP(A195,Employees!A:L,2,FALSE),"")</f>
        <v/>
      </c>
      <c r="C195" s="3" t="str">
        <f>IFERROR(VLOOKUP(A195,Employees!A:L,3,FALSE),"")</f>
        <v/>
      </c>
      <c r="D195" s="3"/>
      <c r="E195" s="3"/>
      <c r="F195" s="6"/>
      <c r="G195" s="3"/>
      <c r="H195" s="3"/>
      <c r="I195" s="3" t="str">
        <f>IF(F195="","لم يقيم",IF(F195&gt;=Setup!B7,"كفء","غير كفء - إعادة تدريب"))</f>
        <v>لم يقيم</v>
      </c>
      <c r="J195" s="3"/>
      <c r="K195" s="3"/>
      <c r="L195" s="3"/>
    </row>
    <row r="196" spans="1:12" x14ac:dyDescent="0.2">
      <c r="A196" s="3"/>
      <c r="B196" s="3" t="str">
        <f>IFERROR(VLOOKUP(A196,Employees!A:L,2,FALSE),"")</f>
        <v/>
      </c>
      <c r="C196" s="3" t="str">
        <f>IFERROR(VLOOKUP(A196,Employees!A:L,3,FALSE),"")</f>
        <v/>
      </c>
      <c r="D196" s="3"/>
      <c r="E196" s="3"/>
      <c r="F196" s="6"/>
      <c r="G196" s="3"/>
      <c r="H196" s="3"/>
      <c r="I196" s="3" t="str">
        <f>IF(F196="","لم يقيم",IF(F196&gt;=Setup!B7,"كفء","غير كفء - إعادة تدريب"))</f>
        <v>لم يقيم</v>
      </c>
      <c r="J196" s="3"/>
      <c r="K196" s="3"/>
      <c r="L196" s="3"/>
    </row>
    <row r="197" spans="1:12" x14ac:dyDescent="0.2">
      <c r="A197" s="3"/>
      <c r="B197" s="3" t="str">
        <f>IFERROR(VLOOKUP(A197,Employees!A:L,2,FALSE),"")</f>
        <v/>
      </c>
      <c r="C197" s="3" t="str">
        <f>IFERROR(VLOOKUP(A197,Employees!A:L,3,FALSE),"")</f>
        <v/>
      </c>
      <c r="D197" s="3"/>
      <c r="E197" s="3"/>
      <c r="F197" s="6"/>
      <c r="G197" s="3"/>
      <c r="H197" s="3"/>
      <c r="I197" s="3" t="str">
        <f>IF(F197="","لم يقيم",IF(F197&gt;=Setup!B7,"كفء","غير كفء - إعادة تدريب"))</f>
        <v>لم يقيم</v>
      </c>
      <c r="J197" s="3"/>
      <c r="K197" s="3"/>
      <c r="L197" s="3"/>
    </row>
    <row r="198" spans="1:12" x14ac:dyDescent="0.2">
      <c r="A198" s="3"/>
      <c r="B198" s="3" t="str">
        <f>IFERROR(VLOOKUP(A198,Employees!A:L,2,FALSE),"")</f>
        <v/>
      </c>
      <c r="C198" s="3" t="str">
        <f>IFERROR(VLOOKUP(A198,Employees!A:L,3,FALSE),"")</f>
        <v/>
      </c>
      <c r="D198" s="3"/>
      <c r="E198" s="3"/>
      <c r="F198" s="6"/>
      <c r="G198" s="3"/>
      <c r="H198" s="3"/>
      <c r="I198" s="3" t="str">
        <f>IF(F198="","لم يقيم",IF(F198&gt;=Setup!B7,"كفء","غير كفء - إعادة تدريب"))</f>
        <v>لم يقيم</v>
      </c>
      <c r="J198" s="3"/>
      <c r="K198" s="3"/>
      <c r="L198" s="3"/>
    </row>
    <row r="199" spans="1:12" x14ac:dyDescent="0.2">
      <c r="A199" s="3"/>
      <c r="B199" s="3" t="str">
        <f>IFERROR(VLOOKUP(A199,Employees!A:L,2,FALSE),"")</f>
        <v/>
      </c>
      <c r="C199" s="3" t="str">
        <f>IFERROR(VLOOKUP(A199,Employees!A:L,3,FALSE),"")</f>
        <v/>
      </c>
      <c r="D199" s="3"/>
      <c r="E199" s="3"/>
      <c r="F199" s="6"/>
      <c r="G199" s="3"/>
      <c r="H199" s="3"/>
      <c r="I199" s="3" t="str">
        <f>IF(F199="","لم يقيم",IF(F199&gt;=Setup!B7,"كفء","غير كفء - إعادة تدريب"))</f>
        <v>لم يقيم</v>
      </c>
      <c r="J199" s="3"/>
      <c r="K199" s="3"/>
      <c r="L199" s="3"/>
    </row>
    <row r="200" spans="1:12" x14ac:dyDescent="0.2">
      <c r="A200" s="3"/>
      <c r="B200" s="3" t="str">
        <f>IFERROR(VLOOKUP(A200,Employees!A:L,2,FALSE),"")</f>
        <v/>
      </c>
      <c r="C200" s="3" t="str">
        <f>IFERROR(VLOOKUP(A200,Employees!A:L,3,FALSE),"")</f>
        <v/>
      </c>
      <c r="D200" s="3"/>
      <c r="E200" s="3"/>
      <c r="F200" s="6"/>
      <c r="G200" s="3"/>
      <c r="H200" s="3"/>
      <c r="I200" s="3" t="str">
        <f>IF(F200="","لم يقيم",IF(F200&gt;=Setup!B7,"كفء","غير كفء - إعادة تدريب"))</f>
        <v>لم يقيم</v>
      </c>
      <c r="J200" s="3"/>
      <c r="K200" s="3"/>
      <c r="L200" s="3"/>
    </row>
    <row r="201" spans="1:12" x14ac:dyDescent="0.2">
      <c r="A201" s="3"/>
      <c r="B201" s="3" t="str">
        <f>IFERROR(VLOOKUP(A201,Employees!A:L,2,FALSE),"")</f>
        <v/>
      </c>
      <c r="C201" s="3" t="str">
        <f>IFERROR(VLOOKUP(A201,Employees!A:L,3,FALSE),"")</f>
        <v/>
      </c>
      <c r="D201" s="3"/>
      <c r="E201" s="3"/>
      <c r="F201" s="6"/>
      <c r="G201" s="3"/>
      <c r="H201" s="3"/>
      <c r="I201" s="3" t="str">
        <f>IF(F201="","لم يقيم",IF(F201&gt;=Setup!B7,"كفء","غير كفء - إعادة تدريب"))</f>
        <v>لم يقيم</v>
      </c>
      <c r="J201" s="3"/>
      <c r="K201" s="3"/>
      <c r="L201" s="3"/>
    </row>
    <row r="202" spans="1:12" x14ac:dyDescent="0.2">
      <c r="A202" s="3"/>
      <c r="B202" s="3" t="str">
        <f>IFERROR(VLOOKUP(A202,Employees!A:L,2,FALSE),"")</f>
        <v/>
      </c>
      <c r="C202" s="3" t="str">
        <f>IFERROR(VLOOKUP(A202,Employees!A:L,3,FALSE),"")</f>
        <v/>
      </c>
      <c r="D202" s="3"/>
      <c r="E202" s="3"/>
      <c r="F202" s="6"/>
      <c r="G202" s="3"/>
      <c r="H202" s="3"/>
      <c r="I202" s="3" t="str">
        <f>IF(F202="","لم يقيم",IF(F202&gt;=Setup!B7,"كفء","غير كفء - إعادة تدريب"))</f>
        <v>لم يقيم</v>
      </c>
      <c r="J202" s="3"/>
      <c r="K202" s="3"/>
      <c r="L202" s="3"/>
    </row>
    <row r="203" spans="1:12" x14ac:dyDescent="0.2">
      <c r="A203" s="3"/>
      <c r="B203" s="3" t="str">
        <f>IFERROR(VLOOKUP(A203,Employees!A:L,2,FALSE),"")</f>
        <v/>
      </c>
      <c r="C203" s="3" t="str">
        <f>IFERROR(VLOOKUP(A203,Employees!A:L,3,FALSE),"")</f>
        <v/>
      </c>
      <c r="D203" s="3"/>
      <c r="E203" s="3"/>
      <c r="F203" s="6"/>
      <c r="G203" s="3"/>
      <c r="H203" s="3"/>
      <c r="I203" s="3" t="str">
        <f>IF(F203="","لم يقيم",IF(F203&gt;=Setup!B7,"كفء","غير كفء - إعادة تدريب"))</f>
        <v>لم يقيم</v>
      </c>
      <c r="J203" s="3"/>
      <c r="K203" s="3"/>
      <c r="L203" s="3"/>
    </row>
  </sheetData>
  <mergeCells count="1">
    <mergeCell ref="A1:L1"/>
  </mergeCells>
  <dataValidations count="1">
    <dataValidation type="list" allowBlank="1" showInputMessage="1" showErrorMessage="1" sqref="I4:I203" xr:uid="{06947F0E-6579-4F8D-8AAB-EC7A60FFEB9C}">
      <formula1>"لم يقيم,كفء,غير كفء - إعادة تدريب"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2DFE-7F95-4C99-9335-D0F644AF9F82}">
  <dimension ref="A1:M1003"/>
  <sheetViews>
    <sheetView rightToLeft="1" workbookViewId="0">
      <pane ySplit="3" topLeftCell="A4" activePane="bottomLeft" state="frozenSplit"/>
      <selection pane="bottomLeft" sqref="A1:M1"/>
    </sheetView>
  </sheetViews>
  <sheetFormatPr defaultRowHeight="12.75" x14ac:dyDescent="0.2"/>
  <cols>
    <col min="1" max="1" width="7.7109375" style="1" bestFit="1" customWidth="1"/>
    <col min="2" max="2" width="12.42578125" style="1" bestFit="1" customWidth="1"/>
    <col min="3" max="3" width="12.28515625" style="1" bestFit="1" customWidth="1"/>
    <col min="4" max="4" width="13.140625" style="1" bestFit="1" customWidth="1"/>
    <col min="5" max="5" width="13.28515625" style="1" bestFit="1" customWidth="1"/>
    <col min="6" max="6" width="10.28515625" style="1" bestFit="1" customWidth="1"/>
    <col min="7" max="7" width="10.5703125" style="1" bestFit="1" customWidth="1"/>
    <col min="8" max="8" width="14.85546875" style="1" bestFit="1" customWidth="1"/>
    <col min="9" max="9" width="9.85546875" style="1" bestFit="1" customWidth="1"/>
    <col min="10" max="10" width="12.7109375" style="1" bestFit="1" customWidth="1"/>
    <col min="11" max="11" width="13.42578125" style="1" bestFit="1" customWidth="1"/>
    <col min="12" max="12" width="14.85546875" style="1" bestFit="1" customWidth="1"/>
    <col min="13" max="13" width="17.28515625" style="1" bestFit="1" customWidth="1"/>
    <col min="14" max="16384" width="9.140625" style="1"/>
  </cols>
  <sheetData>
    <row r="1" spans="1:13" x14ac:dyDescent="0.2">
      <c r="A1" s="2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">
      <c r="A3" s="4" t="s">
        <v>257</v>
      </c>
      <c r="B3" s="4" t="s">
        <v>247</v>
      </c>
      <c r="C3" s="4" t="s">
        <v>146</v>
      </c>
      <c r="D3" s="4" t="s">
        <v>86</v>
      </c>
      <c r="E3" s="4" t="s">
        <v>259</v>
      </c>
      <c r="F3" s="4" t="s">
        <v>266</v>
      </c>
      <c r="G3" s="4" t="s">
        <v>267</v>
      </c>
      <c r="H3" s="4" t="s">
        <v>268</v>
      </c>
      <c r="I3" s="4" t="s">
        <v>269</v>
      </c>
      <c r="J3" s="4" t="s">
        <v>270</v>
      </c>
      <c r="K3" s="4" t="s">
        <v>271</v>
      </c>
      <c r="L3" s="4" t="s">
        <v>272</v>
      </c>
      <c r="M3" s="4" t="s">
        <v>273</v>
      </c>
    </row>
    <row r="4" spans="1:13" x14ac:dyDescent="0.2">
      <c r="A4" s="3">
        <v>1</v>
      </c>
      <c r="B4" s="3"/>
      <c r="C4" s="3" t="str">
        <f>IFERROR(VLOOKUP(B4,Sessions!A:J,2,FALSE),"")</f>
        <v/>
      </c>
      <c r="D4" s="3"/>
      <c r="E4" s="3" t="str">
        <f>IFERROR(VLOOKUP(D4,Employees!A:L,2,FALSE),"")</f>
        <v/>
      </c>
      <c r="F4" s="6"/>
      <c r="G4" s="6"/>
      <c r="H4" s="6" t="str">
        <f>IF(G4="","",G4)</f>
        <v/>
      </c>
      <c r="I4" s="3" t="str">
        <f>IF(H4="","",IF(H4&gt;=Setup!B7,"ناجح","إعادة تدريب"))</f>
        <v/>
      </c>
      <c r="J4" s="3"/>
      <c r="K4" s="3"/>
      <c r="L4" s="3"/>
      <c r="M4" s="3"/>
    </row>
    <row r="5" spans="1:13" x14ac:dyDescent="0.2">
      <c r="A5" s="3">
        <v>2</v>
      </c>
      <c r="B5" s="3"/>
      <c r="C5" s="3" t="str">
        <f>IFERROR(VLOOKUP(B5,Sessions!A:J,2,FALSE),"")</f>
        <v/>
      </c>
      <c r="D5" s="3"/>
      <c r="E5" s="3" t="str">
        <f>IFERROR(VLOOKUP(D5,Employees!A:L,2,FALSE),"")</f>
        <v/>
      </c>
      <c r="F5" s="6"/>
      <c r="G5" s="6"/>
      <c r="H5" s="6" t="str">
        <f>IF(G5="","",G5)</f>
        <v/>
      </c>
      <c r="I5" s="3" t="str">
        <f>IF(H5="","",IF(H5&gt;=Setup!B7,"ناجح","إعادة تدريب"))</f>
        <v/>
      </c>
      <c r="J5" s="3"/>
      <c r="K5" s="3"/>
      <c r="L5" s="3"/>
      <c r="M5" s="3"/>
    </row>
    <row r="6" spans="1:13" x14ac:dyDescent="0.2">
      <c r="A6" s="3">
        <v>3</v>
      </c>
      <c r="B6" s="3"/>
      <c r="C6" s="3" t="str">
        <f>IFERROR(VLOOKUP(B6,Sessions!A:J,2,FALSE),"")</f>
        <v/>
      </c>
      <c r="D6" s="3"/>
      <c r="E6" s="3" t="str">
        <f>IFERROR(VLOOKUP(D6,Employees!A:L,2,FALSE),"")</f>
        <v/>
      </c>
      <c r="F6" s="6"/>
      <c r="G6" s="6"/>
      <c r="H6" s="6" t="str">
        <f>IF(G6="","",G6)</f>
        <v/>
      </c>
      <c r="I6" s="3" t="str">
        <f>IF(H6="","",IF(H6&gt;=Setup!B7,"ناجح","إعادة تدريب"))</f>
        <v/>
      </c>
      <c r="J6" s="3"/>
      <c r="K6" s="3"/>
      <c r="L6" s="3"/>
      <c r="M6" s="3"/>
    </row>
    <row r="7" spans="1:13" x14ac:dyDescent="0.2">
      <c r="A7" s="3">
        <v>4</v>
      </c>
      <c r="B7" s="3"/>
      <c r="C7" s="3" t="str">
        <f>IFERROR(VLOOKUP(B7,Sessions!A:J,2,FALSE),"")</f>
        <v/>
      </c>
      <c r="D7" s="3"/>
      <c r="E7" s="3" t="str">
        <f>IFERROR(VLOOKUP(D7,Employees!A:L,2,FALSE),"")</f>
        <v/>
      </c>
      <c r="F7" s="6"/>
      <c r="G7" s="6"/>
      <c r="H7" s="6" t="str">
        <f>IF(G7="","",G7)</f>
        <v/>
      </c>
      <c r="I7" s="3" t="str">
        <f>IF(H7="","",IF(H7&gt;=Setup!B7,"ناجح","إعادة تدريب"))</f>
        <v/>
      </c>
      <c r="J7" s="3"/>
      <c r="K7" s="3"/>
      <c r="L7" s="3"/>
      <c r="M7" s="3"/>
    </row>
    <row r="8" spans="1:13" x14ac:dyDescent="0.2">
      <c r="A8" s="3">
        <v>5</v>
      </c>
      <c r="B8" s="3"/>
      <c r="C8" s="3" t="str">
        <f>IFERROR(VLOOKUP(B8,Sessions!A:J,2,FALSE),"")</f>
        <v/>
      </c>
      <c r="D8" s="3"/>
      <c r="E8" s="3" t="str">
        <f>IFERROR(VLOOKUP(D8,Employees!A:L,2,FALSE),"")</f>
        <v/>
      </c>
      <c r="F8" s="6"/>
      <c r="G8" s="6"/>
      <c r="H8" s="6" t="str">
        <f>IF(G8="","",G8)</f>
        <v/>
      </c>
      <c r="I8" s="3" t="str">
        <f>IF(H8="","",IF(H8&gt;=Setup!B7,"ناجح","إعادة تدريب"))</f>
        <v/>
      </c>
      <c r="J8" s="3"/>
      <c r="K8" s="3"/>
      <c r="L8" s="3"/>
      <c r="M8" s="3"/>
    </row>
    <row r="9" spans="1:13" x14ac:dyDescent="0.2">
      <c r="A9" s="3">
        <v>6</v>
      </c>
      <c r="B9" s="3"/>
      <c r="C9" s="3" t="str">
        <f>IFERROR(VLOOKUP(B9,Sessions!A:J,2,FALSE),"")</f>
        <v/>
      </c>
      <c r="D9" s="3"/>
      <c r="E9" s="3" t="str">
        <f>IFERROR(VLOOKUP(D9,Employees!A:L,2,FALSE),"")</f>
        <v/>
      </c>
      <c r="F9" s="6"/>
      <c r="G9" s="6"/>
      <c r="H9" s="6" t="str">
        <f>IF(G9="","",G9)</f>
        <v/>
      </c>
      <c r="I9" s="3" t="str">
        <f>IF(H9="","",IF(H9&gt;=Setup!B7,"ناجح","إعادة تدريب"))</f>
        <v/>
      </c>
      <c r="J9" s="3"/>
      <c r="K9" s="3"/>
      <c r="L9" s="3"/>
      <c r="M9" s="3"/>
    </row>
    <row r="10" spans="1:13" x14ac:dyDescent="0.2">
      <c r="A10" s="3">
        <v>7</v>
      </c>
      <c r="B10" s="3"/>
      <c r="C10" s="3" t="str">
        <f>IFERROR(VLOOKUP(B10,Sessions!A:J,2,FALSE),"")</f>
        <v/>
      </c>
      <c r="D10" s="3"/>
      <c r="E10" s="3" t="str">
        <f>IFERROR(VLOOKUP(D10,Employees!A:L,2,FALSE),"")</f>
        <v/>
      </c>
      <c r="F10" s="6"/>
      <c r="G10" s="6"/>
      <c r="H10" s="6" t="str">
        <f>IF(G10="","",G10)</f>
        <v/>
      </c>
      <c r="I10" s="3" t="str">
        <f>IF(H10="","",IF(H10&gt;=Setup!B7,"ناجح","إعادة تدريب"))</f>
        <v/>
      </c>
      <c r="J10" s="3"/>
      <c r="K10" s="3"/>
      <c r="L10" s="3"/>
      <c r="M10" s="3"/>
    </row>
    <row r="11" spans="1:13" x14ac:dyDescent="0.2">
      <c r="A11" s="3">
        <v>8</v>
      </c>
      <c r="B11" s="3"/>
      <c r="C11" s="3" t="str">
        <f>IFERROR(VLOOKUP(B11,Sessions!A:J,2,FALSE),"")</f>
        <v/>
      </c>
      <c r="D11" s="3"/>
      <c r="E11" s="3" t="str">
        <f>IFERROR(VLOOKUP(D11,Employees!A:L,2,FALSE),"")</f>
        <v/>
      </c>
      <c r="F11" s="6"/>
      <c r="G11" s="6"/>
      <c r="H11" s="6" t="str">
        <f>IF(G11="","",G11)</f>
        <v/>
      </c>
      <c r="I11" s="3" t="str">
        <f>IF(H11="","",IF(H11&gt;=Setup!B7,"ناجح","إعادة تدريب"))</f>
        <v/>
      </c>
      <c r="J11" s="3"/>
      <c r="K11" s="3"/>
      <c r="L11" s="3"/>
      <c r="M11" s="3"/>
    </row>
    <row r="12" spans="1:13" x14ac:dyDescent="0.2">
      <c r="A12" s="3">
        <v>9</v>
      </c>
      <c r="B12" s="3"/>
      <c r="C12" s="3" t="str">
        <f>IFERROR(VLOOKUP(B12,Sessions!A:J,2,FALSE),"")</f>
        <v/>
      </c>
      <c r="D12" s="3"/>
      <c r="E12" s="3" t="str">
        <f>IFERROR(VLOOKUP(D12,Employees!A:L,2,FALSE),"")</f>
        <v/>
      </c>
      <c r="F12" s="6"/>
      <c r="G12" s="6"/>
      <c r="H12" s="6" t="str">
        <f>IF(G12="","",G12)</f>
        <v/>
      </c>
      <c r="I12" s="3" t="str">
        <f>IF(H12="","",IF(H12&gt;=Setup!B7,"ناجح","إعادة تدريب"))</f>
        <v/>
      </c>
      <c r="J12" s="3"/>
      <c r="K12" s="3"/>
      <c r="L12" s="3"/>
      <c r="M12" s="3"/>
    </row>
    <row r="13" spans="1:13" x14ac:dyDescent="0.2">
      <c r="A13" s="3">
        <v>10</v>
      </c>
      <c r="B13" s="3"/>
      <c r="C13" s="3" t="str">
        <f>IFERROR(VLOOKUP(B13,Sessions!A:J,2,FALSE),"")</f>
        <v/>
      </c>
      <c r="D13" s="3"/>
      <c r="E13" s="3" t="str">
        <f>IFERROR(VLOOKUP(D13,Employees!A:L,2,FALSE),"")</f>
        <v/>
      </c>
      <c r="F13" s="6"/>
      <c r="G13" s="6"/>
      <c r="H13" s="6" t="str">
        <f>IF(G13="","",G13)</f>
        <v/>
      </c>
      <c r="I13" s="3" t="str">
        <f>IF(H13="","",IF(H13&gt;=Setup!B7,"ناجح","إعادة تدريب"))</f>
        <v/>
      </c>
      <c r="J13" s="3"/>
      <c r="K13" s="3"/>
      <c r="L13" s="3"/>
      <c r="M13" s="3"/>
    </row>
    <row r="14" spans="1:13" x14ac:dyDescent="0.2">
      <c r="A14" s="3">
        <v>11</v>
      </c>
      <c r="B14" s="3"/>
      <c r="C14" s="3" t="str">
        <f>IFERROR(VLOOKUP(B14,Sessions!A:J,2,FALSE),"")</f>
        <v/>
      </c>
      <c r="D14" s="3"/>
      <c r="E14" s="3" t="str">
        <f>IFERROR(VLOOKUP(D14,Employees!A:L,2,FALSE),"")</f>
        <v/>
      </c>
      <c r="F14" s="6"/>
      <c r="G14" s="6"/>
      <c r="H14" s="6" t="str">
        <f>IF(G14="","",G14)</f>
        <v/>
      </c>
      <c r="I14" s="3" t="str">
        <f>IF(H14="","",IF(H14&gt;=Setup!B7,"ناجح","إعادة تدريب"))</f>
        <v/>
      </c>
      <c r="J14" s="3"/>
      <c r="K14" s="3"/>
      <c r="L14" s="3"/>
      <c r="M14" s="3"/>
    </row>
    <row r="15" spans="1:13" x14ac:dyDescent="0.2">
      <c r="A15" s="3">
        <v>12</v>
      </c>
      <c r="B15" s="3"/>
      <c r="C15" s="3" t="str">
        <f>IFERROR(VLOOKUP(B15,Sessions!A:J,2,FALSE),"")</f>
        <v/>
      </c>
      <c r="D15" s="3"/>
      <c r="E15" s="3" t="str">
        <f>IFERROR(VLOOKUP(D15,Employees!A:L,2,FALSE),"")</f>
        <v/>
      </c>
      <c r="F15" s="6"/>
      <c r="G15" s="6"/>
      <c r="H15" s="6" t="str">
        <f>IF(G15="","",G15)</f>
        <v/>
      </c>
      <c r="I15" s="3" t="str">
        <f>IF(H15="","",IF(H15&gt;=Setup!B7,"ناجح","إعادة تدريب"))</f>
        <v/>
      </c>
      <c r="J15" s="3"/>
      <c r="K15" s="3"/>
      <c r="L15" s="3"/>
      <c r="M15" s="3"/>
    </row>
    <row r="16" spans="1:13" x14ac:dyDescent="0.2">
      <c r="A16" s="3">
        <v>13</v>
      </c>
      <c r="B16" s="3"/>
      <c r="C16" s="3" t="str">
        <f>IFERROR(VLOOKUP(B16,Sessions!A:J,2,FALSE),"")</f>
        <v/>
      </c>
      <c r="D16" s="3"/>
      <c r="E16" s="3" t="str">
        <f>IFERROR(VLOOKUP(D16,Employees!A:L,2,FALSE),"")</f>
        <v/>
      </c>
      <c r="F16" s="6"/>
      <c r="G16" s="6"/>
      <c r="H16" s="6" t="str">
        <f>IF(G16="","",G16)</f>
        <v/>
      </c>
      <c r="I16" s="3" t="str">
        <f>IF(H16="","",IF(H16&gt;=Setup!B7,"ناجح","إعادة تدريب"))</f>
        <v/>
      </c>
      <c r="J16" s="3"/>
      <c r="K16" s="3"/>
      <c r="L16" s="3"/>
      <c r="M16" s="3"/>
    </row>
    <row r="17" spans="1:13" x14ac:dyDescent="0.2">
      <c r="A17" s="3">
        <v>14</v>
      </c>
      <c r="B17" s="3"/>
      <c r="C17" s="3" t="str">
        <f>IFERROR(VLOOKUP(B17,Sessions!A:J,2,FALSE),"")</f>
        <v/>
      </c>
      <c r="D17" s="3"/>
      <c r="E17" s="3" t="str">
        <f>IFERROR(VLOOKUP(D17,Employees!A:L,2,FALSE),"")</f>
        <v/>
      </c>
      <c r="F17" s="6"/>
      <c r="G17" s="6"/>
      <c r="H17" s="6" t="str">
        <f>IF(G17="","",G17)</f>
        <v/>
      </c>
      <c r="I17" s="3" t="str">
        <f>IF(H17="","",IF(H17&gt;=Setup!B7,"ناجح","إعادة تدريب"))</f>
        <v/>
      </c>
      <c r="J17" s="3"/>
      <c r="K17" s="3"/>
      <c r="L17" s="3"/>
      <c r="M17" s="3"/>
    </row>
    <row r="18" spans="1:13" x14ac:dyDescent="0.2">
      <c r="A18" s="3">
        <v>15</v>
      </c>
      <c r="B18" s="3"/>
      <c r="C18" s="3" t="str">
        <f>IFERROR(VLOOKUP(B18,Sessions!A:J,2,FALSE),"")</f>
        <v/>
      </c>
      <c r="D18" s="3"/>
      <c r="E18" s="3" t="str">
        <f>IFERROR(VLOOKUP(D18,Employees!A:L,2,FALSE),"")</f>
        <v/>
      </c>
      <c r="F18" s="6"/>
      <c r="G18" s="6"/>
      <c r="H18" s="6" t="str">
        <f>IF(G18="","",G18)</f>
        <v/>
      </c>
      <c r="I18" s="3" t="str">
        <f>IF(H18="","",IF(H18&gt;=Setup!B7,"ناجح","إعادة تدريب"))</f>
        <v/>
      </c>
      <c r="J18" s="3"/>
      <c r="K18" s="3"/>
      <c r="L18" s="3"/>
      <c r="M18" s="3"/>
    </row>
    <row r="19" spans="1:13" x14ac:dyDescent="0.2">
      <c r="A19" s="3">
        <v>16</v>
      </c>
      <c r="B19" s="3"/>
      <c r="C19" s="3" t="str">
        <f>IFERROR(VLOOKUP(B19,Sessions!A:J,2,FALSE),"")</f>
        <v/>
      </c>
      <c r="D19" s="3"/>
      <c r="E19" s="3" t="str">
        <f>IFERROR(VLOOKUP(D19,Employees!A:L,2,FALSE),"")</f>
        <v/>
      </c>
      <c r="F19" s="6"/>
      <c r="G19" s="6"/>
      <c r="H19" s="6" t="str">
        <f>IF(G19="","",G19)</f>
        <v/>
      </c>
      <c r="I19" s="3" t="str">
        <f>IF(H19="","",IF(H19&gt;=Setup!B7,"ناجح","إعادة تدريب"))</f>
        <v/>
      </c>
      <c r="J19" s="3"/>
      <c r="K19" s="3"/>
      <c r="L19" s="3"/>
      <c r="M19" s="3"/>
    </row>
    <row r="20" spans="1:13" x14ac:dyDescent="0.2">
      <c r="A20" s="3">
        <v>17</v>
      </c>
      <c r="B20" s="3"/>
      <c r="C20" s="3" t="str">
        <f>IFERROR(VLOOKUP(B20,Sessions!A:J,2,FALSE),"")</f>
        <v/>
      </c>
      <c r="D20" s="3"/>
      <c r="E20" s="3" t="str">
        <f>IFERROR(VLOOKUP(D20,Employees!A:L,2,FALSE),"")</f>
        <v/>
      </c>
      <c r="F20" s="6"/>
      <c r="G20" s="6"/>
      <c r="H20" s="6" t="str">
        <f>IF(G20="","",G20)</f>
        <v/>
      </c>
      <c r="I20" s="3" t="str">
        <f>IF(H20="","",IF(H20&gt;=Setup!B7,"ناجح","إعادة تدريب"))</f>
        <v/>
      </c>
      <c r="J20" s="3"/>
      <c r="K20" s="3"/>
      <c r="L20" s="3"/>
      <c r="M20" s="3"/>
    </row>
    <row r="21" spans="1:13" x14ac:dyDescent="0.2">
      <c r="A21" s="3">
        <v>18</v>
      </c>
      <c r="B21" s="3"/>
      <c r="C21" s="3" t="str">
        <f>IFERROR(VLOOKUP(B21,Sessions!A:J,2,FALSE),"")</f>
        <v/>
      </c>
      <c r="D21" s="3"/>
      <c r="E21" s="3" t="str">
        <f>IFERROR(VLOOKUP(D21,Employees!A:L,2,FALSE),"")</f>
        <v/>
      </c>
      <c r="F21" s="6"/>
      <c r="G21" s="6"/>
      <c r="H21" s="6" t="str">
        <f>IF(G21="","",G21)</f>
        <v/>
      </c>
      <c r="I21" s="3" t="str">
        <f>IF(H21="","",IF(H21&gt;=Setup!B7,"ناجح","إعادة تدريب"))</f>
        <v/>
      </c>
      <c r="J21" s="3"/>
      <c r="K21" s="3"/>
      <c r="L21" s="3"/>
      <c r="M21" s="3"/>
    </row>
    <row r="22" spans="1:13" x14ac:dyDescent="0.2">
      <c r="A22" s="3">
        <v>19</v>
      </c>
      <c r="B22" s="3"/>
      <c r="C22" s="3" t="str">
        <f>IFERROR(VLOOKUP(B22,Sessions!A:J,2,FALSE),"")</f>
        <v/>
      </c>
      <c r="D22" s="3"/>
      <c r="E22" s="3" t="str">
        <f>IFERROR(VLOOKUP(D22,Employees!A:L,2,FALSE),"")</f>
        <v/>
      </c>
      <c r="F22" s="6"/>
      <c r="G22" s="6"/>
      <c r="H22" s="6" t="str">
        <f>IF(G22="","",G22)</f>
        <v/>
      </c>
      <c r="I22" s="3" t="str">
        <f>IF(H22="","",IF(H22&gt;=Setup!B7,"ناجح","إعادة تدريب"))</f>
        <v/>
      </c>
      <c r="J22" s="3"/>
      <c r="K22" s="3"/>
      <c r="L22" s="3"/>
      <c r="M22" s="3"/>
    </row>
    <row r="23" spans="1:13" x14ac:dyDescent="0.2">
      <c r="A23" s="3">
        <v>20</v>
      </c>
      <c r="B23" s="3"/>
      <c r="C23" s="3" t="str">
        <f>IFERROR(VLOOKUP(B23,Sessions!A:J,2,FALSE),"")</f>
        <v/>
      </c>
      <c r="D23" s="3"/>
      <c r="E23" s="3" t="str">
        <f>IFERROR(VLOOKUP(D23,Employees!A:L,2,FALSE),"")</f>
        <v/>
      </c>
      <c r="F23" s="6"/>
      <c r="G23" s="6"/>
      <c r="H23" s="6" t="str">
        <f>IF(G23="","",G23)</f>
        <v/>
      </c>
      <c r="I23" s="3" t="str">
        <f>IF(H23="","",IF(H23&gt;=Setup!B7,"ناجح","إعادة تدريب"))</f>
        <v/>
      </c>
      <c r="J23" s="3"/>
      <c r="K23" s="3"/>
      <c r="L23" s="3"/>
      <c r="M23" s="3"/>
    </row>
    <row r="24" spans="1:13" x14ac:dyDescent="0.2">
      <c r="A24" s="3">
        <v>21</v>
      </c>
      <c r="B24" s="3"/>
      <c r="C24" s="3" t="str">
        <f>IFERROR(VLOOKUP(B24,Sessions!A:J,2,FALSE),"")</f>
        <v/>
      </c>
      <c r="D24" s="3"/>
      <c r="E24" s="3" t="str">
        <f>IFERROR(VLOOKUP(D24,Employees!A:L,2,FALSE),"")</f>
        <v/>
      </c>
      <c r="F24" s="6"/>
      <c r="G24" s="6"/>
      <c r="H24" s="6" t="str">
        <f>IF(G24="","",G24)</f>
        <v/>
      </c>
      <c r="I24" s="3" t="str">
        <f>IF(H24="","",IF(H24&gt;=Setup!B7,"ناجح","إعادة تدريب"))</f>
        <v/>
      </c>
      <c r="J24" s="3"/>
      <c r="K24" s="3"/>
      <c r="L24" s="3"/>
      <c r="M24" s="3"/>
    </row>
    <row r="25" spans="1:13" x14ac:dyDescent="0.2">
      <c r="A25" s="3">
        <v>22</v>
      </c>
      <c r="B25" s="3"/>
      <c r="C25" s="3" t="str">
        <f>IFERROR(VLOOKUP(B25,Sessions!A:J,2,FALSE),"")</f>
        <v/>
      </c>
      <c r="D25" s="3"/>
      <c r="E25" s="3" t="str">
        <f>IFERROR(VLOOKUP(D25,Employees!A:L,2,FALSE),"")</f>
        <v/>
      </c>
      <c r="F25" s="6"/>
      <c r="G25" s="6"/>
      <c r="H25" s="6" t="str">
        <f>IF(G25="","",G25)</f>
        <v/>
      </c>
      <c r="I25" s="3" t="str">
        <f>IF(H25="","",IF(H25&gt;=Setup!B7,"ناجح","إعادة تدريب"))</f>
        <v/>
      </c>
      <c r="J25" s="3"/>
      <c r="K25" s="3"/>
      <c r="L25" s="3"/>
      <c r="M25" s="3"/>
    </row>
    <row r="26" spans="1:13" x14ac:dyDescent="0.2">
      <c r="A26" s="3">
        <v>23</v>
      </c>
      <c r="B26" s="3"/>
      <c r="C26" s="3" t="str">
        <f>IFERROR(VLOOKUP(B26,Sessions!A:J,2,FALSE),"")</f>
        <v/>
      </c>
      <c r="D26" s="3"/>
      <c r="E26" s="3" t="str">
        <f>IFERROR(VLOOKUP(D26,Employees!A:L,2,FALSE),"")</f>
        <v/>
      </c>
      <c r="F26" s="6"/>
      <c r="G26" s="6"/>
      <c r="H26" s="6" t="str">
        <f>IF(G26="","",G26)</f>
        <v/>
      </c>
      <c r="I26" s="3" t="str">
        <f>IF(H26="","",IF(H26&gt;=Setup!B7,"ناجح","إعادة تدريب"))</f>
        <v/>
      </c>
      <c r="J26" s="3"/>
      <c r="K26" s="3"/>
      <c r="L26" s="3"/>
      <c r="M26" s="3"/>
    </row>
    <row r="27" spans="1:13" x14ac:dyDescent="0.2">
      <c r="A27" s="3">
        <v>24</v>
      </c>
      <c r="B27" s="3"/>
      <c r="C27" s="3" t="str">
        <f>IFERROR(VLOOKUP(B27,Sessions!A:J,2,FALSE),"")</f>
        <v/>
      </c>
      <c r="D27" s="3"/>
      <c r="E27" s="3" t="str">
        <f>IFERROR(VLOOKUP(D27,Employees!A:L,2,FALSE),"")</f>
        <v/>
      </c>
      <c r="F27" s="6"/>
      <c r="G27" s="6"/>
      <c r="H27" s="6" t="str">
        <f>IF(G27="","",G27)</f>
        <v/>
      </c>
      <c r="I27" s="3" t="str">
        <f>IF(H27="","",IF(H27&gt;=Setup!B7,"ناجح","إعادة تدريب"))</f>
        <v/>
      </c>
      <c r="J27" s="3"/>
      <c r="K27" s="3"/>
      <c r="L27" s="3"/>
      <c r="M27" s="3"/>
    </row>
    <row r="28" spans="1:13" x14ac:dyDescent="0.2">
      <c r="A28" s="3">
        <v>25</v>
      </c>
      <c r="B28" s="3"/>
      <c r="C28" s="3" t="str">
        <f>IFERROR(VLOOKUP(B28,Sessions!A:J,2,FALSE),"")</f>
        <v/>
      </c>
      <c r="D28" s="3"/>
      <c r="E28" s="3" t="str">
        <f>IFERROR(VLOOKUP(D28,Employees!A:L,2,FALSE),"")</f>
        <v/>
      </c>
      <c r="F28" s="6"/>
      <c r="G28" s="6"/>
      <c r="H28" s="6" t="str">
        <f>IF(G28="","",G28)</f>
        <v/>
      </c>
      <c r="I28" s="3" t="str">
        <f>IF(H28="","",IF(H28&gt;=Setup!B7,"ناجح","إعادة تدريب"))</f>
        <v/>
      </c>
      <c r="J28" s="3"/>
      <c r="K28" s="3"/>
      <c r="L28" s="3"/>
      <c r="M28" s="3"/>
    </row>
    <row r="29" spans="1:13" x14ac:dyDescent="0.2">
      <c r="A29" s="3">
        <v>26</v>
      </c>
      <c r="B29" s="3"/>
      <c r="C29" s="3" t="str">
        <f>IFERROR(VLOOKUP(B29,Sessions!A:J,2,FALSE),"")</f>
        <v/>
      </c>
      <c r="D29" s="3"/>
      <c r="E29" s="3" t="str">
        <f>IFERROR(VLOOKUP(D29,Employees!A:L,2,FALSE),"")</f>
        <v/>
      </c>
      <c r="F29" s="6"/>
      <c r="G29" s="6"/>
      <c r="H29" s="6" t="str">
        <f>IF(G29="","",G29)</f>
        <v/>
      </c>
      <c r="I29" s="3" t="str">
        <f>IF(H29="","",IF(H29&gt;=Setup!B7,"ناجح","إعادة تدريب"))</f>
        <v/>
      </c>
      <c r="J29" s="3"/>
      <c r="K29" s="3"/>
      <c r="L29" s="3"/>
      <c r="M29" s="3"/>
    </row>
    <row r="30" spans="1:13" x14ac:dyDescent="0.2">
      <c r="A30" s="3">
        <v>27</v>
      </c>
      <c r="B30" s="3"/>
      <c r="C30" s="3" t="str">
        <f>IFERROR(VLOOKUP(B30,Sessions!A:J,2,FALSE),"")</f>
        <v/>
      </c>
      <c r="D30" s="3"/>
      <c r="E30" s="3" t="str">
        <f>IFERROR(VLOOKUP(D30,Employees!A:L,2,FALSE),"")</f>
        <v/>
      </c>
      <c r="F30" s="6"/>
      <c r="G30" s="6"/>
      <c r="H30" s="6" t="str">
        <f>IF(G30="","",G30)</f>
        <v/>
      </c>
      <c r="I30" s="3" t="str">
        <f>IF(H30="","",IF(H30&gt;=Setup!B7,"ناجح","إعادة تدريب"))</f>
        <v/>
      </c>
      <c r="J30" s="3"/>
      <c r="K30" s="3"/>
      <c r="L30" s="3"/>
      <c r="M30" s="3"/>
    </row>
    <row r="31" spans="1:13" x14ac:dyDescent="0.2">
      <c r="A31" s="3">
        <v>28</v>
      </c>
      <c r="B31" s="3"/>
      <c r="C31" s="3" t="str">
        <f>IFERROR(VLOOKUP(B31,Sessions!A:J,2,FALSE),"")</f>
        <v/>
      </c>
      <c r="D31" s="3"/>
      <c r="E31" s="3" t="str">
        <f>IFERROR(VLOOKUP(D31,Employees!A:L,2,FALSE),"")</f>
        <v/>
      </c>
      <c r="F31" s="6"/>
      <c r="G31" s="6"/>
      <c r="H31" s="6" t="str">
        <f>IF(G31="","",G31)</f>
        <v/>
      </c>
      <c r="I31" s="3" t="str">
        <f>IF(H31="","",IF(H31&gt;=Setup!B7,"ناجح","إعادة تدريب"))</f>
        <v/>
      </c>
      <c r="J31" s="3"/>
      <c r="K31" s="3"/>
      <c r="L31" s="3"/>
      <c r="M31" s="3"/>
    </row>
    <row r="32" spans="1:13" x14ac:dyDescent="0.2">
      <c r="A32" s="3">
        <v>29</v>
      </c>
      <c r="B32" s="3"/>
      <c r="C32" s="3" t="str">
        <f>IFERROR(VLOOKUP(B32,Sessions!A:J,2,FALSE),"")</f>
        <v/>
      </c>
      <c r="D32" s="3"/>
      <c r="E32" s="3" t="str">
        <f>IFERROR(VLOOKUP(D32,Employees!A:L,2,FALSE),"")</f>
        <v/>
      </c>
      <c r="F32" s="6"/>
      <c r="G32" s="6"/>
      <c r="H32" s="6" t="str">
        <f>IF(G32="","",G32)</f>
        <v/>
      </c>
      <c r="I32" s="3" t="str">
        <f>IF(H32="","",IF(H32&gt;=Setup!B7,"ناجح","إعادة تدريب"))</f>
        <v/>
      </c>
      <c r="J32" s="3"/>
      <c r="K32" s="3"/>
      <c r="L32" s="3"/>
      <c r="M32" s="3"/>
    </row>
    <row r="33" spans="1:13" x14ac:dyDescent="0.2">
      <c r="A33" s="3">
        <v>30</v>
      </c>
      <c r="B33" s="3"/>
      <c r="C33" s="3" t="str">
        <f>IFERROR(VLOOKUP(B33,Sessions!A:J,2,FALSE),"")</f>
        <v/>
      </c>
      <c r="D33" s="3"/>
      <c r="E33" s="3" t="str">
        <f>IFERROR(VLOOKUP(D33,Employees!A:L,2,FALSE),"")</f>
        <v/>
      </c>
      <c r="F33" s="6"/>
      <c r="G33" s="6"/>
      <c r="H33" s="6" t="str">
        <f>IF(G33="","",G33)</f>
        <v/>
      </c>
      <c r="I33" s="3" t="str">
        <f>IF(H33="","",IF(H33&gt;=Setup!B7,"ناجح","إعادة تدريب"))</f>
        <v/>
      </c>
      <c r="J33" s="3"/>
      <c r="K33" s="3"/>
      <c r="L33" s="3"/>
      <c r="M33" s="3"/>
    </row>
    <row r="34" spans="1:13" x14ac:dyDescent="0.2">
      <c r="A34" s="3">
        <v>31</v>
      </c>
      <c r="B34" s="3"/>
      <c r="C34" s="3" t="str">
        <f>IFERROR(VLOOKUP(B34,Sessions!A:J,2,FALSE),"")</f>
        <v/>
      </c>
      <c r="D34" s="3"/>
      <c r="E34" s="3" t="str">
        <f>IFERROR(VLOOKUP(D34,Employees!A:L,2,FALSE),"")</f>
        <v/>
      </c>
      <c r="F34" s="6"/>
      <c r="G34" s="6"/>
      <c r="H34" s="6" t="str">
        <f>IF(G34="","",G34)</f>
        <v/>
      </c>
      <c r="I34" s="3" t="str">
        <f>IF(H34="","",IF(H34&gt;=Setup!B7,"ناجح","إعادة تدريب"))</f>
        <v/>
      </c>
      <c r="J34" s="3"/>
      <c r="K34" s="3"/>
      <c r="L34" s="3"/>
      <c r="M34" s="3"/>
    </row>
    <row r="35" spans="1:13" x14ac:dyDescent="0.2">
      <c r="A35" s="3">
        <v>32</v>
      </c>
      <c r="B35" s="3"/>
      <c r="C35" s="3" t="str">
        <f>IFERROR(VLOOKUP(B35,Sessions!A:J,2,FALSE),"")</f>
        <v/>
      </c>
      <c r="D35" s="3"/>
      <c r="E35" s="3" t="str">
        <f>IFERROR(VLOOKUP(D35,Employees!A:L,2,FALSE),"")</f>
        <v/>
      </c>
      <c r="F35" s="6"/>
      <c r="G35" s="6"/>
      <c r="H35" s="6" t="str">
        <f>IF(G35="","",G35)</f>
        <v/>
      </c>
      <c r="I35" s="3" t="str">
        <f>IF(H35="","",IF(H35&gt;=Setup!B7,"ناجح","إعادة تدريب"))</f>
        <v/>
      </c>
      <c r="J35" s="3"/>
      <c r="K35" s="3"/>
      <c r="L35" s="3"/>
      <c r="M35" s="3"/>
    </row>
    <row r="36" spans="1:13" x14ac:dyDescent="0.2">
      <c r="A36" s="3">
        <v>33</v>
      </c>
      <c r="B36" s="3"/>
      <c r="C36" s="3" t="str">
        <f>IFERROR(VLOOKUP(B36,Sessions!A:J,2,FALSE),"")</f>
        <v/>
      </c>
      <c r="D36" s="3"/>
      <c r="E36" s="3" t="str">
        <f>IFERROR(VLOOKUP(D36,Employees!A:L,2,FALSE),"")</f>
        <v/>
      </c>
      <c r="F36" s="6"/>
      <c r="G36" s="6"/>
      <c r="H36" s="6" t="str">
        <f>IF(G36="","",G36)</f>
        <v/>
      </c>
      <c r="I36" s="3" t="str">
        <f>IF(H36="","",IF(H36&gt;=Setup!B7,"ناجح","إعادة تدريب"))</f>
        <v/>
      </c>
      <c r="J36" s="3"/>
      <c r="K36" s="3"/>
      <c r="L36" s="3"/>
      <c r="M36" s="3"/>
    </row>
    <row r="37" spans="1:13" x14ac:dyDescent="0.2">
      <c r="A37" s="3">
        <v>34</v>
      </c>
      <c r="B37" s="3"/>
      <c r="C37" s="3" t="str">
        <f>IFERROR(VLOOKUP(B37,Sessions!A:J,2,FALSE),"")</f>
        <v/>
      </c>
      <c r="D37" s="3"/>
      <c r="E37" s="3" t="str">
        <f>IFERROR(VLOOKUP(D37,Employees!A:L,2,FALSE),"")</f>
        <v/>
      </c>
      <c r="F37" s="6"/>
      <c r="G37" s="6"/>
      <c r="H37" s="6" t="str">
        <f>IF(G37="","",G37)</f>
        <v/>
      </c>
      <c r="I37" s="3" t="str">
        <f>IF(H37="","",IF(H37&gt;=Setup!B7,"ناجح","إعادة تدريب"))</f>
        <v/>
      </c>
      <c r="J37" s="3"/>
      <c r="K37" s="3"/>
      <c r="L37" s="3"/>
      <c r="M37" s="3"/>
    </row>
    <row r="38" spans="1:13" x14ac:dyDescent="0.2">
      <c r="A38" s="3">
        <v>35</v>
      </c>
      <c r="B38" s="3"/>
      <c r="C38" s="3" t="str">
        <f>IFERROR(VLOOKUP(B38,Sessions!A:J,2,FALSE),"")</f>
        <v/>
      </c>
      <c r="D38" s="3"/>
      <c r="E38" s="3" t="str">
        <f>IFERROR(VLOOKUP(D38,Employees!A:L,2,FALSE),"")</f>
        <v/>
      </c>
      <c r="F38" s="6"/>
      <c r="G38" s="6"/>
      <c r="H38" s="6" t="str">
        <f>IF(G38="","",G38)</f>
        <v/>
      </c>
      <c r="I38" s="3" t="str">
        <f>IF(H38="","",IF(H38&gt;=Setup!B7,"ناجح","إعادة تدريب"))</f>
        <v/>
      </c>
      <c r="J38" s="3"/>
      <c r="K38" s="3"/>
      <c r="L38" s="3"/>
      <c r="M38" s="3"/>
    </row>
    <row r="39" spans="1:13" x14ac:dyDescent="0.2">
      <c r="A39" s="3">
        <v>36</v>
      </c>
      <c r="B39" s="3"/>
      <c r="C39" s="3" t="str">
        <f>IFERROR(VLOOKUP(B39,Sessions!A:J,2,FALSE),"")</f>
        <v/>
      </c>
      <c r="D39" s="3"/>
      <c r="E39" s="3" t="str">
        <f>IFERROR(VLOOKUP(D39,Employees!A:L,2,FALSE),"")</f>
        <v/>
      </c>
      <c r="F39" s="6"/>
      <c r="G39" s="6"/>
      <c r="H39" s="6" t="str">
        <f>IF(G39="","",G39)</f>
        <v/>
      </c>
      <c r="I39" s="3" t="str">
        <f>IF(H39="","",IF(H39&gt;=Setup!B7,"ناجح","إعادة تدريب"))</f>
        <v/>
      </c>
      <c r="J39" s="3"/>
      <c r="K39" s="3"/>
      <c r="L39" s="3"/>
      <c r="M39" s="3"/>
    </row>
    <row r="40" spans="1:13" x14ac:dyDescent="0.2">
      <c r="A40" s="3">
        <v>37</v>
      </c>
      <c r="B40" s="3"/>
      <c r="C40" s="3" t="str">
        <f>IFERROR(VLOOKUP(B40,Sessions!A:J,2,FALSE),"")</f>
        <v/>
      </c>
      <c r="D40" s="3"/>
      <c r="E40" s="3" t="str">
        <f>IFERROR(VLOOKUP(D40,Employees!A:L,2,FALSE),"")</f>
        <v/>
      </c>
      <c r="F40" s="6"/>
      <c r="G40" s="6"/>
      <c r="H40" s="6" t="str">
        <f>IF(G40="","",G40)</f>
        <v/>
      </c>
      <c r="I40" s="3" t="str">
        <f>IF(H40="","",IF(H40&gt;=Setup!B7,"ناجح","إعادة تدريب"))</f>
        <v/>
      </c>
      <c r="J40" s="3"/>
      <c r="K40" s="3"/>
      <c r="L40" s="3"/>
      <c r="M40" s="3"/>
    </row>
    <row r="41" spans="1:13" x14ac:dyDescent="0.2">
      <c r="A41" s="3">
        <v>38</v>
      </c>
      <c r="B41" s="3"/>
      <c r="C41" s="3" t="str">
        <f>IFERROR(VLOOKUP(B41,Sessions!A:J,2,FALSE),"")</f>
        <v/>
      </c>
      <c r="D41" s="3"/>
      <c r="E41" s="3" t="str">
        <f>IFERROR(VLOOKUP(D41,Employees!A:L,2,FALSE),"")</f>
        <v/>
      </c>
      <c r="F41" s="6"/>
      <c r="G41" s="6"/>
      <c r="H41" s="6" t="str">
        <f>IF(G41="","",G41)</f>
        <v/>
      </c>
      <c r="I41" s="3" t="str">
        <f>IF(H41="","",IF(H41&gt;=Setup!B7,"ناجح","إعادة تدريب"))</f>
        <v/>
      </c>
      <c r="J41" s="3"/>
      <c r="K41" s="3"/>
      <c r="L41" s="3"/>
      <c r="M41" s="3"/>
    </row>
    <row r="42" spans="1:13" x14ac:dyDescent="0.2">
      <c r="A42" s="3">
        <v>39</v>
      </c>
      <c r="B42" s="3"/>
      <c r="C42" s="3" t="str">
        <f>IFERROR(VLOOKUP(B42,Sessions!A:J,2,FALSE),"")</f>
        <v/>
      </c>
      <c r="D42" s="3"/>
      <c r="E42" s="3" t="str">
        <f>IFERROR(VLOOKUP(D42,Employees!A:L,2,FALSE),"")</f>
        <v/>
      </c>
      <c r="F42" s="6"/>
      <c r="G42" s="6"/>
      <c r="H42" s="6" t="str">
        <f>IF(G42="","",G42)</f>
        <v/>
      </c>
      <c r="I42" s="3" t="str">
        <f>IF(H42="","",IF(H42&gt;=Setup!B7,"ناجح","إعادة تدريب"))</f>
        <v/>
      </c>
      <c r="J42" s="3"/>
      <c r="K42" s="3"/>
      <c r="L42" s="3"/>
      <c r="M42" s="3"/>
    </row>
    <row r="43" spans="1:13" x14ac:dyDescent="0.2">
      <c r="A43" s="3">
        <v>40</v>
      </c>
      <c r="B43" s="3"/>
      <c r="C43" s="3" t="str">
        <f>IFERROR(VLOOKUP(B43,Sessions!A:J,2,FALSE),"")</f>
        <v/>
      </c>
      <c r="D43" s="3"/>
      <c r="E43" s="3" t="str">
        <f>IFERROR(VLOOKUP(D43,Employees!A:L,2,FALSE),"")</f>
        <v/>
      </c>
      <c r="F43" s="6"/>
      <c r="G43" s="6"/>
      <c r="H43" s="6" t="str">
        <f>IF(G43="","",G43)</f>
        <v/>
      </c>
      <c r="I43" s="3" t="str">
        <f>IF(H43="","",IF(H43&gt;=Setup!B7,"ناجح","إعادة تدريب"))</f>
        <v/>
      </c>
      <c r="J43" s="3"/>
      <c r="K43" s="3"/>
      <c r="L43" s="3"/>
      <c r="M43" s="3"/>
    </row>
    <row r="44" spans="1:13" x14ac:dyDescent="0.2">
      <c r="A44" s="3">
        <v>41</v>
      </c>
      <c r="B44" s="3"/>
      <c r="C44" s="3" t="str">
        <f>IFERROR(VLOOKUP(B44,Sessions!A:J,2,FALSE),"")</f>
        <v/>
      </c>
      <c r="D44" s="3"/>
      <c r="E44" s="3" t="str">
        <f>IFERROR(VLOOKUP(D44,Employees!A:L,2,FALSE),"")</f>
        <v/>
      </c>
      <c r="F44" s="6"/>
      <c r="G44" s="6"/>
      <c r="H44" s="6" t="str">
        <f>IF(G44="","",G44)</f>
        <v/>
      </c>
      <c r="I44" s="3" t="str">
        <f>IF(H44="","",IF(H44&gt;=Setup!B7,"ناجح","إعادة تدريب"))</f>
        <v/>
      </c>
      <c r="J44" s="3"/>
      <c r="K44" s="3"/>
      <c r="L44" s="3"/>
      <c r="M44" s="3"/>
    </row>
    <row r="45" spans="1:13" x14ac:dyDescent="0.2">
      <c r="A45" s="3">
        <v>42</v>
      </c>
      <c r="B45" s="3"/>
      <c r="C45" s="3" t="str">
        <f>IFERROR(VLOOKUP(B45,Sessions!A:J,2,FALSE),"")</f>
        <v/>
      </c>
      <c r="D45" s="3"/>
      <c r="E45" s="3" t="str">
        <f>IFERROR(VLOOKUP(D45,Employees!A:L,2,FALSE),"")</f>
        <v/>
      </c>
      <c r="F45" s="6"/>
      <c r="G45" s="6"/>
      <c r="H45" s="6" t="str">
        <f>IF(G45="","",G45)</f>
        <v/>
      </c>
      <c r="I45" s="3" t="str">
        <f>IF(H45="","",IF(H45&gt;=Setup!B7,"ناجح","إعادة تدريب"))</f>
        <v/>
      </c>
      <c r="J45" s="3"/>
      <c r="K45" s="3"/>
      <c r="L45" s="3"/>
      <c r="M45" s="3"/>
    </row>
    <row r="46" spans="1:13" x14ac:dyDescent="0.2">
      <c r="A46" s="3">
        <v>43</v>
      </c>
      <c r="B46" s="3"/>
      <c r="C46" s="3" t="str">
        <f>IFERROR(VLOOKUP(B46,Sessions!A:J,2,FALSE),"")</f>
        <v/>
      </c>
      <c r="D46" s="3"/>
      <c r="E46" s="3" t="str">
        <f>IFERROR(VLOOKUP(D46,Employees!A:L,2,FALSE),"")</f>
        <v/>
      </c>
      <c r="F46" s="6"/>
      <c r="G46" s="6"/>
      <c r="H46" s="6" t="str">
        <f>IF(G46="","",G46)</f>
        <v/>
      </c>
      <c r="I46" s="3" t="str">
        <f>IF(H46="","",IF(H46&gt;=Setup!B7,"ناجح","إعادة تدريب"))</f>
        <v/>
      </c>
      <c r="J46" s="3"/>
      <c r="K46" s="3"/>
      <c r="L46" s="3"/>
      <c r="M46" s="3"/>
    </row>
    <row r="47" spans="1:13" x14ac:dyDescent="0.2">
      <c r="A47" s="3">
        <v>44</v>
      </c>
      <c r="B47" s="3"/>
      <c r="C47" s="3" t="str">
        <f>IFERROR(VLOOKUP(B47,Sessions!A:J,2,FALSE),"")</f>
        <v/>
      </c>
      <c r="D47" s="3"/>
      <c r="E47" s="3" t="str">
        <f>IFERROR(VLOOKUP(D47,Employees!A:L,2,FALSE),"")</f>
        <v/>
      </c>
      <c r="F47" s="6"/>
      <c r="G47" s="6"/>
      <c r="H47" s="6" t="str">
        <f>IF(G47="","",G47)</f>
        <v/>
      </c>
      <c r="I47" s="3" t="str">
        <f>IF(H47="","",IF(H47&gt;=Setup!B7,"ناجح","إعادة تدريب"))</f>
        <v/>
      </c>
      <c r="J47" s="3"/>
      <c r="K47" s="3"/>
      <c r="L47" s="3"/>
      <c r="M47" s="3"/>
    </row>
    <row r="48" spans="1:13" x14ac:dyDescent="0.2">
      <c r="A48" s="3">
        <v>45</v>
      </c>
      <c r="B48" s="3"/>
      <c r="C48" s="3" t="str">
        <f>IFERROR(VLOOKUP(B48,Sessions!A:J,2,FALSE),"")</f>
        <v/>
      </c>
      <c r="D48" s="3"/>
      <c r="E48" s="3" t="str">
        <f>IFERROR(VLOOKUP(D48,Employees!A:L,2,FALSE),"")</f>
        <v/>
      </c>
      <c r="F48" s="6"/>
      <c r="G48" s="6"/>
      <c r="H48" s="6" t="str">
        <f>IF(G48="","",G48)</f>
        <v/>
      </c>
      <c r="I48" s="3" t="str">
        <f>IF(H48="","",IF(H48&gt;=Setup!B7,"ناجح","إعادة تدريب"))</f>
        <v/>
      </c>
      <c r="J48" s="3"/>
      <c r="K48" s="3"/>
      <c r="L48" s="3"/>
      <c r="M48" s="3"/>
    </row>
    <row r="49" spans="1:13" x14ac:dyDescent="0.2">
      <c r="A49" s="3">
        <v>46</v>
      </c>
      <c r="B49" s="3"/>
      <c r="C49" s="3" t="str">
        <f>IFERROR(VLOOKUP(B49,Sessions!A:J,2,FALSE),"")</f>
        <v/>
      </c>
      <c r="D49" s="3"/>
      <c r="E49" s="3" t="str">
        <f>IFERROR(VLOOKUP(D49,Employees!A:L,2,FALSE),"")</f>
        <v/>
      </c>
      <c r="F49" s="6"/>
      <c r="G49" s="6"/>
      <c r="H49" s="6" t="str">
        <f>IF(G49="","",G49)</f>
        <v/>
      </c>
      <c r="I49" s="3" t="str">
        <f>IF(H49="","",IF(H49&gt;=Setup!B7,"ناجح","إعادة تدريب"))</f>
        <v/>
      </c>
      <c r="J49" s="3"/>
      <c r="K49" s="3"/>
      <c r="L49" s="3"/>
      <c r="M49" s="3"/>
    </row>
    <row r="50" spans="1:13" x14ac:dyDescent="0.2">
      <c r="A50" s="3">
        <v>47</v>
      </c>
      <c r="B50" s="3"/>
      <c r="C50" s="3" t="str">
        <f>IFERROR(VLOOKUP(B50,Sessions!A:J,2,FALSE),"")</f>
        <v/>
      </c>
      <c r="D50" s="3"/>
      <c r="E50" s="3" t="str">
        <f>IFERROR(VLOOKUP(D50,Employees!A:L,2,FALSE),"")</f>
        <v/>
      </c>
      <c r="F50" s="6"/>
      <c r="G50" s="6"/>
      <c r="H50" s="6" t="str">
        <f>IF(G50="","",G50)</f>
        <v/>
      </c>
      <c r="I50" s="3" t="str">
        <f>IF(H50="","",IF(H50&gt;=Setup!B7,"ناجح","إعادة تدريب"))</f>
        <v/>
      </c>
      <c r="J50" s="3"/>
      <c r="K50" s="3"/>
      <c r="L50" s="3"/>
      <c r="M50" s="3"/>
    </row>
    <row r="51" spans="1:13" x14ac:dyDescent="0.2">
      <c r="A51" s="3">
        <v>48</v>
      </c>
      <c r="B51" s="3"/>
      <c r="C51" s="3" t="str">
        <f>IFERROR(VLOOKUP(B51,Sessions!A:J,2,FALSE),"")</f>
        <v/>
      </c>
      <c r="D51" s="3"/>
      <c r="E51" s="3" t="str">
        <f>IFERROR(VLOOKUP(D51,Employees!A:L,2,FALSE),"")</f>
        <v/>
      </c>
      <c r="F51" s="6"/>
      <c r="G51" s="6"/>
      <c r="H51" s="6" t="str">
        <f>IF(G51="","",G51)</f>
        <v/>
      </c>
      <c r="I51" s="3" t="str">
        <f>IF(H51="","",IF(H51&gt;=Setup!B7,"ناجح","إعادة تدريب"))</f>
        <v/>
      </c>
      <c r="J51" s="3"/>
      <c r="K51" s="3"/>
      <c r="L51" s="3"/>
      <c r="M51" s="3"/>
    </row>
    <row r="52" spans="1:13" x14ac:dyDescent="0.2">
      <c r="A52" s="3">
        <v>49</v>
      </c>
      <c r="B52" s="3"/>
      <c r="C52" s="3" t="str">
        <f>IFERROR(VLOOKUP(B52,Sessions!A:J,2,FALSE),"")</f>
        <v/>
      </c>
      <c r="D52" s="3"/>
      <c r="E52" s="3" t="str">
        <f>IFERROR(VLOOKUP(D52,Employees!A:L,2,FALSE),"")</f>
        <v/>
      </c>
      <c r="F52" s="6"/>
      <c r="G52" s="6"/>
      <c r="H52" s="6" t="str">
        <f>IF(G52="","",G52)</f>
        <v/>
      </c>
      <c r="I52" s="3" t="str">
        <f>IF(H52="","",IF(H52&gt;=Setup!B7,"ناجح","إعادة تدريب"))</f>
        <v/>
      </c>
      <c r="J52" s="3"/>
      <c r="K52" s="3"/>
      <c r="L52" s="3"/>
      <c r="M52" s="3"/>
    </row>
    <row r="53" spans="1:13" x14ac:dyDescent="0.2">
      <c r="A53" s="3">
        <v>50</v>
      </c>
      <c r="B53" s="3"/>
      <c r="C53" s="3" t="str">
        <f>IFERROR(VLOOKUP(B53,Sessions!A:J,2,FALSE),"")</f>
        <v/>
      </c>
      <c r="D53" s="3"/>
      <c r="E53" s="3" t="str">
        <f>IFERROR(VLOOKUP(D53,Employees!A:L,2,FALSE),"")</f>
        <v/>
      </c>
      <c r="F53" s="6"/>
      <c r="G53" s="6"/>
      <c r="H53" s="6" t="str">
        <f>IF(G53="","",G53)</f>
        <v/>
      </c>
      <c r="I53" s="3" t="str">
        <f>IF(H53="","",IF(H53&gt;=Setup!B7,"ناجح","إعادة تدريب"))</f>
        <v/>
      </c>
      <c r="J53" s="3"/>
      <c r="K53" s="3"/>
      <c r="L53" s="3"/>
      <c r="M53" s="3"/>
    </row>
    <row r="54" spans="1:13" x14ac:dyDescent="0.2">
      <c r="A54" s="3">
        <v>51</v>
      </c>
      <c r="B54" s="3"/>
      <c r="C54" s="3" t="str">
        <f>IFERROR(VLOOKUP(B54,Sessions!A:J,2,FALSE),"")</f>
        <v/>
      </c>
      <c r="D54" s="3"/>
      <c r="E54" s="3" t="str">
        <f>IFERROR(VLOOKUP(D54,Employees!A:L,2,FALSE),"")</f>
        <v/>
      </c>
      <c r="F54" s="6"/>
      <c r="G54" s="6"/>
      <c r="H54" s="6" t="str">
        <f>IF(G54="","",G54)</f>
        <v/>
      </c>
      <c r="I54" s="3" t="str">
        <f>IF(H54="","",IF(H54&gt;=Setup!B7,"ناجح","إعادة تدريب"))</f>
        <v/>
      </c>
      <c r="J54" s="3"/>
      <c r="K54" s="3"/>
      <c r="L54" s="3"/>
      <c r="M54" s="3"/>
    </row>
    <row r="55" spans="1:13" x14ac:dyDescent="0.2">
      <c r="A55" s="3">
        <v>52</v>
      </c>
      <c r="B55" s="3"/>
      <c r="C55" s="3" t="str">
        <f>IFERROR(VLOOKUP(B55,Sessions!A:J,2,FALSE),"")</f>
        <v/>
      </c>
      <c r="D55" s="3"/>
      <c r="E55" s="3" t="str">
        <f>IFERROR(VLOOKUP(D55,Employees!A:L,2,FALSE),"")</f>
        <v/>
      </c>
      <c r="F55" s="6"/>
      <c r="G55" s="6"/>
      <c r="H55" s="6" t="str">
        <f>IF(G55="","",G55)</f>
        <v/>
      </c>
      <c r="I55" s="3" t="str">
        <f>IF(H55="","",IF(H55&gt;=Setup!B7,"ناجح","إعادة تدريب"))</f>
        <v/>
      </c>
      <c r="J55" s="3"/>
      <c r="K55" s="3"/>
      <c r="L55" s="3"/>
      <c r="M55" s="3"/>
    </row>
    <row r="56" spans="1:13" x14ac:dyDescent="0.2">
      <c r="A56" s="3">
        <v>53</v>
      </c>
      <c r="B56" s="3"/>
      <c r="C56" s="3" t="str">
        <f>IFERROR(VLOOKUP(B56,Sessions!A:J,2,FALSE),"")</f>
        <v/>
      </c>
      <c r="D56" s="3"/>
      <c r="E56" s="3" t="str">
        <f>IFERROR(VLOOKUP(D56,Employees!A:L,2,FALSE),"")</f>
        <v/>
      </c>
      <c r="F56" s="6"/>
      <c r="G56" s="6"/>
      <c r="H56" s="6" t="str">
        <f>IF(G56="","",G56)</f>
        <v/>
      </c>
      <c r="I56" s="3" t="str">
        <f>IF(H56="","",IF(H56&gt;=Setup!B7,"ناجح","إعادة تدريب"))</f>
        <v/>
      </c>
      <c r="J56" s="3"/>
      <c r="K56" s="3"/>
      <c r="L56" s="3"/>
      <c r="M56" s="3"/>
    </row>
    <row r="57" spans="1:13" x14ac:dyDescent="0.2">
      <c r="A57" s="3">
        <v>54</v>
      </c>
      <c r="B57" s="3"/>
      <c r="C57" s="3" t="str">
        <f>IFERROR(VLOOKUP(B57,Sessions!A:J,2,FALSE),"")</f>
        <v/>
      </c>
      <c r="D57" s="3"/>
      <c r="E57" s="3" t="str">
        <f>IFERROR(VLOOKUP(D57,Employees!A:L,2,FALSE),"")</f>
        <v/>
      </c>
      <c r="F57" s="6"/>
      <c r="G57" s="6"/>
      <c r="H57" s="6" t="str">
        <f>IF(G57="","",G57)</f>
        <v/>
      </c>
      <c r="I57" s="3" t="str">
        <f>IF(H57="","",IF(H57&gt;=Setup!B7,"ناجح","إعادة تدريب"))</f>
        <v/>
      </c>
      <c r="J57" s="3"/>
      <c r="K57" s="3"/>
      <c r="L57" s="3"/>
      <c r="M57" s="3"/>
    </row>
    <row r="58" spans="1:13" x14ac:dyDescent="0.2">
      <c r="A58" s="3">
        <v>55</v>
      </c>
      <c r="B58" s="3"/>
      <c r="C58" s="3" t="str">
        <f>IFERROR(VLOOKUP(B58,Sessions!A:J,2,FALSE),"")</f>
        <v/>
      </c>
      <c r="D58" s="3"/>
      <c r="E58" s="3" t="str">
        <f>IFERROR(VLOOKUP(D58,Employees!A:L,2,FALSE),"")</f>
        <v/>
      </c>
      <c r="F58" s="6"/>
      <c r="G58" s="6"/>
      <c r="H58" s="6" t="str">
        <f>IF(G58="","",G58)</f>
        <v/>
      </c>
      <c r="I58" s="3" t="str">
        <f>IF(H58="","",IF(H58&gt;=Setup!B7,"ناجح","إعادة تدريب"))</f>
        <v/>
      </c>
      <c r="J58" s="3"/>
      <c r="K58" s="3"/>
      <c r="L58" s="3"/>
      <c r="M58" s="3"/>
    </row>
    <row r="59" spans="1:13" x14ac:dyDescent="0.2">
      <c r="A59" s="3">
        <v>56</v>
      </c>
      <c r="B59" s="3"/>
      <c r="C59" s="3" t="str">
        <f>IFERROR(VLOOKUP(B59,Sessions!A:J,2,FALSE),"")</f>
        <v/>
      </c>
      <c r="D59" s="3"/>
      <c r="E59" s="3" t="str">
        <f>IFERROR(VLOOKUP(D59,Employees!A:L,2,FALSE),"")</f>
        <v/>
      </c>
      <c r="F59" s="6"/>
      <c r="G59" s="6"/>
      <c r="H59" s="6" t="str">
        <f>IF(G59="","",G59)</f>
        <v/>
      </c>
      <c r="I59" s="3" t="str">
        <f>IF(H59="","",IF(H59&gt;=Setup!B7,"ناجح","إعادة تدريب"))</f>
        <v/>
      </c>
      <c r="J59" s="3"/>
      <c r="K59" s="3"/>
      <c r="L59" s="3"/>
      <c r="M59" s="3"/>
    </row>
    <row r="60" spans="1:13" x14ac:dyDescent="0.2">
      <c r="A60" s="3">
        <v>57</v>
      </c>
      <c r="B60" s="3"/>
      <c r="C60" s="3" t="str">
        <f>IFERROR(VLOOKUP(B60,Sessions!A:J,2,FALSE),"")</f>
        <v/>
      </c>
      <c r="D60" s="3"/>
      <c r="E60" s="3" t="str">
        <f>IFERROR(VLOOKUP(D60,Employees!A:L,2,FALSE),"")</f>
        <v/>
      </c>
      <c r="F60" s="6"/>
      <c r="G60" s="6"/>
      <c r="H60" s="6" t="str">
        <f>IF(G60="","",G60)</f>
        <v/>
      </c>
      <c r="I60" s="3" t="str">
        <f>IF(H60="","",IF(H60&gt;=Setup!B7,"ناجح","إعادة تدريب"))</f>
        <v/>
      </c>
      <c r="J60" s="3"/>
      <c r="K60" s="3"/>
      <c r="L60" s="3"/>
      <c r="M60" s="3"/>
    </row>
    <row r="61" spans="1:13" x14ac:dyDescent="0.2">
      <c r="A61" s="3">
        <v>58</v>
      </c>
      <c r="B61" s="3"/>
      <c r="C61" s="3" t="str">
        <f>IFERROR(VLOOKUP(B61,Sessions!A:J,2,FALSE),"")</f>
        <v/>
      </c>
      <c r="D61" s="3"/>
      <c r="E61" s="3" t="str">
        <f>IFERROR(VLOOKUP(D61,Employees!A:L,2,FALSE),"")</f>
        <v/>
      </c>
      <c r="F61" s="6"/>
      <c r="G61" s="6"/>
      <c r="H61" s="6" t="str">
        <f>IF(G61="","",G61)</f>
        <v/>
      </c>
      <c r="I61" s="3" t="str">
        <f>IF(H61="","",IF(H61&gt;=Setup!B7,"ناجح","إعادة تدريب"))</f>
        <v/>
      </c>
      <c r="J61" s="3"/>
      <c r="K61" s="3"/>
      <c r="L61" s="3"/>
      <c r="M61" s="3"/>
    </row>
    <row r="62" spans="1:13" x14ac:dyDescent="0.2">
      <c r="A62" s="3">
        <v>59</v>
      </c>
      <c r="B62" s="3"/>
      <c r="C62" s="3" t="str">
        <f>IFERROR(VLOOKUP(B62,Sessions!A:J,2,FALSE),"")</f>
        <v/>
      </c>
      <c r="D62" s="3"/>
      <c r="E62" s="3" t="str">
        <f>IFERROR(VLOOKUP(D62,Employees!A:L,2,FALSE),"")</f>
        <v/>
      </c>
      <c r="F62" s="6"/>
      <c r="G62" s="6"/>
      <c r="H62" s="6" t="str">
        <f>IF(G62="","",G62)</f>
        <v/>
      </c>
      <c r="I62" s="3" t="str">
        <f>IF(H62="","",IF(H62&gt;=Setup!B7,"ناجح","إعادة تدريب"))</f>
        <v/>
      </c>
      <c r="J62" s="3"/>
      <c r="K62" s="3"/>
      <c r="L62" s="3"/>
      <c r="M62" s="3"/>
    </row>
    <row r="63" spans="1:13" x14ac:dyDescent="0.2">
      <c r="A63" s="3">
        <v>60</v>
      </c>
      <c r="B63" s="3"/>
      <c r="C63" s="3" t="str">
        <f>IFERROR(VLOOKUP(B63,Sessions!A:J,2,FALSE),"")</f>
        <v/>
      </c>
      <c r="D63" s="3"/>
      <c r="E63" s="3" t="str">
        <f>IFERROR(VLOOKUP(D63,Employees!A:L,2,FALSE),"")</f>
        <v/>
      </c>
      <c r="F63" s="6"/>
      <c r="G63" s="6"/>
      <c r="H63" s="6" t="str">
        <f>IF(G63="","",G63)</f>
        <v/>
      </c>
      <c r="I63" s="3" t="str">
        <f>IF(H63="","",IF(H63&gt;=Setup!B7,"ناجح","إعادة تدريب"))</f>
        <v/>
      </c>
      <c r="J63" s="3"/>
      <c r="K63" s="3"/>
      <c r="L63" s="3"/>
      <c r="M63" s="3"/>
    </row>
    <row r="64" spans="1:13" x14ac:dyDescent="0.2">
      <c r="A64" s="3">
        <v>61</v>
      </c>
      <c r="B64" s="3"/>
      <c r="C64" s="3" t="str">
        <f>IFERROR(VLOOKUP(B64,Sessions!A:J,2,FALSE),"")</f>
        <v/>
      </c>
      <c r="D64" s="3"/>
      <c r="E64" s="3" t="str">
        <f>IFERROR(VLOOKUP(D64,Employees!A:L,2,FALSE),"")</f>
        <v/>
      </c>
      <c r="F64" s="6"/>
      <c r="G64" s="6"/>
      <c r="H64" s="6" t="str">
        <f>IF(G64="","",G64)</f>
        <v/>
      </c>
      <c r="I64" s="3" t="str">
        <f>IF(H64="","",IF(H64&gt;=Setup!B7,"ناجح","إعادة تدريب"))</f>
        <v/>
      </c>
      <c r="J64" s="3"/>
      <c r="K64" s="3"/>
      <c r="L64" s="3"/>
      <c r="M64" s="3"/>
    </row>
    <row r="65" spans="1:13" x14ac:dyDescent="0.2">
      <c r="A65" s="3">
        <v>62</v>
      </c>
      <c r="B65" s="3"/>
      <c r="C65" s="3" t="str">
        <f>IFERROR(VLOOKUP(B65,Sessions!A:J,2,FALSE),"")</f>
        <v/>
      </c>
      <c r="D65" s="3"/>
      <c r="E65" s="3" t="str">
        <f>IFERROR(VLOOKUP(D65,Employees!A:L,2,FALSE),"")</f>
        <v/>
      </c>
      <c r="F65" s="6"/>
      <c r="G65" s="6"/>
      <c r="H65" s="6" t="str">
        <f>IF(G65="","",G65)</f>
        <v/>
      </c>
      <c r="I65" s="3" t="str">
        <f>IF(H65="","",IF(H65&gt;=Setup!B7,"ناجح","إعادة تدريب"))</f>
        <v/>
      </c>
      <c r="J65" s="3"/>
      <c r="K65" s="3"/>
      <c r="L65" s="3"/>
      <c r="M65" s="3"/>
    </row>
    <row r="66" spans="1:13" x14ac:dyDescent="0.2">
      <c r="A66" s="3">
        <v>63</v>
      </c>
      <c r="B66" s="3"/>
      <c r="C66" s="3" t="str">
        <f>IFERROR(VLOOKUP(B66,Sessions!A:J,2,FALSE),"")</f>
        <v/>
      </c>
      <c r="D66" s="3"/>
      <c r="E66" s="3" t="str">
        <f>IFERROR(VLOOKUP(D66,Employees!A:L,2,FALSE),"")</f>
        <v/>
      </c>
      <c r="F66" s="6"/>
      <c r="G66" s="6"/>
      <c r="H66" s="6" t="str">
        <f>IF(G66="","",G66)</f>
        <v/>
      </c>
      <c r="I66" s="3" t="str">
        <f>IF(H66="","",IF(H66&gt;=Setup!B7,"ناجح","إعادة تدريب"))</f>
        <v/>
      </c>
      <c r="J66" s="3"/>
      <c r="K66" s="3"/>
      <c r="L66" s="3"/>
      <c r="M66" s="3"/>
    </row>
    <row r="67" spans="1:13" x14ac:dyDescent="0.2">
      <c r="A67" s="3">
        <v>64</v>
      </c>
      <c r="B67" s="3"/>
      <c r="C67" s="3" t="str">
        <f>IFERROR(VLOOKUP(B67,Sessions!A:J,2,FALSE),"")</f>
        <v/>
      </c>
      <c r="D67" s="3"/>
      <c r="E67" s="3" t="str">
        <f>IFERROR(VLOOKUP(D67,Employees!A:L,2,FALSE),"")</f>
        <v/>
      </c>
      <c r="F67" s="6"/>
      <c r="G67" s="6"/>
      <c r="H67" s="6" t="str">
        <f>IF(G67="","",G67)</f>
        <v/>
      </c>
      <c r="I67" s="3" t="str">
        <f>IF(H67="","",IF(H67&gt;=Setup!B7,"ناجح","إعادة تدريب"))</f>
        <v/>
      </c>
      <c r="J67" s="3"/>
      <c r="K67" s="3"/>
      <c r="L67" s="3"/>
      <c r="M67" s="3"/>
    </row>
    <row r="68" spans="1:13" x14ac:dyDescent="0.2">
      <c r="A68" s="3">
        <v>65</v>
      </c>
      <c r="B68" s="3"/>
      <c r="C68" s="3" t="str">
        <f>IFERROR(VLOOKUP(B68,Sessions!A:J,2,FALSE),"")</f>
        <v/>
      </c>
      <c r="D68" s="3"/>
      <c r="E68" s="3" t="str">
        <f>IFERROR(VLOOKUP(D68,Employees!A:L,2,FALSE),"")</f>
        <v/>
      </c>
      <c r="F68" s="6"/>
      <c r="G68" s="6"/>
      <c r="H68" s="6" t="str">
        <f>IF(G68="","",G68)</f>
        <v/>
      </c>
      <c r="I68" s="3" t="str">
        <f>IF(H68="","",IF(H68&gt;=Setup!B7,"ناجح","إعادة تدريب"))</f>
        <v/>
      </c>
      <c r="J68" s="3"/>
      <c r="K68" s="3"/>
      <c r="L68" s="3"/>
      <c r="M68" s="3"/>
    </row>
    <row r="69" spans="1:13" x14ac:dyDescent="0.2">
      <c r="A69" s="3">
        <v>66</v>
      </c>
      <c r="B69" s="3"/>
      <c r="C69" s="3" t="str">
        <f>IFERROR(VLOOKUP(B69,Sessions!A:J,2,FALSE),"")</f>
        <v/>
      </c>
      <c r="D69" s="3"/>
      <c r="E69" s="3" t="str">
        <f>IFERROR(VLOOKUP(D69,Employees!A:L,2,FALSE),"")</f>
        <v/>
      </c>
      <c r="F69" s="6"/>
      <c r="G69" s="6"/>
      <c r="H69" s="6" t="str">
        <f>IF(G69="","",G69)</f>
        <v/>
      </c>
      <c r="I69" s="3" t="str">
        <f>IF(H69="","",IF(H69&gt;=Setup!B7,"ناجح","إعادة تدريب"))</f>
        <v/>
      </c>
      <c r="J69" s="3"/>
      <c r="K69" s="3"/>
      <c r="L69" s="3"/>
      <c r="M69" s="3"/>
    </row>
    <row r="70" spans="1:13" x14ac:dyDescent="0.2">
      <c r="A70" s="3">
        <v>67</v>
      </c>
      <c r="B70" s="3"/>
      <c r="C70" s="3" t="str">
        <f>IFERROR(VLOOKUP(B70,Sessions!A:J,2,FALSE),"")</f>
        <v/>
      </c>
      <c r="D70" s="3"/>
      <c r="E70" s="3" t="str">
        <f>IFERROR(VLOOKUP(D70,Employees!A:L,2,FALSE),"")</f>
        <v/>
      </c>
      <c r="F70" s="6"/>
      <c r="G70" s="6"/>
      <c r="H70" s="6" t="str">
        <f>IF(G70="","",G70)</f>
        <v/>
      </c>
      <c r="I70" s="3" t="str">
        <f>IF(H70="","",IF(H70&gt;=Setup!B7,"ناجح","إعادة تدريب"))</f>
        <v/>
      </c>
      <c r="J70" s="3"/>
      <c r="K70" s="3"/>
      <c r="L70" s="3"/>
      <c r="M70" s="3"/>
    </row>
    <row r="71" spans="1:13" x14ac:dyDescent="0.2">
      <c r="A71" s="3">
        <v>68</v>
      </c>
      <c r="B71" s="3"/>
      <c r="C71" s="3" t="str">
        <f>IFERROR(VLOOKUP(B71,Sessions!A:J,2,FALSE),"")</f>
        <v/>
      </c>
      <c r="D71" s="3"/>
      <c r="E71" s="3" t="str">
        <f>IFERROR(VLOOKUP(D71,Employees!A:L,2,FALSE),"")</f>
        <v/>
      </c>
      <c r="F71" s="6"/>
      <c r="G71" s="6"/>
      <c r="H71" s="6" t="str">
        <f>IF(G71="","",G71)</f>
        <v/>
      </c>
      <c r="I71" s="3" t="str">
        <f>IF(H71="","",IF(H71&gt;=Setup!B7,"ناجح","إعادة تدريب"))</f>
        <v/>
      </c>
      <c r="J71" s="3"/>
      <c r="K71" s="3"/>
      <c r="L71" s="3"/>
      <c r="M71" s="3"/>
    </row>
    <row r="72" spans="1:13" x14ac:dyDescent="0.2">
      <c r="A72" s="3">
        <v>69</v>
      </c>
      <c r="B72" s="3"/>
      <c r="C72" s="3" t="str">
        <f>IFERROR(VLOOKUP(B72,Sessions!A:J,2,FALSE),"")</f>
        <v/>
      </c>
      <c r="D72" s="3"/>
      <c r="E72" s="3" t="str">
        <f>IFERROR(VLOOKUP(D72,Employees!A:L,2,FALSE),"")</f>
        <v/>
      </c>
      <c r="F72" s="6"/>
      <c r="G72" s="6"/>
      <c r="H72" s="6" t="str">
        <f>IF(G72="","",G72)</f>
        <v/>
      </c>
      <c r="I72" s="3" t="str">
        <f>IF(H72="","",IF(H72&gt;=Setup!B7,"ناجح","إعادة تدريب"))</f>
        <v/>
      </c>
      <c r="J72" s="3"/>
      <c r="K72" s="3"/>
      <c r="L72" s="3"/>
      <c r="M72" s="3"/>
    </row>
    <row r="73" spans="1:13" x14ac:dyDescent="0.2">
      <c r="A73" s="3">
        <v>70</v>
      </c>
      <c r="B73" s="3"/>
      <c r="C73" s="3" t="str">
        <f>IFERROR(VLOOKUP(B73,Sessions!A:J,2,FALSE),"")</f>
        <v/>
      </c>
      <c r="D73" s="3"/>
      <c r="E73" s="3" t="str">
        <f>IFERROR(VLOOKUP(D73,Employees!A:L,2,FALSE),"")</f>
        <v/>
      </c>
      <c r="F73" s="6"/>
      <c r="G73" s="6"/>
      <c r="H73" s="6" t="str">
        <f>IF(G73="","",G73)</f>
        <v/>
      </c>
      <c r="I73" s="3" t="str">
        <f>IF(H73="","",IF(H73&gt;=Setup!B7,"ناجح","إعادة تدريب"))</f>
        <v/>
      </c>
      <c r="J73" s="3"/>
      <c r="K73" s="3"/>
      <c r="L73" s="3"/>
      <c r="M73" s="3"/>
    </row>
    <row r="74" spans="1:13" x14ac:dyDescent="0.2">
      <c r="A74" s="3">
        <v>71</v>
      </c>
      <c r="B74" s="3"/>
      <c r="C74" s="3" t="str">
        <f>IFERROR(VLOOKUP(B74,Sessions!A:J,2,FALSE),"")</f>
        <v/>
      </c>
      <c r="D74" s="3"/>
      <c r="E74" s="3" t="str">
        <f>IFERROR(VLOOKUP(D74,Employees!A:L,2,FALSE),"")</f>
        <v/>
      </c>
      <c r="F74" s="6"/>
      <c r="G74" s="6"/>
      <c r="H74" s="6" t="str">
        <f>IF(G74="","",G74)</f>
        <v/>
      </c>
      <c r="I74" s="3" t="str">
        <f>IF(H74="","",IF(H74&gt;=Setup!B7,"ناجح","إعادة تدريب"))</f>
        <v/>
      </c>
      <c r="J74" s="3"/>
      <c r="K74" s="3"/>
      <c r="L74" s="3"/>
      <c r="M74" s="3"/>
    </row>
    <row r="75" spans="1:13" x14ac:dyDescent="0.2">
      <c r="A75" s="3">
        <v>72</v>
      </c>
      <c r="B75" s="3"/>
      <c r="C75" s="3" t="str">
        <f>IFERROR(VLOOKUP(B75,Sessions!A:J,2,FALSE),"")</f>
        <v/>
      </c>
      <c r="D75" s="3"/>
      <c r="E75" s="3" t="str">
        <f>IFERROR(VLOOKUP(D75,Employees!A:L,2,FALSE),"")</f>
        <v/>
      </c>
      <c r="F75" s="6"/>
      <c r="G75" s="6"/>
      <c r="H75" s="6" t="str">
        <f>IF(G75="","",G75)</f>
        <v/>
      </c>
      <c r="I75" s="3" t="str">
        <f>IF(H75="","",IF(H75&gt;=Setup!B7,"ناجح","إعادة تدريب"))</f>
        <v/>
      </c>
      <c r="J75" s="3"/>
      <c r="K75" s="3"/>
      <c r="L75" s="3"/>
      <c r="M75" s="3"/>
    </row>
    <row r="76" spans="1:13" x14ac:dyDescent="0.2">
      <c r="A76" s="3">
        <v>73</v>
      </c>
      <c r="B76" s="3"/>
      <c r="C76" s="3" t="str">
        <f>IFERROR(VLOOKUP(B76,Sessions!A:J,2,FALSE),"")</f>
        <v/>
      </c>
      <c r="D76" s="3"/>
      <c r="E76" s="3" t="str">
        <f>IFERROR(VLOOKUP(D76,Employees!A:L,2,FALSE),"")</f>
        <v/>
      </c>
      <c r="F76" s="6"/>
      <c r="G76" s="6"/>
      <c r="H76" s="6" t="str">
        <f>IF(G76="","",G76)</f>
        <v/>
      </c>
      <c r="I76" s="3" t="str">
        <f>IF(H76="","",IF(H76&gt;=Setup!B7,"ناجح","إعادة تدريب"))</f>
        <v/>
      </c>
      <c r="J76" s="3"/>
      <c r="K76" s="3"/>
      <c r="L76" s="3"/>
      <c r="M76" s="3"/>
    </row>
    <row r="77" spans="1:13" x14ac:dyDescent="0.2">
      <c r="A77" s="3">
        <v>74</v>
      </c>
      <c r="B77" s="3"/>
      <c r="C77" s="3" t="str">
        <f>IFERROR(VLOOKUP(B77,Sessions!A:J,2,FALSE),"")</f>
        <v/>
      </c>
      <c r="D77" s="3"/>
      <c r="E77" s="3" t="str">
        <f>IFERROR(VLOOKUP(D77,Employees!A:L,2,FALSE),"")</f>
        <v/>
      </c>
      <c r="F77" s="6"/>
      <c r="G77" s="6"/>
      <c r="H77" s="6" t="str">
        <f>IF(G77="","",G77)</f>
        <v/>
      </c>
      <c r="I77" s="3" t="str">
        <f>IF(H77="","",IF(H77&gt;=Setup!B7,"ناجح","إعادة تدريب"))</f>
        <v/>
      </c>
      <c r="J77" s="3"/>
      <c r="K77" s="3"/>
      <c r="L77" s="3"/>
      <c r="M77" s="3"/>
    </row>
    <row r="78" spans="1:13" x14ac:dyDescent="0.2">
      <c r="A78" s="3">
        <v>75</v>
      </c>
      <c r="B78" s="3"/>
      <c r="C78" s="3" t="str">
        <f>IFERROR(VLOOKUP(B78,Sessions!A:J,2,FALSE),"")</f>
        <v/>
      </c>
      <c r="D78" s="3"/>
      <c r="E78" s="3" t="str">
        <f>IFERROR(VLOOKUP(D78,Employees!A:L,2,FALSE),"")</f>
        <v/>
      </c>
      <c r="F78" s="6"/>
      <c r="G78" s="6"/>
      <c r="H78" s="6" t="str">
        <f>IF(G78="","",G78)</f>
        <v/>
      </c>
      <c r="I78" s="3" t="str">
        <f>IF(H78="","",IF(H78&gt;=Setup!B7,"ناجح","إعادة تدريب"))</f>
        <v/>
      </c>
      <c r="J78" s="3"/>
      <c r="K78" s="3"/>
      <c r="L78" s="3"/>
      <c r="M78" s="3"/>
    </row>
    <row r="79" spans="1:13" x14ac:dyDescent="0.2">
      <c r="A79" s="3">
        <v>76</v>
      </c>
      <c r="B79" s="3"/>
      <c r="C79" s="3" t="str">
        <f>IFERROR(VLOOKUP(B79,Sessions!A:J,2,FALSE),"")</f>
        <v/>
      </c>
      <c r="D79" s="3"/>
      <c r="E79" s="3" t="str">
        <f>IFERROR(VLOOKUP(D79,Employees!A:L,2,FALSE),"")</f>
        <v/>
      </c>
      <c r="F79" s="6"/>
      <c r="G79" s="6"/>
      <c r="H79" s="6" t="str">
        <f>IF(G79="","",G79)</f>
        <v/>
      </c>
      <c r="I79" s="3" t="str">
        <f>IF(H79="","",IF(H79&gt;=Setup!B7,"ناجح","إعادة تدريب"))</f>
        <v/>
      </c>
      <c r="J79" s="3"/>
      <c r="K79" s="3"/>
      <c r="L79" s="3"/>
      <c r="M79" s="3"/>
    </row>
    <row r="80" spans="1:13" x14ac:dyDescent="0.2">
      <c r="A80" s="3">
        <v>77</v>
      </c>
      <c r="B80" s="3"/>
      <c r="C80" s="3" t="str">
        <f>IFERROR(VLOOKUP(B80,Sessions!A:J,2,FALSE),"")</f>
        <v/>
      </c>
      <c r="D80" s="3"/>
      <c r="E80" s="3" t="str">
        <f>IFERROR(VLOOKUP(D80,Employees!A:L,2,FALSE),"")</f>
        <v/>
      </c>
      <c r="F80" s="6"/>
      <c r="G80" s="6"/>
      <c r="H80" s="6" t="str">
        <f>IF(G80="","",G80)</f>
        <v/>
      </c>
      <c r="I80" s="3" t="str">
        <f>IF(H80="","",IF(H80&gt;=Setup!B7,"ناجح","إعادة تدريب"))</f>
        <v/>
      </c>
      <c r="J80" s="3"/>
      <c r="K80" s="3"/>
      <c r="L80" s="3"/>
      <c r="M80" s="3"/>
    </row>
    <row r="81" spans="1:13" x14ac:dyDescent="0.2">
      <c r="A81" s="3">
        <v>78</v>
      </c>
      <c r="B81" s="3"/>
      <c r="C81" s="3" t="str">
        <f>IFERROR(VLOOKUP(B81,Sessions!A:J,2,FALSE),"")</f>
        <v/>
      </c>
      <c r="D81" s="3"/>
      <c r="E81" s="3" t="str">
        <f>IFERROR(VLOOKUP(D81,Employees!A:L,2,FALSE),"")</f>
        <v/>
      </c>
      <c r="F81" s="6"/>
      <c r="G81" s="6"/>
      <c r="H81" s="6" t="str">
        <f>IF(G81="","",G81)</f>
        <v/>
      </c>
      <c r="I81" s="3" t="str">
        <f>IF(H81="","",IF(H81&gt;=Setup!B7,"ناجح","إعادة تدريب"))</f>
        <v/>
      </c>
      <c r="J81" s="3"/>
      <c r="K81" s="3"/>
      <c r="L81" s="3"/>
      <c r="M81" s="3"/>
    </row>
    <row r="82" spans="1:13" x14ac:dyDescent="0.2">
      <c r="A82" s="3">
        <v>79</v>
      </c>
      <c r="B82" s="3"/>
      <c r="C82" s="3" t="str">
        <f>IFERROR(VLOOKUP(B82,Sessions!A:J,2,FALSE),"")</f>
        <v/>
      </c>
      <c r="D82" s="3"/>
      <c r="E82" s="3" t="str">
        <f>IFERROR(VLOOKUP(D82,Employees!A:L,2,FALSE),"")</f>
        <v/>
      </c>
      <c r="F82" s="6"/>
      <c r="G82" s="6"/>
      <c r="H82" s="6" t="str">
        <f>IF(G82="","",G82)</f>
        <v/>
      </c>
      <c r="I82" s="3" t="str">
        <f>IF(H82="","",IF(H82&gt;=Setup!B7,"ناجح","إعادة تدريب"))</f>
        <v/>
      </c>
      <c r="J82" s="3"/>
      <c r="K82" s="3"/>
      <c r="L82" s="3"/>
      <c r="M82" s="3"/>
    </row>
    <row r="83" spans="1:13" x14ac:dyDescent="0.2">
      <c r="A83" s="3">
        <v>80</v>
      </c>
      <c r="B83" s="3"/>
      <c r="C83" s="3" t="str">
        <f>IFERROR(VLOOKUP(B83,Sessions!A:J,2,FALSE),"")</f>
        <v/>
      </c>
      <c r="D83" s="3"/>
      <c r="E83" s="3" t="str">
        <f>IFERROR(VLOOKUP(D83,Employees!A:L,2,FALSE),"")</f>
        <v/>
      </c>
      <c r="F83" s="6"/>
      <c r="G83" s="6"/>
      <c r="H83" s="6" t="str">
        <f>IF(G83="","",G83)</f>
        <v/>
      </c>
      <c r="I83" s="3" t="str">
        <f>IF(H83="","",IF(H83&gt;=Setup!B7,"ناجح","إعادة تدريب"))</f>
        <v/>
      </c>
      <c r="J83" s="3"/>
      <c r="K83" s="3"/>
      <c r="L83" s="3"/>
      <c r="M83" s="3"/>
    </row>
    <row r="84" spans="1:13" x14ac:dyDescent="0.2">
      <c r="A84" s="3">
        <v>81</v>
      </c>
      <c r="B84" s="3"/>
      <c r="C84" s="3" t="str">
        <f>IFERROR(VLOOKUP(B84,Sessions!A:J,2,FALSE),"")</f>
        <v/>
      </c>
      <c r="D84" s="3"/>
      <c r="E84" s="3" t="str">
        <f>IFERROR(VLOOKUP(D84,Employees!A:L,2,FALSE),"")</f>
        <v/>
      </c>
      <c r="F84" s="6"/>
      <c r="G84" s="6"/>
      <c r="H84" s="6" t="str">
        <f>IF(G84="","",G84)</f>
        <v/>
      </c>
      <c r="I84" s="3" t="str">
        <f>IF(H84="","",IF(H84&gt;=Setup!B7,"ناجح","إعادة تدريب"))</f>
        <v/>
      </c>
      <c r="J84" s="3"/>
      <c r="K84" s="3"/>
      <c r="L84" s="3"/>
      <c r="M84" s="3"/>
    </row>
    <row r="85" spans="1:13" x14ac:dyDescent="0.2">
      <c r="A85" s="3">
        <v>82</v>
      </c>
      <c r="B85" s="3"/>
      <c r="C85" s="3" t="str">
        <f>IFERROR(VLOOKUP(B85,Sessions!A:J,2,FALSE),"")</f>
        <v/>
      </c>
      <c r="D85" s="3"/>
      <c r="E85" s="3" t="str">
        <f>IFERROR(VLOOKUP(D85,Employees!A:L,2,FALSE),"")</f>
        <v/>
      </c>
      <c r="F85" s="6"/>
      <c r="G85" s="6"/>
      <c r="H85" s="6" t="str">
        <f>IF(G85="","",G85)</f>
        <v/>
      </c>
      <c r="I85" s="3" t="str">
        <f>IF(H85="","",IF(H85&gt;=Setup!B7,"ناجح","إعادة تدريب"))</f>
        <v/>
      </c>
      <c r="J85" s="3"/>
      <c r="K85" s="3"/>
      <c r="L85" s="3"/>
      <c r="M85" s="3"/>
    </row>
    <row r="86" spans="1:13" x14ac:dyDescent="0.2">
      <c r="A86" s="3">
        <v>83</v>
      </c>
      <c r="B86" s="3"/>
      <c r="C86" s="3" t="str">
        <f>IFERROR(VLOOKUP(B86,Sessions!A:J,2,FALSE),"")</f>
        <v/>
      </c>
      <c r="D86" s="3"/>
      <c r="E86" s="3" t="str">
        <f>IFERROR(VLOOKUP(D86,Employees!A:L,2,FALSE),"")</f>
        <v/>
      </c>
      <c r="F86" s="6"/>
      <c r="G86" s="6"/>
      <c r="H86" s="6" t="str">
        <f>IF(G86="","",G86)</f>
        <v/>
      </c>
      <c r="I86" s="3" t="str">
        <f>IF(H86="","",IF(H86&gt;=Setup!B7,"ناجح","إعادة تدريب"))</f>
        <v/>
      </c>
      <c r="J86" s="3"/>
      <c r="K86" s="3"/>
      <c r="L86" s="3"/>
      <c r="M86" s="3"/>
    </row>
    <row r="87" spans="1:13" x14ac:dyDescent="0.2">
      <c r="A87" s="3">
        <v>84</v>
      </c>
      <c r="B87" s="3"/>
      <c r="C87" s="3" t="str">
        <f>IFERROR(VLOOKUP(B87,Sessions!A:J,2,FALSE),"")</f>
        <v/>
      </c>
      <c r="D87" s="3"/>
      <c r="E87" s="3" t="str">
        <f>IFERROR(VLOOKUP(D87,Employees!A:L,2,FALSE),"")</f>
        <v/>
      </c>
      <c r="F87" s="6"/>
      <c r="G87" s="6"/>
      <c r="H87" s="6" t="str">
        <f>IF(G87="","",G87)</f>
        <v/>
      </c>
      <c r="I87" s="3" t="str">
        <f>IF(H87="","",IF(H87&gt;=Setup!B7,"ناجح","إعادة تدريب"))</f>
        <v/>
      </c>
      <c r="J87" s="3"/>
      <c r="K87" s="3"/>
      <c r="L87" s="3"/>
      <c r="M87" s="3"/>
    </row>
    <row r="88" spans="1:13" x14ac:dyDescent="0.2">
      <c r="A88" s="3">
        <v>85</v>
      </c>
      <c r="B88" s="3"/>
      <c r="C88" s="3" t="str">
        <f>IFERROR(VLOOKUP(B88,Sessions!A:J,2,FALSE),"")</f>
        <v/>
      </c>
      <c r="D88" s="3"/>
      <c r="E88" s="3" t="str">
        <f>IFERROR(VLOOKUP(D88,Employees!A:L,2,FALSE),"")</f>
        <v/>
      </c>
      <c r="F88" s="6"/>
      <c r="G88" s="6"/>
      <c r="H88" s="6" t="str">
        <f>IF(G88="","",G88)</f>
        <v/>
      </c>
      <c r="I88" s="3" t="str">
        <f>IF(H88="","",IF(H88&gt;=Setup!B7,"ناجح","إعادة تدريب"))</f>
        <v/>
      </c>
      <c r="J88" s="3"/>
      <c r="K88" s="3"/>
      <c r="L88" s="3"/>
      <c r="M88" s="3"/>
    </row>
    <row r="89" spans="1:13" x14ac:dyDescent="0.2">
      <c r="A89" s="3">
        <v>86</v>
      </c>
      <c r="B89" s="3"/>
      <c r="C89" s="3" t="str">
        <f>IFERROR(VLOOKUP(B89,Sessions!A:J,2,FALSE),"")</f>
        <v/>
      </c>
      <c r="D89" s="3"/>
      <c r="E89" s="3" t="str">
        <f>IFERROR(VLOOKUP(D89,Employees!A:L,2,FALSE),"")</f>
        <v/>
      </c>
      <c r="F89" s="6"/>
      <c r="G89" s="6"/>
      <c r="H89" s="6" t="str">
        <f>IF(G89="","",G89)</f>
        <v/>
      </c>
      <c r="I89" s="3" t="str">
        <f>IF(H89="","",IF(H89&gt;=Setup!B7,"ناجح","إعادة تدريب"))</f>
        <v/>
      </c>
      <c r="J89" s="3"/>
      <c r="K89" s="3"/>
      <c r="L89" s="3"/>
      <c r="M89" s="3"/>
    </row>
    <row r="90" spans="1:13" x14ac:dyDescent="0.2">
      <c r="A90" s="3">
        <v>87</v>
      </c>
      <c r="B90" s="3"/>
      <c r="C90" s="3" t="str">
        <f>IFERROR(VLOOKUP(B90,Sessions!A:J,2,FALSE),"")</f>
        <v/>
      </c>
      <c r="D90" s="3"/>
      <c r="E90" s="3" t="str">
        <f>IFERROR(VLOOKUP(D90,Employees!A:L,2,FALSE),"")</f>
        <v/>
      </c>
      <c r="F90" s="6"/>
      <c r="G90" s="6"/>
      <c r="H90" s="6" t="str">
        <f>IF(G90="","",G90)</f>
        <v/>
      </c>
      <c r="I90" s="3" t="str">
        <f>IF(H90="","",IF(H90&gt;=Setup!B7,"ناجح","إعادة تدريب"))</f>
        <v/>
      </c>
      <c r="J90" s="3"/>
      <c r="K90" s="3"/>
      <c r="L90" s="3"/>
      <c r="M90" s="3"/>
    </row>
    <row r="91" spans="1:13" x14ac:dyDescent="0.2">
      <c r="A91" s="3">
        <v>88</v>
      </c>
      <c r="B91" s="3"/>
      <c r="C91" s="3" t="str">
        <f>IFERROR(VLOOKUP(B91,Sessions!A:J,2,FALSE),"")</f>
        <v/>
      </c>
      <c r="D91" s="3"/>
      <c r="E91" s="3" t="str">
        <f>IFERROR(VLOOKUP(D91,Employees!A:L,2,FALSE),"")</f>
        <v/>
      </c>
      <c r="F91" s="6"/>
      <c r="G91" s="6"/>
      <c r="H91" s="6" t="str">
        <f>IF(G91="","",G91)</f>
        <v/>
      </c>
      <c r="I91" s="3" t="str">
        <f>IF(H91="","",IF(H91&gt;=Setup!B7,"ناجح","إعادة تدريب"))</f>
        <v/>
      </c>
      <c r="J91" s="3"/>
      <c r="K91" s="3"/>
      <c r="L91" s="3"/>
      <c r="M91" s="3"/>
    </row>
    <row r="92" spans="1:13" x14ac:dyDescent="0.2">
      <c r="A92" s="3">
        <v>89</v>
      </c>
      <c r="B92" s="3"/>
      <c r="C92" s="3" t="str">
        <f>IFERROR(VLOOKUP(B92,Sessions!A:J,2,FALSE),"")</f>
        <v/>
      </c>
      <c r="D92" s="3"/>
      <c r="E92" s="3" t="str">
        <f>IFERROR(VLOOKUP(D92,Employees!A:L,2,FALSE),"")</f>
        <v/>
      </c>
      <c r="F92" s="6"/>
      <c r="G92" s="6"/>
      <c r="H92" s="6" t="str">
        <f>IF(G92="","",G92)</f>
        <v/>
      </c>
      <c r="I92" s="3" t="str">
        <f>IF(H92="","",IF(H92&gt;=Setup!B7,"ناجح","إعادة تدريب"))</f>
        <v/>
      </c>
      <c r="J92" s="3"/>
      <c r="K92" s="3"/>
      <c r="L92" s="3"/>
      <c r="M92" s="3"/>
    </row>
    <row r="93" spans="1:13" x14ac:dyDescent="0.2">
      <c r="A93" s="3">
        <v>90</v>
      </c>
      <c r="B93" s="3"/>
      <c r="C93" s="3" t="str">
        <f>IFERROR(VLOOKUP(B93,Sessions!A:J,2,FALSE),"")</f>
        <v/>
      </c>
      <c r="D93" s="3"/>
      <c r="E93" s="3" t="str">
        <f>IFERROR(VLOOKUP(D93,Employees!A:L,2,FALSE),"")</f>
        <v/>
      </c>
      <c r="F93" s="6"/>
      <c r="G93" s="6"/>
      <c r="H93" s="6" t="str">
        <f>IF(G93="","",G93)</f>
        <v/>
      </c>
      <c r="I93" s="3" t="str">
        <f>IF(H93="","",IF(H93&gt;=Setup!B7,"ناجح","إعادة تدريب"))</f>
        <v/>
      </c>
      <c r="J93" s="3"/>
      <c r="K93" s="3"/>
      <c r="L93" s="3"/>
      <c r="M93" s="3"/>
    </row>
    <row r="94" spans="1:13" x14ac:dyDescent="0.2">
      <c r="A94" s="3">
        <v>91</v>
      </c>
      <c r="B94" s="3"/>
      <c r="C94" s="3" t="str">
        <f>IFERROR(VLOOKUP(B94,Sessions!A:J,2,FALSE),"")</f>
        <v/>
      </c>
      <c r="D94" s="3"/>
      <c r="E94" s="3" t="str">
        <f>IFERROR(VLOOKUP(D94,Employees!A:L,2,FALSE),"")</f>
        <v/>
      </c>
      <c r="F94" s="6"/>
      <c r="G94" s="6"/>
      <c r="H94" s="6" t="str">
        <f>IF(G94="","",G94)</f>
        <v/>
      </c>
      <c r="I94" s="3" t="str">
        <f>IF(H94="","",IF(H94&gt;=Setup!B7,"ناجح","إعادة تدريب"))</f>
        <v/>
      </c>
      <c r="J94" s="3"/>
      <c r="K94" s="3"/>
      <c r="L94" s="3"/>
      <c r="M94" s="3"/>
    </row>
    <row r="95" spans="1:13" x14ac:dyDescent="0.2">
      <c r="A95" s="3">
        <v>92</v>
      </c>
      <c r="B95" s="3"/>
      <c r="C95" s="3" t="str">
        <f>IFERROR(VLOOKUP(B95,Sessions!A:J,2,FALSE),"")</f>
        <v/>
      </c>
      <c r="D95" s="3"/>
      <c r="E95" s="3" t="str">
        <f>IFERROR(VLOOKUP(D95,Employees!A:L,2,FALSE),"")</f>
        <v/>
      </c>
      <c r="F95" s="6"/>
      <c r="G95" s="6"/>
      <c r="H95" s="6" t="str">
        <f>IF(G95="","",G95)</f>
        <v/>
      </c>
      <c r="I95" s="3" t="str">
        <f>IF(H95="","",IF(H95&gt;=Setup!B7,"ناجح","إعادة تدريب"))</f>
        <v/>
      </c>
      <c r="J95" s="3"/>
      <c r="K95" s="3"/>
      <c r="L95" s="3"/>
      <c r="M95" s="3"/>
    </row>
    <row r="96" spans="1:13" x14ac:dyDescent="0.2">
      <c r="A96" s="3">
        <v>93</v>
      </c>
      <c r="B96" s="3"/>
      <c r="C96" s="3" t="str">
        <f>IFERROR(VLOOKUP(B96,Sessions!A:J,2,FALSE),"")</f>
        <v/>
      </c>
      <c r="D96" s="3"/>
      <c r="E96" s="3" t="str">
        <f>IFERROR(VLOOKUP(D96,Employees!A:L,2,FALSE),"")</f>
        <v/>
      </c>
      <c r="F96" s="6"/>
      <c r="G96" s="6"/>
      <c r="H96" s="6" t="str">
        <f>IF(G96="","",G96)</f>
        <v/>
      </c>
      <c r="I96" s="3" t="str">
        <f>IF(H96="","",IF(H96&gt;=Setup!B7,"ناجح","إعادة تدريب"))</f>
        <v/>
      </c>
      <c r="J96" s="3"/>
      <c r="K96" s="3"/>
      <c r="L96" s="3"/>
      <c r="M96" s="3"/>
    </row>
    <row r="97" spans="1:13" x14ac:dyDescent="0.2">
      <c r="A97" s="3">
        <v>94</v>
      </c>
      <c r="B97" s="3"/>
      <c r="C97" s="3" t="str">
        <f>IFERROR(VLOOKUP(B97,Sessions!A:J,2,FALSE),"")</f>
        <v/>
      </c>
      <c r="D97" s="3"/>
      <c r="E97" s="3" t="str">
        <f>IFERROR(VLOOKUP(D97,Employees!A:L,2,FALSE),"")</f>
        <v/>
      </c>
      <c r="F97" s="6"/>
      <c r="G97" s="6"/>
      <c r="H97" s="6" t="str">
        <f>IF(G97="","",G97)</f>
        <v/>
      </c>
      <c r="I97" s="3" t="str">
        <f>IF(H97="","",IF(H97&gt;=Setup!B7,"ناجح","إعادة تدريب"))</f>
        <v/>
      </c>
      <c r="J97" s="3"/>
      <c r="K97" s="3"/>
      <c r="L97" s="3"/>
      <c r="M97" s="3"/>
    </row>
    <row r="98" spans="1:13" x14ac:dyDescent="0.2">
      <c r="A98" s="3">
        <v>95</v>
      </c>
      <c r="B98" s="3"/>
      <c r="C98" s="3" t="str">
        <f>IFERROR(VLOOKUP(B98,Sessions!A:J,2,FALSE),"")</f>
        <v/>
      </c>
      <c r="D98" s="3"/>
      <c r="E98" s="3" t="str">
        <f>IFERROR(VLOOKUP(D98,Employees!A:L,2,FALSE),"")</f>
        <v/>
      </c>
      <c r="F98" s="6"/>
      <c r="G98" s="6"/>
      <c r="H98" s="6" t="str">
        <f>IF(G98="","",G98)</f>
        <v/>
      </c>
      <c r="I98" s="3" t="str">
        <f>IF(H98="","",IF(H98&gt;=Setup!B7,"ناجح","إعادة تدريب"))</f>
        <v/>
      </c>
      <c r="J98" s="3"/>
      <c r="K98" s="3"/>
      <c r="L98" s="3"/>
      <c r="M98" s="3"/>
    </row>
    <row r="99" spans="1:13" x14ac:dyDescent="0.2">
      <c r="A99" s="3">
        <v>96</v>
      </c>
      <c r="B99" s="3"/>
      <c r="C99" s="3" t="str">
        <f>IFERROR(VLOOKUP(B99,Sessions!A:J,2,FALSE),"")</f>
        <v/>
      </c>
      <c r="D99" s="3"/>
      <c r="E99" s="3" t="str">
        <f>IFERROR(VLOOKUP(D99,Employees!A:L,2,FALSE),"")</f>
        <v/>
      </c>
      <c r="F99" s="6"/>
      <c r="G99" s="6"/>
      <c r="H99" s="6" t="str">
        <f>IF(G99="","",G99)</f>
        <v/>
      </c>
      <c r="I99" s="3" t="str">
        <f>IF(H99="","",IF(H99&gt;=Setup!B7,"ناجح","إعادة تدريب"))</f>
        <v/>
      </c>
      <c r="J99" s="3"/>
      <c r="K99" s="3"/>
      <c r="L99" s="3"/>
      <c r="M99" s="3"/>
    </row>
    <row r="100" spans="1:13" x14ac:dyDescent="0.2">
      <c r="A100" s="3">
        <v>97</v>
      </c>
      <c r="B100" s="3"/>
      <c r="C100" s="3" t="str">
        <f>IFERROR(VLOOKUP(B100,Sessions!A:J,2,FALSE),"")</f>
        <v/>
      </c>
      <c r="D100" s="3"/>
      <c r="E100" s="3" t="str">
        <f>IFERROR(VLOOKUP(D100,Employees!A:L,2,FALSE),"")</f>
        <v/>
      </c>
      <c r="F100" s="6"/>
      <c r="G100" s="6"/>
      <c r="H100" s="6" t="str">
        <f>IF(G100="","",G100)</f>
        <v/>
      </c>
      <c r="I100" s="3" t="str">
        <f>IF(H100="","",IF(H100&gt;=Setup!B7,"ناجح","إعادة تدريب"))</f>
        <v/>
      </c>
      <c r="J100" s="3"/>
      <c r="K100" s="3"/>
      <c r="L100" s="3"/>
      <c r="M100" s="3"/>
    </row>
    <row r="101" spans="1:13" x14ac:dyDescent="0.2">
      <c r="A101" s="3">
        <v>98</v>
      </c>
      <c r="B101" s="3"/>
      <c r="C101" s="3" t="str">
        <f>IFERROR(VLOOKUP(B101,Sessions!A:J,2,FALSE),"")</f>
        <v/>
      </c>
      <c r="D101" s="3"/>
      <c r="E101" s="3" t="str">
        <f>IFERROR(VLOOKUP(D101,Employees!A:L,2,FALSE),"")</f>
        <v/>
      </c>
      <c r="F101" s="6"/>
      <c r="G101" s="6"/>
      <c r="H101" s="6" t="str">
        <f>IF(G101="","",G101)</f>
        <v/>
      </c>
      <c r="I101" s="3" t="str">
        <f>IF(H101="","",IF(H101&gt;=Setup!B7,"ناجح","إعادة تدريب"))</f>
        <v/>
      </c>
      <c r="J101" s="3"/>
      <c r="K101" s="3"/>
      <c r="L101" s="3"/>
      <c r="M101" s="3"/>
    </row>
    <row r="102" spans="1:13" x14ac:dyDescent="0.2">
      <c r="A102" s="3">
        <v>99</v>
      </c>
      <c r="B102" s="3"/>
      <c r="C102" s="3" t="str">
        <f>IFERROR(VLOOKUP(B102,Sessions!A:J,2,FALSE),"")</f>
        <v/>
      </c>
      <c r="D102" s="3"/>
      <c r="E102" s="3" t="str">
        <f>IFERROR(VLOOKUP(D102,Employees!A:L,2,FALSE),"")</f>
        <v/>
      </c>
      <c r="F102" s="6"/>
      <c r="G102" s="6"/>
      <c r="H102" s="6" t="str">
        <f>IF(G102="","",G102)</f>
        <v/>
      </c>
      <c r="I102" s="3" t="str">
        <f>IF(H102="","",IF(H102&gt;=Setup!B7,"ناجح","إعادة تدريب"))</f>
        <v/>
      </c>
      <c r="J102" s="3"/>
      <c r="K102" s="3"/>
      <c r="L102" s="3"/>
      <c r="M102" s="3"/>
    </row>
    <row r="103" spans="1:13" x14ac:dyDescent="0.2">
      <c r="A103" s="3">
        <v>100</v>
      </c>
      <c r="B103" s="3"/>
      <c r="C103" s="3" t="str">
        <f>IFERROR(VLOOKUP(B103,Sessions!A:J,2,FALSE),"")</f>
        <v/>
      </c>
      <c r="D103" s="3"/>
      <c r="E103" s="3" t="str">
        <f>IFERROR(VLOOKUP(D103,Employees!A:L,2,FALSE),"")</f>
        <v/>
      </c>
      <c r="F103" s="6"/>
      <c r="G103" s="6"/>
      <c r="H103" s="6" t="str">
        <f>IF(G103="","",G103)</f>
        <v/>
      </c>
      <c r="I103" s="3" t="str">
        <f>IF(H103="","",IF(H103&gt;=Setup!B7,"ناجح","إعادة تدريب"))</f>
        <v/>
      </c>
      <c r="J103" s="3"/>
      <c r="K103" s="3"/>
      <c r="L103" s="3"/>
      <c r="M103" s="3"/>
    </row>
    <row r="104" spans="1:13" x14ac:dyDescent="0.2">
      <c r="A104" s="3">
        <v>101</v>
      </c>
      <c r="B104" s="3"/>
      <c r="C104" s="3" t="str">
        <f>IFERROR(VLOOKUP(B104,Sessions!A:J,2,FALSE),"")</f>
        <v/>
      </c>
      <c r="D104" s="3"/>
      <c r="E104" s="3" t="str">
        <f>IFERROR(VLOOKUP(D104,Employees!A:L,2,FALSE),"")</f>
        <v/>
      </c>
      <c r="F104" s="6"/>
      <c r="G104" s="6"/>
      <c r="H104" s="6" t="str">
        <f>IF(G104="","",G104)</f>
        <v/>
      </c>
      <c r="I104" s="3" t="str">
        <f>IF(H104="","",IF(H104&gt;=Setup!B7,"ناجح","إعادة تدريب"))</f>
        <v/>
      </c>
      <c r="J104" s="3"/>
      <c r="K104" s="3"/>
      <c r="L104" s="3"/>
      <c r="M104" s="3"/>
    </row>
    <row r="105" spans="1:13" x14ac:dyDescent="0.2">
      <c r="A105" s="3">
        <v>102</v>
      </c>
      <c r="B105" s="3"/>
      <c r="C105" s="3" t="str">
        <f>IFERROR(VLOOKUP(B105,Sessions!A:J,2,FALSE),"")</f>
        <v/>
      </c>
      <c r="D105" s="3"/>
      <c r="E105" s="3" t="str">
        <f>IFERROR(VLOOKUP(D105,Employees!A:L,2,FALSE),"")</f>
        <v/>
      </c>
      <c r="F105" s="6"/>
      <c r="G105" s="6"/>
      <c r="H105" s="6" t="str">
        <f>IF(G105="","",G105)</f>
        <v/>
      </c>
      <c r="I105" s="3" t="str">
        <f>IF(H105="","",IF(H105&gt;=Setup!B7,"ناجح","إعادة تدريب"))</f>
        <v/>
      </c>
      <c r="J105" s="3"/>
      <c r="K105" s="3"/>
      <c r="L105" s="3"/>
      <c r="M105" s="3"/>
    </row>
    <row r="106" spans="1:13" x14ac:dyDescent="0.2">
      <c r="A106" s="3">
        <v>103</v>
      </c>
      <c r="B106" s="3"/>
      <c r="C106" s="3" t="str">
        <f>IFERROR(VLOOKUP(B106,Sessions!A:J,2,FALSE),"")</f>
        <v/>
      </c>
      <c r="D106" s="3"/>
      <c r="E106" s="3" t="str">
        <f>IFERROR(VLOOKUP(D106,Employees!A:L,2,FALSE),"")</f>
        <v/>
      </c>
      <c r="F106" s="6"/>
      <c r="G106" s="6"/>
      <c r="H106" s="6" t="str">
        <f>IF(G106="","",G106)</f>
        <v/>
      </c>
      <c r="I106" s="3" t="str">
        <f>IF(H106="","",IF(H106&gt;=Setup!B7,"ناجح","إعادة تدريب"))</f>
        <v/>
      </c>
      <c r="J106" s="3"/>
      <c r="K106" s="3"/>
      <c r="L106" s="3"/>
      <c r="M106" s="3"/>
    </row>
    <row r="107" spans="1:13" x14ac:dyDescent="0.2">
      <c r="A107" s="3">
        <v>104</v>
      </c>
      <c r="B107" s="3"/>
      <c r="C107" s="3" t="str">
        <f>IFERROR(VLOOKUP(B107,Sessions!A:J,2,FALSE),"")</f>
        <v/>
      </c>
      <c r="D107" s="3"/>
      <c r="E107" s="3" t="str">
        <f>IFERROR(VLOOKUP(D107,Employees!A:L,2,FALSE),"")</f>
        <v/>
      </c>
      <c r="F107" s="6"/>
      <c r="G107" s="6"/>
      <c r="H107" s="6" t="str">
        <f>IF(G107="","",G107)</f>
        <v/>
      </c>
      <c r="I107" s="3" t="str">
        <f>IF(H107="","",IF(H107&gt;=Setup!B7,"ناجح","إعادة تدريب"))</f>
        <v/>
      </c>
      <c r="J107" s="3"/>
      <c r="K107" s="3"/>
      <c r="L107" s="3"/>
      <c r="M107" s="3"/>
    </row>
    <row r="108" spans="1:13" x14ac:dyDescent="0.2">
      <c r="A108" s="3">
        <v>105</v>
      </c>
      <c r="B108" s="3"/>
      <c r="C108" s="3" t="str">
        <f>IFERROR(VLOOKUP(B108,Sessions!A:J,2,FALSE),"")</f>
        <v/>
      </c>
      <c r="D108" s="3"/>
      <c r="E108" s="3" t="str">
        <f>IFERROR(VLOOKUP(D108,Employees!A:L,2,FALSE),"")</f>
        <v/>
      </c>
      <c r="F108" s="6"/>
      <c r="G108" s="6"/>
      <c r="H108" s="6" t="str">
        <f>IF(G108="","",G108)</f>
        <v/>
      </c>
      <c r="I108" s="3" t="str">
        <f>IF(H108="","",IF(H108&gt;=Setup!B7,"ناجح","إعادة تدريب"))</f>
        <v/>
      </c>
      <c r="J108" s="3"/>
      <c r="K108" s="3"/>
      <c r="L108" s="3"/>
      <c r="M108" s="3"/>
    </row>
    <row r="109" spans="1:13" x14ac:dyDescent="0.2">
      <c r="A109" s="3">
        <v>106</v>
      </c>
      <c r="B109" s="3"/>
      <c r="C109" s="3" t="str">
        <f>IFERROR(VLOOKUP(B109,Sessions!A:J,2,FALSE),"")</f>
        <v/>
      </c>
      <c r="D109" s="3"/>
      <c r="E109" s="3" t="str">
        <f>IFERROR(VLOOKUP(D109,Employees!A:L,2,FALSE),"")</f>
        <v/>
      </c>
      <c r="F109" s="6"/>
      <c r="G109" s="6"/>
      <c r="H109" s="6" t="str">
        <f>IF(G109="","",G109)</f>
        <v/>
      </c>
      <c r="I109" s="3" t="str">
        <f>IF(H109="","",IF(H109&gt;=Setup!B7,"ناجح","إعادة تدريب"))</f>
        <v/>
      </c>
      <c r="J109" s="3"/>
      <c r="K109" s="3"/>
      <c r="L109" s="3"/>
      <c r="M109" s="3"/>
    </row>
    <row r="110" spans="1:13" x14ac:dyDescent="0.2">
      <c r="A110" s="3">
        <v>107</v>
      </c>
      <c r="B110" s="3"/>
      <c r="C110" s="3" t="str">
        <f>IFERROR(VLOOKUP(B110,Sessions!A:J,2,FALSE),"")</f>
        <v/>
      </c>
      <c r="D110" s="3"/>
      <c r="E110" s="3" t="str">
        <f>IFERROR(VLOOKUP(D110,Employees!A:L,2,FALSE),"")</f>
        <v/>
      </c>
      <c r="F110" s="6"/>
      <c r="G110" s="6"/>
      <c r="H110" s="6" t="str">
        <f>IF(G110="","",G110)</f>
        <v/>
      </c>
      <c r="I110" s="3" t="str">
        <f>IF(H110="","",IF(H110&gt;=Setup!B7,"ناجح","إعادة تدريب"))</f>
        <v/>
      </c>
      <c r="J110" s="3"/>
      <c r="K110" s="3"/>
      <c r="L110" s="3"/>
      <c r="M110" s="3"/>
    </row>
    <row r="111" spans="1:13" x14ac:dyDescent="0.2">
      <c r="A111" s="3">
        <v>108</v>
      </c>
      <c r="B111" s="3"/>
      <c r="C111" s="3" t="str">
        <f>IFERROR(VLOOKUP(B111,Sessions!A:J,2,FALSE),"")</f>
        <v/>
      </c>
      <c r="D111" s="3"/>
      <c r="E111" s="3" t="str">
        <f>IFERROR(VLOOKUP(D111,Employees!A:L,2,FALSE),"")</f>
        <v/>
      </c>
      <c r="F111" s="6"/>
      <c r="G111" s="6"/>
      <c r="H111" s="6" t="str">
        <f>IF(G111="","",G111)</f>
        <v/>
      </c>
      <c r="I111" s="3" t="str">
        <f>IF(H111="","",IF(H111&gt;=Setup!B7,"ناجح","إعادة تدريب"))</f>
        <v/>
      </c>
      <c r="J111" s="3"/>
      <c r="K111" s="3"/>
      <c r="L111" s="3"/>
      <c r="M111" s="3"/>
    </row>
    <row r="112" spans="1:13" x14ac:dyDescent="0.2">
      <c r="A112" s="3">
        <v>109</v>
      </c>
      <c r="B112" s="3"/>
      <c r="C112" s="3" t="str">
        <f>IFERROR(VLOOKUP(B112,Sessions!A:J,2,FALSE),"")</f>
        <v/>
      </c>
      <c r="D112" s="3"/>
      <c r="E112" s="3" t="str">
        <f>IFERROR(VLOOKUP(D112,Employees!A:L,2,FALSE),"")</f>
        <v/>
      </c>
      <c r="F112" s="6"/>
      <c r="G112" s="6"/>
      <c r="H112" s="6" t="str">
        <f>IF(G112="","",G112)</f>
        <v/>
      </c>
      <c r="I112" s="3" t="str">
        <f>IF(H112="","",IF(H112&gt;=Setup!B7,"ناجح","إعادة تدريب"))</f>
        <v/>
      </c>
      <c r="J112" s="3"/>
      <c r="K112" s="3"/>
      <c r="L112" s="3"/>
      <c r="M112" s="3"/>
    </row>
    <row r="113" spans="1:13" x14ac:dyDescent="0.2">
      <c r="A113" s="3">
        <v>110</v>
      </c>
      <c r="B113" s="3"/>
      <c r="C113" s="3" t="str">
        <f>IFERROR(VLOOKUP(B113,Sessions!A:J,2,FALSE),"")</f>
        <v/>
      </c>
      <c r="D113" s="3"/>
      <c r="E113" s="3" t="str">
        <f>IFERROR(VLOOKUP(D113,Employees!A:L,2,FALSE),"")</f>
        <v/>
      </c>
      <c r="F113" s="6"/>
      <c r="G113" s="6"/>
      <c r="H113" s="6" t="str">
        <f>IF(G113="","",G113)</f>
        <v/>
      </c>
      <c r="I113" s="3" t="str">
        <f>IF(H113="","",IF(H113&gt;=Setup!B7,"ناجح","إعادة تدريب"))</f>
        <v/>
      </c>
      <c r="J113" s="3"/>
      <c r="K113" s="3"/>
      <c r="L113" s="3"/>
      <c r="M113" s="3"/>
    </row>
    <row r="114" spans="1:13" x14ac:dyDescent="0.2">
      <c r="A114" s="3">
        <v>111</v>
      </c>
      <c r="B114" s="3"/>
      <c r="C114" s="3" t="str">
        <f>IFERROR(VLOOKUP(B114,Sessions!A:J,2,FALSE),"")</f>
        <v/>
      </c>
      <c r="D114" s="3"/>
      <c r="E114" s="3" t="str">
        <f>IFERROR(VLOOKUP(D114,Employees!A:L,2,FALSE),"")</f>
        <v/>
      </c>
      <c r="F114" s="6"/>
      <c r="G114" s="6"/>
      <c r="H114" s="6" t="str">
        <f>IF(G114="","",G114)</f>
        <v/>
      </c>
      <c r="I114" s="3" t="str">
        <f>IF(H114="","",IF(H114&gt;=Setup!B7,"ناجح","إعادة تدريب"))</f>
        <v/>
      </c>
      <c r="J114" s="3"/>
      <c r="K114" s="3"/>
      <c r="L114" s="3"/>
      <c r="M114" s="3"/>
    </row>
    <row r="115" spans="1:13" x14ac:dyDescent="0.2">
      <c r="A115" s="3">
        <v>112</v>
      </c>
      <c r="B115" s="3"/>
      <c r="C115" s="3" t="str">
        <f>IFERROR(VLOOKUP(B115,Sessions!A:J,2,FALSE),"")</f>
        <v/>
      </c>
      <c r="D115" s="3"/>
      <c r="E115" s="3" t="str">
        <f>IFERROR(VLOOKUP(D115,Employees!A:L,2,FALSE),"")</f>
        <v/>
      </c>
      <c r="F115" s="6"/>
      <c r="G115" s="6"/>
      <c r="H115" s="6" t="str">
        <f>IF(G115="","",G115)</f>
        <v/>
      </c>
      <c r="I115" s="3" t="str">
        <f>IF(H115="","",IF(H115&gt;=Setup!B7,"ناجح","إعادة تدريب"))</f>
        <v/>
      </c>
      <c r="J115" s="3"/>
      <c r="K115" s="3"/>
      <c r="L115" s="3"/>
      <c r="M115" s="3"/>
    </row>
    <row r="116" spans="1:13" x14ac:dyDescent="0.2">
      <c r="A116" s="3">
        <v>113</v>
      </c>
      <c r="B116" s="3"/>
      <c r="C116" s="3" t="str">
        <f>IFERROR(VLOOKUP(B116,Sessions!A:J,2,FALSE),"")</f>
        <v/>
      </c>
      <c r="D116" s="3"/>
      <c r="E116" s="3" t="str">
        <f>IFERROR(VLOOKUP(D116,Employees!A:L,2,FALSE),"")</f>
        <v/>
      </c>
      <c r="F116" s="6"/>
      <c r="G116" s="6"/>
      <c r="H116" s="6" t="str">
        <f>IF(G116="","",G116)</f>
        <v/>
      </c>
      <c r="I116" s="3" t="str">
        <f>IF(H116="","",IF(H116&gt;=Setup!B7,"ناجح","إعادة تدريب"))</f>
        <v/>
      </c>
      <c r="J116" s="3"/>
      <c r="K116" s="3"/>
      <c r="L116" s="3"/>
      <c r="M116" s="3"/>
    </row>
    <row r="117" spans="1:13" x14ac:dyDescent="0.2">
      <c r="A117" s="3">
        <v>114</v>
      </c>
      <c r="B117" s="3"/>
      <c r="C117" s="3" t="str">
        <f>IFERROR(VLOOKUP(B117,Sessions!A:J,2,FALSE),"")</f>
        <v/>
      </c>
      <c r="D117" s="3"/>
      <c r="E117" s="3" t="str">
        <f>IFERROR(VLOOKUP(D117,Employees!A:L,2,FALSE),"")</f>
        <v/>
      </c>
      <c r="F117" s="6"/>
      <c r="G117" s="6"/>
      <c r="H117" s="6" t="str">
        <f>IF(G117="","",G117)</f>
        <v/>
      </c>
      <c r="I117" s="3" t="str">
        <f>IF(H117="","",IF(H117&gt;=Setup!B7,"ناجح","إعادة تدريب"))</f>
        <v/>
      </c>
      <c r="J117" s="3"/>
      <c r="K117" s="3"/>
      <c r="L117" s="3"/>
      <c r="M117" s="3"/>
    </row>
    <row r="118" spans="1:13" x14ac:dyDescent="0.2">
      <c r="A118" s="3">
        <v>115</v>
      </c>
      <c r="B118" s="3"/>
      <c r="C118" s="3" t="str">
        <f>IFERROR(VLOOKUP(B118,Sessions!A:J,2,FALSE),"")</f>
        <v/>
      </c>
      <c r="D118" s="3"/>
      <c r="E118" s="3" t="str">
        <f>IFERROR(VLOOKUP(D118,Employees!A:L,2,FALSE),"")</f>
        <v/>
      </c>
      <c r="F118" s="6"/>
      <c r="G118" s="6"/>
      <c r="H118" s="6" t="str">
        <f>IF(G118="","",G118)</f>
        <v/>
      </c>
      <c r="I118" s="3" t="str">
        <f>IF(H118="","",IF(H118&gt;=Setup!B7,"ناجح","إعادة تدريب"))</f>
        <v/>
      </c>
      <c r="J118" s="3"/>
      <c r="K118" s="3"/>
      <c r="L118" s="3"/>
      <c r="M118" s="3"/>
    </row>
    <row r="119" spans="1:13" x14ac:dyDescent="0.2">
      <c r="A119" s="3">
        <v>116</v>
      </c>
      <c r="B119" s="3"/>
      <c r="C119" s="3" t="str">
        <f>IFERROR(VLOOKUP(B119,Sessions!A:J,2,FALSE),"")</f>
        <v/>
      </c>
      <c r="D119" s="3"/>
      <c r="E119" s="3" t="str">
        <f>IFERROR(VLOOKUP(D119,Employees!A:L,2,FALSE),"")</f>
        <v/>
      </c>
      <c r="F119" s="6"/>
      <c r="G119" s="6"/>
      <c r="H119" s="6" t="str">
        <f>IF(G119="","",G119)</f>
        <v/>
      </c>
      <c r="I119" s="3" t="str">
        <f>IF(H119="","",IF(H119&gt;=Setup!B7,"ناجح","إعادة تدريب"))</f>
        <v/>
      </c>
      <c r="J119" s="3"/>
      <c r="K119" s="3"/>
      <c r="L119" s="3"/>
      <c r="M119" s="3"/>
    </row>
    <row r="120" spans="1:13" x14ac:dyDescent="0.2">
      <c r="A120" s="3">
        <v>117</v>
      </c>
      <c r="B120" s="3"/>
      <c r="C120" s="3" t="str">
        <f>IFERROR(VLOOKUP(B120,Sessions!A:J,2,FALSE),"")</f>
        <v/>
      </c>
      <c r="D120" s="3"/>
      <c r="E120" s="3" t="str">
        <f>IFERROR(VLOOKUP(D120,Employees!A:L,2,FALSE),"")</f>
        <v/>
      </c>
      <c r="F120" s="6"/>
      <c r="G120" s="6"/>
      <c r="H120" s="6" t="str">
        <f>IF(G120="","",G120)</f>
        <v/>
      </c>
      <c r="I120" s="3" t="str">
        <f>IF(H120="","",IF(H120&gt;=Setup!B7,"ناجح","إعادة تدريب"))</f>
        <v/>
      </c>
      <c r="J120" s="3"/>
      <c r="K120" s="3"/>
      <c r="L120" s="3"/>
      <c r="M120" s="3"/>
    </row>
    <row r="121" spans="1:13" x14ac:dyDescent="0.2">
      <c r="A121" s="3">
        <v>118</v>
      </c>
      <c r="B121" s="3"/>
      <c r="C121" s="3" t="str">
        <f>IFERROR(VLOOKUP(B121,Sessions!A:J,2,FALSE),"")</f>
        <v/>
      </c>
      <c r="D121" s="3"/>
      <c r="E121" s="3" t="str">
        <f>IFERROR(VLOOKUP(D121,Employees!A:L,2,FALSE),"")</f>
        <v/>
      </c>
      <c r="F121" s="6"/>
      <c r="G121" s="6"/>
      <c r="H121" s="6" t="str">
        <f>IF(G121="","",G121)</f>
        <v/>
      </c>
      <c r="I121" s="3" t="str">
        <f>IF(H121="","",IF(H121&gt;=Setup!B7,"ناجح","إعادة تدريب"))</f>
        <v/>
      </c>
      <c r="J121" s="3"/>
      <c r="K121" s="3"/>
      <c r="L121" s="3"/>
      <c r="M121" s="3"/>
    </row>
    <row r="122" spans="1:13" x14ac:dyDescent="0.2">
      <c r="A122" s="3">
        <v>119</v>
      </c>
      <c r="B122" s="3"/>
      <c r="C122" s="3" t="str">
        <f>IFERROR(VLOOKUP(B122,Sessions!A:J,2,FALSE),"")</f>
        <v/>
      </c>
      <c r="D122" s="3"/>
      <c r="E122" s="3" t="str">
        <f>IFERROR(VLOOKUP(D122,Employees!A:L,2,FALSE),"")</f>
        <v/>
      </c>
      <c r="F122" s="6"/>
      <c r="G122" s="6"/>
      <c r="H122" s="6" t="str">
        <f>IF(G122="","",G122)</f>
        <v/>
      </c>
      <c r="I122" s="3" t="str">
        <f>IF(H122="","",IF(H122&gt;=Setup!B7,"ناجح","إعادة تدريب"))</f>
        <v/>
      </c>
      <c r="J122" s="3"/>
      <c r="K122" s="3"/>
      <c r="L122" s="3"/>
      <c r="M122" s="3"/>
    </row>
    <row r="123" spans="1:13" x14ac:dyDescent="0.2">
      <c r="A123" s="3">
        <v>120</v>
      </c>
      <c r="B123" s="3"/>
      <c r="C123" s="3" t="str">
        <f>IFERROR(VLOOKUP(B123,Sessions!A:J,2,FALSE),"")</f>
        <v/>
      </c>
      <c r="D123" s="3"/>
      <c r="E123" s="3" t="str">
        <f>IFERROR(VLOOKUP(D123,Employees!A:L,2,FALSE),"")</f>
        <v/>
      </c>
      <c r="F123" s="6"/>
      <c r="G123" s="6"/>
      <c r="H123" s="6" t="str">
        <f>IF(G123="","",G123)</f>
        <v/>
      </c>
      <c r="I123" s="3" t="str">
        <f>IF(H123="","",IF(H123&gt;=Setup!B7,"ناجح","إعادة تدريب"))</f>
        <v/>
      </c>
      <c r="J123" s="3"/>
      <c r="K123" s="3"/>
      <c r="L123" s="3"/>
      <c r="M123" s="3"/>
    </row>
    <row r="124" spans="1:13" x14ac:dyDescent="0.2">
      <c r="A124" s="3">
        <v>121</v>
      </c>
      <c r="B124" s="3"/>
      <c r="C124" s="3" t="str">
        <f>IFERROR(VLOOKUP(B124,Sessions!A:J,2,FALSE),"")</f>
        <v/>
      </c>
      <c r="D124" s="3"/>
      <c r="E124" s="3" t="str">
        <f>IFERROR(VLOOKUP(D124,Employees!A:L,2,FALSE),"")</f>
        <v/>
      </c>
      <c r="F124" s="6"/>
      <c r="G124" s="6"/>
      <c r="H124" s="6" t="str">
        <f>IF(G124="","",G124)</f>
        <v/>
      </c>
      <c r="I124" s="3" t="str">
        <f>IF(H124="","",IF(H124&gt;=Setup!B7,"ناجح","إعادة تدريب"))</f>
        <v/>
      </c>
      <c r="J124" s="3"/>
      <c r="K124" s="3"/>
      <c r="L124" s="3"/>
      <c r="M124" s="3"/>
    </row>
    <row r="125" spans="1:13" x14ac:dyDescent="0.2">
      <c r="A125" s="3">
        <v>122</v>
      </c>
      <c r="B125" s="3"/>
      <c r="C125" s="3" t="str">
        <f>IFERROR(VLOOKUP(B125,Sessions!A:J,2,FALSE),"")</f>
        <v/>
      </c>
      <c r="D125" s="3"/>
      <c r="E125" s="3" t="str">
        <f>IFERROR(VLOOKUP(D125,Employees!A:L,2,FALSE),"")</f>
        <v/>
      </c>
      <c r="F125" s="6"/>
      <c r="G125" s="6"/>
      <c r="H125" s="6" t="str">
        <f>IF(G125="","",G125)</f>
        <v/>
      </c>
      <c r="I125" s="3" t="str">
        <f>IF(H125="","",IF(H125&gt;=Setup!B7,"ناجح","إعادة تدريب"))</f>
        <v/>
      </c>
      <c r="J125" s="3"/>
      <c r="K125" s="3"/>
      <c r="L125" s="3"/>
      <c r="M125" s="3"/>
    </row>
    <row r="126" spans="1:13" x14ac:dyDescent="0.2">
      <c r="A126" s="3">
        <v>123</v>
      </c>
      <c r="B126" s="3"/>
      <c r="C126" s="3" t="str">
        <f>IFERROR(VLOOKUP(B126,Sessions!A:J,2,FALSE),"")</f>
        <v/>
      </c>
      <c r="D126" s="3"/>
      <c r="E126" s="3" t="str">
        <f>IFERROR(VLOOKUP(D126,Employees!A:L,2,FALSE),"")</f>
        <v/>
      </c>
      <c r="F126" s="6"/>
      <c r="G126" s="6"/>
      <c r="H126" s="6" t="str">
        <f>IF(G126="","",G126)</f>
        <v/>
      </c>
      <c r="I126" s="3" t="str">
        <f>IF(H126="","",IF(H126&gt;=Setup!B7,"ناجح","إعادة تدريب"))</f>
        <v/>
      </c>
      <c r="J126" s="3"/>
      <c r="K126" s="3"/>
      <c r="L126" s="3"/>
      <c r="M126" s="3"/>
    </row>
    <row r="127" spans="1:13" x14ac:dyDescent="0.2">
      <c r="A127" s="3">
        <v>124</v>
      </c>
      <c r="B127" s="3"/>
      <c r="C127" s="3" t="str">
        <f>IFERROR(VLOOKUP(B127,Sessions!A:J,2,FALSE),"")</f>
        <v/>
      </c>
      <c r="D127" s="3"/>
      <c r="E127" s="3" t="str">
        <f>IFERROR(VLOOKUP(D127,Employees!A:L,2,FALSE),"")</f>
        <v/>
      </c>
      <c r="F127" s="6"/>
      <c r="G127" s="6"/>
      <c r="H127" s="6" t="str">
        <f>IF(G127="","",G127)</f>
        <v/>
      </c>
      <c r="I127" s="3" t="str">
        <f>IF(H127="","",IF(H127&gt;=Setup!B7,"ناجح","إعادة تدريب"))</f>
        <v/>
      </c>
      <c r="J127" s="3"/>
      <c r="K127" s="3"/>
      <c r="L127" s="3"/>
      <c r="M127" s="3"/>
    </row>
    <row r="128" spans="1:13" x14ac:dyDescent="0.2">
      <c r="A128" s="3">
        <v>125</v>
      </c>
      <c r="B128" s="3"/>
      <c r="C128" s="3" t="str">
        <f>IFERROR(VLOOKUP(B128,Sessions!A:J,2,FALSE),"")</f>
        <v/>
      </c>
      <c r="D128" s="3"/>
      <c r="E128" s="3" t="str">
        <f>IFERROR(VLOOKUP(D128,Employees!A:L,2,FALSE),"")</f>
        <v/>
      </c>
      <c r="F128" s="6"/>
      <c r="G128" s="6"/>
      <c r="H128" s="6" t="str">
        <f>IF(G128="","",G128)</f>
        <v/>
      </c>
      <c r="I128" s="3" t="str">
        <f>IF(H128="","",IF(H128&gt;=Setup!B7,"ناجح","إعادة تدريب"))</f>
        <v/>
      </c>
      <c r="J128" s="3"/>
      <c r="K128" s="3"/>
      <c r="L128" s="3"/>
      <c r="M128" s="3"/>
    </row>
    <row r="129" spans="1:13" x14ac:dyDescent="0.2">
      <c r="A129" s="3">
        <v>126</v>
      </c>
      <c r="B129" s="3"/>
      <c r="C129" s="3" t="str">
        <f>IFERROR(VLOOKUP(B129,Sessions!A:J,2,FALSE),"")</f>
        <v/>
      </c>
      <c r="D129" s="3"/>
      <c r="E129" s="3" t="str">
        <f>IFERROR(VLOOKUP(D129,Employees!A:L,2,FALSE),"")</f>
        <v/>
      </c>
      <c r="F129" s="6"/>
      <c r="G129" s="6"/>
      <c r="H129" s="6" t="str">
        <f>IF(G129="","",G129)</f>
        <v/>
      </c>
      <c r="I129" s="3" t="str">
        <f>IF(H129="","",IF(H129&gt;=Setup!B7,"ناجح","إعادة تدريب"))</f>
        <v/>
      </c>
      <c r="J129" s="3"/>
      <c r="K129" s="3"/>
      <c r="L129" s="3"/>
      <c r="M129" s="3"/>
    </row>
    <row r="130" spans="1:13" x14ac:dyDescent="0.2">
      <c r="A130" s="3">
        <v>127</v>
      </c>
      <c r="B130" s="3"/>
      <c r="C130" s="3" t="str">
        <f>IFERROR(VLOOKUP(B130,Sessions!A:J,2,FALSE),"")</f>
        <v/>
      </c>
      <c r="D130" s="3"/>
      <c r="E130" s="3" t="str">
        <f>IFERROR(VLOOKUP(D130,Employees!A:L,2,FALSE),"")</f>
        <v/>
      </c>
      <c r="F130" s="6"/>
      <c r="G130" s="6"/>
      <c r="H130" s="6" t="str">
        <f>IF(G130="","",G130)</f>
        <v/>
      </c>
      <c r="I130" s="3" t="str">
        <f>IF(H130="","",IF(H130&gt;=Setup!B7,"ناجح","إعادة تدريب"))</f>
        <v/>
      </c>
      <c r="J130" s="3"/>
      <c r="K130" s="3"/>
      <c r="L130" s="3"/>
      <c r="M130" s="3"/>
    </row>
    <row r="131" spans="1:13" x14ac:dyDescent="0.2">
      <c r="A131" s="3">
        <v>128</v>
      </c>
      <c r="B131" s="3"/>
      <c r="C131" s="3" t="str">
        <f>IFERROR(VLOOKUP(B131,Sessions!A:J,2,FALSE),"")</f>
        <v/>
      </c>
      <c r="D131" s="3"/>
      <c r="E131" s="3" t="str">
        <f>IFERROR(VLOOKUP(D131,Employees!A:L,2,FALSE),"")</f>
        <v/>
      </c>
      <c r="F131" s="6"/>
      <c r="G131" s="6"/>
      <c r="H131" s="6" t="str">
        <f>IF(G131="","",G131)</f>
        <v/>
      </c>
      <c r="I131" s="3" t="str">
        <f>IF(H131="","",IF(H131&gt;=Setup!B7,"ناجح","إعادة تدريب"))</f>
        <v/>
      </c>
      <c r="J131" s="3"/>
      <c r="K131" s="3"/>
      <c r="L131" s="3"/>
      <c r="M131" s="3"/>
    </row>
    <row r="132" spans="1:13" x14ac:dyDescent="0.2">
      <c r="A132" s="3">
        <v>129</v>
      </c>
      <c r="B132" s="3"/>
      <c r="C132" s="3" t="str">
        <f>IFERROR(VLOOKUP(B132,Sessions!A:J,2,FALSE),"")</f>
        <v/>
      </c>
      <c r="D132" s="3"/>
      <c r="E132" s="3" t="str">
        <f>IFERROR(VLOOKUP(D132,Employees!A:L,2,FALSE),"")</f>
        <v/>
      </c>
      <c r="F132" s="6"/>
      <c r="G132" s="6"/>
      <c r="H132" s="6" t="str">
        <f>IF(G132="","",G132)</f>
        <v/>
      </c>
      <c r="I132" s="3" t="str">
        <f>IF(H132="","",IF(H132&gt;=Setup!B7,"ناجح","إعادة تدريب"))</f>
        <v/>
      </c>
      <c r="J132" s="3"/>
      <c r="K132" s="3"/>
      <c r="L132" s="3"/>
      <c r="M132" s="3"/>
    </row>
    <row r="133" spans="1:13" x14ac:dyDescent="0.2">
      <c r="A133" s="3">
        <v>130</v>
      </c>
      <c r="B133" s="3"/>
      <c r="C133" s="3" t="str">
        <f>IFERROR(VLOOKUP(B133,Sessions!A:J,2,FALSE),"")</f>
        <v/>
      </c>
      <c r="D133" s="3"/>
      <c r="E133" s="3" t="str">
        <f>IFERROR(VLOOKUP(D133,Employees!A:L,2,FALSE),"")</f>
        <v/>
      </c>
      <c r="F133" s="6"/>
      <c r="G133" s="6"/>
      <c r="H133" s="6" t="str">
        <f>IF(G133="","",G133)</f>
        <v/>
      </c>
      <c r="I133" s="3" t="str">
        <f>IF(H133="","",IF(H133&gt;=Setup!B7,"ناجح","إعادة تدريب"))</f>
        <v/>
      </c>
      <c r="J133" s="3"/>
      <c r="K133" s="3"/>
      <c r="L133" s="3"/>
      <c r="M133" s="3"/>
    </row>
    <row r="134" spans="1:13" x14ac:dyDescent="0.2">
      <c r="A134" s="3">
        <v>131</v>
      </c>
      <c r="B134" s="3"/>
      <c r="C134" s="3" t="str">
        <f>IFERROR(VLOOKUP(B134,Sessions!A:J,2,FALSE),"")</f>
        <v/>
      </c>
      <c r="D134" s="3"/>
      <c r="E134" s="3" t="str">
        <f>IFERROR(VLOOKUP(D134,Employees!A:L,2,FALSE),"")</f>
        <v/>
      </c>
      <c r="F134" s="6"/>
      <c r="G134" s="6"/>
      <c r="H134" s="6" t="str">
        <f>IF(G134="","",G134)</f>
        <v/>
      </c>
      <c r="I134" s="3" t="str">
        <f>IF(H134="","",IF(H134&gt;=Setup!B7,"ناجح","إعادة تدريب"))</f>
        <v/>
      </c>
      <c r="J134" s="3"/>
      <c r="K134" s="3"/>
      <c r="L134" s="3"/>
      <c r="M134" s="3"/>
    </row>
    <row r="135" spans="1:13" x14ac:dyDescent="0.2">
      <c r="A135" s="3">
        <v>132</v>
      </c>
      <c r="B135" s="3"/>
      <c r="C135" s="3" t="str">
        <f>IFERROR(VLOOKUP(B135,Sessions!A:J,2,FALSE),"")</f>
        <v/>
      </c>
      <c r="D135" s="3"/>
      <c r="E135" s="3" t="str">
        <f>IFERROR(VLOOKUP(D135,Employees!A:L,2,FALSE),"")</f>
        <v/>
      </c>
      <c r="F135" s="6"/>
      <c r="G135" s="6"/>
      <c r="H135" s="6" t="str">
        <f>IF(G135="","",G135)</f>
        <v/>
      </c>
      <c r="I135" s="3" t="str">
        <f>IF(H135="","",IF(H135&gt;=Setup!B7,"ناجح","إعادة تدريب"))</f>
        <v/>
      </c>
      <c r="J135" s="3"/>
      <c r="K135" s="3"/>
      <c r="L135" s="3"/>
      <c r="M135" s="3"/>
    </row>
    <row r="136" spans="1:13" x14ac:dyDescent="0.2">
      <c r="A136" s="3">
        <v>133</v>
      </c>
      <c r="B136" s="3"/>
      <c r="C136" s="3" t="str">
        <f>IFERROR(VLOOKUP(B136,Sessions!A:J,2,FALSE),"")</f>
        <v/>
      </c>
      <c r="D136" s="3"/>
      <c r="E136" s="3" t="str">
        <f>IFERROR(VLOOKUP(D136,Employees!A:L,2,FALSE),"")</f>
        <v/>
      </c>
      <c r="F136" s="6"/>
      <c r="G136" s="6"/>
      <c r="H136" s="6" t="str">
        <f>IF(G136="","",G136)</f>
        <v/>
      </c>
      <c r="I136" s="3" t="str">
        <f>IF(H136="","",IF(H136&gt;=Setup!B7,"ناجح","إعادة تدريب"))</f>
        <v/>
      </c>
      <c r="J136" s="3"/>
      <c r="K136" s="3"/>
      <c r="L136" s="3"/>
      <c r="M136" s="3"/>
    </row>
    <row r="137" spans="1:13" x14ac:dyDescent="0.2">
      <c r="A137" s="3">
        <v>134</v>
      </c>
      <c r="B137" s="3"/>
      <c r="C137" s="3" t="str">
        <f>IFERROR(VLOOKUP(B137,Sessions!A:J,2,FALSE),"")</f>
        <v/>
      </c>
      <c r="D137" s="3"/>
      <c r="E137" s="3" t="str">
        <f>IFERROR(VLOOKUP(D137,Employees!A:L,2,FALSE),"")</f>
        <v/>
      </c>
      <c r="F137" s="6"/>
      <c r="G137" s="6"/>
      <c r="H137" s="6" t="str">
        <f>IF(G137="","",G137)</f>
        <v/>
      </c>
      <c r="I137" s="3" t="str">
        <f>IF(H137="","",IF(H137&gt;=Setup!B7,"ناجح","إعادة تدريب"))</f>
        <v/>
      </c>
      <c r="J137" s="3"/>
      <c r="K137" s="3"/>
      <c r="L137" s="3"/>
      <c r="M137" s="3"/>
    </row>
    <row r="138" spans="1:13" x14ac:dyDescent="0.2">
      <c r="A138" s="3">
        <v>135</v>
      </c>
      <c r="B138" s="3"/>
      <c r="C138" s="3" t="str">
        <f>IFERROR(VLOOKUP(B138,Sessions!A:J,2,FALSE),"")</f>
        <v/>
      </c>
      <c r="D138" s="3"/>
      <c r="E138" s="3" t="str">
        <f>IFERROR(VLOOKUP(D138,Employees!A:L,2,FALSE),"")</f>
        <v/>
      </c>
      <c r="F138" s="6"/>
      <c r="G138" s="6"/>
      <c r="H138" s="6" t="str">
        <f>IF(G138="","",G138)</f>
        <v/>
      </c>
      <c r="I138" s="3" t="str">
        <f>IF(H138="","",IF(H138&gt;=Setup!B7,"ناجح","إعادة تدريب"))</f>
        <v/>
      </c>
      <c r="J138" s="3"/>
      <c r="K138" s="3"/>
      <c r="L138" s="3"/>
      <c r="M138" s="3"/>
    </row>
    <row r="139" spans="1:13" x14ac:dyDescent="0.2">
      <c r="A139" s="3">
        <v>136</v>
      </c>
      <c r="B139" s="3"/>
      <c r="C139" s="3" t="str">
        <f>IFERROR(VLOOKUP(B139,Sessions!A:J,2,FALSE),"")</f>
        <v/>
      </c>
      <c r="D139" s="3"/>
      <c r="E139" s="3" t="str">
        <f>IFERROR(VLOOKUP(D139,Employees!A:L,2,FALSE),"")</f>
        <v/>
      </c>
      <c r="F139" s="6"/>
      <c r="G139" s="6"/>
      <c r="H139" s="6" t="str">
        <f>IF(G139="","",G139)</f>
        <v/>
      </c>
      <c r="I139" s="3" t="str">
        <f>IF(H139="","",IF(H139&gt;=Setup!B7,"ناجح","إعادة تدريب"))</f>
        <v/>
      </c>
      <c r="J139" s="3"/>
      <c r="K139" s="3"/>
      <c r="L139" s="3"/>
      <c r="M139" s="3"/>
    </row>
    <row r="140" spans="1:13" x14ac:dyDescent="0.2">
      <c r="A140" s="3">
        <v>137</v>
      </c>
      <c r="B140" s="3"/>
      <c r="C140" s="3" t="str">
        <f>IFERROR(VLOOKUP(B140,Sessions!A:J,2,FALSE),"")</f>
        <v/>
      </c>
      <c r="D140" s="3"/>
      <c r="E140" s="3" t="str">
        <f>IFERROR(VLOOKUP(D140,Employees!A:L,2,FALSE),"")</f>
        <v/>
      </c>
      <c r="F140" s="6"/>
      <c r="G140" s="6"/>
      <c r="H140" s="6" t="str">
        <f>IF(G140="","",G140)</f>
        <v/>
      </c>
      <c r="I140" s="3" t="str">
        <f>IF(H140="","",IF(H140&gt;=Setup!B7,"ناجح","إعادة تدريب"))</f>
        <v/>
      </c>
      <c r="J140" s="3"/>
      <c r="K140" s="3"/>
      <c r="L140" s="3"/>
      <c r="M140" s="3"/>
    </row>
    <row r="141" spans="1:13" x14ac:dyDescent="0.2">
      <c r="A141" s="3">
        <v>138</v>
      </c>
      <c r="B141" s="3"/>
      <c r="C141" s="3" t="str">
        <f>IFERROR(VLOOKUP(B141,Sessions!A:J,2,FALSE),"")</f>
        <v/>
      </c>
      <c r="D141" s="3"/>
      <c r="E141" s="3" t="str">
        <f>IFERROR(VLOOKUP(D141,Employees!A:L,2,FALSE),"")</f>
        <v/>
      </c>
      <c r="F141" s="6"/>
      <c r="G141" s="6"/>
      <c r="H141" s="6" t="str">
        <f>IF(G141="","",G141)</f>
        <v/>
      </c>
      <c r="I141" s="3" t="str">
        <f>IF(H141="","",IF(H141&gt;=Setup!B7,"ناجح","إعادة تدريب"))</f>
        <v/>
      </c>
      <c r="J141" s="3"/>
      <c r="K141" s="3"/>
      <c r="L141" s="3"/>
      <c r="M141" s="3"/>
    </row>
    <row r="142" spans="1:13" x14ac:dyDescent="0.2">
      <c r="A142" s="3">
        <v>139</v>
      </c>
      <c r="B142" s="3"/>
      <c r="C142" s="3" t="str">
        <f>IFERROR(VLOOKUP(B142,Sessions!A:J,2,FALSE),"")</f>
        <v/>
      </c>
      <c r="D142" s="3"/>
      <c r="E142" s="3" t="str">
        <f>IFERROR(VLOOKUP(D142,Employees!A:L,2,FALSE),"")</f>
        <v/>
      </c>
      <c r="F142" s="6"/>
      <c r="G142" s="6"/>
      <c r="H142" s="6" t="str">
        <f>IF(G142="","",G142)</f>
        <v/>
      </c>
      <c r="I142" s="3" t="str">
        <f>IF(H142="","",IF(H142&gt;=Setup!B7,"ناجح","إعادة تدريب"))</f>
        <v/>
      </c>
      <c r="J142" s="3"/>
      <c r="K142" s="3"/>
      <c r="L142" s="3"/>
      <c r="M142" s="3"/>
    </row>
    <row r="143" spans="1:13" x14ac:dyDescent="0.2">
      <c r="A143" s="3">
        <v>140</v>
      </c>
      <c r="B143" s="3"/>
      <c r="C143" s="3" t="str">
        <f>IFERROR(VLOOKUP(B143,Sessions!A:J,2,FALSE),"")</f>
        <v/>
      </c>
      <c r="D143" s="3"/>
      <c r="E143" s="3" t="str">
        <f>IFERROR(VLOOKUP(D143,Employees!A:L,2,FALSE),"")</f>
        <v/>
      </c>
      <c r="F143" s="6"/>
      <c r="G143" s="6"/>
      <c r="H143" s="6" t="str">
        <f>IF(G143="","",G143)</f>
        <v/>
      </c>
      <c r="I143" s="3" t="str">
        <f>IF(H143="","",IF(H143&gt;=Setup!B7,"ناجح","إعادة تدريب"))</f>
        <v/>
      </c>
      <c r="J143" s="3"/>
      <c r="K143" s="3"/>
      <c r="L143" s="3"/>
      <c r="M143" s="3"/>
    </row>
    <row r="144" spans="1:13" x14ac:dyDescent="0.2">
      <c r="A144" s="3">
        <v>141</v>
      </c>
      <c r="B144" s="3"/>
      <c r="C144" s="3" t="str">
        <f>IFERROR(VLOOKUP(B144,Sessions!A:J,2,FALSE),"")</f>
        <v/>
      </c>
      <c r="D144" s="3"/>
      <c r="E144" s="3" t="str">
        <f>IFERROR(VLOOKUP(D144,Employees!A:L,2,FALSE),"")</f>
        <v/>
      </c>
      <c r="F144" s="6"/>
      <c r="G144" s="6"/>
      <c r="H144" s="6" t="str">
        <f>IF(G144="","",G144)</f>
        <v/>
      </c>
      <c r="I144" s="3" t="str">
        <f>IF(H144="","",IF(H144&gt;=Setup!B7,"ناجح","إعادة تدريب"))</f>
        <v/>
      </c>
      <c r="J144" s="3"/>
      <c r="K144" s="3"/>
      <c r="L144" s="3"/>
      <c r="M144" s="3"/>
    </row>
    <row r="145" spans="1:13" x14ac:dyDescent="0.2">
      <c r="A145" s="3">
        <v>142</v>
      </c>
      <c r="B145" s="3"/>
      <c r="C145" s="3" t="str">
        <f>IFERROR(VLOOKUP(B145,Sessions!A:J,2,FALSE),"")</f>
        <v/>
      </c>
      <c r="D145" s="3"/>
      <c r="E145" s="3" t="str">
        <f>IFERROR(VLOOKUP(D145,Employees!A:L,2,FALSE),"")</f>
        <v/>
      </c>
      <c r="F145" s="6"/>
      <c r="G145" s="6"/>
      <c r="H145" s="6" t="str">
        <f>IF(G145="","",G145)</f>
        <v/>
      </c>
      <c r="I145" s="3" t="str">
        <f>IF(H145="","",IF(H145&gt;=Setup!B7,"ناجح","إعادة تدريب"))</f>
        <v/>
      </c>
      <c r="J145" s="3"/>
      <c r="K145" s="3"/>
      <c r="L145" s="3"/>
      <c r="M145" s="3"/>
    </row>
    <row r="146" spans="1:13" x14ac:dyDescent="0.2">
      <c r="A146" s="3">
        <v>143</v>
      </c>
      <c r="B146" s="3"/>
      <c r="C146" s="3" t="str">
        <f>IFERROR(VLOOKUP(B146,Sessions!A:J,2,FALSE),"")</f>
        <v/>
      </c>
      <c r="D146" s="3"/>
      <c r="E146" s="3" t="str">
        <f>IFERROR(VLOOKUP(D146,Employees!A:L,2,FALSE),"")</f>
        <v/>
      </c>
      <c r="F146" s="6"/>
      <c r="G146" s="6"/>
      <c r="H146" s="6" t="str">
        <f>IF(G146="","",G146)</f>
        <v/>
      </c>
      <c r="I146" s="3" t="str">
        <f>IF(H146="","",IF(H146&gt;=Setup!B7,"ناجح","إعادة تدريب"))</f>
        <v/>
      </c>
      <c r="J146" s="3"/>
      <c r="K146" s="3"/>
      <c r="L146" s="3"/>
      <c r="M146" s="3"/>
    </row>
    <row r="147" spans="1:13" x14ac:dyDescent="0.2">
      <c r="A147" s="3">
        <v>144</v>
      </c>
      <c r="B147" s="3"/>
      <c r="C147" s="3" t="str">
        <f>IFERROR(VLOOKUP(B147,Sessions!A:J,2,FALSE),"")</f>
        <v/>
      </c>
      <c r="D147" s="3"/>
      <c r="E147" s="3" t="str">
        <f>IFERROR(VLOOKUP(D147,Employees!A:L,2,FALSE),"")</f>
        <v/>
      </c>
      <c r="F147" s="6"/>
      <c r="G147" s="6"/>
      <c r="H147" s="6" t="str">
        <f>IF(G147="","",G147)</f>
        <v/>
      </c>
      <c r="I147" s="3" t="str">
        <f>IF(H147="","",IF(H147&gt;=Setup!B7,"ناجح","إعادة تدريب"))</f>
        <v/>
      </c>
      <c r="J147" s="3"/>
      <c r="K147" s="3"/>
      <c r="L147" s="3"/>
      <c r="M147" s="3"/>
    </row>
    <row r="148" spans="1:13" x14ac:dyDescent="0.2">
      <c r="A148" s="3">
        <v>145</v>
      </c>
      <c r="B148" s="3"/>
      <c r="C148" s="3" t="str">
        <f>IFERROR(VLOOKUP(B148,Sessions!A:J,2,FALSE),"")</f>
        <v/>
      </c>
      <c r="D148" s="3"/>
      <c r="E148" s="3" t="str">
        <f>IFERROR(VLOOKUP(D148,Employees!A:L,2,FALSE),"")</f>
        <v/>
      </c>
      <c r="F148" s="6"/>
      <c r="G148" s="6"/>
      <c r="H148" s="6" t="str">
        <f>IF(G148="","",G148)</f>
        <v/>
      </c>
      <c r="I148" s="3" t="str">
        <f>IF(H148="","",IF(H148&gt;=Setup!B7,"ناجح","إعادة تدريب"))</f>
        <v/>
      </c>
      <c r="J148" s="3"/>
      <c r="K148" s="3"/>
      <c r="L148" s="3"/>
      <c r="M148" s="3"/>
    </row>
    <row r="149" spans="1:13" x14ac:dyDescent="0.2">
      <c r="A149" s="3">
        <v>146</v>
      </c>
      <c r="B149" s="3"/>
      <c r="C149" s="3" t="str">
        <f>IFERROR(VLOOKUP(B149,Sessions!A:J,2,FALSE),"")</f>
        <v/>
      </c>
      <c r="D149" s="3"/>
      <c r="E149" s="3" t="str">
        <f>IFERROR(VLOOKUP(D149,Employees!A:L,2,FALSE),"")</f>
        <v/>
      </c>
      <c r="F149" s="6"/>
      <c r="G149" s="6"/>
      <c r="H149" s="6" t="str">
        <f>IF(G149="","",G149)</f>
        <v/>
      </c>
      <c r="I149" s="3" t="str">
        <f>IF(H149="","",IF(H149&gt;=Setup!B7,"ناجح","إعادة تدريب"))</f>
        <v/>
      </c>
      <c r="J149" s="3"/>
      <c r="K149" s="3"/>
      <c r="L149" s="3"/>
      <c r="M149" s="3"/>
    </row>
    <row r="150" spans="1:13" x14ac:dyDescent="0.2">
      <c r="A150" s="3">
        <v>147</v>
      </c>
      <c r="B150" s="3"/>
      <c r="C150" s="3" t="str">
        <f>IFERROR(VLOOKUP(B150,Sessions!A:J,2,FALSE),"")</f>
        <v/>
      </c>
      <c r="D150" s="3"/>
      <c r="E150" s="3" t="str">
        <f>IFERROR(VLOOKUP(D150,Employees!A:L,2,FALSE),"")</f>
        <v/>
      </c>
      <c r="F150" s="6"/>
      <c r="G150" s="6"/>
      <c r="H150" s="6" t="str">
        <f>IF(G150="","",G150)</f>
        <v/>
      </c>
      <c r="I150" s="3" t="str">
        <f>IF(H150="","",IF(H150&gt;=Setup!B7,"ناجح","إعادة تدريب"))</f>
        <v/>
      </c>
      <c r="J150" s="3"/>
      <c r="K150" s="3"/>
      <c r="L150" s="3"/>
      <c r="M150" s="3"/>
    </row>
    <row r="151" spans="1:13" x14ac:dyDescent="0.2">
      <c r="A151" s="3">
        <v>148</v>
      </c>
      <c r="B151" s="3"/>
      <c r="C151" s="3" t="str">
        <f>IFERROR(VLOOKUP(B151,Sessions!A:J,2,FALSE),"")</f>
        <v/>
      </c>
      <c r="D151" s="3"/>
      <c r="E151" s="3" t="str">
        <f>IFERROR(VLOOKUP(D151,Employees!A:L,2,FALSE),"")</f>
        <v/>
      </c>
      <c r="F151" s="6"/>
      <c r="G151" s="6"/>
      <c r="H151" s="6" t="str">
        <f>IF(G151="","",G151)</f>
        <v/>
      </c>
      <c r="I151" s="3" t="str">
        <f>IF(H151="","",IF(H151&gt;=Setup!B7,"ناجح","إعادة تدريب"))</f>
        <v/>
      </c>
      <c r="J151" s="3"/>
      <c r="K151" s="3"/>
      <c r="L151" s="3"/>
      <c r="M151" s="3"/>
    </row>
    <row r="152" spans="1:13" x14ac:dyDescent="0.2">
      <c r="A152" s="3">
        <v>149</v>
      </c>
      <c r="B152" s="3"/>
      <c r="C152" s="3" t="str">
        <f>IFERROR(VLOOKUP(B152,Sessions!A:J,2,FALSE),"")</f>
        <v/>
      </c>
      <c r="D152" s="3"/>
      <c r="E152" s="3" t="str">
        <f>IFERROR(VLOOKUP(D152,Employees!A:L,2,FALSE),"")</f>
        <v/>
      </c>
      <c r="F152" s="6"/>
      <c r="G152" s="6"/>
      <c r="H152" s="6" t="str">
        <f>IF(G152="","",G152)</f>
        <v/>
      </c>
      <c r="I152" s="3" t="str">
        <f>IF(H152="","",IF(H152&gt;=Setup!B7,"ناجح","إعادة تدريب"))</f>
        <v/>
      </c>
      <c r="J152" s="3"/>
      <c r="K152" s="3"/>
      <c r="L152" s="3"/>
      <c r="M152" s="3"/>
    </row>
    <row r="153" spans="1:13" x14ac:dyDescent="0.2">
      <c r="A153" s="3">
        <v>150</v>
      </c>
      <c r="B153" s="3"/>
      <c r="C153" s="3" t="str">
        <f>IFERROR(VLOOKUP(B153,Sessions!A:J,2,FALSE),"")</f>
        <v/>
      </c>
      <c r="D153" s="3"/>
      <c r="E153" s="3" t="str">
        <f>IFERROR(VLOOKUP(D153,Employees!A:L,2,FALSE),"")</f>
        <v/>
      </c>
      <c r="F153" s="6"/>
      <c r="G153" s="6"/>
      <c r="H153" s="6" t="str">
        <f>IF(G153="","",G153)</f>
        <v/>
      </c>
      <c r="I153" s="3" t="str">
        <f>IF(H153="","",IF(H153&gt;=Setup!B7,"ناجح","إعادة تدريب"))</f>
        <v/>
      </c>
      <c r="J153" s="3"/>
      <c r="K153" s="3"/>
      <c r="L153" s="3"/>
      <c r="M153" s="3"/>
    </row>
    <row r="154" spans="1:13" x14ac:dyDescent="0.2">
      <c r="A154" s="3">
        <v>151</v>
      </c>
      <c r="B154" s="3"/>
      <c r="C154" s="3" t="str">
        <f>IFERROR(VLOOKUP(B154,Sessions!A:J,2,FALSE),"")</f>
        <v/>
      </c>
      <c r="D154" s="3"/>
      <c r="E154" s="3" t="str">
        <f>IFERROR(VLOOKUP(D154,Employees!A:L,2,FALSE),"")</f>
        <v/>
      </c>
      <c r="F154" s="6"/>
      <c r="G154" s="6"/>
      <c r="H154" s="6" t="str">
        <f>IF(G154="","",G154)</f>
        <v/>
      </c>
      <c r="I154" s="3" t="str">
        <f>IF(H154="","",IF(H154&gt;=Setup!B7,"ناجح","إعادة تدريب"))</f>
        <v/>
      </c>
      <c r="J154" s="3"/>
      <c r="K154" s="3"/>
      <c r="L154" s="3"/>
      <c r="M154" s="3"/>
    </row>
    <row r="155" spans="1:13" x14ac:dyDescent="0.2">
      <c r="A155" s="3">
        <v>152</v>
      </c>
      <c r="B155" s="3"/>
      <c r="C155" s="3" t="str">
        <f>IFERROR(VLOOKUP(B155,Sessions!A:J,2,FALSE),"")</f>
        <v/>
      </c>
      <c r="D155" s="3"/>
      <c r="E155" s="3" t="str">
        <f>IFERROR(VLOOKUP(D155,Employees!A:L,2,FALSE),"")</f>
        <v/>
      </c>
      <c r="F155" s="6"/>
      <c r="G155" s="6"/>
      <c r="H155" s="6" t="str">
        <f>IF(G155="","",G155)</f>
        <v/>
      </c>
      <c r="I155" s="3" t="str">
        <f>IF(H155="","",IF(H155&gt;=Setup!B7,"ناجح","إعادة تدريب"))</f>
        <v/>
      </c>
      <c r="J155" s="3"/>
      <c r="K155" s="3"/>
      <c r="L155" s="3"/>
      <c r="M155" s="3"/>
    </row>
    <row r="156" spans="1:13" x14ac:dyDescent="0.2">
      <c r="A156" s="3">
        <v>153</v>
      </c>
      <c r="B156" s="3"/>
      <c r="C156" s="3" t="str">
        <f>IFERROR(VLOOKUP(B156,Sessions!A:J,2,FALSE),"")</f>
        <v/>
      </c>
      <c r="D156" s="3"/>
      <c r="E156" s="3" t="str">
        <f>IFERROR(VLOOKUP(D156,Employees!A:L,2,FALSE),"")</f>
        <v/>
      </c>
      <c r="F156" s="6"/>
      <c r="G156" s="6"/>
      <c r="H156" s="6" t="str">
        <f>IF(G156="","",G156)</f>
        <v/>
      </c>
      <c r="I156" s="3" t="str">
        <f>IF(H156="","",IF(H156&gt;=Setup!B7,"ناجح","إعادة تدريب"))</f>
        <v/>
      </c>
      <c r="J156" s="3"/>
      <c r="K156" s="3"/>
      <c r="L156" s="3"/>
      <c r="M156" s="3"/>
    </row>
    <row r="157" spans="1:13" x14ac:dyDescent="0.2">
      <c r="A157" s="3">
        <v>154</v>
      </c>
      <c r="B157" s="3"/>
      <c r="C157" s="3" t="str">
        <f>IFERROR(VLOOKUP(B157,Sessions!A:J,2,FALSE),"")</f>
        <v/>
      </c>
      <c r="D157" s="3"/>
      <c r="E157" s="3" t="str">
        <f>IFERROR(VLOOKUP(D157,Employees!A:L,2,FALSE),"")</f>
        <v/>
      </c>
      <c r="F157" s="6"/>
      <c r="G157" s="6"/>
      <c r="H157" s="6" t="str">
        <f>IF(G157="","",G157)</f>
        <v/>
      </c>
      <c r="I157" s="3" t="str">
        <f>IF(H157="","",IF(H157&gt;=Setup!B7,"ناجح","إعادة تدريب"))</f>
        <v/>
      </c>
      <c r="J157" s="3"/>
      <c r="K157" s="3"/>
      <c r="L157" s="3"/>
      <c r="M157" s="3"/>
    </row>
    <row r="158" spans="1:13" x14ac:dyDescent="0.2">
      <c r="A158" s="3">
        <v>155</v>
      </c>
      <c r="B158" s="3"/>
      <c r="C158" s="3" t="str">
        <f>IFERROR(VLOOKUP(B158,Sessions!A:J,2,FALSE),"")</f>
        <v/>
      </c>
      <c r="D158" s="3"/>
      <c r="E158" s="3" t="str">
        <f>IFERROR(VLOOKUP(D158,Employees!A:L,2,FALSE),"")</f>
        <v/>
      </c>
      <c r="F158" s="6"/>
      <c r="G158" s="6"/>
      <c r="H158" s="6" t="str">
        <f>IF(G158="","",G158)</f>
        <v/>
      </c>
      <c r="I158" s="3" t="str">
        <f>IF(H158="","",IF(H158&gt;=Setup!B7,"ناجح","إعادة تدريب"))</f>
        <v/>
      </c>
      <c r="J158" s="3"/>
      <c r="K158" s="3"/>
      <c r="L158" s="3"/>
      <c r="M158" s="3"/>
    </row>
    <row r="159" spans="1:13" x14ac:dyDescent="0.2">
      <c r="A159" s="3">
        <v>156</v>
      </c>
      <c r="B159" s="3"/>
      <c r="C159" s="3" t="str">
        <f>IFERROR(VLOOKUP(B159,Sessions!A:J,2,FALSE),"")</f>
        <v/>
      </c>
      <c r="D159" s="3"/>
      <c r="E159" s="3" t="str">
        <f>IFERROR(VLOOKUP(D159,Employees!A:L,2,FALSE),"")</f>
        <v/>
      </c>
      <c r="F159" s="6"/>
      <c r="G159" s="6"/>
      <c r="H159" s="6" t="str">
        <f>IF(G159="","",G159)</f>
        <v/>
      </c>
      <c r="I159" s="3" t="str">
        <f>IF(H159="","",IF(H159&gt;=Setup!B7,"ناجح","إعادة تدريب"))</f>
        <v/>
      </c>
      <c r="J159" s="3"/>
      <c r="K159" s="3"/>
      <c r="L159" s="3"/>
      <c r="M159" s="3"/>
    </row>
    <row r="160" spans="1:13" x14ac:dyDescent="0.2">
      <c r="A160" s="3">
        <v>157</v>
      </c>
      <c r="B160" s="3"/>
      <c r="C160" s="3" t="str">
        <f>IFERROR(VLOOKUP(B160,Sessions!A:J,2,FALSE),"")</f>
        <v/>
      </c>
      <c r="D160" s="3"/>
      <c r="E160" s="3" t="str">
        <f>IFERROR(VLOOKUP(D160,Employees!A:L,2,FALSE),"")</f>
        <v/>
      </c>
      <c r="F160" s="6"/>
      <c r="G160" s="6"/>
      <c r="H160" s="6" t="str">
        <f>IF(G160="","",G160)</f>
        <v/>
      </c>
      <c r="I160" s="3" t="str">
        <f>IF(H160="","",IF(H160&gt;=Setup!B7,"ناجح","إعادة تدريب"))</f>
        <v/>
      </c>
      <c r="J160" s="3"/>
      <c r="K160" s="3"/>
      <c r="L160" s="3"/>
      <c r="M160" s="3"/>
    </row>
    <row r="161" spans="1:13" x14ac:dyDescent="0.2">
      <c r="A161" s="3">
        <v>158</v>
      </c>
      <c r="B161" s="3"/>
      <c r="C161" s="3" t="str">
        <f>IFERROR(VLOOKUP(B161,Sessions!A:J,2,FALSE),"")</f>
        <v/>
      </c>
      <c r="D161" s="3"/>
      <c r="E161" s="3" t="str">
        <f>IFERROR(VLOOKUP(D161,Employees!A:L,2,FALSE),"")</f>
        <v/>
      </c>
      <c r="F161" s="6"/>
      <c r="G161" s="6"/>
      <c r="H161" s="6" t="str">
        <f>IF(G161="","",G161)</f>
        <v/>
      </c>
      <c r="I161" s="3" t="str">
        <f>IF(H161="","",IF(H161&gt;=Setup!B7,"ناجح","إعادة تدريب"))</f>
        <v/>
      </c>
      <c r="J161" s="3"/>
      <c r="K161" s="3"/>
      <c r="L161" s="3"/>
      <c r="M161" s="3"/>
    </row>
    <row r="162" spans="1:13" x14ac:dyDescent="0.2">
      <c r="A162" s="3">
        <v>159</v>
      </c>
      <c r="B162" s="3"/>
      <c r="C162" s="3" t="str">
        <f>IFERROR(VLOOKUP(B162,Sessions!A:J,2,FALSE),"")</f>
        <v/>
      </c>
      <c r="D162" s="3"/>
      <c r="E162" s="3" t="str">
        <f>IFERROR(VLOOKUP(D162,Employees!A:L,2,FALSE),"")</f>
        <v/>
      </c>
      <c r="F162" s="6"/>
      <c r="G162" s="6"/>
      <c r="H162" s="6" t="str">
        <f>IF(G162="","",G162)</f>
        <v/>
      </c>
      <c r="I162" s="3" t="str">
        <f>IF(H162="","",IF(H162&gt;=Setup!B7,"ناجح","إعادة تدريب"))</f>
        <v/>
      </c>
      <c r="J162" s="3"/>
      <c r="K162" s="3"/>
      <c r="L162" s="3"/>
      <c r="M162" s="3"/>
    </row>
    <row r="163" spans="1:13" x14ac:dyDescent="0.2">
      <c r="A163" s="3">
        <v>160</v>
      </c>
      <c r="B163" s="3"/>
      <c r="C163" s="3" t="str">
        <f>IFERROR(VLOOKUP(B163,Sessions!A:J,2,FALSE),"")</f>
        <v/>
      </c>
      <c r="D163" s="3"/>
      <c r="E163" s="3" t="str">
        <f>IFERROR(VLOOKUP(D163,Employees!A:L,2,FALSE),"")</f>
        <v/>
      </c>
      <c r="F163" s="6"/>
      <c r="G163" s="6"/>
      <c r="H163" s="6" t="str">
        <f>IF(G163="","",G163)</f>
        <v/>
      </c>
      <c r="I163" s="3" t="str">
        <f>IF(H163="","",IF(H163&gt;=Setup!B7,"ناجح","إعادة تدريب"))</f>
        <v/>
      </c>
      <c r="J163" s="3"/>
      <c r="K163" s="3"/>
      <c r="L163" s="3"/>
      <c r="M163" s="3"/>
    </row>
    <row r="164" spans="1:13" x14ac:dyDescent="0.2">
      <c r="A164" s="3">
        <v>161</v>
      </c>
      <c r="B164" s="3"/>
      <c r="C164" s="3" t="str">
        <f>IFERROR(VLOOKUP(B164,Sessions!A:J,2,FALSE),"")</f>
        <v/>
      </c>
      <c r="D164" s="3"/>
      <c r="E164" s="3" t="str">
        <f>IFERROR(VLOOKUP(D164,Employees!A:L,2,FALSE),"")</f>
        <v/>
      </c>
      <c r="F164" s="6"/>
      <c r="G164" s="6"/>
      <c r="H164" s="6" t="str">
        <f>IF(G164="","",G164)</f>
        <v/>
      </c>
      <c r="I164" s="3" t="str">
        <f>IF(H164="","",IF(H164&gt;=Setup!B7,"ناجح","إعادة تدريب"))</f>
        <v/>
      </c>
      <c r="J164" s="3"/>
      <c r="K164" s="3"/>
      <c r="L164" s="3"/>
      <c r="M164" s="3"/>
    </row>
    <row r="165" spans="1:13" x14ac:dyDescent="0.2">
      <c r="A165" s="3">
        <v>162</v>
      </c>
      <c r="B165" s="3"/>
      <c r="C165" s="3" t="str">
        <f>IFERROR(VLOOKUP(B165,Sessions!A:J,2,FALSE),"")</f>
        <v/>
      </c>
      <c r="D165" s="3"/>
      <c r="E165" s="3" t="str">
        <f>IFERROR(VLOOKUP(D165,Employees!A:L,2,FALSE),"")</f>
        <v/>
      </c>
      <c r="F165" s="6"/>
      <c r="G165" s="6"/>
      <c r="H165" s="6" t="str">
        <f>IF(G165="","",G165)</f>
        <v/>
      </c>
      <c r="I165" s="3" t="str">
        <f>IF(H165="","",IF(H165&gt;=Setup!B7,"ناجح","إعادة تدريب"))</f>
        <v/>
      </c>
      <c r="J165" s="3"/>
      <c r="K165" s="3"/>
      <c r="L165" s="3"/>
      <c r="M165" s="3"/>
    </row>
    <row r="166" spans="1:13" x14ac:dyDescent="0.2">
      <c r="A166" s="3">
        <v>163</v>
      </c>
      <c r="B166" s="3"/>
      <c r="C166" s="3" t="str">
        <f>IFERROR(VLOOKUP(B166,Sessions!A:J,2,FALSE),"")</f>
        <v/>
      </c>
      <c r="D166" s="3"/>
      <c r="E166" s="3" t="str">
        <f>IFERROR(VLOOKUP(D166,Employees!A:L,2,FALSE),"")</f>
        <v/>
      </c>
      <c r="F166" s="6"/>
      <c r="G166" s="6"/>
      <c r="H166" s="6" t="str">
        <f>IF(G166="","",G166)</f>
        <v/>
      </c>
      <c r="I166" s="3" t="str">
        <f>IF(H166="","",IF(H166&gt;=Setup!B7,"ناجح","إعادة تدريب"))</f>
        <v/>
      </c>
      <c r="J166" s="3"/>
      <c r="K166" s="3"/>
      <c r="L166" s="3"/>
      <c r="M166" s="3"/>
    </row>
    <row r="167" spans="1:13" x14ac:dyDescent="0.2">
      <c r="A167" s="3">
        <v>164</v>
      </c>
      <c r="B167" s="3"/>
      <c r="C167" s="3" t="str">
        <f>IFERROR(VLOOKUP(B167,Sessions!A:J,2,FALSE),"")</f>
        <v/>
      </c>
      <c r="D167" s="3"/>
      <c r="E167" s="3" t="str">
        <f>IFERROR(VLOOKUP(D167,Employees!A:L,2,FALSE),"")</f>
        <v/>
      </c>
      <c r="F167" s="6"/>
      <c r="G167" s="6"/>
      <c r="H167" s="6" t="str">
        <f>IF(G167="","",G167)</f>
        <v/>
      </c>
      <c r="I167" s="3" t="str">
        <f>IF(H167="","",IF(H167&gt;=Setup!B7,"ناجح","إعادة تدريب"))</f>
        <v/>
      </c>
      <c r="J167" s="3"/>
      <c r="K167" s="3"/>
      <c r="L167" s="3"/>
      <c r="M167" s="3"/>
    </row>
    <row r="168" spans="1:13" x14ac:dyDescent="0.2">
      <c r="A168" s="3">
        <v>165</v>
      </c>
      <c r="B168" s="3"/>
      <c r="C168" s="3" t="str">
        <f>IFERROR(VLOOKUP(B168,Sessions!A:J,2,FALSE),"")</f>
        <v/>
      </c>
      <c r="D168" s="3"/>
      <c r="E168" s="3" t="str">
        <f>IFERROR(VLOOKUP(D168,Employees!A:L,2,FALSE),"")</f>
        <v/>
      </c>
      <c r="F168" s="6"/>
      <c r="G168" s="6"/>
      <c r="H168" s="6" t="str">
        <f>IF(G168="","",G168)</f>
        <v/>
      </c>
      <c r="I168" s="3" t="str">
        <f>IF(H168="","",IF(H168&gt;=Setup!B7,"ناجح","إعادة تدريب"))</f>
        <v/>
      </c>
      <c r="J168" s="3"/>
      <c r="K168" s="3"/>
      <c r="L168" s="3"/>
      <c r="M168" s="3"/>
    </row>
    <row r="169" spans="1:13" x14ac:dyDescent="0.2">
      <c r="A169" s="3">
        <v>166</v>
      </c>
      <c r="B169" s="3"/>
      <c r="C169" s="3" t="str">
        <f>IFERROR(VLOOKUP(B169,Sessions!A:J,2,FALSE),"")</f>
        <v/>
      </c>
      <c r="D169" s="3"/>
      <c r="E169" s="3" t="str">
        <f>IFERROR(VLOOKUP(D169,Employees!A:L,2,FALSE),"")</f>
        <v/>
      </c>
      <c r="F169" s="6"/>
      <c r="G169" s="6"/>
      <c r="H169" s="6" t="str">
        <f>IF(G169="","",G169)</f>
        <v/>
      </c>
      <c r="I169" s="3" t="str">
        <f>IF(H169="","",IF(H169&gt;=Setup!B7,"ناجح","إعادة تدريب"))</f>
        <v/>
      </c>
      <c r="J169" s="3"/>
      <c r="K169" s="3"/>
      <c r="L169" s="3"/>
      <c r="M169" s="3"/>
    </row>
    <row r="170" spans="1:13" x14ac:dyDescent="0.2">
      <c r="A170" s="3">
        <v>167</v>
      </c>
      <c r="B170" s="3"/>
      <c r="C170" s="3" t="str">
        <f>IFERROR(VLOOKUP(B170,Sessions!A:J,2,FALSE),"")</f>
        <v/>
      </c>
      <c r="D170" s="3"/>
      <c r="E170" s="3" t="str">
        <f>IFERROR(VLOOKUP(D170,Employees!A:L,2,FALSE),"")</f>
        <v/>
      </c>
      <c r="F170" s="6"/>
      <c r="G170" s="6"/>
      <c r="H170" s="6" t="str">
        <f>IF(G170="","",G170)</f>
        <v/>
      </c>
      <c r="I170" s="3" t="str">
        <f>IF(H170="","",IF(H170&gt;=Setup!B7,"ناجح","إعادة تدريب"))</f>
        <v/>
      </c>
      <c r="J170" s="3"/>
      <c r="K170" s="3"/>
      <c r="L170" s="3"/>
      <c r="M170" s="3"/>
    </row>
    <row r="171" spans="1:13" x14ac:dyDescent="0.2">
      <c r="A171" s="3">
        <v>168</v>
      </c>
      <c r="B171" s="3"/>
      <c r="C171" s="3" t="str">
        <f>IFERROR(VLOOKUP(B171,Sessions!A:J,2,FALSE),"")</f>
        <v/>
      </c>
      <c r="D171" s="3"/>
      <c r="E171" s="3" t="str">
        <f>IFERROR(VLOOKUP(D171,Employees!A:L,2,FALSE),"")</f>
        <v/>
      </c>
      <c r="F171" s="6"/>
      <c r="G171" s="6"/>
      <c r="H171" s="6" t="str">
        <f>IF(G171="","",G171)</f>
        <v/>
      </c>
      <c r="I171" s="3" t="str">
        <f>IF(H171="","",IF(H171&gt;=Setup!B7,"ناجح","إعادة تدريب"))</f>
        <v/>
      </c>
      <c r="J171" s="3"/>
      <c r="K171" s="3"/>
      <c r="L171" s="3"/>
      <c r="M171" s="3"/>
    </row>
    <row r="172" spans="1:13" x14ac:dyDescent="0.2">
      <c r="A172" s="3">
        <v>169</v>
      </c>
      <c r="B172" s="3"/>
      <c r="C172" s="3" t="str">
        <f>IFERROR(VLOOKUP(B172,Sessions!A:J,2,FALSE),"")</f>
        <v/>
      </c>
      <c r="D172" s="3"/>
      <c r="E172" s="3" t="str">
        <f>IFERROR(VLOOKUP(D172,Employees!A:L,2,FALSE),"")</f>
        <v/>
      </c>
      <c r="F172" s="6"/>
      <c r="G172" s="6"/>
      <c r="H172" s="6" t="str">
        <f>IF(G172="","",G172)</f>
        <v/>
      </c>
      <c r="I172" s="3" t="str">
        <f>IF(H172="","",IF(H172&gt;=Setup!B7,"ناجح","إعادة تدريب"))</f>
        <v/>
      </c>
      <c r="J172" s="3"/>
      <c r="K172" s="3"/>
      <c r="L172" s="3"/>
      <c r="M172" s="3"/>
    </row>
    <row r="173" spans="1:13" x14ac:dyDescent="0.2">
      <c r="A173" s="3">
        <v>170</v>
      </c>
      <c r="B173" s="3"/>
      <c r="C173" s="3" t="str">
        <f>IFERROR(VLOOKUP(B173,Sessions!A:J,2,FALSE),"")</f>
        <v/>
      </c>
      <c r="D173" s="3"/>
      <c r="E173" s="3" t="str">
        <f>IFERROR(VLOOKUP(D173,Employees!A:L,2,FALSE),"")</f>
        <v/>
      </c>
      <c r="F173" s="6"/>
      <c r="G173" s="6"/>
      <c r="H173" s="6" t="str">
        <f>IF(G173="","",G173)</f>
        <v/>
      </c>
      <c r="I173" s="3" t="str">
        <f>IF(H173="","",IF(H173&gt;=Setup!B7,"ناجح","إعادة تدريب"))</f>
        <v/>
      </c>
      <c r="J173" s="3"/>
      <c r="K173" s="3"/>
      <c r="L173" s="3"/>
      <c r="M173" s="3"/>
    </row>
    <row r="174" spans="1:13" x14ac:dyDescent="0.2">
      <c r="A174" s="3">
        <v>171</v>
      </c>
      <c r="B174" s="3"/>
      <c r="C174" s="3" t="str">
        <f>IFERROR(VLOOKUP(B174,Sessions!A:J,2,FALSE),"")</f>
        <v/>
      </c>
      <c r="D174" s="3"/>
      <c r="E174" s="3" t="str">
        <f>IFERROR(VLOOKUP(D174,Employees!A:L,2,FALSE),"")</f>
        <v/>
      </c>
      <c r="F174" s="6"/>
      <c r="G174" s="6"/>
      <c r="H174" s="6" t="str">
        <f>IF(G174="","",G174)</f>
        <v/>
      </c>
      <c r="I174" s="3" t="str">
        <f>IF(H174="","",IF(H174&gt;=Setup!B7,"ناجح","إعادة تدريب"))</f>
        <v/>
      </c>
      <c r="J174" s="3"/>
      <c r="K174" s="3"/>
      <c r="L174" s="3"/>
      <c r="M174" s="3"/>
    </row>
    <row r="175" spans="1:13" x14ac:dyDescent="0.2">
      <c r="A175" s="3">
        <v>172</v>
      </c>
      <c r="B175" s="3"/>
      <c r="C175" s="3" t="str">
        <f>IFERROR(VLOOKUP(B175,Sessions!A:J,2,FALSE),"")</f>
        <v/>
      </c>
      <c r="D175" s="3"/>
      <c r="E175" s="3" t="str">
        <f>IFERROR(VLOOKUP(D175,Employees!A:L,2,FALSE),"")</f>
        <v/>
      </c>
      <c r="F175" s="6"/>
      <c r="G175" s="6"/>
      <c r="H175" s="6" t="str">
        <f>IF(G175="","",G175)</f>
        <v/>
      </c>
      <c r="I175" s="3" t="str">
        <f>IF(H175="","",IF(H175&gt;=Setup!B7,"ناجح","إعادة تدريب"))</f>
        <v/>
      </c>
      <c r="J175" s="3"/>
      <c r="K175" s="3"/>
      <c r="L175" s="3"/>
      <c r="M175" s="3"/>
    </row>
    <row r="176" spans="1:13" x14ac:dyDescent="0.2">
      <c r="A176" s="3">
        <v>173</v>
      </c>
      <c r="B176" s="3"/>
      <c r="C176" s="3" t="str">
        <f>IFERROR(VLOOKUP(B176,Sessions!A:J,2,FALSE),"")</f>
        <v/>
      </c>
      <c r="D176" s="3"/>
      <c r="E176" s="3" t="str">
        <f>IFERROR(VLOOKUP(D176,Employees!A:L,2,FALSE),"")</f>
        <v/>
      </c>
      <c r="F176" s="6"/>
      <c r="G176" s="6"/>
      <c r="H176" s="6" t="str">
        <f>IF(G176="","",G176)</f>
        <v/>
      </c>
      <c r="I176" s="3" t="str">
        <f>IF(H176="","",IF(H176&gt;=Setup!B7,"ناجح","إعادة تدريب"))</f>
        <v/>
      </c>
      <c r="J176" s="3"/>
      <c r="K176" s="3"/>
      <c r="L176" s="3"/>
      <c r="M176" s="3"/>
    </row>
    <row r="177" spans="1:13" x14ac:dyDescent="0.2">
      <c r="A177" s="3">
        <v>174</v>
      </c>
      <c r="B177" s="3"/>
      <c r="C177" s="3" t="str">
        <f>IFERROR(VLOOKUP(B177,Sessions!A:J,2,FALSE),"")</f>
        <v/>
      </c>
      <c r="D177" s="3"/>
      <c r="E177" s="3" t="str">
        <f>IFERROR(VLOOKUP(D177,Employees!A:L,2,FALSE),"")</f>
        <v/>
      </c>
      <c r="F177" s="6"/>
      <c r="G177" s="6"/>
      <c r="H177" s="6" t="str">
        <f>IF(G177="","",G177)</f>
        <v/>
      </c>
      <c r="I177" s="3" t="str">
        <f>IF(H177="","",IF(H177&gt;=Setup!B7,"ناجح","إعادة تدريب"))</f>
        <v/>
      </c>
      <c r="J177" s="3"/>
      <c r="K177" s="3"/>
      <c r="L177" s="3"/>
      <c r="M177" s="3"/>
    </row>
    <row r="178" spans="1:13" x14ac:dyDescent="0.2">
      <c r="A178" s="3">
        <v>175</v>
      </c>
      <c r="B178" s="3"/>
      <c r="C178" s="3" t="str">
        <f>IFERROR(VLOOKUP(B178,Sessions!A:J,2,FALSE),"")</f>
        <v/>
      </c>
      <c r="D178" s="3"/>
      <c r="E178" s="3" t="str">
        <f>IFERROR(VLOOKUP(D178,Employees!A:L,2,FALSE),"")</f>
        <v/>
      </c>
      <c r="F178" s="6"/>
      <c r="G178" s="6"/>
      <c r="H178" s="6" t="str">
        <f>IF(G178="","",G178)</f>
        <v/>
      </c>
      <c r="I178" s="3" t="str">
        <f>IF(H178="","",IF(H178&gt;=Setup!B7,"ناجح","إعادة تدريب"))</f>
        <v/>
      </c>
      <c r="J178" s="3"/>
      <c r="K178" s="3"/>
      <c r="L178" s="3"/>
      <c r="M178" s="3"/>
    </row>
    <row r="179" spans="1:13" x14ac:dyDescent="0.2">
      <c r="A179" s="3">
        <v>176</v>
      </c>
      <c r="B179" s="3"/>
      <c r="C179" s="3" t="str">
        <f>IFERROR(VLOOKUP(B179,Sessions!A:J,2,FALSE),"")</f>
        <v/>
      </c>
      <c r="D179" s="3"/>
      <c r="E179" s="3" t="str">
        <f>IFERROR(VLOOKUP(D179,Employees!A:L,2,FALSE),"")</f>
        <v/>
      </c>
      <c r="F179" s="6"/>
      <c r="G179" s="6"/>
      <c r="H179" s="6" t="str">
        <f>IF(G179="","",G179)</f>
        <v/>
      </c>
      <c r="I179" s="3" t="str">
        <f>IF(H179="","",IF(H179&gt;=Setup!B7,"ناجح","إعادة تدريب"))</f>
        <v/>
      </c>
      <c r="J179" s="3"/>
      <c r="K179" s="3"/>
      <c r="L179" s="3"/>
      <c r="M179" s="3"/>
    </row>
    <row r="180" spans="1:13" x14ac:dyDescent="0.2">
      <c r="A180" s="3">
        <v>177</v>
      </c>
      <c r="B180" s="3"/>
      <c r="C180" s="3" t="str">
        <f>IFERROR(VLOOKUP(B180,Sessions!A:J,2,FALSE),"")</f>
        <v/>
      </c>
      <c r="D180" s="3"/>
      <c r="E180" s="3" t="str">
        <f>IFERROR(VLOOKUP(D180,Employees!A:L,2,FALSE),"")</f>
        <v/>
      </c>
      <c r="F180" s="6"/>
      <c r="G180" s="6"/>
      <c r="H180" s="6" t="str">
        <f>IF(G180="","",G180)</f>
        <v/>
      </c>
      <c r="I180" s="3" t="str">
        <f>IF(H180="","",IF(H180&gt;=Setup!B7,"ناجح","إعادة تدريب"))</f>
        <v/>
      </c>
      <c r="J180" s="3"/>
      <c r="K180" s="3"/>
      <c r="L180" s="3"/>
      <c r="M180" s="3"/>
    </row>
    <row r="181" spans="1:13" x14ac:dyDescent="0.2">
      <c r="A181" s="3">
        <v>178</v>
      </c>
      <c r="B181" s="3"/>
      <c r="C181" s="3" t="str">
        <f>IFERROR(VLOOKUP(B181,Sessions!A:J,2,FALSE),"")</f>
        <v/>
      </c>
      <c r="D181" s="3"/>
      <c r="E181" s="3" t="str">
        <f>IFERROR(VLOOKUP(D181,Employees!A:L,2,FALSE),"")</f>
        <v/>
      </c>
      <c r="F181" s="6"/>
      <c r="G181" s="6"/>
      <c r="H181" s="6" t="str">
        <f>IF(G181="","",G181)</f>
        <v/>
      </c>
      <c r="I181" s="3" t="str">
        <f>IF(H181="","",IF(H181&gt;=Setup!B7,"ناجح","إعادة تدريب"))</f>
        <v/>
      </c>
      <c r="J181" s="3"/>
      <c r="K181" s="3"/>
      <c r="L181" s="3"/>
      <c r="M181" s="3"/>
    </row>
    <row r="182" spans="1:13" x14ac:dyDescent="0.2">
      <c r="A182" s="3">
        <v>179</v>
      </c>
      <c r="B182" s="3"/>
      <c r="C182" s="3" t="str">
        <f>IFERROR(VLOOKUP(B182,Sessions!A:J,2,FALSE),"")</f>
        <v/>
      </c>
      <c r="D182" s="3"/>
      <c r="E182" s="3" t="str">
        <f>IFERROR(VLOOKUP(D182,Employees!A:L,2,FALSE),"")</f>
        <v/>
      </c>
      <c r="F182" s="6"/>
      <c r="G182" s="6"/>
      <c r="H182" s="6" t="str">
        <f>IF(G182="","",G182)</f>
        <v/>
      </c>
      <c r="I182" s="3" t="str">
        <f>IF(H182="","",IF(H182&gt;=Setup!B7,"ناجح","إعادة تدريب"))</f>
        <v/>
      </c>
      <c r="J182" s="3"/>
      <c r="K182" s="3"/>
      <c r="L182" s="3"/>
      <c r="M182" s="3"/>
    </row>
    <row r="183" spans="1:13" x14ac:dyDescent="0.2">
      <c r="A183" s="3">
        <v>180</v>
      </c>
      <c r="B183" s="3"/>
      <c r="C183" s="3" t="str">
        <f>IFERROR(VLOOKUP(B183,Sessions!A:J,2,FALSE),"")</f>
        <v/>
      </c>
      <c r="D183" s="3"/>
      <c r="E183" s="3" t="str">
        <f>IFERROR(VLOOKUP(D183,Employees!A:L,2,FALSE),"")</f>
        <v/>
      </c>
      <c r="F183" s="6"/>
      <c r="G183" s="6"/>
      <c r="H183" s="6" t="str">
        <f>IF(G183="","",G183)</f>
        <v/>
      </c>
      <c r="I183" s="3" t="str">
        <f>IF(H183="","",IF(H183&gt;=Setup!B7,"ناجح","إعادة تدريب"))</f>
        <v/>
      </c>
      <c r="J183" s="3"/>
      <c r="K183" s="3"/>
      <c r="L183" s="3"/>
      <c r="M183" s="3"/>
    </row>
    <row r="184" spans="1:13" x14ac:dyDescent="0.2">
      <c r="A184" s="3">
        <v>181</v>
      </c>
      <c r="B184" s="3"/>
      <c r="C184" s="3" t="str">
        <f>IFERROR(VLOOKUP(B184,Sessions!A:J,2,FALSE),"")</f>
        <v/>
      </c>
      <c r="D184" s="3"/>
      <c r="E184" s="3" t="str">
        <f>IFERROR(VLOOKUP(D184,Employees!A:L,2,FALSE),"")</f>
        <v/>
      </c>
      <c r="F184" s="6"/>
      <c r="G184" s="6"/>
      <c r="H184" s="6" t="str">
        <f>IF(G184="","",G184)</f>
        <v/>
      </c>
      <c r="I184" s="3" t="str">
        <f>IF(H184="","",IF(H184&gt;=Setup!B7,"ناجح","إعادة تدريب"))</f>
        <v/>
      </c>
      <c r="J184" s="3"/>
      <c r="K184" s="3"/>
      <c r="L184" s="3"/>
      <c r="M184" s="3"/>
    </row>
    <row r="185" spans="1:13" x14ac:dyDescent="0.2">
      <c r="A185" s="3">
        <v>182</v>
      </c>
      <c r="B185" s="3"/>
      <c r="C185" s="3" t="str">
        <f>IFERROR(VLOOKUP(B185,Sessions!A:J,2,FALSE),"")</f>
        <v/>
      </c>
      <c r="D185" s="3"/>
      <c r="E185" s="3" t="str">
        <f>IFERROR(VLOOKUP(D185,Employees!A:L,2,FALSE),"")</f>
        <v/>
      </c>
      <c r="F185" s="6"/>
      <c r="G185" s="6"/>
      <c r="H185" s="6" t="str">
        <f>IF(G185="","",G185)</f>
        <v/>
      </c>
      <c r="I185" s="3" t="str">
        <f>IF(H185="","",IF(H185&gt;=Setup!B7,"ناجح","إعادة تدريب"))</f>
        <v/>
      </c>
      <c r="J185" s="3"/>
      <c r="K185" s="3"/>
      <c r="L185" s="3"/>
      <c r="M185" s="3"/>
    </row>
    <row r="186" spans="1:13" x14ac:dyDescent="0.2">
      <c r="A186" s="3">
        <v>183</v>
      </c>
      <c r="B186" s="3"/>
      <c r="C186" s="3" t="str">
        <f>IFERROR(VLOOKUP(B186,Sessions!A:J,2,FALSE),"")</f>
        <v/>
      </c>
      <c r="D186" s="3"/>
      <c r="E186" s="3" t="str">
        <f>IFERROR(VLOOKUP(D186,Employees!A:L,2,FALSE),"")</f>
        <v/>
      </c>
      <c r="F186" s="6"/>
      <c r="G186" s="6"/>
      <c r="H186" s="6" t="str">
        <f>IF(G186="","",G186)</f>
        <v/>
      </c>
      <c r="I186" s="3" t="str">
        <f>IF(H186="","",IF(H186&gt;=Setup!B7,"ناجح","إعادة تدريب"))</f>
        <v/>
      </c>
      <c r="J186" s="3"/>
      <c r="K186" s="3"/>
      <c r="L186" s="3"/>
      <c r="M186" s="3"/>
    </row>
    <row r="187" spans="1:13" x14ac:dyDescent="0.2">
      <c r="A187" s="3">
        <v>184</v>
      </c>
      <c r="B187" s="3"/>
      <c r="C187" s="3" t="str">
        <f>IFERROR(VLOOKUP(B187,Sessions!A:J,2,FALSE),"")</f>
        <v/>
      </c>
      <c r="D187" s="3"/>
      <c r="E187" s="3" t="str">
        <f>IFERROR(VLOOKUP(D187,Employees!A:L,2,FALSE),"")</f>
        <v/>
      </c>
      <c r="F187" s="6"/>
      <c r="G187" s="6"/>
      <c r="H187" s="6" t="str">
        <f>IF(G187="","",G187)</f>
        <v/>
      </c>
      <c r="I187" s="3" t="str">
        <f>IF(H187="","",IF(H187&gt;=Setup!B7,"ناجح","إعادة تدريب"))</f>
        <v/>
      </c>
      <c r="J187" s="3"/>
      <c r="K187" s="3"/>
      <c r="L187" s="3"/>
      <c r="M187" s="3"/>
    </row>
    <row r="188" spans="1:13" x14ac:dyDescent="0.2">
      <c r="A188" s="3">
        <v>185</v>
      </c>
      <c r="B188" s="3"/>
      <c r="C188" s="3" t="str">
        <f>IFERROR(VLOOKUP(B188,Sessions!A:J,2,FALSE),"")</f>
        <v/>
      </c>
      <c r="D188" s="3"/>
      <c r="E188" s="3" t="str">
        <f>IFERROR(VLOOKUP(D188,Employees!A:L,2,FALSE),"")</f>
        <v/>
      </c>
      <c r="F188" s="6"/>
      <c r="G188" s="6"/>
      <c r="H188" s="6" t="str">
        <f>IF(G188="","",G188)</f>
        <v/>
      </c>
      <c r="I188" s="3" t="str">
        <f>IF(H188="","",IF(H188&gt;=Setup!B7,"ناجح","إعادة تدريب"))</f>
        <v/>
      </c>
      <c r="J188" s="3"/>
      <c r="K188" s="3"/>
      <c r="L188" s="3"/>
      <c r="M188" s="3"/>
    </row>
    <row r="189" spans="1:13" x14ac:dyDescent="0.2">
      <c r="A189" s="3">
        <v>186</v>
      </c>
      <c r="B189" s="3"/>
      <c r="C189" s="3" t="str">
        <f>IFERROR(VLOOKUP(B189,Sessions!A:J,2,FALSE),"")</f>
        <v/>
      </c>
      <c r="D189" s="3"/>
      <c r="E189" s="3" t="str">
        <f>IFERROR(VLOOKUP(D189,Employees!A:L,2,FALSE),"")</f>
        <v/>
      </c>
      <c r="F189" s="6"/>
      <c r="G189" s="6"/>
      <c r="H189" s="6" t="str">
        <f>IF(G189="","",G189)</f>
        <v/>
      </c>
      <c r="I189" s="3" t="str">
        <f>IF(H189="","",IF(H189&gt;=Setup!B7,"ناجح","إعادة تدريب"))</f>
        <v/>
      </c>
      <c r="J189" s="3"/>
      <c r="K189" s="3"/>
      <c r="L189" s="3"/>
      <c r="M189" s="3"/>
    </row>
    <row r="190" spans="1:13" x14ac:dyDescent="0.2">
      <c r="A190" s="3">
        <v>187</v>
      </c>
      <c r="B190" s="3"/>
      <c r="C190" s="3" t="str">
        <f>IFERROR(VLOOKUP(B190,Sessions!A:J,2,FALSE),"")</f>
        <v/>
      </c>
      <c r="D190" s="3"/>
      <c r="E190" s="3" t="str">
        <f>IFERROR(VLOOKUP(D190,Employees!A:L,2,FALSE),"")</f>
        <v/>
      </c>
      <c r="F190" s="6"/>
      <c r="G190" s="6"/>
      <c r="H190" s="6" t="str">
        <f>IF(G190="","",G190)</f>
        <v/>
      </c>
      <c r="I190" s="3" t="str">
        <f>IF(H190="","",IF(H190&gt;=Setup!B7,"ناجح","إعادة تدريب"))</f>
        <v/>
      </c>
      <c r="J190" s="3"/>
      <c r="K190" s="3"/>
      <c r="L190" s="3"/>
      <c r="M190" s="3"/>
    </row>
    <row r="191" spans="1:13" x14ac:dyDescent="0.2">
      <c r="A191" s="3">
        <v>188</v>
      </c>
      <c r="B191" s="3"/>
      <c r="C191" s="3" t="str">
        <f>IFERROR(VLOOKUP(B191,Sessions!A:J,2,FALSE),"")</f>
        <v/>
      </c>
      <c r="D191" s="3"/>
      <c r="E191" s="3" t="str">
        <f>IFERROR(VLOOKUP(D191,Employees!A:L,2,FALSE),"")</f>
        <v/>
      </c>
      <c r="F191" s="6"/>
      <c r="G191" s="6"/>
      <c r="H191" s="6" t="str">
        <f>IF(G191="","",G191)</f>
        <v/>
      </c>
      <c r="I191" s="3" t="str">
        <f>IF(H191="","",IF(H191&gt;=Setup!B7,"ناجح","إعادة تدريب"))</f>
        <v/>
      </c>
      <c r="J191" s="3"/>
      <c r="K191" s="3"/>
      <c r="L191" s="3"/>
      <c r="M191" s="3"/>
    </row>
    <row r="192" spans="1:13" x14ac:dyDescent="0.2">
      <c r="A192" s="3">
        <v>189</v>
      </c>
      <c r="B192" s="3"/>
      <c r="C192" s="3" t="str">
        <f>IFERROR(VLOOKUP(B192,Sessions!A:J,2,FALSE),"")</f>
        <v/>
      </c>
      <c r="D192" s="3"/>
      <c r="E192" s="3" t="str">
        <f>IFERROR(VLOOKUP(D192,Employees!A:L,2,FALSE),"")</f>
        <v/>
      </c>
      <c r="F192" s="6"/>
      <c r="G192" s="6"/>
      <c r="H192" s="6" t="str">
        <f>IF(G192="","",G192)</f>
        <v/>
      </c>
      <c r="I192" s="3" t="str">
        <f>IF(H192="","",IF(H192&gt;=Setup!B7,"ناجح","إعادة تدريب"))</f>
        <v/>
      </c>
      <c r="J192" s="3"/>
      <c r="K192" s="3"/>
      <c r="L192" s="3"/>
      <c r="M192" s="3"/>
    </row>
    <row r="193" spans="1:13" x14ac:dyDescent="0.2">
      <c r="A193" s="3">
        <v>190</v>
      </c>
      <c r="B193" s="3"/>
      <c r="C193" s="3" t="str">
        <f>IFERROR(VLOOKUP(B193,Sessions!A:J,2,FALSE),"")</f>
        <v/>
      </c>
      <c r="D193" s="3"/>
      <c r="E193" s="3" t="str">
        <f>IFERROR(VLOOKUP(D193,Employees!A:L,2,FALSE),"")</f>
        <v/>
      </c>
      <c r="F193" s="6"/>
      <c r="G193" s="6"/>
      <c r="H193" s="6" t="str">
        <f>IF(G193="","",G193)</f>
        <v/>
      </c>
      <c r="I193" s="3" t="str">
        <f>IF(H193="","",IF(H193&gt;=Setup!B7,"ناجح","إعادة تدريب"))</f>
        <v/>
      </c>
      <c r="J193" s="3"/>
      <c r="K193" s="3"/>
      <c r="L193" s="3"/>
      <c r="M193" s="3"/>
    </row>
    <row r="194" spans="1:13" x14ac:dyDescent="0.2">
      <c r="A194" s="3">
        <v>191</v>
      </c>
      <c r="B194" s="3"/>
      <c r="C194" s="3" t="str">
        <f>IFERROR(VLOOKUP(B194,Sessions!A:J,2,FALSE),"")</f>
        <v/>
      </c>
      <c r="D194" s="3"/>
      <c r="E194" s="3" t="str">
        <f>IFERROR(VLOOKUP(D194,Employees!A:L,2,FALSE),"")</f>
        <v/>
      </c>
      <c r="F194" s="6"/>
      <c r="G194" s="6"/>
      <c r="H194" s="6" t="str">
        <f>IF(G194="","",G194)</f>
        <v/>
      </c>
      <c r="I194" s="3" t="str">
        <f>IF(H194="","",IF(H194&gt;=Setup!B7,"ناجح","إعادة تدريب"))</f>
        <v/>
      </c>
      <c r="J194" s="3"/>
      <c r="K194" s="3"/>
      <c r="L194" s="3"/>
      <c r="M194" s="3"/>
    </row>
    <row r="195" spans="1:13" x14ac:dyDescent="0.2">
      <c r="A195" s="3">
        <v>192</v>
      </c>
      <c r="B195" s="3"/>
      <c r="C195" s="3" t="str">
        <f>IFERROR(VLOOKUP(B195,Sessions!A:J,2,FALSE),"")</f>
        <v/>
      </c>
      <c r="D195" s="3"/>
      <c r="E195" s="3" t="str">
        <f>IFERROR(VLOOKUP(D195,Employees!A:L,2,FALSE),"")</f>
        <v/>
      </c>
      <c r="F195" s="6"/>
      <c r="G195" s="6"/>
      <c r="H195" s="6" t="str">
        <f>IF(G195="","",G195)</f>
        <v/>
      </c>
      <c r="I195" s="3" t="str">
        <f>IF(H195="","",IF(H195&gt;=Setup!B7,"ناجح","إعادة تدريب"))</f>
        <v/>
      </c>
      <c r="J195" s="3"/>
      <c r="K195" s="3"/>
      <c r="L195" s="3"/>
      <c r="M195" s="3"/>
    </row>
    <row r="196" spans="1:13" x14ac:dyDescent="0.2">
      <c r="A196" s="3">
        <v>193</v>
      </c>
      <c r="B196" s="3"/>
      <c r="C196" s="3" t="str">
        <f>IFERROR(VLOOKUP(B196,Sessions!A:J,2,FALSE),"")</f>
        <v/>
      </c>
      <c r="D196" s="3"/>
      <c r="E196" s="3" t="str">
        <f>IFERROR(VLOOKUP(D196,Employees!A:L,2,FALSE),"")</f>
        <v/>
      </c>
      <c r="F196" s="6"/>
      <c r="G196" s="6"/>
      <c r="H196" s="6" t="str">
        <f>IF(G196="","",G196)</f>
        <v/>
      </c>
      <c r="I196" s="3" t="str">
        <f>IF(H196="","",IF(H196&gt;=Setup!B7,"ناجح","إعادة تدريب"))</f>
        <v/>
      </c>
      <c r="J196" s="3"/>
      <c r="K196" s="3"/>
      <c r="L196" s="3"/>
      <c r="M196" s="3"/>
    </row>
    <row r="197" spans="1:13" x14ac:dyDescent="0.2">
      <c r="A197" s="3">
        <v>194</v>
      </c>
      <c r="B197" s="3"/>
      <c r="C197" s="3" t="str">
        <f>IFERROR(VLOOKUP(B197,Sessions!A:J,2,FALSE),"")</f>
        <v/>
      </c>
      <c r="D197" s="3"/>
      <c r="E197" s="3" t="str">
        <f>IFERROR(VLOOKUP(D197,Employees!A:L,2,FALSE),"")</f>
        <v/>
      </c>
      <c r="F197" s="6"/>
      <c r="G197" s="6"/>
      <c r="H197" s="6" t="str">
        <f>IF(G197="","",G197)</f>
        <v/>
      </c>
      <c r="I197" s="3" t="str">
        <f>IF(H197="","",IF(H197&gt;=Setup!B7,"ناجح","إعادة تدريب"))</f>
        <v/>
      </c>
      <c r="J197" s="3"/>
      <c r="K197" s="3"/>
      <c r="L197" s="3"/>
      <c r="M197" s="3"/>
    </row>
    <row r="198" spans="1:13" x14ac:dyDescent="0.2">
      <c r="A198" s="3">
        <v>195</v>
      </c>
      <c r="B198" s="3"/>
      <c r="C198" s="3" t="str">
        <f>IFERROR(VLOOKUP(B198,Sessions!A:J,2,FALSE),"")</f>
        <v/>
      </c>
      <c r="D198" s="3"/>
      <c r="E198" s="3" t="str">
        <f>IFERROR(VLOOKUP(D198,Employees!A:L,2,FALSE),"")</f>
        <v/>
      </c>
      <c r="F198" s="6"/>
      <c r="G198" s="6"/>
      <c r="H198" s="6" t="str">
        <f>IF(G198="","",G198)</f>
        <v/>
      </c>
      <c r="I198" s="3" t="str">
        <f>IF(H198="","",IF(H198&gt;=Setup!B7,"ناجح","إعادة تدريب"))</f>
        <v/>
      </c>
      <c r="J198" s="3"/>
      <c r="K198" s="3"/>
      <c r="L198" s="3"/>
      <c r="M198" s="3"/>
    </row>
    <row r="199" spans="1:13" x14ac:dyDescent="0.2">
      <c r="A199" s="3">
        <v>196</v>
      </c>
      <c r="B199" s="3"/>
      <c r="C199" s="3" t="str">
        <f>IFERROR(VLOOKUP(B199,Sessions!A:J,2,FALSE),"")</f>
        <v/>
      </c>
      <c r="D199" s="3"/>
      <c r="E199" s="3" t="str">
        <f>IFERROR(VLOOKUP(D199,Employees!A:L,2,FALSE),"")</f>
        <v/>
      </c>
      <c r="F199" s="6"/>
      <c r="G199" s="6"/>
      <c r="H199" s="6" t="str">
        <f>IF(G199="","",G199)</f>
        <v/>
      </c>
      <c r="I199" s="3" t="str">
        <f>IF(H199="","",IF(H199&gt;=Setup!B7,"ناجح","إعادة تدريب"))</f>
        <v/>
      </c>
      <c r="J199" s="3"/>
      <c r="K199" s="3"/>
      <c r="L199" s="3"/>
      <c r="M199" s="3"/>
    </row>
    <row r="200" spans="1:13" x14ac:dyDescent="0.2">
      <c r="A200" s="3">
        <v>197</v>
      </c>
      <c r="B200" s="3"/>
      <c r="C200" s="3" t="str">
        <f>IFERROR(VLOOKUP(B200,Sessions!A:J,2,FALSE),"")</f>
        <v/>
      </c>
      <c r="D200" s="3"/>
      <c r="E200" s="3" t="str">
        <f>IFERROR(VLOOKUP(D200,Employees!A:L,2,FALSE),"")</f>
        <v/>
      </c>
      <c r="F200" s="6"/>
      <c r="G200" s="6"/>
      <c r="H200" s="6" t="str">
        <f>IF(G200="","",G200)</f>
        <v/>
      </c>
      <c r="I200" s="3" t="str">
        <f>IF(H200="","",IF(H200&gt;=Setup!B7,"ناجح","إعادة تدريب"))</f>
        <v/>
      </c>
      <c r="J200" s="3"/>
      <c r="K200" s="3"/>
      <c r="L200" s="3"/>
      <c r="M200" s="3"/>
    </row>
    <row r="201" spans="1:13" x14ac:dyDescent="0.2">
      <c r="A201" s="3">
        <v>198</v>
      </c>
      <c r="B201" s="3"/>
      <c r="C201" s="3" t="str">
        <f>IFERROR(VLOOKUP(B201,Sessions!A:J,2,FALSE),"")</f>
        <v/>
      </c>
      <c r="D201" s="3"/>
      <c r="E201" s="3" t="str">
        <f>IFERROR(VLOOKUP(D201,Employees!A:L,2,FALSE),"")</f>
        <v/>
      </c>
      <c r="F201" s="6"/>
      <c r="G201" s="6"/>
      <c r="H201" s="6" t="str">
        <f>IF(G201="","",G201)</f>
        <v/>
      </c>
      <c r="I201" s="3" t="str">
        <f>IF(H201="","",IF(H201&gt;=Setup!B7,"ناجح","إعادة تدريب"))</f>
        <v/>
      </c>
      <c r="J201" s="3"/>
      <c r="K201" s="3"/>
      <c r="L201" s="3"/>
      <c r="M201" s="3"/>
    </row>
    <row r="202" spans="1:13" x14ac:dyDescent="0.2">
      <c r="A202" s="3">
        <v>199</v>
      </c>
      <c r="B202" s="3"/>
      <c r="C202" s="3" t="str">
        <f>IFERROR(VLOOKUP(B202,Sessions!A:J,2,FALSE),"")</f>
        <v/>
      </c>
      <c r="D202" s="3"/>
      <c r="E202" s="3" t="str">
        <f>IFERROR(VLOOKUP(D202,Employees!A:L,2,FALSE),"")</f>
        <v/>
      </c>
      <c r="F202" s="6"/>
      <c r="G202" s="6"/>
      <c r="H202" s="6" t="str">
        <f>IF(G202="","",G202)</f>
        <v/>
      </c>
      <c r="I202" s="3" t="str">
        <f>IF(H202="","",IF(H202&gt;=Setup!B7,"ناجح","إعادة تدريب"))</f>
        <v/>
      </c>
      <c r="J202" s="3"/>
      <c r="K202" s="3"/>
      <c r="L202" s="3"/>
      <c r="M202" s="3"/>
    </row>
    <row r="203" spans="1:13" x14ac:dyDescent="0.2">
      <c r="A203" s="3">
        <v>200</v>
      </c>
      <c r="B203" s="3"/>
      <c r="C203" s="3" t="str">
        <f>IFERROR(VLOOKUP(B203,Sessions!A:J,2,FALSE),"")</f>
        <v/>
      </c>
      <c r="D203" s="3"/>
      <c r="E203" s="3" t="str">
        <f>IFERROR(VLOOKUP(D203,Employees!A:L,2,FALSE),"")</f>
        <v/>
      </c>
      <c r="F203" s="6"/>
      <c r="G203" s="6"/>
      <c r="H203" s="6" t="str">
        <f>IF(G203="","",G203)</f>
        <v/>
      </c>
      <c r="I203" s="3" t="str">
        <f>IF(H203="","",IF(H203&gt;=Setup!B7,"ناجح","إعادة تدريب"))</f>
        <v/>
      </c>
      <c r="J203" s="3"/>
      <c r="K203" s="3"/>
      <c r="L203" s="3"/>
      <c r="M203" s="3"/>
    </row>
    <row r="204" spans="1:13" x14ac:dyDescent="0.2">
      <c r="A204" s="3">
        <v>201</v>
      </c>
      <c r="B204" s="3"/>
      <c r="C204" s="3" t="str">
        <f>IFERROR(VLOOKUP(B204,Sessions!A:J,2,FALSE),"")</f>
        <v/>
      </c>
      <c r="D204" s="3"/>
      <c r="E204" s="3" t="str">
        <f>IFERROR(VLOOKUP(D204,Employees!A:L,2,FALSE),"")</f>
        <v/>
      </c>
      <c r="F204" s="6"/>
      <c r="G204" s="6"/>
      <c r="H204" s="6" t="str">
        <f>IF(G204="","",G204)</f>
        <v/>
      </c>
      <c r="I204" s="3" t="str">
        <f>IF(H204="","",IF(H204&gt;=Setup!B7,"ناجح","إعادة تدريب"))</f>
        <v/>
      </c>
      <c r="J204" s="3"/>
      <c r="K204" s="3"/>
      <c r="L204" s="3"/>
      <c r="M204" s="3"/>
    </row>
    <row r="205" spans="1:13" x14ac:dyDescent="0.2">
      <c r="A205" s="3">
        <v>202</v>
      </c>
      <c r="B205" s="3"/>
      <c r="C205" s="3" t="str">
        <f>IFERROR(VLOOKUP(B205,Sessions!A:J,2,FALSE),"")</f>
        <v/>
      </c>
      <c r="D205" s="3"/>
      <c r="E205" s="3" t="str">
        <f>IFERROR(VLOOKUP(D205,Employees!A:L,2,FALSE),"")</f>
        <v/>
      </c>
      <c r="F205" s="6"/>
      <c r="G205" s="6"/>
      <c r="H205" s="6" t="str">
        <f>IF(G205="","",G205)</f>
        <v/>
      </c>
      <c r="I205" s="3" t="str">
        <f>IF(H205="","",IF(H205&gt;=Setup!B7,"ناجح","إعادة تدريب"))</f>
        <v/>
      </c>
      <c r="J205" s="3"/>
      <c r="K205" s="3"/>
      <c r="L205" s="3"/>
      <c r="M205" s="3"/>
    </row>
    <row r="206" spans="1:13" x14ac:dyDescent="0.2">
      <c r="A206" s="3">
        <v>203</v>
      </c>
      <c r="B206" s="3"/>
      <c r="C206" s="3" t="str">
        <f>IFERROR(VLOOKUP(B206,Sessions!A:J,2,FALSE),"")</f>
        <v/>
      </c>
      <c r="D206" s="3"/>
      <c r="E206" s="3" t="str">
        <f>IFERROR(VLOOKUP(D206,Employees!A:L,2,FALSE),"")</f>
        <v/>
      </c>
      <c r="F206" s="6"/>
      <c r="G206" s="6"/>
      <c r="H206" s="6" t="str">
        <f>IF(G206="","",G206)</f>
        <v/>
      </c>
      <c r="I206" s="3" t="str">
        <f>IF(H206="","",IF(H206&gt;=Setup!B7,"ناجح","إعادة تدريب"))</f>
        <v/>
      </c>
      <c r="J206" s="3"/>
      <c r="K206" s="3"/>
      <c r="L206" s="3"/>
      <c r="M206" s="3"/>
    </row>
    <row r="207" spans="1:13" x14ac:dyDescent="0.2">
      <c r="A207" s="3">
        <v>204</v>
      </c>
      <c r="B207" s="3"/>
      <c r="C207" s="3" t="str">
        <f>IFERROR(VLOOKUP(B207,Sessions!A:J,2,FALSE),"")</f>
        <v/>
      </c>
      <c r="D207" s="3"/>
      <c r="E207" s="3" t="str">
        <f>IFERROR(VLOOKUP(D207,Employees!A:L,2,FALSE),"")</f>
        <v/>
      </c>
      <c r="F207" s="6"/>
      <c r="G207" s="6"/>
      <c r="H207" s="6" t="str">
        <f>IF(G207="","",G207)</f>
        <v/>
      </c>
      <c r="I207" s="3" t="str">
        <f>IF(H207="","",IF(H207&gt;=Setup!B7,"ناجح","إعادة تدريب"))</f>
        <v/>
      </c>
      <c r="J207" s="3"/>
      <c r="K207" s="3"/>
      <c r="L207" s="3"/>
      <c r="M207" s="3"/>
    </row>
    <row r="208" spans="1:13" x14ac:dyDescent="0.2">
      <c r="A208" s="3">
        <v>205</v>
      </c>
      <c r="B208" s="3"/>
      <c r="C208" s="3" t="str">
        <f>IFERROR(VLOOKUP(B208,Sessions!A:J,2,FALSE),"")</f>
        <v/>
      </c>
      <c r="D208" s="3"/>
      <c r="E208" s="3" t="str">
        <f>IFERROR(VLOOKUP(D208,Employees!A:L,2,FALSE),"")</f>
        <v/>
      </c>
      <c r="F208" s="6"/>
      <c r="G208" s="6"/>
      <c r="H208" s="6" t="str">
        <f>IF(G208="","",G208)</f>
        <v/>
      </c>
      <c r="I208" s="3" t="str">
        <f>IF(H208="","",IF(H208&gt;=Setup!B7,"ناجح","إعادة تدريب"))</f>
        <v/>
      </c>
      <c r="J208" s="3"/>
      <c r="K208" s="3"/>
      <c r="L208" s="3"/>
      <c r="M208" s="3"/>
    </row>
    <row r="209" spans="1:13" x14ac:dyDescent="0.2">
      <c r="A209" s="3">
        <v>206</v>
      </c>
      <c r="B209" s="3"/>
      <c r="C209" s="3" t="str">
        <f>IFERROR(VLOOKUP(B209,Sessions!A:J,2,FALSE),"")</f>
        <v/>
      </c>
      <c r="D209" s="3"/>
      <c r="E209" s="3" t="str">
        <f>IFERROR(VLOOKUP(D209,Employees!A:L,2,FALSE),"")</f>
        <v/>
      </c>
      <c r="F209" s="6"/>
      <c r="G209" s="6"/>
      <c r="H209" s="6" t="str">
        <f>IF(G209="","",G209)</f>
        <v/>
      </c>
      <c r="I209" s="3" t="str">
        <f>IF(H209="","",IF(H209&gt;=Setup!B7,"ناجح","إعادة تدريب"))</f>
        <v/>
      </c>
      <c r="J209" s="3"/>
      <c r="K209" s="3"/>
      <c r="L209" s="3"/>
      <c r="M209" s="3"/>
    </row>
    <row r="210" spans="1:13" x14ac:dyDescent="0.2">
      <c r="A210" s="3">
        <v>207</v>
      </c>
      <c r="B210" s="3"/>
      <c r="C210" s="3" t="str">
        <f>IFERROR(VLOOKUP(B210,Sessions!A:J,2,FALSE),"")</f>
        <v/>
      </c>
      <c r="D210" s="3"/>
      <c r="E210" s="3" t="str">
        <f>IFERROR(VLOOKUP(D210,Employees!A:L,2,FALSE),"")</f>
        <v/>
      </c>
      <c r="F210" s="6"/>
      <c r="G210" s="6"/>
      <c r="H210" s="6" t="str">
        <f>IF(G210="","",G210)</f>
        <v/>
      </c>
      <c r="I210" s="3" t="str">
        <f>IF(H210="","",IF(H210&gt;=Setup!B7,"ناجح","إعادة تدريب"))</f>
        <v/>
      </c>
      <c r="J210" s="3"/>
      <c r="K210" s="3"/>
      <c r="L210" s="3"/>
      <c r="M210" s="3"/>
    </row>
    <row r="211" spans="1:13" x14ac:dyDescent="0.2">
      <c r="A211" s="3">
        <v>208</v>
      </c>
      <c r="B211" s="3"/>
      <c r="C211" s="3" t="str">
        <f>IFERROR(VLOOKUP(B211,Sessions!A:J,2,FALSE),"")</f>
        <v/>
      </c>
      <c r="D211" s="3"/>
      <c r="E211" s="3" t="str">
        <f>IFERROR(VLOOKUP(D211,Employees!A:L,2,FALSE),"")</f>
        <v/>
      </c>
      <c r="F211" s="6"/>
      <c r="G211" s="6"/>
      <c r="H211" s="6" t="str">
        <f>IF(G211="","",G211)</f>
        <v/>
      </c>
      <c r="I211" s="3" t="str">
        <f>IF(H211="","",IF(H211&gt;=Setup!B7,"ناجح","إعادة تدريب"))</f>
        <v/>
      </c>
      <c r="J211" s="3"/>
      <c r="K211" s="3"/>
      <c r="L211" s="3"/>
      <c r="M211" s="3"/>
    </row>
    <row r="212" spans="1:13" x14ac:dyDescent="0.2">
      <c r="A212" s="3">
        <v>209</v>
      </c>
      <c r="B212" s="3"/>
      <c r="C212" s="3" t="str">
        <f>IFERROR(VLOOKUP(B212,Sessions!A:J,2,FALSE),"")</f>
        <v/>
      </c>
      <c r="D212" s="3"/>
      <c r="E212" s="3" t="str">
        <f>IFERROR(VLOOKUP(D212,Employees!A:L,2,FALSE),"")</f>
        <v/>
      </c>
      <c r="F212" s="6"/>
      <c r="G212" s="6"/>
      <c r="H212" s="6" t="str">
        <f>IF(G212="","",G212)</f>
        <v/>
      </c>
      <c r="I212" s="3" t="str">
        <f>IF(H212="","",IF(H212&gt;=Setup!B7,"ناجح","إعادة تدريب"))</f>
        <v/>
      </c>
      <c r="J212" s="3"/>
      <c r="K212" s="3"/>
      <c r="L212" s="3"/>
      <c r="M212" s="3"/>
    </row>
    <row r="213" spans="1:13" x14ac:dyDescent="0.2">
      <c r="A213" s="3">
        <v>210</v>
      </c>
      <c r="B213" s="3"/>
      <c r="C213" s="3" t="str">
        <f>IFERROR(VLOOKUP(B213,Sessions!A:J,2,FALSE),"")</f>
        <v/>
      </c>
      <c r="D213" s="3"/>
      <c r="E213" s="3" t="str">
        <f>IFERROR(VLOOKUP(D213,Employees!A:L,2,FALSE),"")</f>
        <v/>
      </c>
      <c r="F213" s="6"/>
      <c r="G213" s="6"/>
      <c r="H213" s="6" t="str">
        <f>IF(G213="","",G213)</f>
        <v/>
      </c>
      <c r="I213" s="3" t="str">
        <f>IF(H213="","",IF(H213&gt;=Setup!B7,"ناجح","إعادة تدريب"))</f>
        <v/>
      </c>
      <c r="J213" s="3"/>
      <c r="K213" s="3"/>
      <c r="L213" s="3"/>
      <c r="M213" s="3"/>
    </row>
    <row r="214" spans="1:13" x14ac:dyDescent="0.2">
      <c r="A214" s="3">
        <v>211</v>
      </c>
      <c r="B214" s="3"/>
      <c r="C214" s="3" t="str">
        <f>IFERROR(VLOOKUP(B214,Sessions!A:J,2,FALSE),"")</f>
        <v/>
      </c>
      <c r="D214" s="3"/>
      <c r="E214" s="3" t="str">
        <f>IFERROR(VLOOKUP(D214,Employees!A:L,2,FALSE),"")</f>
        <v/>
      </c>
      <c r="F214" s="6"/>
      <c r="G214" s="6"/>
      <c r="H214" s="6" t="str">
        <f>IF(G214="","",G214)</f>
        <v/>
      </c>
      <c r="I214" s="3" t="str">
        <f>IF(H214="","",IF(H214&gt;=Setup!B7,"ناجح","إعادة تدريب"))</f>
        <v/>
      </c>
      <c r="J214" s="3"/>
      <c r="K214" s="3"/>
      <c r="L214" s="3"/>
      <c r="M214" s="3"/>
    </row>
    <row r="215" spans="1:13" x14ac:dyDescent="0.2">
      <c r="A215" s="3">
        <v>212</v>
      </c>
      <c r="B215" s="3"/>
      <c r="C215" s="3" t="str">
        <f>IFERROR(VLOOKUP(B215,Sessions!A:J,2,FALSE),"")</f>
        <v/>
      </c>
      <c r="D215" s="3"/>
      <c r="E215" s="3" t="str">
        <f>IFERROR(VLOOKUP(D215,Employees!A:L,2,FALSE),"")</f>
        <v/>
      </c>
      <c r="F215" s="6"/>
      <c r="G215" s="6"/>
      <c r="H215" s="6" t="str">
        <f>IF(G215="","",G215)</f>
        <v/>
      </c>
      <c r="I215" s="3" t="str">
        <f>IF(H215="","",IF(H215&gt;=Setup!B7,"ناجح","إعادة تدريب"))</f>
        <v/>
      </c>
      <c r="J215" s="3"/>
      <c r="K215" s="3"/>
      <c r="L215" s="3"/>
      <c r="M215" s="3"/>
    </row>
    <row r="216" spans="1:13" x14ac:dyDescent="0.2">
      <c r="A216" s="3">
        <v>213</v>
      </c>
      <c r="B216" s="3"/>
      <c r="C216" s="3" t="str">
        <f>IFERROR(VLOOKUP(B216,Sessions!A:J,2,FALSE),"")</f>
        <v/>
      </c>
      <c r="D216" s="3"/>
      <c r="E216" s="3" t="str">
        <f>IFERROR(VLOOKUP(D216,Employees!A:L,2,FALSE),"")</f>
        <v/>
      </c>
      <c r="F216" s="6"/>
      <c r="G216" s="6"/>
      <c r="H216" s="6" t="str">
        <f>IF(G216="","",G216)</f>
        <v/>
      </c>
      <c r="I216" s="3" t="str">
        <f>IF(H216="","",IF(H216&gt;=Setup!B7,"ناجح","إعادة تدريب"))</f>
        <v/>
      </c>
      <c r="J216" s="3"/>
      <c r="K216" s="3"/>
      <c r="L216" s="3"/>
      <c r="M216" s="3"/>
    </row>
    <row r="217" spans="1:13" x14ac:dyDescent="0.2">
      <c r="A217" s="3">
        <v>214</v>
      </c>
      <c r="B217" s="3"/>
      <c r="C217" s="3" t="str">
        <f>IFERROR(VLOOKUP(B217,Sessions!A:J,2,FALSE),"")</f>
        <v/>
      </c>
      <c r="D217" s="3"/>
      <c r="E217" s="3" t="str">
        <f>IFERROR(VLOOKUP(D217,Employees!A:L,2,FALSE),"")</f>
        <v/>
      </c>
      <c r="F217" s="6"/>
      <c r="G217" s="6"/>
      <c r="H217" s="6" t="str">
        <f>IF(G217="","",G217)</f>
        <v/>
      </c>
      <c r="I217" s="3" t="str">
        <f>IF(H217="","",IF(H217&gt;=Setup!B7,"ناجح","إعادة تدريب"))</f>
        <v/>
      </c>
      <c r="J217" s="3"/>
      <c r="K217" s="3"/>
      <c r="L217" s="3"/>
      <c r="M217" s="3"/>
    </row>
    <row r="218" spans="1:13" x14ac:dyDescent="0.2">
      <c r="A218" s="3">
        <v>215</v>
      </c>
      <c r="B218" s="3"/>
      <c r="C218" s="3" t="str">
        <f>IFERROR(VLOOKUP(B218,Sessions!A:J,2,FALSE),"")</f>
        <v/>
      </c>
      <c r="D218" s="3"/>
      <c r="E218" s="3" t="str">
        <f>IFERROR(VLOOKUP(D218,Employees!A:L,2,FALSE),"")</f>
        <v/>
      </c>
      <c r="F218" s="6"/>
      <c r="G218" s="6"/>
      <c r="H218" s="6" t="str">
        <f>IF(G218="","",G218)</f>
        <v/>
      </c>
      <c r="I218" s="3" t="str">
        <f>IF(H218="","",IF(H218&gt;=Setup!B7,"ناجح","إعادة تدريب"))</f>
        <v/>
      </c>
      <c r="J218" s="3"/>
      <c r="K218" s="3"/>
      <c r="L218" s="3"/>
      <c r="M218" s="3"/>
    </row>
    <row r="219" spans="1:13" x14ac:dyDescent="0.2">
      <c r="A219" s="3">
        <v>216</v>
      </c>
      <c r="B219" s="3"/>
      <c r="C219" s="3" t="str">
        <f>IFERROR(VLOOKUP(B219,Sessions!A:J,2,FALSE),"")</f>
        <v/>
      </c>
      <c r="D219" s="3"/>
      <c r="E219" s="3" t="str">
        <f>IFERROR(VLOOKUP(D219,Employees!A:L,2,FALSE),"")</f>
        <v/>
      </c>
      <c r="F219" s="6"/>
      <c r="G219" s="6"/>
      <c r="H219" s="6" t="str">
        <f>IF(G219="","",G219)</f>
        <v/>
      </c>
      <c r="I219" s="3" t="str">
        <f>IF(H219="","",IF(H219&gt;=Setup!B7,"ناجح","إعادة تدريب"))</f>
        <v/>
      </c>
      <c r="J219" s="3"/>
      <c r="K219" s="3"/>
      <c r="L219" s="3"/>
      <c r="M219" s="3"/>
    </row>
    <row r="220" spans="1:13" x14ac:dyDescent="0.2">
      <c r="A220" s="3">
        <v>217</v>
      </c>
      <c r="B220" s="3"/>
      <c r="C220" s="3" t="str">
        <f>IFERROR(VLOOKUP(B220,Sessions!A:J,2,FALSE),"")</f>
        <v/>
      </c>
      <c r="D220" s="3"/>
      <c r="E220" s="3" t="str">
        <f>IFERROR(VLOOKUP(D220,Employees!A:L,2,FALSE),"")</f>
        <v/>
      </c>
      <c r="F220" s="6"/>
      <c r="G220" s="6"/>
      <c r="H220" s="6" t="str">
        <f>IF(G220="","",G220)</f>
        <v/>
      </c>
      <c r="I220" s="3" t="str">
        <f>IF(H220="","",IF(H220&gt;=Setup!B7,"ناجح","إعادة تدريب"))</f>
        <v/>
      </c>
      <c r="J220" s="3"/>
      <c r="K220" s="3"/>
      <c r="L220" s="3"/>
      <c r="M220" s="3"/>
    </row>
    <row r="221" spans="1:13" x14ac:dyDescent="0.2">
      <c r="A221" s="3">
        <v>218</v>
      </c>
      <c r="B221" s="3"/>
      <c r="C221" s="3" t="str">
        <f>IFERROR(VLOOKUP(B221,Sessions!A:J,2,FALSE),"")</f>
        <v/>
      </c>
      <c r="D221" s="3"/>
      <c r="E221" s="3" t="str">
        <f>IFERROR(VLOOKUP(D221,Employees!A:L,2,FALSE),"")</f>
        <v/>
      </c>
      <c r="F221" s="6"/>
      <c r="G221" s="6"/>
      <c r="H221" s="6" t="str">
        <f>IF(G221="","",G221)</f>
        <v/>
      </c>
      <c r="I221" s="3" t="str">
        <f>IF(H221="","",IF(H221&gt;=Setup!B7,"ناجح","إعادة تدريب"))</f>
        <v/>
      </c>
      <c r="J221" s="3"/>
      <c r="K221" s="3"/>
      <c r="L221" s="3"/>
      <c r="M221" s="3"/>
    </row>
    <row r="222" spans="1:13" x14ac:dyDescent="0.2">
      <c r="A222" s="3">
        <v>219</v>
      </c>
      <c r="B222" s="3"/>
      <c r="C222" s="3" t="str">
        <f>IFERROR(VLOOKUP(B222,Sessions!A:J,2,FALSE),"")</f>
        <v/>
      </c>
      <c r="D222" s="3"/>
      <c r="E222" s="3" t="str">
        <f>IFERROR(VLOOKUP(D222,Employees!A:L,2,FALSE),"")</f>
        <v/>
      </c>
      <c r="F222" s="6"/>
      <c r="G222" s="6"/>
      <c r="H222" s="6" t="str">
        <f>IF(G222="","",G222)</f>
        <v/>
      </c>
      <c r="I222" s="3" t="str">
        <f>IF(H222="","",IF(H222&gt;=Setup!B7,"ناجح","إعادة تدريب"))</f>
        <v/>
      </c>
      <c r="J222" s="3"/>
      <c r="K222" s="3"/>
      <c r="L222" s="3"/>
      <c r="M222" s="3"/>
    </row>
    <row r="223" spans="1:13" x14ac:dyDescent="0.2">
      <c r="A223" s="3">
        <v>220</v>
      </c>
      <c r="B223" s="3"/>
      <c r="C223" s="3" t="str">
        <f>IFERROR(VLOOKUP(B223,Sessions!A:J,2,FALSE),"")</f>
        <v/>
      </c>
      <c r="D223" s="3"/>
      <c r="E223" s="3" t="str">
        <f>IFERROR(VLOOKUP(D223,Employees!A:L,2,FALSE),"")</f>
        <v/>
      </c>
      <c r="F223" s="6"/>
      <c r="G223" s="6"/>
      <c r="H223" s="6" t="str">
        <f>IF(G223="","",G223)</f>
        <v/>
      </c>
      <c r="I223" s="3" t="str">
        <f>IF(H223="","",IF(H223&gt;=Setup!B7,"ناجح","إعادة تدريب"))</f>
        <v/>
      </c>
      <c r="J223" s="3"/>
      <c r="K223" s="3"/>
      <c r="L223" s="3"/>
      <c r="M223" s="3"/>
    </row>
    <row r="224" spans="1:13" x14ac:dyDescent="0.2">
      <c r="A224" s="3">
        <v>221</v>
      </c>
      <c r="B224" s="3"/>
      <c r="C224" s="3" t="str">
        <f>IFERROR(VLOOKUP(B224,Sessions!A:J,2,FALSE),"")</f>
        <v/>
      </c>
      <c r="D224" s="3"/>
      <c r="E224" s="3" t="str">
        <f>IFERROR(VLOOKUP(D224,Employees!A:L,2,FALSE),"")</f>
        <v/>
      </c>
      <c r="F224" s="6"/>
      <c r="G224" s="6"/>
      <c r="H224" s="6" t="str">
        <f>IF(G224="","",G224)</f>
        <v/>
      </c>
      <c r="I224" s="3" t="str">
        <f>IF(H224="","",IF(H224&gt;=Setup!B7,"ناجح","إعادة تدريب"))</f>
        <v/>
      </c>
      <c r="J224" s="3"/>
      <c r="K224" s="3"/>
      <c r="L224" s="3"/>
      <c r="M224" s="3"/>
    </row>
    <row r="225" spans="1:13" x14ac:dyDescent="0.2">
      <c r="A225" s="3">
        <v>222</v>
      </c>
      <c r="B225" s="3"/>
      <c r="C225" s="3" t="str">
        <f>IFERROR(VLOOKUP(B225,Sessions!A:J,2,FALSE),"")</f>
        <v/>
      </c>
      <c r="D225" s="3"/>
      <c r="E225" s="3" t="str">
        <f>IFERROR(VLOOKUP(D225,Employees!A:L,2,FALSE),"")</f>
        <v/>
      </c>
      <c r="F225" s="6"/>
      <c r="G225" s="6"/>
      <c r="H225" s="6" t="str">
        <f>IF(G225="","",G225)</f>
        <v/>
      </c>
      <c r="I225" s="3" t="str">
        <f>IF(H225="","",IF(H225&gt;=Setup!B7,"ناجح","إعادة تدريب"))</f>
        <v/>
      </c>
      <c r="J225" s="3"/>
      <c r="K225" s="3"/>
      <c r="L225" s="3"/>
      <c r="M225" s="3"/>
    </row>
    <row r="226" spans="1:13" x14ac:dyDescent="0.2">
      <c r="A226" s="3">
        <v>223</v>
      </c>
      <c r="B226" s="3"/>
      <c r="C226" s="3" t="str">
        <f>IFERROR(VLOOKUP(B226,Sessions!A:J,2,FALSE),"")</f>
        <v/>
      </c>
      <c r="D226" s="3"/>
      <c r="E226" s="3" t="str">
        <f>IFERROR(VLOOKUP(D226,Employees!A:L,2,FALSE),"")</f>
        <v/>
      </c>
      <c r="F226" s="6"/>
      <c r="G226" s="6"/>
      <c r="H226" s="6" t="str">
        <f>IF(G226="","",G226)</f>
        <v/>
      </c>
      <c r="I226" s="3" t="str">
        <f>IF(H226="","",IF(H226&gt;=Setup!B7,"ناجح","إعادة تدريب"))</f>
        <v/>
      </c>
      <c r="J226" s="3"/>
      <c r="K226" s="3"/>
      <c r="L226" s="3"/>
      <c r="M226" s="3"/>
    </row>
    <row r="227" spans="1:13" x14ac:dyDescent="0.2">
      <c r="A227" s="3">
        <v>224</v>
      </c>
      <c r="B227" s="3"/>
      <c r="C227" s="3" t="str">
        <f>IFERROR(VLOOKUP(B227,Sessions!A:J,2,FALSE),"")</f>
        <v/>
      </c>
      <c r="D227" s="3"/>
      <c r="E227" s="3" t="str">
        <f>IFERROR(VLOOKUP(D227,Employees!A:L,2,FALSE),"")</f>
        <v/>
      </c>
      <c r="F227" s="6"/>
      <c r="G227" s="6"/>
      <c r="H227" s="6" t="str">
        <f>IF(G227="","",G227)</f>
        <v/>
      </c>
      <c r="I227" s="3" t="str">
        <f>IF(H227="","",IF(H227&gt;=Setup!B7,"ناجح","إعادة تدريب"))</f>
        <v/>
      </c>
      <c r="J227" s="3"/>
      <c r="K227" s="3"/>
      <c r="L227" s="3"/>
      <c r="M227" s="3"/>
    </row>
    <row r="228" spans="1:13" x14ac:dyDescent="0.2">
      <c r="A228" s="3">
        <v>225</v>
      </c>
      <c r="B228" s="3"/>
      <c r="C228" s="3" t="str">
        <f>IFERROR(VLOOKUP(B228,Sessions!A:J,2,FALSE),"")</f>
        <v/>
      </c>
      <c r="D228" s="3"/>
      <c r="E228" s="3" t="str">
        <f>IFERROR(VLOOKUP(D228,Employees!A:L,2,FALSE),"")</f>
        <v/>
      </c>
      <c r="F228" s="6"/>
      <c r="G228" s="6"/>
      <c r="H228" s="6" t="str">
        <f>IF(G228="","",G228)</f>
        <v/>
      </c>
      <c r="I228" s="3" t="str">
        <f>IF(H228="","",IF(H228&gt;=Setup!B7,"ناجح","إعادة تدريب"))</f>
        <v/>
      </c>
      <c r="J228" s="3"/>
      <c r="K228" s="3"/>
      <c r="L228" s="3"/>
      <c r="M228" s="3"/>
    </row>
    <row r="229" spans="1:13" x14ac:dyDescent="0.2">
      <c r="A229" s="3">
        <v>226</v>
      </c>
      <c r="B229" s="3"/>
      <c r="C229" s="3" t="str">
        <f>IFERROR(VLOOKUP(B229,Sessions!A:J,2,FALSE),"")</f>
        <v/>
      </c>
      <c r="D229" s="3"/>
      <c r="E229" s="3" t="str">
        <f>IFERROR(VLOOKUP(D229,Employees!A:L,2,FALSE),"")</f>
        <v/>
      </c>
      <c r="F229" s="6"/>
      <c r="G229" s="6"/>
      <c r="H229" s="6" t="str">
        <f>IF(G229="","",G229)</f>
        <v/>
      </c>
      <c r="I229" s="3" t="str">
        <f>IF(H229="","",IF(H229&gt;=Setup!B7,"ناجح","إعادة تدريب"))</f>
        <v/>
      </c>
      <c r="J229" s="3"/>
      <c r="K229" s="3"/>
      <c r="L229" s="3"/>
      <c r="M229" s="3"/>
    </row>
    <row r="230" spans="1:13" x14ac:dyDescent="0.2">
      <c r="A230" s="3">
        <v>227</v>
      </c>
      <c r="B230" s="3"/>
      <c r="C230" s="3" t="str">
        <f>IFERROR(VLOOKUP(B230,Sessions!A:J,2,FALSE),"")</f>
        <v/>
      </c>
      <c r="D230" s="3"/>
      <c r="E230" s="3" t="str">
        <f>IFERROR(VLOOKUP(D230,Employees!A:L,2,FALSE),"")</f>
        <v/>
      </c>
      <c r="F230" s="6"/>
      <c r="G230" s="6"/>
      <c r="H230" s="6" t="str">
        <f>IF(G230="","",G230)</f>
        <v/>
      </c>
      <c r="I230" s="3" t="str">
        <f>IF(H230="","",IF(H230&gt;=Setup!B7,"ناجح","إعادة تدريب"))</f>
        <v/>
      </c>
      <c r="J230" s="3"/>
      <c r="K230" s="3"/>
      <c r="L230" s="3"/>
      <c r="M230" s="3"/>
    </row>
    <row r="231" spans="1:13" x14ac:dyDescent="0.2">
      <c r="A231" s="3">
        <v>228</v>
      </c>
      <c r="B231" s="3"/>
      <c r="C231" s="3" t="str">
        <f>IFERROR(VLOOKUP(B231,Sessions!A:J,2,FALSE),"")</f>
        <v/>
      </c>
      <c r="D231" s="3"/>
      <c r="E231" s="3" t="str">
        <f>IFERROR(VLOOKUP(D231,Employees!A:L,2,FALSE),"")</f>
        <v/>
      </c>
      <c r="F231" s="6"/>
      <c r="G231" s="6"/>
      <c r="H231" s="6" t="str">
        <f>IF(G231="","",G231)</f>
        <v/>
      </c>
      <c r="I231" s="3" t="str">
        <f>IF(H231="","",IF(H231&gt;=Setup!B7,"ناجح","إعادة تدريب"))</f>
        <v/>
      </c>
      <c r="J231" s="3"/>
      <c r="K231" s="3"/>
      <c r="L231" s="3"/>
      <c r="M231" s="3"/>
    </row>
    <row r="232" spans="1:13" x14ac:dyDescent="0.2">
      <c r="A232" s="3">
        <v>229</v>
      </c>
      <c r="B232" s="3"/>
      <c r="C232" s="3" t="str">
        <f>IFERROR(VLOOKUP(B232,Sessions!A:J,2,FALSE),"")</f>
        <v/>
      </c>
      <c r="D232" s="3"/>
      <c r="E232" s="3" t="str">
        <f>IFERROR(VLOOKUP(D232,Employees!A:L,2,FALSE),"")</f>
        <v/>
      </c>
      <c r="F232" s="6"/>
      <c r="G232" s="6"/>
      <c r="H232" s="6" t="str">
        <f>IF(G232="","",G232)</f>
        <v/>
      </c>
      <c r="I232" s="3" t="str">
        <f>IF(H232="","",IF(H232&gt;=Setup!B7,"ناجح","إعادة تدريب"))</f>
        <v/>
      </c>
      <c r="J232" s="3"/>
      <c r="K232" s="3"/>
      <c r="L232" s="3"/>
      <c r="M232" s="3"/>
    </row>
    <row r="233" spans="1:13" x14ac:dyDescent="0.2">
      <c r="A233" s="3">
        <v>230</v>
      </c>
      <c r="B233" s="3"/>
      <c r="C233" s="3" t="str">
        <f>IFERROR(VLOOKUP(B233,Sessions!A:J,2,FALSE),"")</f>
        <v/>
      </c>
      <c r="D233" s="3"/>
      <c r="E233" s="3" t="str">
        <f>IFERROR(VLOOKUP(D233,Employees!A:L,2,FALSE),"")</f>
        <v/>
      </c>
      <c r="F233" s="6"/>
      <c r="G233" s="6"/>
      <c r="H233" s="6" t="str">
        <f>IF(G233="","",G233)</f>
        <v/>
      </c>
      <c r="I233" s="3" t="str">
        <f>IF(H233="","",IF(H233&gt;=Setup!B7,"ناجح","إعادة تدريب"))</f>
        <v/>
      </c>
      <c r="J233" s="3"/>
      <c r="K233" s="3"/>
      <c r="L233" s="3"/>
      <c r="M233" s="3"/>
    </row>
    <row r="234" spans="1:13" x14ac:dyDescent="0.2">
      <c r="A234" s="3">
        <v>231</v>
      </c>
      <c r="B234" s="3"/>
      <c r="C234" s="3" t="str">
        <f>IFERROR(VLOOKUP(B234,Sessions!A:J,2,FALSE),"")</f>
        <v/>
      </c>
      <c r="D234" s="3"/>
      <c r="E234" s="3" t="str">
        <f>IFERROR(VLOOKUP(D234,Employees!A:L,2,FALSE),"")</f>
        <v/>
      </c>
      <c r="F234" s="6"/>
      <c r="G234" s="6"/>
      <c r="H234" s="6" t="str">
        <f>IF(G234="","",G234)</f>
        <v/>
      </c>
      <c r="I234" s="3" t="str">
        <f>IF(H234="","",IF(H234&gt;=Setup!B7,"ناجح","إعادة تدريب"))</f>
        <v/>
      </c>
      <c r="J234" s="3"/>
      <c r="K234" s="3"/>
      <c r="L234" s="3"/>
      <c r="M234" s="3"/>
    </row>
    <row r="235" spans="1:13" x14ac:dyDescent="0.2">
      <c r="A235" s="3">
        <v>232</v>
      </c>
      <c r="B235" s="3"/>
      <c r="C235" s="3" t="str">
        <f>IFERROR(VLOOKUP(B235,Sessions!A:J,2,FALSE),"")</f>
        <v/>
      </c>
      <c r="D235" s="3"/>
      <c r="E235" s="3" t="str">
        <f>IFERROR(VLOOKUP(D235,Employees!A:L,2,FALSE),"")</f>
        <v/>
      </c>
      <c r="F235" s="6"/>
      <c r="G235" s="6"/>
      <c r="H235" s="6" t="str">
        <f>IF(G235="","",G235)</f>
        <v/>
      </c>
      <c r="I235" s="3" t="str">
        <f>IF(H235="","",IF(H235&gt;=Setup!B7,"ناجح","إعادة تدريب"))</f>
        <v/>
      </c>
      <c r="J235" s="3"/>
      <c r="K235" s="3"/>
      <c r="L235" s="3"/>
      <c r="M235" s="3"/>
    </row>
    <row r="236" spans="1:13" x14ac:dyDescent="0.2">
      <c r="A236" s="3">
        <v>233</v>
      </c>
      <c r="B236" s="3"/>
      <c r="C236" s="3" t="str">
        <f>IFERROR(VLOOKUP(B236,Sessions!A:J,2,FALSE),"")</f>
        <v/>
      </c>
      <c r="D236" s="3"/>
      <c r="E236" s="3" t="str">
        <f>IFERROR(VLOOKUP(D236,Employees!A:L,2,FALSE),"")</f>
        <v/>
      </c>
      <c r="F236" s="6"/>
      <c r="G236" s="6"/>
      <c r="H236" s="6" t="str">
        <f>IF(G236="","",G236)</f>
        <v/>
      </c>
      <c r="I236" s="3" t="str">
        <f>IF(H236="","",IF(H236&gt;=Setup!B7,"ناجح","إعادة تدريب"))</f>
        <v/>
      </c>
      <c r="J236" s="3"/>
      <c r="K236" s="3"/>
      <c r="L236" s="3"/>
      <c r="M236" s="3"/>
    </row>
    <row r="237" spans="1:13" x14ac:dyDescent="0.2">
      <c r="A237" s="3">
        <v>234</v>
      </c>
      <c r="B237" s="3"/>
      <c r="C237" s="3" t="str">
        <f>IFERROR(VLOOKUP(B237,Sessions!A:J,2,FALSE),"")</f>
        <v/>
      </c>
      <c r="D237" s="3"/>
      <c r="E237" s="3" t="str">
        <f>IFERROR(VLOOKUP(D237,Employees!A:L,2,FALSE),"")</f>
        <v/>
      </c>
      <c r="F237" s="6"/>
      <c r="G237" s="6"/>
      <c r="H237" s="6" t="str">
        <f>IF(G237="","",G237)</f>
        <v/>
      </c>
      <c r="I237" s="3" t="str">
        <f>IF(H237="","",IF(H237&gt;=Setup!B7,"ناجح","إعادة تدريب"))</f>
        <v/>
      </c>
      <c r="J237" s="3"/>
      <c r="K237" s="3"/>
      <c r="L237" s="3"/>
      <c r="M237" s="3"/>
    </row>
    <row r="238" spans="1:13" x14ac:dyDescent="0.2">
      <c r="A238" s="3">
        <v>235</v>
      </c>
      <c r="B238" s="3"/>
      <c r="C238" s="3" t="str">
        <f>IFERROR(VLOOKUP(B238,Sessions!A:J,2,FALSE),"")</f>
        <v/>
      </c>
      <c r="D238" s="3"/>
      <c r="E238" s="3" t="str">
        <f>IFERROR(VLOOKUP(D238,Employees!A:L,2,FALSE),"")</f>
        <v/>
      </c>
      <c r="F238" s="6"/>
      <c r="G238" s="6"/>
      <c r="H238" s="6" t="str">
        <f>IF(G238="","",G238)</f>
        <v/>
      </c>
      <c r="I238" s="3" t="str">
        <f>IF(H238="","",IF(H238&gt;=Setup!B7,"ناجح","إعادة تدريب"))</f>
        <v/>
      </c>
      <c r="J238" s="3"/>
      <c r="K238" s="3"/>
      <c r="L238" s="3"/>
      <c r="M238" s="3"/>
    </row>
    <row r="239" spans="1:13" x14ac:dyDescent="0.2">
      <c r="A239" s="3">
        <v>236</v>
      </c>
      <c r="B239" s="3"/>
      <c r="C239" s="3" t="str">
        <f>IFERROR(VLOOKUP(B239,Sessions!A:J,2,FALSE),"")</f>
        <v/>
      </c>
      <c r="D239" s="3"/>
      <c r="E239" s="3" t="str">
        <f>IFERROR(VLOOKUP(D239,Employees!A:L,2,FALSE),"")</f>
        <v/>
      </c>
      <c r="F239" s="6"/>
      <c r="G239" s="6"/>
      <c r="H239" s="6" t="str">
        <f>IF(G239="","",G239)</f>
        <v/>
      </c>
      <c r="I239" s="3" t="str">
        <f>IF(H239="","",IF(H239&gt;=Setup!B7,"ناجح","إعادة تدريب"))</f>
        <v/>
      </c>
      <c r="J239" s="3"/>
      <c r="K239" s="3"/>
      <c r="L239" s="3"/>
      <c r="M239" s="3"/>
    </row>
    <row r="240" spans="1:13" x14ac:dyDescent="0.2">
      <c r="A240" s="3">
        <v>237</v>
      </c>
      <c r="B240" s="3"/>
      <c r="C240" s="3" t="str">
        <f>IFERROR(VLOOKUP(B240,Sessions!A:J,2,FALSE),"")</f>
        <v/>
      </c>
      <c r="D240" s="3"/>
      <c r="E240" s="3" t="str">
        <f>IFERROR(VLOOKUP(D240,Employees!A:L,2,FALSE),"")</f>
        <v/>
      </c>
      <c r="F240" s="6"/>
      <c r="G240" s="6"/>
      <c r="H240" s="6" t="str">
        <f>IF(G240="","",G240)</f>
        <v/>
      </c>
      <c r="I240" s="3" t="str">
        <f>IF(H240="","",IF(H240&gt;=Setup!B7,"ناجح","إعادة تدريب"))</f>
        <v/>
      </c>
      <c r="J240" s="3"/>
      <c r="K240" s="3"/>
      <c r="L240" s="3"/>
      <c r="M240" s="3"/>
    </row>
    <row r="241" spans="1:13" x14ac:dyDescent="0.2">
      <c r="A241" s="3">
        <v>238</v>
      </c>
      <c r="B241" s="3"/>
      <c r="C241" s="3" t="str">
        <f>IFERROR(VLOOKUP(B241,Sessions!A:J,2,FALSE),"")</f>
        <v/>
      </c>
      <c r="D241" s="3"/>
      <c r="E241" s="3" t="str">
        <f>IFERROR(VLOOKUP(D241,Employees!A:L,2,FALSE),"")</f>
        <v/>
      </c>
      <c r="F241" s="6"/>
      <c r="G241" s="6"/>
      <c r="H241" s="6" t="str">
        <f>IF(G241="","",G241)</f>
        <v/>
      </c>
      <c r="I241" s="3" t="str">
        <f>IF(H241="","",IF(H241&gt;=Setup!B7,"ناجح","إعادة تدريب"))</f>
        <v/>
      </c>
      <c r="J241" s="3"/>
      <c r="K241" s="3"/>
      <c r="L241" s="3"/>
      <c r="M241" s="3"/>
    </row>
    <row r="242" spans="1:13" x14ac:dyDescent="0.2">
      <c r="A242" s="3">
        <v>239</v>
      </c>
      <c r="B242" s="3"/>
      <c r="C242" s="3" t="str">
        <f>IFERROR(VLOOKUP(B242,Sessions!A:J,2,FALSE),"")</f>
        <v/>
      </c>
      <c r="D242" s="3"/>
      <c r="E242" s="3" t="str">
        <f>IFERROR(VLOOKUP(D242,Employees!A:L,2,FALSE),"")</f>
        <v/>
      </c>
      <c r="F242" s="6"/>
      <c r="G242" s="6"/>
      <c r="H242" s="6" t="str">
        <f>IF(G242="","",G242)</f>
        <v/>
      </c>
      <c r="I242" s="3" t="str">
        <f>IF(H242="","",IF(H242&gt;=Setup!B7,"ناجح","إعادة تدريب"))</f>
        <v/>
      </c>
      <c r="J242" s="3"/>
      <c r="K242" s="3"/>
      <c r="L242" s="3"/>
      <c r="M242" s="3"/>
    </row>
    <row r="243" spans="1:13" x14ac:dyDescent="0.2">
      <c r="A243" s="3">
        <v>240</v>
      </c>
      <c r="B243" s="3"/>
      <c r="C243" s="3" t="str">
        <f>IFERROR(VLOOKUP(B243,Sessions!A:J,2,FALSE),"")</f>
        <v/>
      </c>
      <c r="D243" s="3"/>
      <c r="E243" s="3" t="str">
        <f>IFERROR(VLOOKUP(D243,Employees!A:L,2,FALSE),"")</f>
        <v/>
      </c>
      <c r="F243" s="6"/>
      <c r="G243" s="6"/>
      <c r="H243" s="6" t="str">
        <f>IF(G243="","",G243)</f>
        <v/>
      </c>
      <c r="I243" s="3" t="str">
        <f>IF(H243="","",IF(H243&gt;=Setup!B7,"ناجح","إعادة تدريب"))</f>
        <v/>
      </c>
      <c r="J243" s="3"/>
      <c r="K243" s="3"/>
      <c r="L243" s="3"/>
      <c r="M243" s="3"/>
    </row>
    <row r="244" spans="1:13" x14ac:dyDescent="0.2">
      <c r="A244" s="3">
        <v>241</v>
      </c>
      <c r="B244" s="3"/>
      <c r="C244" s="3" t="str">
        <f>IFERROR(VLOOKUP(B244,Sessions!A:J,2,FALSE),"")</f>
        <v/>
      </c>
      <c r="D244" s="3"/>
      <c r="E244" s="3" t="str">
        <f>IFERROR(VLOOKUP(D244,Employees!A:L,2,FALSE),"")</f>
        <v/>
      </c>
      <c r="F244" s="6"/>
      <c r="G244" s="6"/>
      <c r="H244" s="6" t="str">
        <f>IF(G244="","",G244)</f>
        <v/>
      </c>
      <c r="I244" s="3" t="str">
        <f>IF(H244="","",IF(H244&gt;=Setup!B7,"ناجح","إعادة تدريب"))</f>
        <v/>
      </c>
      <c r="J244" s="3"/>
      <c r="K244" s="3"/>
      <c r="L244" s="3"/>
      <c r="M244" s="3"/>
    </row>
    <row r="245" spans="1:13" x14ac:dyDescent="0.2">
      <c r="A245" s="3">
        <v>242</v>
      </c>
      <c r="B245" s="3"/>
      <c r="C245" s="3" t="str">
        <f>IFERROR(VLOOKUP(B245,Sessions!A:J,2,FALSE),"")</f>
        <v/>
      </c>
      <c r="D245" s="3"/>
      <c r="E245" s="3" t="str">
        <f>IFERROR(VLOOKUP(D245,Employees!A:L,2,FALSE),"")</f>
        <v/>
      </c>
      <c r="F245" s="6"/>
      <c r="G245" s="6"/>
      <c r="H245" s="6" t="str">
        <f>IF(G245="","",G245)</f>
        <v/>
      </c>
      <c r="I245" s="3" t="str">
        <f>IF(H245="","",IF(H245&gt;=Setup!B7,"ناجح","إعادة تدريب"))</f>
        <v/>
      </c>
      <c r="J245" s="3"/>
      <c r="K245" s="3"/>
      <c r="L245" s="3"/>
      <c r="M245" s="3"/>
    </row>
    <row r="246" spans="1:13" x14ac:dyDescent="0.2">
      <c r="A246" s="3">
        <v>243</v>
      </c>
      <c r="B246" s="3"/>
      <c r="C246" s="3" t="str">
        <f>IFERROR(VLOOKUP(B246,Sessions!A:J,2,FALSE),"")</f>
        <v/>
      </c>
      <c r="D246" s="3"/>
      <c r="E246" s="3" t="str">
        <f>IFERROR(VLOOKUP(D246,Employees!A:L,2,FALSE),"")</f>
        <v/>
      </c>
      <c r="F246" s="6"/>
      <c r="G246" s="6"/>
      <c r="H246" s="6" t="str">
        <f>IF(G246="","",G246)</f>
        <v/>
      </c>
      <c r="I246" s="3" t="str">
        <f>IF(H246="","",IF(H246&gt;=Setup!B7,"ناجح","إعادة تدريب"))</f>
        <v/>
      </c>
      <c r="J246" s="3"/>
      <c r="K246" s="3"/>
      <c r="L246" s="3"/>
      <c r="M246" s="3"/>
    </row>
    <row r="247" spans="1:13" x14ac:dyDescent="0.2">
      <c r="A247" s="3">
        <v>244</v>
      </c>
      <c r="B247" s="3"/>
      <c r="C247" s="3" t="str">
        <f>IFERROR(VLOOKUP(B247,Sessions!A:J,2,FALSE),"")</f>
        <v/>
      </c>
      <c r="D247" s="3"/>
      <c r="E247" s="3" t="str">
        <f>IFERROR(VLOOKUP(D247,Employees!A:L,2,FALSE),"")</f>
        <v/>
      </c>
      <c r="F247" s="6"/>
      <c r="G247" s="6"/>
      <c r="H247" s="6" t="str">
        <f>IF(G247="","",G247)</f>
        <v/>
      </c>
      <c r="I247" s="3" t="str">
        <f>IF(H247="","",IF(H247&gt;=Setup!B7,"ناجح","إعادة تدريب"))</f>
        <v/>
      </c>
      <c r="J247" s="3"/>
      <c r="K247" s="3"/>
      <c r="L247" s="3"/>
      <c r="M247" s="3"/>
    </row>
    <row r="248" spans="1:13" x14ac:dyDescent="0.2">
      <c r="A248" s="3">
        <v>245</v>
      </c>
      <c r="B248" s="3"/>
      <c r="C248" s="3" t="str">
        <f>IFERROR(VLOOKUP(B248,Sessions!A:J,2,FALSE),"")</f>
        <v/>
      </c>
      <c r="D248" s="3"/>
      <c r="E248" s="3" t="str">
        <f>IFERROR(VLOOKUP(D248,Employees!A:L,2,FALSE),"")</f>
        <v/>
      </c>
      <c r="F248" s="6"/>
      <c r="G248" s="6"/>
      <c r="H248" s="6" t="str">
        <f>IF(G248="","",G248)</f>
        <v/>
      </c>
      <c r="I248" s="3" t="str">
        <f>IF(H248="","",IF(H248&gt;=Setup!B7,"ناجح","إعادة تدريب"))</f>
        <v/>
      </c>
      <c r="J248" s="3"/>
      <c r="K248" s="3"/>
      <c r="L248" s="3"/>
      <c r="M248" s="3"/>
    </row>
    <row r="249" spans="1:13" x14ac:dyDescent="0.2">
      <c r="A249" s="3">
        <v>246</v>
      </c>
      <c r="B249" s="3"/>
      <c r="C249" s="3" t="str">
        <f>IFERROR(VLOOKUP(B249,Sessions!A:J,2,FALSE),"")</f>
        <v/>
      </c>
      <c r="D249" s="3"/>
      <c r="E249" s="3" t="str">
        <f>IFERROR(VLOOKUP(D249,Employees!A:L,2,FALSE),"")</f>
        <v/>
      </c>
      <c r="F249" s="6"/>
      <c r="G249" s="6"/>
      <c r="H249" s="6" t="str">
        <f>IF(G249="","",G249)</f>
        <v/>
      </c>
      <c r="I249" s="3" t="str">
        <f>IF(H249="","",IF(H249&gt;=Setup!B7,"ناجح","إعادة تدريب"))</f>
        <v/>
      </c>
      <c r="J249" s="3"/>
      <c r="K249" s="3"/>
      <c r="L249" s="3"/>
      <c r="M249" s="3"/>
    </row>
    <row r="250" spans="1:13" x14ac:dyDescent="0.2">
      <c r="A250" s="3">
        <v>247</v>
      </c>
      <c r="B250" s="3"/>
      <c r="C250" s="3" t="str">
        <f>IFERROR(VLOOKUP(B250,Sessions!A:J,2,FALSE),"")</f>
        <v/>
      </c>
      <c r="D250" s="3"/>
      <c r="E250" s="3" t="str">
        <f>IFERROR(VLOOKUP(D250,Employees!A:L,2,FALSE),"")</f>
        <v/>
      </c>
      <c r="F250" s="6"/>
      <c r="G250" s="6"/>
      <c r="H250" s="6" t="str">
        <f>IF(G250="","",G250)</f>
        <v/>
      </c>
      <c r="I250" s="3" t="str">
        <f>IF(H250="","",IF(H250&gt;=Setup!B7,"ناجح","إعادة تدريب"))</f>
        <v/>
      </c>
      <c r="J250" s="3"/>
      <c r="K250" s="3"/>
      <c r="L250" s="3"/>
      <c r="M250" s="3"/>
    </row>
    <row r="251" spans="1:13" x14ac:dyDescent="0.2">
      <c r="A251" s="3">
        <v>248</v>
      </c>
      <c r="B251" s="3"/>
      <c r="C251" s="3" t="str">
        <f>IFERROR(VLOOKUP(B251,Sessions!A:J,2,FALSE),"")</f>
        <v/>
      </c>
      <c r="D251" s="3"/>
      <c r="E251" s="3" t="str">
        <f>IFERROR(VLOOKUP(D251,Employees!A:L,2,FALSE),"")</f>
        <v/>
      </c>
      <c r="F251" s="6"/>
      <c r="G251" s="6"/>
      <c r="H251" s="6" t="str">
        <f>IF(G251="","",G251)</f>
        <v/>
      </c>
      <c r="I251" s="3" t="str">
        <f>IF(H251="","",IF(H251&gt;=Setup!B7,"ناجح","إعادة تدريب"))</f>
        <v/>
      </c>
      <c r="J251" s="3"/>
      <c r="K251" s="3"/>
      <c r="L251" s="3"/>
      <c r="M251" s="3"/>
    </row>
    <row r="252" spans="1:13" x14ac:dyDescent="0.2">
      <c r="A252" s="3">
        <v>249</v>
      </c>
      <c r="B252" s="3"/>
      <c r="C252" s="3" t="str">
        <f>IFERROR(VLOOKUP(B252,Sessions!A:J,2,FALSE),"")</f>
        <v/>
      </c>
      <c r="D252" s="3"/>
      <c r="E252" s="3" t="str">
        <f>IFERROR(VLOOKUP(D252,Employees!A:L,2,FALSE),"")</f>
        <v/>
      </c>
      <c r="F252" s="6"/>
      <c r="G252" s="6"/>
      <c r="H252" s="6" t="str">
        <f>IF(G252="","",G252)</f>
        <v/>
      </c>
      <c r="I252" s="3" t="str">
        <f>IF(H252="","",IF(H252&gt;=Setup!B7,"ناجح","إعادة تدريب"))</f>
        <v/>
      </c>
      <c r="J252" s="3"/>
      <c r="K252" s="3"/>
      <c r="L252" s="3"/>
      <c r="M252" s="3"/>
    </row>
    <row r="253" spans="1:13" x14ac:dyDescent="0.2">
      <c r="A253" s="3">
        <v>250</v>
      </c>
      <c r="B253" s="3"/>
      <c r="C253" s="3" t="str">
        <f>IFERROR(VLOOKUP(B253,Sessions!A:J,2,FALSE),"")</f>
        <v/>
      </c>
      <c r="D253" s="3"/>
      <c r="E253" s="3" t="str">
        <f>IFERROR(VLOOKUP(D253,Employees!A:L,2,FALSE),"")</f>
        <v/>
      </c>
      <c r="F253" s="6"/>
      <c r="G253" s="6"/>
      <c r="H253" s="6" t="str">
        <f>IF(G253="","",G253)</f>
        <v/>
      </c>
      <c r="I253" s="3" t="str">
        <f>IF(H253="","",IF(H253&gt;=Setup!B7,"ناجح","إعادة تدريب"))</f>
        <v/>
      </c>
      <c r="J253" s="3"/>
      <c r="K253" s="3"/>
      <c r="L253" s="3"/>
      <c r="M253" s="3"/>
    </row>
    <row r="254" spans="1:13" x14ac:dyDescent="0.2">
      <c r="A254" s="3">
        <v>251</v>
      </c>
      <c r="B254" s="3"/>
      <c r="C254" s="3" t="str">
        <f>IFERROR(VLOOKUP(B254,Sessions!A:J,2,FALSE),"")</f>
        <v/>
      </c>
      <c r="D254" s="3"/>
      <c r="E254" s="3" t="str">
        <f>IFERROR(VLOOKUP(D254,Employees!A:L,2,FALSE),"")</f>
        <v/>
      </c>
      <c r="F254" s="6"/>
      <c r="G254" s="6"/>
      <c r="H254" s="6" t="str">
        <f>IF(G254="","",G254)</f>
        <v/>
      </c>
      <c r="I254" s="3" t="str">
        <f>IF(H254="","",IF(H254&gt;=Setup!B7,"ناجح","إعادة تدريب"))</f>
        <v/>
      </c>
      <c r="J254" s="3"/>
      <c r="K254" s="3"/>
      <c r="L254" s="3"/>
      <c r="M254" s="3"/>
    </row>
    <row r="255" spans="1:13" x14ac:dyDescent="0.2">
      <c r="A255" s="3">
        <v>252</v>
      </c>
      <c r="B255" s="3"/>
      <c r="C255" s="3" t="str">
        <f>IFERROR(VLOOKUP(B255,Sessions!A:J,2,FALSE),"")</f>
        <v/>
      </c>
      <c r="D255" s="3"/>
      <c r="E255" s="3" t="str">
        <f>IFERROR(VLOOKUP(D255,Employees!A:L,2,FALSE),"")</f>
        <v/>
      </c>
      <c r="F255" s="6"/>
      <c r="G255" s="6"/>
      <c r="H255" s="6" t="str">
        <f>IF(G255="","",G255)</f>
        <v/>
      </c>
      <c r="I255" s="3" t="str">
        <f>IF(H255="","",IF(H255&gt;=Setup!B7,"ناجح","إعادة تدريب"))</f>
        <v/>
      </c>
      <c r="J255" s="3"/>
      <c r="K255" s="3"/>
      <c r="L255" s="3"/>
      <c r="M255" s="3"/>
    </row>
    <row r="256" spans="1:13" x14ac:dyDescent="0.2">
      <c r="A256" s="3">
        <v>253</v>
      </c>
      <c r="B256" s="3"/>
      <c r="C256" s="3" t="str">
        <f>IFERROR(VLOOKUP(B256,Sessions!A:J,2,FALSE),"")</f>
        <v/>
      </c>
      <c r="D256" s="3"/>
      <c r="E256" s="3" t="str">
        <f>IFERROR(VLOOKUP(D256,Employees!A:L,2,FALSE),"")</f>
        <v/>
      </c>
      <c r="F256" s="6"/>
      <c r="G256" s="6"/>
      <c r="H256" s="6" t="str">
        <f>IF(G256="","",G256)</f>
        <v/>
      </c>
      <c r="I256" s="3" t="str">
        <f>IF(H256="","",IF(H256&gt;=Setup!B7,"ناجح","إعادة تدريب"))</f>
        <v/>
      </c>
      <c r="J256" s="3"/>
      <c r="K256" s="3"/>
      <c r="L256" s="3"/>
      <c r="M256" s="3"/>
    </row>
    <row r="257" spans="1:13" x14ac:dyDescent="0.2">
      <c r="A257" s="3">
        <v>254</v>
      </c>
      <c r="B257" s="3"/>
      <c r="C257" s="3" t="str">
        <f>IFERROR(VLOOKUP(B257,Sessions!A:J,2,FALSE),"")</f>
        <v/>
      </c>
      <c r="D257" s="3"/>
      <c r="E257" s="3" t="str">
        <f>IFERROR(VLOOKUP(D257,Employees!A:L,2,FALSE),"")</f>
        <v/>
      </c>
      <c r="F257" s="6"/>
      <c r="G257" s="6"/>
      <c r="H257" s="6" t="str">
        <f>IF(G257="","",G257)</f>
        <v/>
      </c>
      <c r="I257" s="3" t="str">
        <f>IF(H257="","",IF(H257&gt;=Setup!B7,"ناجح","إعادة تدريب"))</f>
        <v/>
      </c>
      <c r="J257" s="3"/>
      <c r="K257" s="3"/>
      <c r="L257" s="3"/>
      <c r="M257" s="3"/>
    </row>
    <row r="258" spans="1:13" x14ac:dyDescent="0.2">
      <c r="A258" s="3">
        <v>255</v>
      </c>
      <c r="B258" s="3"/>
      <c r="C258" s="3" t="str">
        <f>IFERROR(VLOOKUP(B258,Sessions!A:J,2,FALSE),"")</f>
        <v/>
      </c>
      <c r="D258" s="3"/>
      <c r="E258" s="3" t="str">
        <f>IFERROR(VLOOKUP(D258,Employees!A:L,2,FALSE),"")</f>
        <v/>
      </c>
      <c r="F258" s="6"/>
      <c r="G258" s="6"/>
      <c r="H258" s="6" t="str">
        <f>IF(G258="","",G258)</f>
        <v/>
      </c>
      <c r="I258" s="3" t="str">
        <f>IF(H258="","",IF(H258&gt;=Setup!B7,"ناجح","إعادة تدريب"))</f>
        <v/>
      </c>
      <c r="J258" s="3"/>
      <c r="K258" s="3"/>
      <c r="L258" s="3"/>
      <c r="M258" s="3"/>
    </row>
    <row r="259" spans="1:13" x14ac:dyDescent="0.2">
      <c r="A259" s="3">
        <v>256</v>
      </c>
      <c r="B259" s="3"/>
      <c r="C259" s="3" t="str">
        <f>IFERROR(VLOOKUP(B259,Sessions!A:J,2,FALSE),"")</f>
        <v/>
      </c>
      <c r="D259" s="3"/>
      <c r="E259" s="3" t="str">
        <f>IFERROR(VLOOKUP(D259,Employees!A:L,2,FALSE),"")</f>
        <v/>
      </c>
      <c r="F259" s="6"/>
      <c r="G259" s="6"/>
      <c r="H259" s="6" t="str">
        <f>IF(G259="","",G259)</f>
        <v/>
      </c>
      <c r="I259" s="3" t="str">
        <f>IF(H259="","",IF(H259&gt;=Setup!B7,"ناجح","إعادة تدريب"))</f>
        <v/>
      </c>
      <c r="J259" s="3"/>
      <c r="K259" s="3"/>
      <c r="L259" s="3"/>
      <c r="M259" s="3"/>
    </row>
    <row r="260" spans="1:13" x14ac:dyDescent="0.2">
      <c r="A260" s="3">
        <v>257</v>
      </c>
      <c r="B260" s="3"/>
      <c r="C260" s="3" t="str">
        <f>IFERROR(VLOOKUP(B260,Sessions!A:J,2,FALSE),"")</f>
        <v/>
      </c>
      <c r="D260" s="3"/>
      <c r="E260" s="3" t="str">
        <f>IFERROR(VLOOKUP(D260,Employees!A:L,2,FALSE),"")</f>
        <v/>
      </c>
      <c r="F260" s="6"/>
      <c r="G260" s="6"/>
      <c r="H260" s="6" t="str">
        <f>IF(G260="","",G260)</f>
        <v/>
      </c>
      <c r="I260" s="3" t="str">
        <f>IF(H260="","",IF(H260&gt;=Setup!B7,"ناجح","إعادة تدريب"))</f>
        <v/>
      </c>
      <c r="J260" s="3"/>
      <c r="K260" s="3"/>
      <c r="L260" s="3"/>
      <c r="M260" s="3"/>
    </row>
    <row r="261" spans="1:13" x14ac:dyDescent="0.2">
      <c r="A261" s="3">
        <v>258</v>
      </c>
      <c r="B261" s="3"/>
      <c r="C261" s="3" t="str">
        <f>IFERROR(VLOOKUP(B261,Sessions!A:J,2,FALSE),"")</f>
        <v/>
      </c>
      <c r="D261" s="3"/>
      <c r="E261" s="3" t="str">
        <f>IFERROR(VLOOKUP(D261,Employees!A:L,2,FALSE),"")</f>
        <v/>
      </c>
      <c r="F261" s="6"/>
      <c r="G261" s="6"/>
      <c r="H261" s="6" t="str">
        <f>IF(G261="","",G261)</f>
        <v/>
      </c>
      <c r="I261" s="3" t="str">
        <f>IF(H261="","",IF(H261&gt;=Setup!B7,"ناجح","إعادة تدريب"))</f>
        <v/>
      </c>
      <c r="J261" s="3"/>
      <c r="K261" s="3"/>
      <c r="L261" s="3"/>
      <c r="M261" s="3"/>
    </row>
    <row r="262" spans="1:13" x14ac:dyDescent="0.2">
      <c r="A262" s="3">
        <v>259</v>
      </c>
      <c r="B262" s="3"/>
      <c r="C262" s="3" t="str">
        <f>IFERROR(VLOOKUP(B262,Sessions!A:J,2,FALSE),"")</f>
        <v/>
      </c>
      <c r="D262" s="3"/>
      <c r="E262" s="3" t="str">
        <f>IFERROR(VLOOKUP(D262,Employees!A:L,2,FALSE),"")</f>
        <v/>
      </c>
      <c r="F262" s="6"/>
      <c r="G262" s="6"/>
      <c r="H262" s="6" t="str">
        <f>IF(G262="","",G262)</f>
        <v/>
      </c>
      <c r="I262" s="3" t="str">
        <f>IF(H262="","",IF(H262&gt;=Setup!B7,"ناجح","إعادة تدريب"))</f>
        <v/>
      </c>
      <c r="J262" s="3"/>
      <c r="K262" s="3"/>
      <c r="L262" s="3"/>
      <c r="M262" s="3"/>
    </row>
    <row r="263" spans="1:13" x14ac:dyDescent="0.2">
      <c r="A263" s="3">
        <v>260</v>
      </c>
      <c r="B263" s="3"/>
      <c r="C263" s="3" t="str">
        <f>IFERROR(VLOOKUP(B263,Sessions!A:J,2,FALSE),"")</f>
        <v/>
      </c>
      <c r="D263" s="3"/>
      <c r="E263" s="3" t="str">
        <f>IFERROR(VLOOKUP(D263,Employees!A:L,2,FALSE),"")</f>
        <v/>
      </c>
      <c r="F263" s="6"/>
      <c r="G263" s="6"/>
      <c r="H263" s="6" t="str">
        <f>IF(G263="","",G263)</f>
        <v/>
      </c>
      <c r="I263" s="3" t="str">
        <f>IF(H263="","",IF(H263&gt;=Setup!B7,"ناجح","إعادة تدريب"))</f>
        <v/>
      </c>
      <c r="J263" s="3"/>
      <c r="K263" s="3"/>
      <c r="L263" s="3"/>
      <c r="M263" s="3"/>
    </row>
    <row r="264" spans="1:13" x14ac:dyDescent="0.2">
      <c r="A264" s="3">
        <v>261</v>
      </c>
      <c r="B264" s="3"/>
      <c r="C264" s="3" t="str">
        <f>IFERROR(VLOOKUP(B264,Sessions!A:J,2,FALSE),"")</f>
        <v/>
      </c>
      <c r="D264" s="3"/>
      <c r="E264" s="3" t="str">
        <f>IFERROR(VLOOKUP(D264,Employees!A:L,2,FALSE),"")</f>
        <v/>
      </c>
      <c r="F264" s="6"/>
      <c r="G264" s="6"/>
      <c r="H264" s="6" t="str">
        <f>IF(G264="","",G264)</f>
        <v/>
      </c>
      <c r="I264" s="3" t="str">
        <f>IF(H264="","",IF(H264&gt;=Setup!B7,"ناجح","إعادة تدريب"))</f>
        <v/>
      </c>
      <c r="J264" s="3"/>
      <c r="K264" s="3"/>
      <c r="L264" s="3"/>
      <c r="M264" s="3"/>
    </row>
    <row r="265" spans="1:13" x14ac:dyDescent="0.2">
      <c r="A265" s="3">
        <v>262</v>
      </c>
      <c r="B265" s="3"/>
      <c r="C265" s="3" t="str">
        <f>IFERROR(VLOOKUP(B265,Sessions!A:J,2,FALSE),"")</f>
        <v/>
      </c>
      <c r="D265" s="3"/>
      <c r="E265" s="3" t="str">
        <f>IFERROR(VLOOKUP(D265,Employees!A:L,2,FALSE),"")</f>
        <v/>
      </c>
      <c r="F265" s="6"/>
      <c r="G265" s="6"/>
      <c r="H265" s="6" t="str">
        <f>IF(G265="","",G265)</f>
        <v/>
      </c>
      <c r="I265" s="3" t="str">
        <f>IF(H265="","",IF(H265&gt;=Setup!B7,"ناجح","إعادة تدريب"))</f>
        <v/>
      </c>
      <c r="J265" s="3"/>
      <c r="K265" s="3"/>
      <c r="L265" s="3"/>
      <c r="M265" s="3"/>
    </row>
    <row r="266" spans="1:13" x14ac:dyDescent="0.2">
      <c r="A266" s="3">
        <v>263</v>
      </c>
      <c r="B266" s="3"/>
      <c r="C266" s="3" t="str">
        <f>IFERROR(VLOOKUP(B266,Sessions!A:J,2,FALSE),"")</f>
        <v/>
      </c>
      <c r="D266" s="3"/>
      <c r="E266" s="3" t="str">
        <f>IFERROR(VLOOKUP(D266,Employees!A:L,2,FALSE),"")</f>
        <v/>
      </c>
      <c r="F266" s="6"/>
      <c r="G266" s="6"/>
      <c r="H266" s="6" t="str">
        <f>IF(G266="","",G266)</f>
        <v/>
      </c>
      <c r="I266" s="3" t="str">
        <f>IF(H266="","",IF(H266&gt;=Setup!B7,"ناجح","إعادة تدريب"))</f>
        <v/>
      </c>
      <c r="J266" s="3"/>
      <c r="K266" s="3"/>
      <c r="L266" s="3"/>
      <c r="M266" s="3"/>
    </row>
    <row r="267" spans="1:13" x14ac:dyDescent="0.2">
      <c r="A267" s="3">
        <v>264</v>
      </c>
      <c r="B267" s="3"/>
      <c r="C267" s="3" t="str">
        <f>IFERROR(VLOOKUP(B267,Sessions!A:J,2,FALSE),"")</f>
        <v/>
      </c>
      <c r="D267" s="3"/>
      <c r="E267" s="3" t="str">
        <f>IFERROR(VLOOKUP(D267,Employees!A:L,2,FALSE),"")</f>
        <v/>
      </c>
      <c r="F267" s="6"/>
      <c r="G267" s="6"/>
      <c r="H267" s="6" t="str">
        <f>IF(G267="","",G267)</f>
        <v/>
      </c>
      <c r="I267" s="3" t="str">
        <f>IF(H267="","",IF(H267&gt;=Setup!B7,"ناجح","إعادة تدريب"))</f>
        <v/>
      </c>
      <c r="J267" s="3"/>
      <c r="K267" s="3"/>
      <c r="L267" s="3"/>
      <c r="M267" s="3"/>
    </row>
    <row r="268" spans="1:13" x14ac:dyDescent="0.2">
      <c r="A268" s="3">
        <v>265</v>
      </c>
      <c r="B268" s="3"/>
      <c r="C268" s="3" t="str">
        <f>IFERROR(VLOOKUP(B268,Sessions!A:J,2,FALSE),"")</f>
        <v/>
      </c>
      <c r="D268" s="3"/>
      <c r="E268" s="3" t="str">
        <f>IFERROR(VLOOKUP(D268,Employees!A:L,2,FALSE),"")</f>
        <v/>
      </c>
      <c r="F268" s="6"/>
      <c r="G268" s="6"/>
      <c r="H268" s="6" t="str">
        <f>IF(G268="","",G268)</f>
        <v/>
      </c>
      <c r="I268" s="3" t="str">
        <f>IF(H268="","",IF(H268&gt;=Setup!B7,"ناجح","إعادة تدريب"))</f>
        <v/>
      </c>
      <c r="J268" s="3"/>
      <c r="K268" s="3"/>
      <c r="L268" s="3"/>
      <c r="M268" s="3"/>
    </row>
    <row r="269" spans="1:13" x14ac:dyDescent="0.2">
      <c r="A269" s="3">
        <v>266</v>
      </c>
      <c r="B269" s="3"/>
      <c r="C269" s="3" t="str">
        <f>IFERROR(VLOOKUP(B269,Sessions!A:J,2,FALSE),"")</f>
        <v/>
      </c>
      <c r="D269" s="3"/>
      <c r="E269" s="3" t="str">
        <f>IFERROR(VLOOKUP(D269,Employees!A:L,2,FALSE),"")</f>
        <v/>
      </c>
      <c r="F269" s="6"/>
      <c r="G269" s="6"/>
      <c r="H269" s="6" t="str">
        <f>IF(G269="","",G269)</f>
        <v/>
      </c>
      <c r="I269" s="3" t="str">
        <f>IF(H269="","",IF(H269&gt;=Setup!B7,"ناجح","إعادة تدريب"))</f>
        <v/>
      </c>
      <c r="J269" s="3"/>
      <c r="K269" s="3"/>
      <c r="L269" s="3"/>
      <c r="M269" s="3"/>
    </row>
    <row r="270" spans="1:13" x14ac:dyDescent="0.2">
      <c r="A270" s="3">
        <v>267</v>
      </c>
      <c r="B270" s="3"/>
      <c r="C270" s="3" t="str">
        <f>IFERROR(VLOOKUP(B270,Sessions!A:J,2,FALSE),"")</f>
        <v/>
      </c>
      <c r="D270" s="3"/>
      <c r="E270" s="3" t="str">
        <f>IFERROR(VLOOKUP(D270,Employees!A:L,2,FALSE),"")</f>
        <v/>
      </c>
      <c r="F270" s="6"/>
      <c r="G270" s="6"/>
      <c r="H270" s="6" t="str">
        <f>IF(G270="","",G270)</f>
        <v/>
      </c>
      <c r="I270" s="3" t="str">
        <f>IF(H270="","",IF(H270&gt;=Setup!B7,"ناجح","إعادة تدريب"))</f>
        <v/>
      </c>
      <c r="J270" s="3"/>
      <c r="K270" s="3"/>
      <c r="L270" s="3"/>
      <c r="M270" s="3"/>
    </row>
    <row r="271" spans="1:13" x14ac:dyDescent="0.2">
      <c r="A271" s="3">
        <v>268</v>
      </c>
      <c r="B271" s="3"/>
      <c r="C271" s="3" t="str">
        <f>IFERROR(VLOOKUP(B271,Sessions!A:J,2,FALSE),"")</f>
        <v/>
      </c>
      <c r="D271" s="3"/>
      <c r="E271" s="3" t="str">
        <f>IFERROR(VLOOKUP(D271,Employees!A:L,2,FALSE),"")</f>
        <v/>
      </c>
      <c r="F271" s="6"/>
      <c r="G271" s="6"/>
      <c r="H271" s="6" t="str">
        <f>IF(G271="","",G271)</f>
        <v/>
      </c>
      <c r="I271" s="3" t="str">
        <f>IF(H271="","",IF(H271&gt;=Setup!B7,"ناجح","إعادة تدريب"))</f>
        <v/>
      </c>
      <c r="J271" s="3"/>
      <c r="K271" s="3"/>
      <c r="L271" s="3"/>
      <c r="M271" s="3"/>
    </row>
    <row r="272" spans="1:13" x14ac:dyDescent="0.2">
      <c r="A272" s="3">
        <v>269</v>
      </c>
      <c r="B272" s="3"/>
      <c r="C272" s="3" t="str">
        <f>IFERROR(VLOOKUP(B272,Sessions!A:J,2,FALSE),"")</f>
        <v/>
      </c>
      <c r="D272" s="3"/>
      <c r="E272" s="3" t="str">
        <f>IFERROR(VLOOKUP(D272,Employees!A:L,2,FALSE),"")</f>
        <v/>
      </c>
      <c r="F272" s="6"/>
      <c r="G272" s="6"/>
      <c r="H272" s="6" t="str">
        <f>IF(G272="","",G272)</f>
        <v/>
      </c>
      <c r="I272" s="3" t="str">
        <f>IF(H272="","",IF(H272&gt;=Setup!B7,"ناجح","إعادة تدريب"))</f>
        <v/>
      </c>
      <c r="J272" s="3"/>
      <c r="K272" s="3"/>
      <c r="L272" s="3"/>
      <c r="M272" s="3"/>
    </row>
    <row r="273" spans="1:13" x14ac:dyDescent="0.2">
      <c r="A273" s="3">
        <v>270</v>
      </c>
      <c r="B273" s="3"/>
      <c r="C273" s="3" t="str">
        <f>IFERROR(VLOOKUP(B273,Sessions!A:J,2,FALSE),"")</f>
        <v/>
      </c>
      <c r="D273" s="3"/>
      <c r="E273" s="3" t="str">
        <f>IFERROR(VLOOKUP(D273,Employees!A:L,2,FALSE),"")</f>
        <v/>
      </c>
      <c r="F273" s="6"/>
      <c r="G273" s="6"/>
      <c r="H273" s="6" t="str">
        <f>IF(G273="","",G273)</f>
        <v/>
      </c>
      <c r="I273" s="3" t="str">
        <f>IF(H273="","",IF(H273&gt;=Setup!B7,"ناجح","إعادة تدريب"))</f>
        <v/>
      </c>
      <c r="J273" s="3"/>
      <c r="K273" s="3"/>
      <c r="L273" s="3"/>
      <c r="M273" s="3"/>
    </row>
    <row r="274" spans="1:13" x14ac:dyDescent="0.2">
      <c r="A274" s="3">
        <v>271</v>
      </c>
      <c r="B274" s="3"/>
      <c r="C274" s="3" t="str">
        <f>IFERROR(VLOOKUP(B274,Sessions!A:J,2,FALSE),"")</f>
        <v/>
      </c>
      <c r="D274" s="3"/>
      <c r="E274" s="3" t="str">
        <f>IFERROR(VLOOKUP(D274,Employees!A:L,2,FALSE),"")</f>
        <v/>
      </c>
      <c r="F274" s="6"/>
      <c r="G274" s="6"/>
      <c r="H274" s="6" t="str">
        <f>IF(G274="","",G274)</f>
        <v/>
      </c>
      <c r="I274" s="3" t="str">
        <f>IF(H274="","",IF(H274&gt;=Setup!B7,"ناجح","إعادة تدريب"))</f>
        <v/>
      </c>
      <c r="J274" s="3"/>
      <c r="K274" s="3"/>
      <c r="L274" s="3"/>
      <c r="M274" s="3"/>
    </row>
    <row r="275" spans="1:13" x14ac:dyDescent="0.2">
      <c r="A275" s="3">
        <v>272</v>
      </c>
      <c r="B275" s="3"/>
      <c r="C275" s="3" t="str">
        <f>IFERROR(VLOOKUP(B275,Sessions!A:J,2,FALSE),"")</f>
        <v/>
      </c>
      <c r="D275" s="3"/>
      <c r="E275" s="3" t="str">
        <f>IFERROR(VLOOKUP(D275,Employees!A:L,2,FALSE),"")</f>
        <v/>
      </c>
      <c r="F275" s="6"/>
      <c r="G275" s="6"/>
      <c r="H275" s="6" t="str">
        <f>IF(G275="","",G275)</f>
        <v/>
      </c>
      <c r="I275" s="3" t="str">
        <f>IF(H275="","",IF(H275&gt;=Setup!B7,"ناجح","إعادة تدريب"))</f>
        <v/>
      </c>
      <c r="J275" s="3"/>
      <c r="K275" s="3"/>
      <c r="L275" s="3"/>
      <c r="M275" s="3"/>
    </row>
    <row r="276" spans="1:13" x14ac:dyDescent="0.2">
      <c r="A276" s="3">
        <v>273</v>
      </c>
      <c r="B276" s="3"/>
      <c r="C276" s="3" t="str">
        <f>IFERROR(VLOOKUP(B276,Sessions!A:J,2,FALSE),"")</f>
        <v/>
      </c>
      <c r="D276" s="3"/>
      <c r="E276" s="3" t="str">
        <f>IFERROR(VLOOKUP(D276,Employees!A:L,2,FALSE),"")</f>
        <v/>
      </c>
      <c r="F276" s="6"/>
      <c r="G276" s="6"/>
      <c r="H276" s="6" t="str">
        <f>IF(G276="","",G276)</f>
        <v/>
      </c>
      <c r="I276" s="3" t="str">
        <f>IF(H276="","",IF(H276&gt;=Setup!B7,"ناجح","إعادة تدريب"))</f>
        <v/>
      </c>
      <c r="J276" s="3"/>
      <c r="K276" s="3"/>
      <c r="L276" s="3"/>
      <c r="M276" s="3"/>
    </row>
    <row r="277" spans="1:13" x14ac:dyDescent="0.2">
      <c r="A277" s="3">
        <v>274</v>
      </c>
      <c r="B277" s="3"/>
      <c r="C277" s="3" t="str">
        <f>IFERROR(VLOOKUP(B277,Sessions!A:J,2,FALSE),"")</f>
        <v/>
      </c>
      <c r="D277" s="3"/>
      <c r="E277" s="3" t="str">
        <f>IFERROR(VLOOKUP(D277,Employees!A:L,2,FALSE),"")</f>
        <v/>
      </c>
      <c r="F277" s="6"/>
      <c r="G277" s="6"/>
      <c r="H277" s="6" t="str">
        <f>IF(G277="","",G277)</f>
        <v/>
      </c>
      <c r="I277" s="3" t="str">
        <f>IF(H277="","",IF(H277&gt;=Setup!B7,"ناجح","إعادة تدريب"))</f>
        <v/>
      </c>
      <c r="J277" s="3"/>
      <c r="K277" s="3"/>
      <c r="L277" s="3"/>
      <c r="M277" s="3"/>
    </row>
    <row r="278" spans="1:13" x14ac:dyDescent="0.2">
      <c r="A278" s="3">
        <v>275</v>
      </c>
      <c r="B278" s="3"/>
      <c r="C278" s="3" t="str">
        <f>IFERROR(VLOOKUP(B278,Sessions!A:J,2,FALSE),"")</f>
        <v/>
      </c>
      <c r="D278" s="3"/>
      <c r="E278" s="3" t="str">
        <f>IFERROR(VLOOKUP(D278,Employees!A:L,2,FALSE),"")</f>
        <v/>
      </c>
      <c r="F278" s="6"/>
      <c r="G278" s="6"/>
      <c r="H278" s="6" t="str">
        <f>IF(G278="","",G278)</f>
        <v/>
      </c>
      <c r="I278" s="3" t="str">
        <f>IF(H278="","",IF(H278&gt;=Setup!B7,"ناجح","إعادة تدريب"))</f>
        <v/>
      </c>
      <c r="J278" s="3"/>
      <c r="K278" s="3"/>
      <c r="L278" s="3"/>
      <c r="M278" s="3"/>
    </row>
    <row r="279" spans="1:13" x14ac:dyDescent="0.2">
      <c r="A279" s="3">
        <v>276</v>
      </c>
      <c r="B279" s="3"/>
      <c r="C279" s="3" t="str">
        <f>IFERROR(VLOOKUP(B279,Sessions!A:J,2,FALSE),"")</f>
        <v/>
      </c>
      <c r="D279" s="3"/>
      <c r="E279" s="3" t="str">
        <f>IFERROR(VLOOKUP(D279,Employees!A:L,2,FALSE),"")</f>
        <v/>
      </c>
      <c r="F279" s="6"/>
      <c r="G279" s="6"/>
      <c r="H279" s="6" t="str">
        <f>IF(G279="","",G279)</f>
        <v/>
      </c>
      <c r="I279" s="3" t="str">
        <f>IF(H279="","",IF(H279&gt;=Setup!B7,"ناجح","إعادة تدريب"))</f>
        <v/>
      </c>
      <c r="J279" s="3"/>
      <c r="K279" s="3"/>
      <c r="L279" s="3"/>
      <c r="M279" s="3"/>
    </row>
    <row r="280" spans="1:13" x14ac:dyDescent="0.2">
      <c r="A280" s="3">
        <v>277</v>
      </c>
      <c r="B280" s="3"/>
      <c r="C280" s="3" t="str">
        <f>IFERROR(VLOOKUP(B280,Sessions!A:J,2,FALSE),"")</f>
        <v/>
      </c>
      <c r="D280" s="3"/>
      <c r="E280" s="3" t="str">
        <f>IFERROR(VLOOKUP(D280,Employees!A:L,2,FALSE),"")</f>
        <v/>
      </c>
      <c r="F280" s="6"/>
      <c r="G280" s="6"/>
      <c r="H280" s="6" t="str">
        <f>IF(G280="","",G280)</f>
        <v/>
      </c>
      <c r="I280" s="3" t="str">
        <f>IF(H280="","",IF(H280&gt;=Setup!B7,"ناجح","إعادة تدريب"))</f>
        <v/>
      </c>
      <c r="J280" s="3"/>
      <c r="K280" s="3"/>
      <c r="L280" s="3"/>
      <c r="M280" s="3"/>
    </row>
    <row r="281" spans="1:13" x14ac:dyDescent="0.2">
      <c r="A281" s="3">
        <v>278</v>
      </c>
      <c r="B281" s="3"/>
      <c r="C281" s="3" t="str">
        <f>IFERROR(VLOOKUP(B281,Sessions!A:J,2,FALSE),"")</f>
        <v/>
      </c>
      <c r="D281" s="3"/>
      <c r="E281" s="3" t="str">
        <f>IFERROR(VLOOKUP(D281,Employees!A:L,2,FALSE),"")</f>
        <v/>
      </c>
      <c r="F281" s="6"/>
      <c r="G281" s="6"/>
      <c r="H281" s="6" t="str">
        <f>IF(G281="","",G281)</f>
        <v/>
      </c>
      <c r="I281" s="3" t="str">
        <f>IF(H281="","",IF(H281&gt;=Setup!B7,"ناجح","إعادة تدريب"))</f>
        <v/>
      </c>
      <c r="J281" s="3"/>
      <c r="K281" s="3"/>
      <c r="L281" s="3"/>
      <c r="M281" s="3"/>
    </row>
    <row r="282" spans="1:13" x14ac:dyDescent="0.2">
      <c r="A282" s="3">
        <v>279</v>
      </c>
      <c r="B282" s="3"/>
      <c r="C282" s="3" t="str">
        <f>IFERROR(VLOOKUP(B282,Sessions!A:J,2,FALSE),"")</f>
        <v/>
      </c>
      <c r="D282" s="3"/>
      <c r="E282" s="3" t="str">
        <f>IFERROR(VLOOKUP(D282,Employees!A:L,2,FALSE),"")</f>
        <v/>
      </c>
      <c r="F282" s="6"/>
      <c r="G282" s="6"/>
      <c r="H282" s="6" t="str">
        <f>IF(G282="","",G282)</f>
        <v/>
      </c>
      <c r="I282" s="3" t="str">
        <f>IF(H282="","",IF(H282&gt;=Setup!B7,"ناجح","إعادة تدريب"))</f>
        <v/>
      </c>
      <c r="J282" s="3"/>
      <c r="K282" s="3"/>
      <c r="L282" s="3"/>
      <c r="M282" s="3"/>
    </row>
    <row r="283" spans="1:13" x14ac:dyDescent="0.2">
      <c r="A283" s="3">
        <v>280</v>
      </c>
      <c r="B283" s="3"/>
      <c r="C283" s="3" t="str">
        <f>IFERROR(VLOOKUP(B283,Sessions!A:J,2,FALSE),"")</f>
        <v/>
      </c>
      <c r="D283" s="3"/>
      <c r="E283" s="3" t="str">
        <f>IFERROR(VLOOKUP(D283,Employees!A:L,2,FALSE),"")</f>
        <v/>
      </c>
      <c r="F283" s="6"/>
      <c r="G283" s="6"/>
      <c r="H283" s="6" t="str">
        <f>IF(G283="","",G283)</f>
        <v/>
      </c>
      <c r="I283" s="3" t="str">
        <f>IF(H283="","",IF(H283&gt;=Setup!B7,"ناجح","إعادة تدريب"))</f>
        <v/>
      </c>
      <c r="J283" s="3"/>
      <c r="K283" s="3"/>
      <c r="L283" s="3"/>
      <c r="M283" s="3"/>
    </row>
    <row r="284" spans="1:13" x14ac:dyDescent="0.2">
      <c r="A284" s="3">
        <v>281</v>
      </c>
      <c r="B284" s="3"/>
      <c r="C284" s="3" t="str">
        <f>IFERROR(VLOOKUP(B284,Sessions!A:J,2,FALSE),"")</f>
        <v/>
      </c>
      <c r="D284" s="3"/>
      <c r="E284" s="3" t="str">
        <f>IFERROR(VLOOKUP(D284,Employees!A:L,2,FALSE),"")</f>
        <v/>
      </c>
      <c r="F284" s="6"/>
      <c r="G284" s="6"/>
      <c r="H284" s="6" t="str">
        <f>IF(G284="","",G284)</f>
        <v/>
      </c>
      <c r="I284" s="3" t="str">
        <f>IF(H284="","",IF(H284&gt;=Setup!B7,"ناجح","إعادة تدريب"))</f>
        <v/>
      </c>
      <c r="J284" s="3"/>
      <c r="K284" s="3"/>
      <c r="L284" s="3"/>
      <c r="M284" s="3"/>
    </row>
    <row r="285" spans="1:13" x14ac:dyDescent="0.2">
      <c r="A285" s="3">
        <v>282</v>
      </c>
      <c r="B285" s="3"/>
      <c r="C285" s="3" t="str">
        <f>IFERROR(VLOOKUP(B285,Sessions!A:J,2,FALSE),"")</f>
        <v/>
      </c>
      <c r="D285" s="3"/>
      <c r="E285" s="3" t="str">
        <f>IFERROR(VLOOKUP(D285,Employees!A:L,2,FALSE),"")</f>
        <v/>
      </c>
      <c r="F285" s="6"/>
      <c r="G285" s="6"/>
      <c r="H285" s="6" t="str">
        <f>IF(G285="","",G285)</f>
        <v/>
      </c>
      <c r="I285" s="3" t="str">
        <f>IF(H285="","",IF(H285&gt;=Setup!B7,"ناجح","إعادة تدريب"))</f>
        <v/>
      </c>
      <c r="J285" s="3"/>
      <c r="K285" s="3"/>
      <c r="L285" s="3"/>
      <c r="M285" s="3"/>
    </row>
    <row r="286" spans="1:13" x14ac:dyDescent="0.2">
      <c r="A286" s="3">
        <v>283</v>
      </c>
      <c r="B286" s="3"/>
      <c r="C286" s="3" t="str">
        <f>IFERROR(VLOOKUP(B286,Sessions!A:J,2,FALSE),"")</f>
        <v/>
      </c>
      <c r="D286" s="3"/>
      <c r="E286" s="3" t="str">
        <f>IFERROR(VLOOKUP(D286,Employees!A:L,2,FALSE),"")</f>
        <v/>
      </c>
      <c r="F286" s="6"/>
      <c r="G286" s="6"/>
      <c r="H286" s="6" t="str">
        <f>IF(G286="","",G286)</f>
        <v/>
      </c>
      <c r="I286" s="3" t="str">
        <f>IF(H286="","",IF(H286&gt;=Setup!B7,"ناجح","إعادة تدريب"))</f>
        <v/>
      </c>
      <c r="J286" s="3"/>
      <c r="K286" s="3"/>
      <c r="L286" s="3"/>
      <c r="M286" s="3"/>
    </row>
    <row r="287" spans="1:13" x14ac:dyDescent="0.2">
      <c r="A287" s="3">
        <v>284</v>
      </c>
      <c r="B287" s="3"/>
      <c r="C287" s="3" t="str">
        <f>IFERROR(VLOOKUP(B287,Sessions!A:J,2,FALSE),"")</f>
        <v/>
      </c>
      <c r="D287" s="3"/>
      <c r="E287" s="3" t="str">
        <f>IFERROR(VLOOKUP(D287,Employees!A:L,2,FALSE),"")</f>
        <v/>
      </c>
      <c r="F287" s="6"/>
      <c r="G287" s="6"/>
      <c r="H287" s="6" t="str">
        <f>IF(G287="","",G287)</f>
        <v/>
      </c>
      <c r="I287" s="3" t="str">
        <f>IF(H287="","",IF(H287&gt;=Setup!B7,"ناجح","إعادة تدريب"))</f>
        <v/>
      </c>
      <c r="J287" s="3"/>
      <c r="K287" s="3"/>
      <c r="L287" s="3"/>
      <c r="M287" s="3"/>
    </row>
    <row r="288" spans="1:13" x14ac:dyDescent="0.2">
      <c r="A288" s="3">
        <v>285</v>
      </c>
      <c r="B288" s="3"/>
      <c r="C288" s="3" t="str">
        <f>IFERROR(VLOOKUP(B288,Sessions!A:J,2,FALSE),"")</f>
        <v/>
      </c>
      <c r="D288" s="3"/>
      <c r="E288" s="3" t="str">
        <f>IFERROR(VLOOKUP(D288,Employees!A:L,2,FALSE),"")</f>
        <v/>
      </c>
      <c r="F288" s="6"/>
      <c r="G288" s="6"/>
      <c r="H288" s="6" t="str">
        <f>IF(G288="","",G288)</f>
        <v/>
      </c>
      <c r="I288" s="3" t="str">
        <f>IF(H288="","",IF(H288&gt;=Setup!B7,"ناجح","إعادة تدريب"))</f>
        <v/>
      </c>
      <c r="J288" s="3"/>
      <c r="K288" s="3"/>
      <c r="L288" s="3"/>
      <c r="M288" s="3"/>
    </row>
    <row r="289" spans="1:13" x14ac:dyDescent="0.2">
      <c r="A289" s="3">
        <v>286</v>
      </c>
      <c r="B289" s="3"/>
      <c r="C289" s="3" t="str">
        <f>IFERROR(VLOOKUP(B289,Sessions!A:J,2,FALSE),"")</f>
        <v/>
      </c>
      <c r="D289" s="3"/>
      <c r="E289" s="3" t="str">
        <f>IFERROR(VLOOKUP(D289,Employees!A:L,2,FALSE),"")</f>
        <v/>
      </c>
      <c r="F289" s="6"/>
      <c r="G289" s="6"/>
      <c r="H289" s="6" t="str">
        <f>IF(G289="","",G289)</f>
        <v/>
      </c>
      <c r="I289" s="3" t="str">
        <f>IF(H289="","",IF(H289&gt;=Setup!B7,"ناجح","إعادة تدريب"))</f>
        <v/>
      </c>
      <c r="J289" s="3"/>
      <c r="K289" s="3"/>
      <c r="L289" s="3"/>
      <c r="M289" s="3"/>
    </row>
    <row r="290" spans="1:13" x14ac:dyDescent="0.2">
      <c r="A290" s="3">
        <v>287</v>
      </c>
      <c r="B290" s="3"/>
      <c r="C290" s="3" t="str">
        <f>IFERROR(VLOOKUP(B290,Sessions!A:J,2,FALSE),"")</f>
        <v/>
      </c>
      <c r="D290" s="3"/>
      <c r="E290" s="3" t="str">
        <f>IFERROR(VLOOKUP(D290,Employees!A:L,2,FALSE),"")</f>
        <v/>
      </c>
      <c r="F290" s="6"/>
      <c r="G290" s="6"/>
      <c r="H290" s="6" t="str">
        <f>IF(G290="","",G290)</f>
        <v/>
      </c>
      <c r="I290" s="3" t="str">
        <f>IF(H290="","",IF(H290&gt;=Setup!B7,"ناجح","إعادة تدريب"))</f>
        <v/>
      </c>
      <c r="J290" s="3"/>
      <c r="K290" s="3"/>
      <c r="L290" s="3"/>
      <c r="M290" s="3"/>
    </row>
    <row r="291" spans="1:13" x14ac:dyDescent="0.2">
      <c r="A291" s="3">
        <v>288</v>
      </c>
      <c r="B291" s="3"/>
      <c r="C291" s="3" t="str">
        <f>IFERROR(VLOOKUP(B291,Sessions!A:J,2,FALSE),"")</f>
        <v/>
      </c>
      <c r="D291" s="3"/>
      <c r="E291" s="3" t="str">
        <f>IFERROR(VLOOKUP(D291,Employees!A:L,2,FALSE),"")</f>
        <v/>
      </c>
      <c r="F291" s="6"/>
      <c r="G291" s="6"/>
      <c r="H291" s="6" t="str">
        <f>IF(G291="","",G291)</f>
        <v/>
      </c>
      <c r="I291" s="3" t="str">
        <f>IF(H291="","",IF(H291&gt;=Setup!B7,"ناجح","إعادة تدريب"))</f>
        <v/>
      </c>
      <c r="J291" s="3"/>
      <c r="K291" s="3"/>
      <c r="L291" s="3"/>
      <c r="M291" s="3"/>
    </row>
    <row r="292" spans="1:13" x14ac:dyDescent="0.2">
      <c r="A292" s="3">
        <v>289</v>
      </c>
      <c r="B292" s="3"/>
      <c r="C292" s="3" t="str">
        <f>IFERROR(VLOOKUP(B292,Sessions!A:J,2,FALSE),"")</f>
        <v/>
      </c>
      <c r="D292" s="3"/>
      <c r="E292" s="3" t="str">
        <f>IFERROR(VLOOKUP(D292,Employees!A:L,2,FALSE),"")</f>
        <v/>
      </c>
      <c r="F292" s="6"/>
      <c r="G292" s="6"/>
      <c r="H292" s="6" t="str">
        <f>IF(G292="","",G292)</f>
        <v/>
      </c>
      <c r="I292" s="3" t="str">
        <f>IF(H292="","",IF(H292&gt;=Setup!B7,"ناجح","إعادة تدريب"))</f>
        <v/>
      </c>
      <c r="J292" s="3"/>
      <c r="K292" s="3"/>
      <c r="L292" s="3"/>
      <c r="M292" s="3"/>
    </row>
    <row r="293" spans="1:13" x14ac:dyDescent="0.2">
      <c r="A293" s="3">
        <v>290</v>
      </c>
      <c r="B293" s="3"/>
      <c r="C293" s="3" t="str">
        <f>IFERROR(VLOOKUP(B293,Sessions!A:J,2,FALSE),"")</f>
        <v/>
      </c>
      <c r="D293" s="3"/>
      <c r="E293" s="3" t="str">
        <f>IFERROR(VLOOKUP(D293,Employees!A:L,2,FALSE),"")</f>
        <v/>
      </c>
      <c r="F293" s="6"/>
      <c r="G293" s="6"/>
      <c r="H293" s="6" t="str">
        <f>IF(G293="","",G293)</f>
        <v/>
      </c>
      <c r="I293" s="3" t="str">
        <f>IF(H293="","",IF(H293&gt;=Setup!B7,"ناجح","إعادة تدريب"))</f>
        <v/>
      </c>
      <c r="J293" s="3"/>
      <c r="K293" s="3"/>
      <c r="L293" s="3"/>
      <c r="M293" s="3"/>
    </row>
    <row r="294" spans="1:13" x14ac:dyDescent="0.2">
      <c r="A294" s="3">
        <v>291</v>
      </c>
      <c r="B294" s="3"/>
      <c r="C294" s="3" t="str">
        <f>IFERROR(VLOOKUP(B294,Sessions!A:J,2,FALSE),"")</f>
        <v/>
      </c>
      <c r="D294" s="3"/>
      <c r="E294" s="3" t="str">
        <f>IFERROR(VLOOKUP(D294,Employees!A:L,2,FALSE),"")</f>
        <v/>
      </c>
      <c r="F294" s="6"/>
      <c r="G294" s="6"/>
      <c r="H294" s="6" t="str">
        <f>IF(G294="","",G294)</f>
        <v/>
      </c>
      <c r="I294" s="3" t="str">
        <f>IF(H294="","",IF(H294&gt;=Setup!B7,"ناجح","إعادة تدريب"))</f>
        <v/>
      </c>
      <c r="J294" s="3"/>
      <c r="K294" s="3"/>
      <c r="L294" s="3"/>
      <c r="M294" s="3"/>
    </row>
    <row r="295" spans="1:13" x14ac:dyDescent="0.2">
      <c r="A295" s="3">
        <v>292</v>
      </c>
      <c r="B295" s="3"/>
      <c r="C295" s="3" t="str">
        <f>IFERROR(VLOOKUP(B295,Sessions!A:J,2,FALSE),"")</f>
        <v/>
      </c>
      <c r="D295" s="3"/>
      <c r="E295" s="3" t="str">
        <f>IFERROR(VLOOKUP(D295,Employees!A:L,2,FALSE),"")</f>
        <v/>
      </c>
      <c r="F295" s="6"/>
      <c r="G295" s="6"/>
      <c r="H295" s="6" t="str">
        <f>IF(G295="","",G295)</f>
        <v/>
      </c>
      <c r="I295" s="3" t="str">
        <f>IF(H295="","",IF(H295&gt;=Setup!B7,"ناجح","إعادة تدريب"))</f>
        <v/>
      </c>
      <c r="J295" s="3"/>
      <c r="K295" s="3"/>
      <c r="L295" s="3"/>
      <c r="M295" s="3"/>
    </row>
    <row r="296" spans="1:13" x14ac:dyDescent="0.2">
      <c r="A296" s="3">
        <v>293</v>
      </c>
      <c r="B296" s="3"/>
      <c r="C296" s="3" t="str">
        <f>IFERROR(VLOOKUP(B296,Sessions!A:J,2,FALSE),"")</f>
        <v/>
      </c>
      <c r="D296" s="3"/>
      <c r="E296" s="3" t="str">
        <f>IFERROR(VLOOKUP(D296,Employees!A:L,2,FALSE),"")</f>
        <v/>
      </c>
      <c r="F296" s="6"/>
      <c r="G296" s="6"/>
      <c r="H296" s="6" t="str">
        <f>IF(G296="","",G296)</f>
        <v/>
      </c>
      <c r="I296" s="3" t="str">
        <f>IF(H296="","",IF(H296&gt;=Setup!B7,"ناجح","إعادة تدريب"))</f>
        <v/>
      </c>
      <c r="J296" s="3"/>
      <c r="K296" s="3"/>
      <c r="L296" s="3"/>
      <c r="M296" s="3"/>
    </row>
    <row r="297" spans="1:13" x14ac:dyDescent="0.2">
      <c r="A297" s="3">
        <v>294</v>
      </c>
      <c r="B297" s="3"/>
      <c r="C297" s="3" t="str">
        <f>IFERROR(VLOOKUP(B297,Sessions!A:J,2,FALSE),"")</f>
        <v/>
      </c>
      <c r="D297" s="3"/>
      <c r="E297" s="3" t="str">
        <f>IFERROR(VLOOKUP(D297,Employees!A:L,2,FALSE),"")</f>
        <v/>
      </c>
      <c r="F297" s="6"/>
      <c r="G297" s="6"/>
      <c r="H297" s="6" t="str">
        <f>IF(G297="","",G297)</f>
        <v/>
      </c>
      <c r="I297" s="3" t="str">
        <f>IF(H297="","",IF(H297&gt;=Setup!B7,"ناجح","إعادة تدريب"))</f>
        <v/>
      </c>
      <c r="J297" s="3"/>
      <c r="K297" s="3"/>
      <c r="L297" s="3"/>
      <c r="M297" s="3"/>
    </row>
    <row r="298" spans="1:13" x14ac:dyDescent="0.2">
      <c r="A298" s="3">
        <v>295</v>
      </c>
      <c r="B298" s="3"/>
      <c r="C298" s="3" t="str">
        <f>IFERROR(VLOOKUP(B298,Sessions!A:J,2,FALSE),"")</f>
        <v/>
      </c>
      <c r="D298" s="3"/>
      <c r="E298" s="3" t="str">
        <f>IFERROR(VLOOKUP(D298,Employees!A:L,2,FALSE),"")</f>
        <v/>
      </c>
      <c r="F298" s="6"/>
      <c r="G298" s="6"/>
      <c r="H298" s="6" t="str">
        <f>IF(G298="","",G298)</f>
        <v/>
      </c>
      <c r="I298" s="3" t="str">
        <f>IF(H298="","",IF(H298&gt;=Setup!B7,"ناجح","إعادة تدريب"))</f>
        <v/>
      </c>
      <c r="J298" s="3"/>
      <c r="K298" s="3"/>
      <c r="L298" s="3"/>
      <c r="M298" s="3"/>
    </row>
    <row r="299" spans="1:13" x14ac:dyDescent="0.2">
      <c r="A299" s="3">
        <v>296</v>
      </c>
      <c r="B299" s="3"/>
      <c r="C299" s="3" t="str">
        <f>IFERROR(VLOOKUP(B299,Sessions!A:J,2,FALSE),"")</f>
        <v/>
      </c>
      <c r="D299" s="3"/>
      <c r="E299" s="3" t="str">
        <f>IFERROR(VLOOKUP(D299,Employees!A:L,2,FALSE),"")</f>
        <v/>
      </c>
      <c r="F299" s="6"/>
      <c r="G299" s="6"/>
      <c r="H299" s="6" t="str">
        <f>IF(G299="","",G299)</f>
        <v/>
      </c>
      <c r="I299" s="3" t="str">
        <f>IF(H299="","",IF(H299&gt;=Setup!B7,"ناجح","إعادة تدريب"))</f>
        <v/>
      </c>
      <c r="J299" s="3"/>
      <c r="K299" s="3"/>
      <c r="L299" s="3"/>
      <c r="M299" s="3"/>
    </row>
    <row r="300" spans="1:13" x14ac:dyDescent="0.2">
      <c r="A300" s="3">
        <v>297</v>
      </c>
      <c r="B300" s="3"/>
      <c r="C300" s="3" t="str">
        <f>IFERROR(VLOOKUP(B300,Sessions!A:J,2,FALSE),"")</f>
        <v/>
      </c>
      <c r="D300" s="3"/>
      <c r="E300" s="3" t="str">
        <f>IFERROR(VLOOKUP(D300,Employees!A:L,2,FALSE),"")</f>
        <v/>
      </c>
      <c r="F300" s="6"/>
      <c r="G300" s="6"/>
      <c r="H300" s="6" t="str">
        <f>IF(G300="","",G300)</f>
        <v/>
      </c>
      <c r="I300" s="3" t="str">
        <f>IF(H300="","",IF(H300&gt;=Setup!B7,"ناجح","إعادة تدريب"))</f>
        <v/>
      </c>
      <c r="J300" s="3"/>
      <c r="K300" s="3"/>
      <c r="L300" s="3"/>
      <c r="M300" s="3"/>
    </row>
    <row r="301" spans="1:13" x14ac:dyDescent="0.2">
      <c r="A301" s="3">
        <v>298</v>
      </c>
      <c r="B301" s="3"/>
      <c r="C301" s="3" t="str">
        <f>IFERROR(VLOOKUP(B301,Sessions!A:J,2,FALSE),"")</f>
        <v/>
      </c>
      <c r="D301" s="3"/>
      <c r="E301" s="3" t="str">
        <f>IFERROR(VLOOKUP(D301,Employees!A:L,2,FALSE),"")</f>
        <v/>
      </c>
      <c r="F301" s="6"/>
      <c r="G301" s="6"/>
      <c r="H301" s="6" t="str">
        <f>IF(G301="","",G301)</f>
        <v/>
      </c>
      <c r="I301" s="3" t="str">
        <f>IF(H301="","",IF(H301&gt;=Setup!B7,"ناجح","إعادة تدريب"))</f>
        <v/>
      </c>
      <c r="J301" s="3"/>
      <c r="K301" s="3"/>
      <c r="L301" s="3"/>
      <c r="M301" s="3"/>
    </row>
    <row r="302" spans="1:13" x14ac:dyDescent="0.2">
      <c r="A302" s="3">
        <v>299</v>
      </c>
      <c r="B302" s="3"/>
      <c r="C302" s="3" t="str">
        <f>IFERROR(VLOOKUP(B302,Sessions!A:J,2,FALSE),"")</f>
        <v/>
      </c>
      <c r="D302" s="3"/>
      <c r="E302" s="3" t="str">
        <f>IFERROR(VLOOKUP(D302,Employees!A:L,2,FALSE),"")</f>
        <v/>
      </c>
      <c r="F302" s="6"/>
      <c r="G302" s="6"/>
      <c r="H302" s="6" t="str">
        <f>IF(G302="","",G302)</f>
        <v/>
      </c>
      <c r="I302" s="3" t="str">
        <f>IF(H302="","",IF(H302&gt;=Setup!B7,"ناجح","إعادة تدريب"))</f>
        <v/>
      </c>
      <c r="J302" s="3"/>
      <c r="K302" s="3"/>
      <c r="L302" s="3"/>
      <c r="M302" s="3"/>
    </row>
    <row r="303" spans="1:13" x14ac:dyDescent="0.2">
      <c r="A303" s="3">
        <v>300</v>
      </c>
      <c r="B303" s="3"/>
      <c r="C303" s="3" t="str">
        <f>IFERROR(VLOOKUP(B303,Sessions!A:J,2,FALSE),"")</f>
        <v/>
      </c>
      <c r="D303" s="3"/>
      <c r="E303" s="3" t="str">
        <f>IFERROR(VLOOKUP(D303,Employees!A:L,2,FALSE),"")</f>
        <v/>
      </c>
      <c r="F303" s="6"/>
      <c r="G303" s="6"/>
      <c r="H303" s="6" t="str">
        <f>IF(G303="","",G303)</f>
        <v/>
      </c>
      <c r="I303" s="3" t="str">
        <f>IF(H303="","",IF(H303&gt;=Setup!B7,"ناجح","إعادة تدريب"))</f>
        <v/>
      </c>
      <c r="J303" s="3"/>
      <c r="K303" s="3"/>
      <c r="L303" s="3"/>
      <c r="M303" s="3"/>
    </row>
    <row r="304" spans="1:13" x14ac:dyDescent="0.2">
      <c r="A304" s="3">
        <v>301</v>
      </c>
      <c r="B304" s="3"/>
      <c r="C304" s="3" t="str">
        <f>IFERROR(VLOOKUP(B304,Sessions!A:J,2,FALSE),"")</f>
        <v/>
      </c>
      <c r="D304" s="3"/>
      <c r="E304" s="3" t="str">
        <f>IFERROR(VLOOKUP(D304,Employees!A:L,2,FALSE),"")</f>
        <v/>
      </c>
      <c r="F304" s="6"/>
      <c r="G304" s="6"/>
      <c r="H304" s="6" t="str">
        <f>IF(G304="","",G304)</f>
        <v/>
      </c>
      <c r="I304" s="3" t="str">
        <f>IF(H304="","",IF(H304&gt;=Setup!B7,"ناجح","إعادة تدريب"))</f>
        <v/>
      </c>
      <c r="J304" s="3"/>
      <c r="K304" s="3"/>
      <c r="L304" s="3"/>
      <c r="M304" s="3"/>
    </row>
    <row r="305" spans="1:13" x14ac:dyDescent="0.2">
      <c r="A305" s="3">
        <v>302</v>
      </c>
      <c r="B305" s="3"/>
      <c r="C305" s="3" t="str">
        <f>IFERROR(VLOOKUP(B305,Sessions!A:J,2,FALSE),"")</f>
        <v/>
      </c>
      <c r="D305" s="3"/>
      <c r="E305" s="3" t="str">
        <f>IFERROR(VLOOKUP(D305,Employees!A:L,2,FALSE),"")</f>
        <v/>
      </c>
      <c r="F305" s="6"/>
      <c r="G305" s="6"/>
      <c r="H305" s="6" t="str">
        <f>IF(G305="","",G305)</f>
        <v/>
      </c>
      <c r="I305" s="3" t="str">
        <f>IF(H305="","",IF(H305&gt;=Setup!B7,"ناجح","إعادة تدريب"))</f>
        <v/>
      </c>
      <c r="J305" s="3"/>
      <c r="K305" s="3"/>
      <c r="L305" s="3"/>
      <c r="M305" s="3"/>
    </row>
    <row r="306" spans="1:13" x14ac:dyDescent="0.2">
      <c r="A306" s="3">
        <v>303</v>
      </c>
      <c r="B306" s="3"/>
      <c r="C306" s="3" t="str">
        <f>IFERROR(VLOOKUP(B306,Sessions!A:J,2,FALSE),"")</f>
        <v/>
      </c>
      <c r="D306" s="3"/>
      <c r="E306" s="3" t="str">
        <f>IFERROR(VLOOKUP(D306,Employees!A:L,2,FALSE),"")</f>
        <v/>
      </c>
      <c r="F306" s="6"/>
      <c r="G306" s="6"/>
      <c r="H306" s="6" t="str">
        <f>IF(G306="","",G306)</f>
        <v/>
      </c>
      <c r="I306" s="3" t="str">
        <f>IF(H306="","",IF(H306&gt;=Setup!B7,"ناجح","إعادة تدريب"))</f>
        <v/>
      </c>
      <c r="J306" s="3"/>
      <c r="K306" s="3"/>
      <c r="L306" s="3"/>
      <c r="M306" s="3"/>
    </row>
    <row r="307" spans="1:13" x14ac:dyDescent="0.2">
      <c r="A307" s="3">
        <v>304</v>
      </c>
      <c r="B307" s="3"/>
      <c r="C307" s="3" t="str">
        <f>IFERROR(VLOOKUP(B307,Sessions!A:J,2,FALSE),"")</f>
        <v/>
      </c>
      <c r="D307" s="3"/>
      <c r="E307" s="3" t="str">
        <f>IFERROR(VLOOKUP(D307,Employees!A:L,2,FALSE),"")</f>
        <v/>
      </c>
      <c r="F307" s="6"/>
      <c r="G307" s="6"/>
      <c r="H307" s="6" t="str">
        <f>IF(G307="","",G307)</f>
        <v/>
      </c>
      <c r="I307" s="3" t="str">
        <f>IF(H307="","",IF(H307&gt;=Setup!B7,"ناجح","إعادة تدريب"))</f>
        <v/>
      </c>
      <c r="J307" s="3"/>
      <c r="K307" s="3"/>
      <c r="L307" s="3"/>
      <c r="M307" s="3"/>
    </row>
    <row r="308" spans="1:13" x14ac:dyDescent="0.2">
      <c r="A308" s="3">
        <v>305</v>
      </c>
      <c r="B308" s="3"/>
      <c r="C308" s="3" t="str">
        <f>IFERROR(VLOOKUP(B308,Sessions!A:J,2,FALSE),"")</f>
        <v/>
      </c>
      <c r="D308" s="3"/>
      <c r="E308" s="3" t="str">
        <f>IFERROR(VLOOKUP(D308,Employees!A:L,2,FALSE),"")</f>
        <v/>
      </c>
      <c r="F308" s="6"/>
      <c r="G308" s="6"/>
      <c r="H308" s="6" t="str">
        <f>IF(G308="","",G308)</f>
        <v/>
      </c>
      <c r="I308" s="3" t="str">
        <f>IF(H308="","",IF(H308&gt;=Setup!B7,"ناجح","إعادة تدريب"))</f>
        <v/>
      </c>
      <c r="J308" s="3"/>
      <c r="K308" s="3"/>
      <c r="L308" s="3"/>
      <c r="M308" s="3"/>
    </row>
    <row r="309" spans="1:13" x14ac:dyDescent="0.2">
      <c r="A309" s="3">
        <v>306</v>
      </c>
      <c r="B309" s="3"/>
      <c r="C309" s="3" t="str">
        <f>IFERROR(VLOOKUP(B309,Sessions!A:J,2,FALSE),"")</f>
        <v/>
      </c>
      <c r="D309" s="3"/>
      <c r="E309" s="3" t="str">
        <f>IFERROR(VLOOKUP(D309,Employees!A:L,2,FALSE),"")</f>
        <v/>
      </c>
      <c r="F309" s="6"/>
      <c r="G309" s="6"/>
      <c r="H309" s="6" t="str">
        <f>IF(G309="","",G309)</f>
        <v/>
      </c>
      <c r="I309" s="3" t="str">
        <f>IF(H309="","",IF(H309&gt;=Setup!B7,"ناجح","إعادة تدريب"))</f>
        <v/>
      </c>
      <c r="J309" s="3"/>
      <c r="K309" s="3"/>
      <c r="L309" s="3"/>
      <c r="M309" s="3"/>
    </row>
    <row r="310" spans="1:13" x14ac:dyDescent="0.2">
      <c r="A310" s="3">
        <v>307</v>
      </c>
      <c r="B310" s="3"/>
      <c r="C310" s="3" t="str">
        <f>IFERROR(VLOOKUP(B310,Sessions!A:J,2,FALSE),"")</f>
        <v/>
      </c>
      <c r="D310" s="3"/>
      <c r="E310" s="3" t="str">
        <f>IFERROR(VLOOKUP(D310,Employees!A:L,2,FALSE),"")</f>
        <v/>
      </c>
      <c r="F310" s="6"/>
      <c r="G310" s="6"/>
      <c r="H310" s="6" t="str">
        <f>IF(G310="","",G310)</f>
        <v/>
      </c>
      <c r="I310" s="3" t="str">
        <f>IF(H310="","",IF(H310&gt;=Setup!B7,"ناجح","إعادة تدريب"))</f>
        <v/>
      </c>
      <c r="J310" s="3"/>
      <c r="K310" s="3"/>
      <c r="L310" s="3"/>
      <c r="M310" s="3"/>
    </row>
    <row r="311" spans="1:13" x14ac:dyDescent="0.2">
      <c r="A311" s="3">
        <v>308</v>
      </c>
      <c r="B311" s="3"/>
      <c r="C311" s="3" t="str">
        <f>IFERROR(VLOOKUP(B311,Sessions!A:J,2,FALSE),"")</f>
        <v/>
      </c>
      <c r="D311" s="3"/>
      <c r="E311" s="3" t="str">
        <f>IFERROR(VLOOKUP(D311,Employees!A:L,2,FALSE),"")</f>
        <v/>
      </c>
      <c r="F311" s="6"/>
      <c r="G311" s="6"/>
      <c r="H311" s="6" t="str">
        <f>IF(G311="","",G311)</f>
        <v/>
      </c>
      <c r="I311" s="3" t="str">
        <f>IF(H311="","",IF(H311&gt;=Setup!B7,"ناجح","إعادة تدريب"))</f>
        <v/>
      </c>
      <c r="J311" s="3"/>
      <c r="K311" s="3"/>
      <c r="L311" s="3"/>
      <c r="M311" s="3"/>
    </row>
    <row r="312" spans="1:13" x14ac:dyDescent="0.2">
      <c r="A312" s="3">
        <v>309</v>
      </c>
      <c r="B312" s="3"/>
      <c r="C312" s="3" t="str">
        <f>IFERROR(VLOOKUP(B312,Sessions!A:J,2,FALSE),"")</f>
        <v/>
      </c>
      <c r="D312" s="3"/>
      <c r="E312" s="3" t="str">
        <f>IFERROR(VLOOKUP(D312,Employees!A:L,2,FALSE),"")</f>
        <v/>
      </c>
      <c r="F312" s="6"/>
      <c r="G312" s="6"/>
      <c r="H312" s="6" t="str">
        <f>IF(G312="","",G312)</f>
        <v/>
      </c>
      <c r="I312" s="3" t="str">
        <f>IF(H312="","",IF(H312&gt;=Setup!B7,"ناجح","إعادة تدريب"))</f>
        <v/>
      </c>
      <c r="J312" s="3"/>
      <c r="K312" s="3"/>
      <c r="L312" s="3"/>
      <c r="M312" s="3"/>
    </row>
    <row r="313" spans="1:13" x14ac:dyDescent="0.2">
      <c r="A313" s="3">
        <v>310</v>
      </c>
      <c r="B313" s="3"/>
      <c r="C313" s="3" t="str">
        <f>IFERROR(VLOOKUP(B313,Sessions!A:J,2,FALSE),"")</f>
        <v/>
      </c>
      <c r="D313" s="3"/>
      <c r="E313" s="3" t="str">
        <f>IFERROR(VLOOKUP(D313,Employees!A:L,2,FALSE),"")</f>
        <v/>
      </c>
      <c r="F313" s="6"/>
      <c r="G313" s="6"/>
      <c r="H313" s="6" t="str">
        <f>IF(G313="","",G313)</f>
        <v/>
      </c>
      <c r="I313" s="3" t="str">
        <f>IF(H313="","",IF(H313&gt;=Setup!B7,"ناجح","إعادة تدريب"))</f>
        <v/>
      </c>
      <c r="J313" s="3"/>
      <c r="K313" s="3"/>
      <c r="L313" s="3"/>
      <c r="M313" s="3"/>
    </row>
    <row r="314" spans="1:13" x14ac:dyDescent="0.2">
      <c r="A314" s="3">
        <v>311</v>
      </c>
      <c r="B314" s="3"/>
      <c r="C314" s="3" t="str">
        <f>IFERROR(VLOOKUP(B314,Sessions!A:J,2,FALSE),"")</f>
        <v/>
      </c>
      <c r="D314" s="3"/>
      <c r="E314" s="3" t="str">
        <f>IFERROR(VLOOKUP(D314,Employees!A:L,2,FALSE),"")</f>
        <v/>
      </c>
      <c r="F314" s="6"/>
      <c r="G314" s="6"/>
      <c r="H314" s="6" t="str">
        <f>IF(G314="","",G314)</f>
        <v/>
      </c>
      <c r="I314" s="3" t="str">
        <f>IF(H314="","",IF(H314&gt;=Setup!B7,"ناجح","إعادة تدريب"))</f>
        <v/>
      </c>
      <c r="J314" s="3"/>
      <c r="K314" s="3"/>
      <c r="L314" s="3"/>
      <c r="M314" s="3"/>
    </row>
    <row r="315" spans="1:13" x14ac:dyDescent="0.2">
      <c r="A315" s="3">
        <v>312</v>
      </c>
      <c r="B315" s="3"/>
      <c r="C315" s="3" t="str">
        <f>IFERROR(VLOOKUP(B315,Sessions!A:J,2,FALSE),"")</f>
        <v/>
      </c>
      <c r="D315" s="3"/>
      <c r="E315" s="3" t="str">
        <f>IFERROR(VLOOKUP(D315,Employees!A:L,2,FALSE),"")</f>
        <v/>
      </c>
      <c r="F315" s="6"/>
      <c r="G315" s="6"/>
      <c r="H315" s="6" t="str">
        <f>IF(G315="","",G315)</f>
        <v/>
      </c>
      <c r="I315" s="3" t="str">
        <f>IF(H315="","",IF(H315&gt;=Setup!B7,"ناجح","إعادة تدريب"))</f>
        <v/>
      </c>
      <c r="J315" s="3"/>
      <c r="K315" s="3"/>
      <c r="L315" s="3"/>
      <c r="M315" s="3"/>
    </row>
    <row r="316" spans="1:13" x14ac:dyDescent="0.2">
      <c r="A316" s="3">
        <v>313</v>
      </c>
      <c r="B316" s="3"/>
      <c r="C316" s="3" t="str">
        <f>IFERROR(VLOOKUP(B316,Sessions!A:J,2,FALSE),"")</f>
        <v/>
      </c>
      <c r="D316" s="3"/>
      <c r="E316" s="3" t="str">
        <f>IFERROR(VLOOKUP(D316,Employees!A:L,2,FALSE),"")</f>
        <v/>
      </c>
      <c r="F316" s="6"/>
      <c r="G316" s="6"/>
      <c r="H316" s="6" t="str">
        <f>IF(G316="","",G316)</f>
        <v/>
      </c>
      <c r="I316" s="3" t="str">
        <f>IF(H316="","",IF(H316&gt;=Setup!B7,"ناجح","إعادة تدريب"))</f>
        <v/>
      </c>
      <c r="J316" s="3"/>
      <c r="K316" s="3"/>
      <c r="L316" s="3"/>
      <c r="M316" s="3"/>
    </row>
    <row r="317" spans="1:13" x14ac:dyDescent="0.2">
      <c r="A317" s="3">
        <v>314</v>
      </c>
      <c r="B317" s="3"/>
      <c r="C317" s="3" t="str">
        <f>IFERROR(VLOOKUP(B317,Sessions!A:J,2,FALSE),"")</f>
        <v/>
      </c>
      <c r="D317" s="3"/>
      <c r="E317" s="3" t="str">
        <f>IFERROR(VLOOKUP(D317,Employees!A:L,2,FALSE),"")</f>
        <v/>
      </c>
      <c r="F317" s="6"/>
      <c r="G317" s="6"/>
      <c r="H317" s="6" t="str">
        <f>IF(G317="","",G317)</f>
        <v/>
      </c>
      <c r="I317" s="3" t="str">
        <f>IF(H317="","",IF(H317&gt;=Setup!B7,"ناجح","إعادة تدريب"))</f>
        <v/>
      </c>
      <c r="J317" s="3"/>
      <c r="K317" s="3"/>
      <c r="L317" s="3"/>
      <c r="M317" s="3"/>
    </row>
    <row r="318" spans="1:13" x14ac:dyDescent="0.2">
      <c r="A318" s="3">
        <v>315</v>
      </c>
      <c r="B318" s="3"/>
      <c r="C318" s="3" t="str">
        <f>IFERROR(VLOOKUP(B318,Sessions!A:J,2,FALSE),"")</f>
        <v/>
      </c>
      <c r="D318" s="3"/>
      <c r="E318" s="3" t="str">
        <f>IFERROR(VLOOKUP(D318,Employees!A:L,2,FALSE),"")</f>
        <v/>
      </c>
      <c r="F318" s="6"/>
      <c r="G318" s="6"/>
      <c r="H318" s="6" t="str">
        <f>IF(G318="","",G318)</f>
        <v/>
      </c>
      <c r="I318" s="3" t="str">
        <f>IF(H318="","",IF(H318&gt;=Setup!B7,"ناجح","إعادة تدريب"))</f>
        <v/>
      </c>
      <c r="J318" s="3"/>
      <c r="K318" s="3"/>
      <c r="L318" s="3"/>
      <c r="M318" s="3"/>
    </row>
    <row r="319" spans="1:13" x14ac:dyDescent="0.2">
      <c r="A319" s="3">
        <v>316</v>
      </c>
      <c r="B319" s="3"/>
      <c r="C319" s="3" t="str">
        <f>IFERROR(VLOOKUP(B319,Sessions!A:J,2,FALSE),"")</f>
        <v/>
      </c>
      <c r="D319" s="3"/>
      <c r="E319" s="3" t="str">
        <f>IFERROR(VLOOKUP(D319,Employees!A:L,2,FALSE),"")</f>
        <v/>
      </c>
      <c r="F319" s="6"/>
      <c r="G319" s="6"/>
      <c r="H319" s="6" t="str">
        <f>IF(G319="","",G319)</f>
        <v/>
      </c>
      <c r="I319" s="3" t="str">
        <f>IF(H319="","",IF(H319&gt;=Setup!B7,"ناجح","إعادة تدريب"))</f>
        <v/>
      </c>
      <c r="J319" s="3"/>
      <c r="K319" s="3"/>
      <c r="L319" s="3"/>
      <c r="M319" s="3"/>
    </row>
    <row r="320" spans="1:13" x14ac:dyDescent="0.2">
      <c r="A320" s="3">
        <v>317</v>
      </c>
      <c r="B320" s="3"/>
      <c r="C320" s="3" t="str">
        <f>IFERROR(VLOOKUP(B320,Sessions!A:J,2,FALSE),"")</f>
        <v/>
      </c>
      <c r="D320" s="3"/>
      <c r="E320" s="3" t="str">
        <f>IFERROR(VLOOKUP(D320,Employees!A:L,2,FALSE),"")</f>
        <v/>
      </c>
      <c r="F320" s="6"/>
      <c r="G320" s="6"/>
      <c r="H320" s="6" t="str">
        <f>IF(G320="","",G320)</f>
        <v/>
      </c>
      <c r="I320" s="3" t="str">
        <f>IF(H320="","",IF(H320&gt;=Setup!B7,"ناجح","إعادة تدريب"))</f>
        <v/>
      </c>
      <c r="J320" s="3"/>
      <c r="K320" s="3"/>
      <c r="L320" s="3"/>
      <c r="M320" s="3"/>
    </row>
    <row r="321" spans="1:13" x14ac:dyDescent="0.2">
      <c r="A321" s="3">
        <v>318</v>
      </c>
      <c r="B321" s="3"/>
      <c r="C321" s="3" t="str">
        <f>IFERROR(VLOOKUP(B321,Sessions!A:J,2,FALSE),"")</f>
        <v/>
      </c>
      <c r="D321" s="3"/>
      <c r="E321" s="3" t="str">
        <f>IFERROR(VLOOKUP(D321,Employees!A:L,2,FALSE),"")</f>
        <v/>
      </c>
      <c r="F321" s="6"/>
      <c r="G321" s="6"/>
      <c r="H321" s="6" t="str">
        <f>IF(G321="","",G321)</f>
        <v/>
      </c>
      <c r="I321" s="3" t="str">
        <f>IF(H321="","",IF(H321&gt;=Setup!B7,"ناجح","إعادة تدريب"))</f>
        <v/>
      </c>
      <c r="J321" s="3"/>
      <c r="K321" s="3"/>
      <c r="L321" s="3"/>
      <c r="M321" s="3"/>
    </row>
    <row r="322" spans="1:13" x14ac:dyDescent="0.2">
      <c r="A322" s="3">
        <v>319</v>
      </c>
      <c r="B322" s="3"/>
      <c r="C322" s="3" t="str">
        <f>IFERROR(VLOOKUP(B322,Sessions!A:J,2,FALSE),"")</f>
        <v/>
      </c>
      <c r="D322" s="3"/>
      <c r="E322" s="3" t="str">
        <f>IFERROR(VLOOKUP(D322,Employees!A:L,2,FALSE),"")</f>
        <v/>
      </c>
      <c r="F322" s="6"/>
      <c r="G322" s="6"/>
      <c r="H322" s="6" t="str">
        <f>IF(G322="","",G322)</f>
        <v/>
      </c>
      <c r="I322" s="3" t="str">
        <f>IF(H322="","",IF(H322&gt;=Setup!B7,"ناجح","إعادة تدريب"))</f>
        <v/>
      </c>
      <c r="J322" s="3"/>
      <c r="K322" s="3"/>
      <c r="L322" s="3"/>
      <c r="M322" s="3"/>
    </row>
    <row r="323" spans="1:13" x14ac:dyDescent="0.2">
      <c r="A323" s="3">
        <v>320</v>
      </c>
      <c r="B323" s="3"/>
      <c r="C323" s="3" t="str">
        <f>IFERROR(VLOOKUP(B323,Sessions!A:J,2,FALSE),"")</f>
        <v/>
      </c>
      <c r="D323" s="3"/>
      <c r="E323" s="3" t="str">
        <f>IFERROR(VLOOKUP(D323,Employees!A:L,2,FALSE),"")</f>
        <v/>
      </c>
      <c r="F323" s="6"/>
      <c r="G323" s="6"/>
      <c r="H323" s="6" t="str">
        <f>IF(G323="","",G323)</f>
        <v/>
      </c>
      <c r="I323" s="3" t="str">
        <f>IF(H323="","",IF(H323&gt;=Setup!B7,"ناجح","إعادة تدريب"))</f>
        <v/>
      </c>
      <c r="J323" s="3"/>
      <c r="K323" s="3"/>
      <c r="L323" s="3"/>
      <c r="M323" s="3"/>
    </row>
    <row r="324" spans="1:13" x14ac:dyDescent="0.2">
      <c r="A324" s="3">
        <v>321</v>
      </c>
      <c r="B324" s="3"/>
      <c r="C324" s="3" t="str">
        <f>IFERROR(VLOOKUP(B324,Sessions!A:J,2,FALSE),"")</f>
        <v/>
      </c>
      <c r="D324" s="3"/>
      <c r="E324" s="3" t="str">
        <f>IFERROR(VLOOKUP(D324,Employees!A:L,2,FALSE),"")</f>
        <v/>
      </c>
      <c r="F324" s="6"/>
      <c r="G324" s="6"/>
      <c r="H324" s="6" t="str">
        <f>IF(G324="","",G324)</f>
        <v/>
      </c>
      <c r="I324" s="3" t="str">
        <f>IF(H324="","",IF(H324&gt;=Setup!B7,"ناجح","إعادة تدريب"))</f>
        <v/>
      </c>
      <c r="J324" s="3"/>
      <c r="K324" s="3"/>
      <c r="L324" s="3"/>
      <c r="M324" s="3"/>
    </row>
    <row r="325" spans="1:13" x14ac:dyDescent="0.2">
      <c r="A325" s="3">
        <v>322</v>
      </c>
      <c r="B325" s="3"/>
      <c r="C325" s="3" t="str">
        <f>IFERROR(VLOOKUP(B325,Sessions!A:J,2,FALSE),"")</f>
        <v/>
      </c>
      <c r="D325" s="3"/>
      <c r="E325" s="3" t="str">
        <f>IFERROR(VLOOKUP(D325,Employees!A:L,2,FALSE),"")</f>
        <v/>
      </c>
      <c r="F325" s="6"/>
      <c r="G325" s="6"/>
      <c r="H325" s="6" t="str">
        <f>IF(G325="","",G325)</f>
        <v/>
      </c>
      <c r="I325" s="3" t="str">
        <f>IF(H325="","",IF(H325&gt;=Setup!B7,"ناجح","إعادة تدريب"))</f>
        <v/>
      </c>
      <c r="J325" s="3"/>
      <c r="K325" s="3"/>
      <c r="L325" s="3"/>
      <c r="M325" s="3"/>
    </row>
    <row r="326" spans="1:13" x14ac:dyDescent="0.2">
      <c r="A326" s="3">
        <v>323</v>
      </c>
      <c r="B326" s="3"/>
      <c r="C326" s="3" t="str">
        <f>IFERROR(VLOOKUP(B326,Sessions!A:J,2,FALSE),"")</f>
        <v/>
      </c>
      <c r="D326" s="3"/>
      <c r="E326" s="3" t="str">
        <f>IFERROR(VLOOKUP(D326,Employees!A:L,2,FALSE),"")</f>
        <v/>
      </c>
      <c r="F326" s="6"/>
      <c r="G326" s="6"/>
      <c r="H326" s="6" t="str">
        <f>IF(G326="","",G326)</f>
        <v/>
      </c>
      <c r="I326" s="3" t="str">
        <f>IF(H326="","",IF(H326&gt;=Setup!B7,"ناجح","إعادة تدريب"))</f>
        <v/>
      </c>
      <c r="J326" s="3"/>
      <c r="K326" s="3"/>
      <c r="L326" s="3"/>
      <c r="M326" s="3"/>
    </row>
    <row r="327" spans="1:13" x14ac:dyDescent="0.2">
      <c r="A327" s="3">
        <v>324</v>
      </c>
      <c r="B327" s="3"/>
      <c r="C327" s="3" t="str">
        <f>IFERROR(VLOOKUP(B327,Sessions!A:J,2,FALSE),"")</f>
        <v/>
      </c>
      <c r="D327" s="3"/>
      <c r="E327" s="3" t="str">
        <f>IFERROR(VLOOKUP(D327,Employees!A:L,2,FALSE),"")</f>
        <v/>
      </c>
      <c r="F327" s="6"/>
      <c r="G327" s="6"/>
      <c r="H327" s="6" t="str">
        <f>IF(G327="","",G327)</f>
        <v/>
      </c>
      <c r="I327" s="3" t="str">
        <f>IF(H327="","",IF(H327&gt;=Setup!B7,"ناجح","إعادة تدريب"))</f>
        <v/>
      </c>
      <c r="J327" s="3"/>
      <c r="K327" s="3"/>
      <c r="L327" s="3"/>
      <c r="M327" s="3"/>
    </row>
    <row r="328" spans="1:13" x14ac:dyDescent="0.2">
      <c r="A328" s="3">
        <v>325</v>
      </c>
      <c r="B328" s="3"/>
      <c r="C328" s="3" t="str">
        <f>IFERROR(VLOOKUP(B328,Sessions!A:J,2,FALSE),"")</f>
        <v/>
      </c>
      <c r="D328" s="3"/>
      <c r="E328" s="3" t="str">
        <f>IFERROR(VLOOKUP(D328,Employees!A:L,2,FALSE),"")</f>
        <v/>
      </c>
      <c r="F328" s="6"/>
      <c r="G328" s="6"/>
      <c r="H328" s="6" t="str">
        <f>IF(G328="","",G328)</f>
        <v/>
      </c>
      <c r="I328" s="3" t="str">
        <f>IF(H328="","",IF(H328&gt;=Setup!B7,"ناجح","إعادة تدريب"))</f>
        <v/>
      </c>
      <c r="J328" s="3"/>
      <c r="K328" s="3"/>
      <c r="L328" s="3"/>
      <c r="M328" s="3"/>
    </row>
    <row r="329" spans="1:13" x14ac:dyDescent="0.2">
      <c r="A329" s="3">
        <v>326</v>
      </c>
      <c r="B329" s="3"/>
      <c r="C329" s="3" t="str">
        <f>IFERROR(VLOOKUP(B329,Sessions!A:J,2,FALSE),"")</f>
        <v/>
      </c>
      <c r="D329" s="3"/>
      <c r="E329" s="3" t="str">
        <f>IFERROR(VLOOKUP(D329,Employees!A:L,2,FALSE),"")</f>
        <v/>
      </c>
      <c r="F329" s="6"/>
      <c r="G329" s="6"/>
      <c r="H329" s="6" t="str">
        <f>IF(G329="","",G329)</f>
        <v/>
      </c>
      <c r="I329" s="3" t="str">
        <f>IF(H329="","",IF(H329&gt;=Setup!B7,"ناجح","إعادة تدريب"))</f>
        <v/>
      </c>
      <c r="J329" s="3"/>
      <c r="K329" s="3"/>
      <c r="L329" s="3"/>
      <c r="M329" s="3"/>
    </row>
    <row r="330" spans="1:13" x14ac:dyDescent="0.2">
      <c r="A330" s="3">
        <v>327</v>
      </c>
      <c r="B330" s="3"/>
      <c r="C330" s="3" t="str">
        <f>IFERROR(VLOOKUP(B330,Sessions!A:J,2,FALSE),"")</f>
        <v/>
      </c>
      <c r="D330" s="3"/>
      <c r="E330" s="3" t="str">
        <f>IFERROR(VLOOKUP(D330,Employees!A:L,2,FALSE),"")</f>
        <v/>
      </c>
      <c r="F330" s="6"/>
      <c r="G330" s="6"/>
      <c r="H330" s="6" t="str">
        <f>IF(G330="","",G330)</f>
        <v/>
      </c>
      <c r="I330" s="3" t="str">
        <f>IF(H330="","",IF(H330&gt;=Setup!B7,"ناجح","إعادة تدريب"))</f>
        <v/>
      </c>
      <c r="J330" s="3"/>
      <c r="K330" s="3"/>
      <c r="L330" s="3"/>
      <c r="M330" s="3"/>
    </row>
    <row r="331" spans="1:13" x14ac:dyDescent="0.2">
      <c r="A331" s="3">
        <v>328</v>
      </c>
      <c r="B331" s="3"/>
      <c r="C331" s="3" t="str">
        <f>IFERROR(VLOOKUP(B331,Sessions!A:J,2,FALSE),"")</f>
        <v/>
      </c>
      <c r="D331" s="3"/>
      <c r="E331" s="3" t="str">
        <f>IFERROR(VLOOKUP(D331,Employees!A:L,2,FALSE),"")</f>
        <v/>
      </c>
      <c r="F331" s="6"/>
      <c r="G331" s="6"/>
      <c r="H331" s="6" t="str">
        <f>IF(G331="","",G331)</f>
        <v/>
      </c>
      <c r="I331" s="3" t="str">
        <f>IF(H331="","",IF(H331&gt;=Setup!B7,"ناجح","إعادة تدريب"))</f>
        <v/>
      </c>
      <c r="J331" s="3"/>
      <c r="K331" s="3"/>
      <c r="L331" s="3"/>
      <c r="M331" s="3"/>
    </row>
    <row r="332" spans="1:13" x14ac:dyDescent="0.2">
      <c r="A332" s="3">
        <v>329</v>
      </c>
      <c r="B332" s="3"/>
      <c r="C332" s="3" t="str">
        <f>IFERROR(VLOOKUP(B332,Sessions!A:J,2,FALSE),"")</f>
        <v/>
      </c>
      <c r="D332" s="3"/>
      <c r="E332" s="3" t="str">
        <f>IFERROR(VLOOKUP(D332,Employees!A:L,2,FALSE),"")</f>
        <v/>
      </c>
      <c r="F332" s="6"/>
      <c r="G332" s="6"/>
      <c r="H332" s="6" t="str">
        <f>IF(G332="","",G332)</f>
        <v/>
      </c>
      <c r="I332" s="3" t="str">
        <f>IF(H332="","",IF(H332&gt;=Setup!B7,"ناجح","إعادة تدريب"))</f>
        <v/>
      </c>
      <c r="J332" s="3"/>
      <c r="K332" s="3"/>
      <c r="L332" s="3"/>
      <c r="M332" s="3"/>
    </row>
    <row r="333" spans="1:13" x14ac:dyDescent="0.2">
      <c r="A333" s="3">
        <v>330</v>
      </c>
      <c r="B333" s="3"/>
      <c r="C333" s="3" t="str">
        <f>IFERROR(VLOOKUP(B333,Sessions!A:J,2,FALSE),"")</f>
        <v/>
      </c>
      <c r="D333" s="3"/>
      <c r="E333" s="3" t="str">
        <f>IFERROR(VLOOKUP(D333,Employees!A:L,2,FALSE),"")</f>
        <v/>
      </c>
      <c r="F333" s="6"/>
      <c r="G333" s="6"/>
      <c r="H333" s="6" t="str">
        <f>IF(G333="","",G333)</f>
        <v/>
      </c>
      <c r="I333" s="3" t="str">
        <f>IF(H333="","",IF(H333&gt;=Setup!B7,"ناجح","إعادة تدريب"))</f>
        <v/>
      </c>
      <c r="J333" s="3"/>
      <c r="K333" s="3"/>
      <c r="L333" s="3"/>
      <c r="M333" s="3"/>
    </row>
    <row r="334" spans="1:13" x14ac:dyDescent="0.2">
      <c r="A334" s="3">
        <v>331</v>
      </c>
      <c r="B334" s="3"/>
      <c r="C334" s="3" t="str">
        <f>IFERROR(VLOOKUP(B334,Sessions!A:J,2,FALSE),"")</f>
        <v/>
      </c>
      <c r="D334" s="3"/>
      <c r="E334" s="3" t="str">
        <f>IFERROR(VLOOKUP(D334,Employees!A:L,2,FALSE),"")</f>
        <v/>
      </c>
      <c r="F334" s="6"/>
      <c r="G334" s="6"/>
      <c r="H334" s="6" t="str">
        <f>IF(G334="","",G334)</f>
        <v/>
      </c>
      <c r="I334" s="3" t="str">
        <f>IF(H334="","",IF(H334&gt;=Setup!B7,"ناجح","إعادة تدريب"))</f>
        <v/>
      </c>
      <c r="J334" s="3"/>
      <c r="K334" s="3"/>
      <c r="L334" s="3"/>
      <c r="M334" s="3"/>
    </row>
    <row r="335" spans="1:13" x14ac:dyDescent="0.2">
      <c r="A335" s="3">
        <v>332</v>
      </c>
      <c r="B335" s="3"/>
      <c r="C335" s="3" t="str">
        <f>IFERROR(VLOOKUP(B335,Sessions!A:J,2,FALSE),"")</f>
        <v/>
      </c>
      <c r="D335" s="3"/>
      <c r="E335" s="3" t="str">
        <f>IFERROR(VLOOKUP(D335,Employees!A:L,2,FALSE),"")</f>
        <v/>
      </c>
      <c r="F335" s="6"/>
      <c r="G335" s="6"/>
      <c r="H335" s="6" t="str">
        <f>IF(G335="","",G335)</f>
        <v/>
      </c>
      <c r="I335" s="3" t="str">
        <f>IF(H335="","",IF(H335&gt;=Setup!B7,"ناجح","إعادة تدريب"))</f>
        <v/>
      </c>
      <c r="J335" s="3"/>
      <c r="K335" s="3"/>
      <c r="L335" s="3"/>
      <c r="M335" s="3"/>
    </row>
    <row r="336" spans="1:13" x14ac:dyDescent="0.2">
      <c r="A336" s="3">
        <v>333</v>
      </c>
      <c r="B336" s="3"/>
      <c r="C336" s="3" t="str">
        <f>IFERROR(VLOOKUP(B336,Sessions!A:J,2,FALSE),"")</f>
        <v/>
      </c>
      <c r="D336" s="3"/>
      <c r="E336" s="3" t="str">
        <f>IFERROR(VLOOKUP(D336,Employees!A:L,2,FALSE),"")</f>
        <v/>
      </c>
      <c r="F336" s="6"/>
      <c r="G336" s="6"/>
      <c r="H336" s="6" t="str">
        <f>IF(G336="","",G336)</f>
        <v/>
      </c>
      <c r="I336" s="3" t="str">
        <f>IF(H336="","",IF(H336&gt;=Setup!B7,"ناجح","إعادة تدريب"))</f>
        <v/>
      </c>
      <c r="J336" s="3"/>
      <c r="K336" s="3"/>
      <c r="L336" s="3"/>
      <c r="M336" s="3"/>
    </row>
    <row r="337" spans="1:13" x14ac:dyDescent="0.2">
      <c r="A337" s="3">
        <v>334</v>
      </c>
      <c r="B337" s="3"/>
      <c r="C337" s="3" t="str">
        <f>IFERROR(VLOOKUP(B337,Sessions!A:J,2,FALSE),"")</f>
        <v/>
      </c>
      <c r="D337" s="3"/>
      <c r="E337" s="3" t="str">
        <f>IFERROR(VLOOKUP(D337,Employees!A:L,2,FALSE),"")</f>
        <v/>
      </c>
      <c r="F337" s="6"/>
      <c r="G337" s="6"/>
      <c r="H337" s="6" t="str">
        <f>IF(G337="","",G337)</f>
        <v/>
      </c>
      <c r="I337" s="3" t="str">
        <f>IF(H337="","",IF(H337&gt;=Setup!B7,"ناجح","إعادة تدريب"))</f>
        <v/>
      </c>
      <c r="J337" s="3"/>
      <c r="K337" s="3"/>
      <c r="L337" s="3"/>
      <c r="M337" s="3"/>
    </row>
    <row r="338" spans="1:13" x14ac:dyDescent="0.2">
      <c r="A338" s="3">
        <v>335</v>
      </c>
      <c r="B338" s="3"/>
      <c r="C338" s="3" t="str">
        <f>IFERROR(VLOOKUP(B338,Sessions!A:J,2,FALSE),"")</f>
        <v/>
      </c>
      <c r="D338" s="3"/>
      <c r="E338" s="3" t="str">
        <f>IFERROR(VLOOKUP(D338,Employees!A:L,2,FALSE),"")</f>
        <v/>
      </c>
      <c r="F338" s="6"/>
      <c r="G338" s="6"/>
      <c r="H338" s="6" t="str">
        <f>IF(G338="","",G338)</f>
        <v/>
      </c>
      <c r="I338" s="3" t="str">
        <f>IF(H338="","",IF(H338&gt;=Setup!B7,"ناجح","إعادة تدريب"))</f>
        <v/>
      </c>
      <c r="J338" s="3"/>
      <c r="K338" s="3"/>
      <c r="L338" s="3"/>
      <c r="M338" s="3"/>
    </row>
    <row r="339" spans="1:13" x14ac:dyDescent="0.2">
      <c r="A339" s="3">
        <v>336</v>
      </c>
      <c r="B339" s="3"/>
      <c r="C339" s="3" t="str">
        <f>IFERROR(VLOOKUP(B339,Sessions!A:J,2,FALSE),"")</f>
        <v/>
      </c>
      <c r="D339" s="3"/>
      <c r="E339" s="3" t="str">
        <f>IFERROR(VLOOKUP(D339,Employees!A:L,2,FALSE),"")</f>
        <v/>
      </c>
      <c r="F339" s="6"/>
      <c r="G339" s="6"/>
      <c r="H339" s="6" t="str">
        <f>IF(G339="","",G339)</f>
        <v/>
      </c>
      <c r="I339" s="3" t="str">
        <f>IF(H339="","",IF(H339&gt;=Setup!B7,"ناجح","إعادة تدريب"))</f>
        <v/>
      </c>
      <c r="J339" s="3"/>
      <c r="K339" s="3"/>
      <c r="L339" s="3"/>
      <c r="M339" s="3"/>
    </row>
    <row r="340" spans="1:13" x14ac:dyDescent="0.2">
      <c r="A340" s="3">
        <v>337</v>
      </c>
      <c r="B340" s="3"/>
      <c r="C340" s="3" t="str">
        <f>IFERROR(VLOOKUP(B340,Sessions!A:J,2,FALSE),"")</f>
        <v/>
      </c>
      <c r="D340" s="3"/>
      <c r="E340" s="3" t="str">
        <f>IFERROR(VLOOKUP(D340,Employees!A:L,2,FALSE),"")</f>
        <v/>
      </c>
      <c r="F340" s="6"/>
      <c r="G340" s="6"/>
      <c r="H340" s="6" t="str">
        <f>IF(G340="","",G340)</f>
        <v/>
      </c>
      <c r="I340" s="3" t="str">
        <f>IF(H340="","",IF(H340&gt;=Setup!B7,"ناجح","إعادة تدريب"))</f>
        <v/>
      </c>
      <c r="J340" s="3"/>
      <c r="K340" s="3"/>
      <c r="L340" s="3"/>
      <c r="M340" s="3"/>
    </row>
    <row r="341" spans="1:13" x14ac:dyDescent="0.2">
      <c r="A341" s="3">
        <v>338</v>
      </c>
      <c r="B341" s="3"/>
      <c r="C341" s="3" t="str">
        <f>IFERROR(VLOOKUP(B341,Sessions!A:J,2,FALSE),"")</f>
        <v/>
      </c>
      <c r="D341" s="3"/>
      <c r="E341" s="3" t="str">
        <f>IFERROR(VLOOKUP(D341,Employees!A:L,2,FALSE),"")</f>
        <v/>
      </c>
      <c r="F341" s="6"/>
      <c r="G341" s="6"/>
      <c r="H341" s="6" t="str">
        <f>IF(G341="","",G341)</f>
        <v/>
      </c>
      <c r="I341" s="3" t="str">
        <f>IF(H341="","",IF(H341&gt;=Setup!B7,"ناجح","إعادة تدريب"))</f>
        <v/>
      </c>
      <c r="J341" s="3"/>
      <c r="K341" s="3"/>
      <c r="L341" s="3"/>
      <c r="M341" s="3"/>
    </row>
    <row r="342" spans="1:13" x14ac:dyDescent="0.2">
      <c r="A342" s="3">
        <v>339</v>
      </c>
      <c r="B342" s="3"/>
      <c r="C342" s="3" t="str">
        <f>IFERROR(VLOOKUP(B342,Sessions!A:J,2,FALSE),"")</f>
        <v/>
      </c>
      <c r="D342" s="3"/>
      <c r="E342" s="3" t="str">
        <f>IFERROR(VLOOKUP(D342,Employees!A:L,2,FALSE),"")</f>
        <v/>
      </c>
      <c r="F342" s="6"/>
      <c r="G342" s="6"/>
      <c r="H342" s="6" t="str">
        <f>IF(G342="","",G342)</f>
        <v/>
      </c>
      <c r="I342" s="3" t="str">
        <f>IF(H342="","",IF(H342&gt;=Setup!B7,"ناجح","إعادة تدريب"))</f>
        <v/>
      </c>
      <c r="J342" s="3"/>
      <c r="K342" s="3"/>
      <c r="L342" s="3"/>
      <c r="M342" s="3"/>
    </row>
    <row r="343" spans="1:13" x14ac:dyDescent="0.2">
      <c r="A343" s="3">
        <v>340</v>
      </c>
      <c r="B343" s="3"/>
      <c r="C343" s="3" t="str">
        <f>IFERROR(VLOOKUP(B343,Sessions!A:J,2,FALSE),"")</f>
        <v/>
      </c>
      <c r="D343" s="3"/>
      <c r="E343" s="3" t="str">
        <f>IFERROR(VLOOKUP(D343,Employees!A:L,2,FALSE),"")</f>
        <v/>
      </c>
      <c r="F343" s="6"/>
      <c r="G343" s="6"/>
      <c r="H343" s="6" t="str">
        <f>IF(G343="","",G343)</f>
        <v/>
      </c>
      <c r="I343" s="3" t="str">
        <f>IF(H343="","",IF(H343&gt;=Setup!B7,"ناجح","إعادة تدريب"))</f>
        <v/>
      </c>
      <c r="J343" s="3"/>
      <c r="K343" s="3"/>
      <c r="L343" s="3"/>
      <c r="M343" s="3"/>
    </row>
    <row r="344" spans="1:13" x14ac:dyDescent="0.2">
      <c r="A344" s="3">
        <v>341</v>
      </c>
      <c r="B344" s="3"/>
      <c r="C344" s="3" t="str">
        <f>IFERROR(VLOOKUP(B344,Sessions!A:J,2,FALSE),"")</f>
        <v/>
      </c>
      <c r="D344" s="3"/>
      <c r="E344" s="3" t="str">
        <f>IFERROR(VLOOKUP(D344,Employees!A:L,2,FALSE),"")</f>
        <v/>
      </c>
      <c r="F344" s="6"/>
      <c r="G344" s="6"/>
      <c r="H344" s="6" t="str">
        <f>IF(G344="","",G344)</f>
        <v/>
      </c>
      <c r="I344" s="3" t="str">
        <f>IF(H344="","",IF(H344&gt;=Setup!B7,"ناجح","إعادة تدريب"))</f>
        <v/>
      </c>
      <c r="J344" s="3"/>
      <c r="K344" s="3"/>
      <c r="L344" s="3"/>
      <c r="M344" s="3"/>
    </row>
    <row r="345" spans="1:13" x14ac:dyDescent="0.2">
      <c r="A345" s="3">
        <v>342</v>
      </c>
      <c r="B345" s="3"/>
      <c r="C345" s="3" t="str">
        <f>IFERROR(VLOOKUP(B345,Sessions!A:J,2,FALSE),"")</f>
        <v/>
      </c>
      <c r="D345" s="3"/>
      <c r="E345" s="3" t="str">
        <f>IFERROR(VLOOKUP(D345,Employees!A:L,2,FALSE),"")</f>
        <v/>
      </c>
      <c r="F345" s="6"/>
      <c r="G345" s="6"/>
      <c r="H345" s="6" t="str">
        <f>IF(G345="","",G345)</f>
        <v/>
      </c>
      <c r="I345" s="3" t="str">
        <f>IF(H345="","",IF(H345&gt;=Setup!B7,"ناجح","إعادة تدريب"))</f>
        <v/>
      </c>
      <c r="J345" s="3"/>
      <c r="K345" s="3"/>
      <c r="L345" s="3"/>
      <c r="M345" s="3"/>
    </row>
    <row r="346" spans="1:13" x14ac:dyDescent="0.2">
      <c r="A346" s="3">
        <v>343</v>
      </c>
      <c r="B346" s="3"/>
      <c r="C346" s="3" t="str">
        <f>IFERROR(VLOOKUP(B346,Sessions!A:J,2,FALSE),"")</f>
        <v/>
      </c>
      <c r="D346" s="3"/>
      <c r="E346" s="3" t="str">
        <f>IFERROR(VLOOKUP(D346,Employees!A:L,2,FALSE),"")</f>
        <v/>
      </c>
      <c r="F346" s="6"/>
      <c r="G346" s="6"/>
      <c r="H346" s="6" t="str">
        <f>IF(G346="","",G346)</f>
        <v/>
      </c>
      <c r="I346" s="3" t="str">
        <f>IF(H346="","",IF(H346&gt;=Setup!B7,"ناجح","إعادة تدريب"))</f>
        <v/>
      </c>
      <c r="J346" s="3"/>
      <c r="K346" s="3"/>
      <c r="L346" s="3"/>
      <c r="M346" s="3"/>
    </row>
    <row r="347" spans="1:13" x14ac:dyDescent="0.2">
      <c r="A347" s="3">
        <v>344</v>
      </c>
      <c r="B347" s="3"/>
      <c r="C347" s="3" t="str">
        <f>IFERROR(VLOOKUP(B347,Sessions!A:J,2,FALSE),"")</f>
        <v/>
      </c>
      <c r="D347" s="3"/>
      <c r="E347" s="3" t="str">
        <f>IFERROR(VLOOKUP(D347,Employees!A:L,2,FALSE),"")</f>
        <v/>
      </c>
      <c r="F347" s="6"/>
      <c r="G347" s="6"/>
      <c r="H347" s="6" t="str">
        <f>IF(G347="","",G347)</f>
        <v/>
      </c>
      <c r="I347" s="3" t="str">
        <f>IF(H347="","",IF(H347&gt;=Setup!B7,"ناجح","إعادة تدريب"))</f>
        <v/>
      </c>
      <c r="J347" s="3"/>
      <c r="K347" s="3"/>
      <c r="L347" s="3"/>
      <c r="M347" s="3"/>
    </row>
    <row r="348" spans="1:13" x14ac:dyDescent="0.2">
      <c r="A348" s="3">
        <v>345</v>
      </c>
      <c r="B348" s="3"/>
      <c r="C348" s="3" t="str">
        <f>IFERROR(VLOOKUP(B348,Sessions!A:J,2,FALSE),"")</f>
        <v/>
      </c>
      <c r="D348" s="3"/>
      <c r="E348" s="3" t="str">
        <f>IFERROR(VLOOKUP(D348,Employees!A:L,2,FALSE),"")</f>
        <v/>
      </c>
      <c r="F348" s="6"/>
      <c r="G348" s="6"/>
      <c r="H348" s="6" t="str">
        <f>IF(G348="","",G348)</f>
        <v/>
      </c>
      <c r="I348" s="3" t="str">
        <f>IF(H348="","",IF(H348&gt;=Setup!B7,"ناجح","إعادة تدريب"))</f>
        <v/>
      </c>
      <c r="J348" s="3"/>
      <c r="K348" s="3"/>
      <c r="L348" s="3"/>
      <c r="M348" s="3"/>
    </row>
    <row r="349" spans="1:13" x14ac:dyDescent="0.2">
      <c r="A349" s="3">
        <v>346</v>
      </c>
      <c r="B349" s="3"/>
      <c r="C349" s="3" t="str">
        <f>IFERROR(VLOOKUP(B349,Sessions!A:J,2,FALSE),"")</f>
        <v/>
      </c>
      <c r="D349" s="3"/>
      <c r="E349" s="3" t="str">
        <f>IFERROR(VLOOKUP(D349,Employees!A:L,2,FALSE),"")</f>
        <v/>
      </c>
      <c r="F349" s="6"/>
      <c r="G349" s="6"/>
      <c r="H349" s="6" t="str">
        <f>IF(G349="","",G349)</f>
        <v/>
      </c>
      <c r="I349" s="3" t="str">
        <f>IF(H349="","",IF(H349&gt;=Setup!B7,"ناجح","إعادة تدريب"))</f>
        <v/>
      </c>
      <c r="J349" s="3"/>
      <c r="K349" s="3"/>
      <c r="L349" s="3"/>
      <c r="M349" s="3"/>
    </row>
    <row r="350" spans="1:13" x14ac:dyDescent="0.2">
      <c r="A350" s="3">
        <v>347</v>
      </c>
      <c r="B350" s="3"/>
      <c r="C350" s="3" t="str">
        <f>IFERROR(VLOOKUP(B350,Sessions!A:J,2,FALSE),"")</f>
        <v/>
      </c>
      <c r="D350" s="3"/>
      <c r="E350" s="3" t="str">
        <f>IFERROR(VLOOKUP(D350,Employees!A:L,2,FALSE),"")</f>
        <v/>
      </c>
      <c r="F350" s="6"/>
      <c r="G350" s="6"/>
      <c r="H350" s="6" t="str">
        <f>IF(G350="","",G350)</f>
        <v/>
      </c>
      <c r="I350" s="3" t="str">
        <f>IF(H350="","",IF(H350&gt;=Setup!B7,"ناجح","إعادة تدريب"))</f>
        <v/>
      </c>
      <c r="J350" s="3"/>
      <c r="K350" s="3"/>
      <c r="L350" s="3"/>
      <c r="M350" s="3"/>
    </row>
    <row r="351" spans="1:13" x14ac:dyDescent="0.2">
      <c r="A351" s="3">
        <v>348</v>
      </c>
      <c r="B351" s="3"/>
      <c r="C351" s="3" t="str">
        <f>IFERROR(VLOOKUP(B351,Sessions!A:J,2,FALSE),"")</f>
        <v/>
      </c>
      <c r="D351" s="3"/>
      <c r="E351" s="3" t="str">
        <f>IFERROR(VLOOKUP(D351,Employees!A:L,2,FALSE),"")</f>
        <v/>
      </c>
      <c r="F351" s="6"/>
      <c r="G351" s="6"/>
      <c r="H351" s="6" t="str">
        <f>IF(G351="","",G351)</f>
        <v/>
      </c>
      <c r="I351" s="3" t="str">
        <f>IF(H351="","",IF(H351&gt;=Setup!B7,"ناجح","إعادة تدريب"))</f>
        <v/>
      </c>
      <c r="J351" s="3"/>
      <c r="K351" s="3"/>
      <c r="L351" s="3"/>
      <c r="M351" s="3"/>
    </row>
    <row r="352" spans="1:13" x14ac:dyDescent="0.2">
      <c r="A352" s="3">
        <v>349</v>
      </c>
      <c r="B352" s="3"/>
      <c r="C352" s="3" t="str">
        <f>IFERROR(VLOOKUP(B352,Sessions!A:J,2,FALSE),"")</f>
        <v/>
      </c>
      <c r="D352" s="3"/>
      <c r="E352" s="3" t="str">
        <f>IFERROR(VLOOKUP(D352,Employees!A:L,2,FALSE),"")</f>
        <v/>
      </c>
      <c r="F352" s="6"/>
      <c r="G352" s="6"/>
      <c r="H352" s="6" t="str">
        <f>IF(G352="","",G352)</f>
        <v/>
      </c>
      <c r="I352" s="3" t="str">
        <f>IF(H352="","",IF(H352&gt;=Setup!B7,"ناجح","إعادة تدريب"))</f>
        <v/>
      </c>
      <c r="J352" s="3"/>
      <c r="K352" s="3"/>
      <c r="L352" s="3"/>
      <c r="M352" s="3"/>
    </row>
    <row r="353" spans="1:13" x14ac:dyDescent="0.2">
      <c r="A353" s="3">
        <v>350</v>
      </c>
      <c r="B353" s="3"/>
      <c r="C353" s="3" t="str">
        <f>IFERROR(VLOOKUP(B353,Sessions!A:J,2,FALSE),"")</f>
        <v/>
      </c>
      <c r="D353" s="3"/>
      <c r="E353" s="3" t="str">
        <f>IFERROR(VLOOKUP(D353,Employees!A:L,2,FALSE),"")</f>
        <v/>
      </c>
      <c r="F353" s="6"/>
      <c r="G353" s="6"/>
      <c r="H353" s="6" t="str">
        <f>IF(G353="","",G353)</f>
        <v/>
      </c>
      <c r="I353" s="3" t="str">
        <f>IF(H353="","",IF(H353&gt;=Setup!B7,"ناجح","إعادة تدريب"))</f>
        <v/>
      </c>
      <c r="J353" s="3"/>
      <c r="K353" s="3"/>
      <c r="L353" s="3"/>
      <c r="M353" s="3"/>
    </row>
    <row r="354" spans="1:13" x14ac:dyDescent="0.2">
      <c r="A354" s="3">
        <v>351</v>
      </c>
      <c r="B354" s="3"/>
      <c r="C354" s="3" t="str">
        <f>IFERROR(VLOOKUP(B354,Sessions!A:J,2,FALSE),"")</f>
        <v/>
      </c>
      <c r="D354" s="3"/>
      <c r="E354" s="3" t="str">
        <f>IFERROR(VLOOKUP(D354,Employees!A:L,2,FALSE),"")</f>
        <v/>
      </c>
      <c r="F354" s="6"/>
      <c r="G354" s="6"/>
      <c r="H354" s="6" t="str">
        <f>IF(G354="","",G354)</f>
        <v/>
      </c>
      <c r="I354" s="3" t="str">
        <f>IF(H354="","",IF(H354&gt;=Setup!B7,"ناجح","إعادة تدريب"))</f>
        <v/>
      </c>
      <c r="J354" s="3"/>
      <c r="K354" s="3"/>
      <c r="L354" s="3"/>
      <c r="M354" s="3"/>
    </row>
    <row r="355" spans="1:13" x14ac:dyDescent="0.2">
      <c r="A355" s="3">
        <v>352</v>
      </c>
      <c r="B355" s="3"/>
      <c r="C355" s="3" t="str">
        <f>IFERROR(VLOOKUP(B355,Sessions!A:J,2,FALSE),"")</f>
        <v/>
      </c>
      <c r="D355" s="3"/>
      <c r="E355" s="3" t="str">
        <f>IFERROR(VLOOKUP(D355,Employees!A:L,2,FALSE),"")</f>
        <v/>
      </c>
      <c r="F355" s="6"/>
      <c r="G355" s="6"/>
      <c r="H355" s="6" t="str">
        <f>IF(G355="","",G355)</f>
        <v/>
      </c>
      <c r="I355" s="3" t="str">
        <f>IF(H355="","",IF(H355&gt;=Setup!B7,"ناجح","إعادة تدريب"))</f>
        <v/>
      </c>
      <c r="J355" s="3"/>
      <c r="K355" s="3"/>
      <c r="L355" s="3"/>
      <c r="M355" s="3"/>
    </row>
    <row r="356" spans="1:13" x14ac:dyDescent="0.2">
      <c r="A356" s="3">
        <v>353</v>
      </c>
      <c r="B356" s="3"/>
      <c r="C356" s="3" t="str">
        <f>IFERROR(VLOOKUP(B356,Sessions!A:J,2,FALSE),"")</f>
        <v/>
      </c>
      <c r="D356" s="3"/>
      <c r="E356" s="3" t="str">
        <f>IFERROR(VLOOKUP(D356,Employees!A:L,2,FALSE),"")</f>
        <v/>
      </c>
      <c r="F356" s="6"/>
      <c r="G356" s="6"/>
      <c r="H356" s="6" t="str">
        <f>IF(G356="","",G356)</f>
        <v/>
      </c>
      <c r="I356" s="3" t="str">
        <f>IF(H356="","",IF(H356&gt;=Setup!B7,"ناجح","إعادة تدريب"))</f>
        <v/>
      </c>
      <c r="J356" s="3"/>
      <c r="K356" s="3"/>
      <c r="L356" s="3"/>
      <c r="M356" s="3"/>
    </row>
    <row r="357" spans="1:13" x14ac:dyDescent="0.2">
      <c r="A357" s="3">
        <v>354</v>
      </c>
      <c r="B357" s="3"/>
      <c r="C357" s="3" t="str">
        <f>IFERROR(VLOOKUP(B357,Sessions!A:J,2,FALSE),"")</f>
        <v/>
      </c>
      <c r="D357" s="3"/>
      <c r="E357" s="3" t="str">
        <f>IFERROR(VLOOKUP(D357,Employees!A:L,2,FALSE),"")</f>
        <v/>
      </c>
      <c r="F357" s="6"/>
      <c r="G357" s="6"/>
      <c r="H357" s="6" t="str">
        <f>IF(G357="","",G357)</f>
        <v/>
      </c>
      <c r="I357" s="3" t="str">
        <f>IF(H357="","",IF(H357&gt;=Setup!B7,"ناجح","إعادة تدريب"))</f>
        <v/>
      </c>
      <c r="J357" s="3"/>
      <c r="K357" s="3"/>
      <c r="L357" s="3"/>
      <c r="M357" s="3"/>
    </row>
    <row r="358" spans="1:13" x14ac:dyDescent="0.2">
      <c r="A358" s="3">
        <v>355</v>
      </c>
      <c r="B358" s="3"/>
      <c r="C358" s="3" t="str">
        <f>IFERROR(VLOOKUP(B358,Sessions!A:J,2,FALSE),"")</f>
        <v/>
      </c>
      <c r="D358" s="3"/>
      <c r="E358" s="3" t="str">
        <f>IFERROR(VLOOKUP(D358,Employees!A:L,2,FALSE),"")</f>
        <v/>
      </c>
      <c r="F358" s="6"/>
      <c r="G358" s="6"/>
      <c r="H358" s="6" t="str">
        <f>IF(G358="","",G358)</f>
        <v/>
      </c>
      <c r="I358" s="3" t="str">
        <f>IF(H358="","",IF(H358&gt;=Setup!B7,"ناجح","إعادة تدريب"))</f>
        <v/>
      </c>
      <c r="J358" s="3"/>
      <c r="K358" s="3"/>
      <c r="L358" s="3"/>
      <c r="M358" s="3"/>
    </row>
    <row r="359" spans="1:13" x14ac:dyDescent="0.2">
      <c r="A359" s="3">
        <v>356</v>
      </c>
      <c r="B359" s="3"/>
      <c r="C359" s="3" t="str">
        <f>IFERROR(VLOOKUP(B359,Sessions!A:J,2,FALSE),"")</f>
        <v/>
      </c>
      <c r="D359" s="3"/>
      <c r="E359" s="3" t="str">
        <f>IFERROR(VLOOKUP(D359,Employees!A:L,2,FALSE),"")</f>
        <v/>
      </c>
      <c r="F359" s="6"/>
      <c r="G359" s="6"/>
      <c r="H359" s="6" t="str">
        <f>IF(G359="","",G359)</f>
        <v/>
      </c>
      <c r="I359" s="3" t="str">
        <f>IF(H359="","",IF(H359&gt;=Setup!B7,"ناجح","إعادة تدريب"))</f>
        <v/>
      </c>
      <c r="J359" s="3"/>
      <c r="K359" s="3"/>
      <c r="L359" s="3"/>
      <c r="M359" s="3"/>
    </row>
    <row r="360" spans="1:13" x14ac:dyDescent="0.2">
      <c r="A360" s="3">
        <v>357</v>
      </c>
      <c r="B360" s="3"/>
      <c r="C360" s="3" t="str">
        <f>IFERROR(VLOOKUP(B360,Sessions!A:J,2,FALSE),"")</f>
        <v/>
      </c>
      <c r="D360" s="3"/>
      <c r="E360" s="3" t="str">
        <f>IFERROR(VLOOKUP(D360,Employees!A:L,2,FALSE),"")</f>
        <v/>
      </c>
      <c r="F360" s="6"/>
      <c r="G360" s="6"/>
      <c r="H360" s="6" t="str">
        <f>IF(G360="","",G360)</f>
        <v/>
      </c>
      <c r="I360" s="3" t="str">
        <f>IF(H360="","",IF(H360&gt;=Setup!B7,"ناجح","إعادة تدريب"))</f>
        <v/>
      </c>
      <c r="J360" s="3"/>
      <c r="K360" s="3"/>
      <c r="L360" s="3"/>
      <c r="M360" s="3"/>
    </row>
    <row r="361" spans="1:13" x14ac:dyDescent="0.2">
      <c r="A361" s="3">
        <v>358</v>
      </c>
      <c r="B361" s="3"/>
      <c r="C361" s="3" t="str">
        <f>IFERROR(VLOOKUP(B361,Sessions!A:J,2,FALSE),"")</f>
        <v/>
      </c>
      <c r="D361" s="3"/>
      <c r="E361" s="3" t="str">
        <f>IFERROR(VLOOKUP(D361,Employees!A:L,2,FALSE),"")</f>
        <v/>
      </c>
      <c r="F361" s="6"/>
      <c r="G361" s="6"/>
      <c r="H361" s="6" t="str">
        <f>IF(G361="","",G361)</f>
        <v/>
      </c>
      <c r="I361" s="3" t="str">
        <f>IF(H361="","",IF(H361&gt;=Setup!B7,"ناجح","إعادة تدريب"))</f>
        <v/>
      </c>
      <c r="J361" s="3"/>
      <c r="K361" s="3"/>
      <c r="L361" s="3"/>
      <c r="M361" s="3"/>
    </row>
    <row r="362" spans="1:13" x14ac:dyDescent="0.2">
      <c r="A362" s="3">
        <v>359</v>
      </c>
      <c r="B362" s="3"/>
      <c r="C362" s="3" t="str">
        <f>IFERROR(VLOOKUP(B362,Sessions!A:J,2,FALSE),"")</f>
        <v/>
      </c>
      <c r="D362" s="3"/>
      <c r="E362" s="3" t="str">
        <f>IFERROR(VLOOKUP(D362,Employees!A:L,2,FALSE),"")</f>
        <v/>
      </c>
      <c r="F362" s="6"/>
      <c r="G362" s="6"/>
      <c r="H362" s="6" t="str">
        <f>IF(G362="","",G362)</f>
        <v/>
      </c>
      <c r="I362" s="3" t="str">
        <f>IF(H362="","",IF(H362&gt;=Setup!B7,"ناجح","إعادة تدريب"))</f>
        <v/>
      </c>
      <c r="J362" s="3"/>
      <c r="K362" s="3"/>
      <c r="L362" s="3"/>
      <c r="M362" s="3"/>
    </row>
    <row r="363" spans="1:13" x14ac:dyDescent="0.2">
      <c r="A363" s="3">
        <v>360</v>
      </c>
      <c r="B363" s="3"/>
      <c r="C363" s="3" t="str">
        <f>IFERROR(VLOOKUP(B363,Sessions!A:J,2,FALSE),"")</f>
        <v/>
      </c>
      <c r="D363" s="3"/>
      <c r="E363" s="3" t="str">
        <f>IFERROR(VLOOKUP(D363,Employees!A:L,2,FALSE),"")</f>
        <v/>
      </c>
      <c r="F363" s="6"/>
      <c r="G363" s="6"/>
      <c r="H363" s="6" t="str">
        <f>IF(G363="","",G363)</f>
        <v/>
      </c>
      <c r="I363" s="3" t="str">
        <f>IF(H363="","",IF(H363&gt;=Setup!B7,"ناجح","إعادة تدريب"))</f>
        <v/>
      </c>
      <c r="J363" s="3"/>
      <c r="K363" s="3"/>
      <c r="L363" s="3"/>
      <c r="M363" s="3"/>
    </row>
    <row r="364" spans="1:13" x14ac:dyDescent="0.2">
      <c r="A364" s="3">
        <v>361</v>
      </c>
      <c r="B364" s="3"/>
      <c r="C364" s="3" t="str">
        <f>IFERROR(VLOOKUP(B364,Sessions!A:J,2,FALSE),"")</f>
        <v/>
      </c>
      <c r="D364" s="3"/>
      <c r="E364" s="3" t="str">
        <f>IFERROR(VLOOKUP(D364,Employees!A:L,2,FALSE),"")</f>
        <v/>
      </c>
      <c r="F364" s="6"/>
      <c r="G364" s="6"/>
      <c r="H364" s="6" t="str">
        <f>IF(G364="","",G364)</f>
        <v/>
      </c>
      <c r="I364" s="3" t="str">
        <f>IF(H364="","",IF(H364&gt;=Setup!B7,"ناجح","إعادة تدريب"))</f>
        <v/>
      </c>
      <c r="J364" s="3"/>
      <c r="K364" s="3"/>
      <c r="L364" s="3"/>
      <c r="M364" s="3"/>
    </row>
    <row r="365" spans="1:13" x14ac:dyDescent="0.2">
      <c r="A365" s="3">
        <v>362</v>
      </c>
      <c r="B365" s="3"/>
      <c r="C365" s="3" t="str">
        <f>IFERROR(VLOOKUP(B365,Sessions!A:J,2,FALSE),"")</f>
        <v/>
      </c>
      <c r="D365" s="3"/>
      <c r="E365" s="3" t="str">
        <f>IFERROR(VLOOKUP(D365,Employees!A:L,2,FALSE),"")</f>
        <v/>
      </c>
      <c r="F365" s="6"/>
      <c r="G365" s="6"/>
      <c r="H365" s="6" t="str">
        <f>IF(G365="","",G365)</f>
        <v/>
      </c>
      <c r="I365" s="3" t="str">
        <f>IF(H365="","",IF(H365&gt;=Setup!B7,"ناجح","إعادة تدريب"))</f>
        <v/>
      </c>
      <c r="J365" s="3"/>
      <c r="K365" s="3"/>
      <c r="L365" s="3"/>
      <c r="M365" s="3"/>
    </row>
    <row r="366" spans="1:13" x14ac:dyDescent="0.2">
      <c r="A366" s="3">
        <v>363</v>
      </c>
      <c r="B366" s="3"/>
      <c r="C366" s="3" t="str">
        <f>IFERROR(VLOOKUP(B366,Sessions!A:J,2,FALSE),"")</f>
        <v/>
      </c>
      <c r="D366" s="3"/>
      <c r="E366" s="3" t="str">
        <f>IFERROR(VLOOKUP(D366,Employees!A:L,2,FALSE),"")</f>
        <v/>
      </c>
      <c r="F366" s="6"/>
      <c r="G366" s="6"/>
      <c r="H366" s="6" t="str">
        <f>IF(G366="","",G366)</f>
        <v/>
      </c>
      <c r="I366" s="3" t="str">
        <f>IF(H366="","",IF(H366&gt;=Setup!B7,"ناجح","إعادة تدريب"))</f>
        <v/>
      </c>
      <c r="J366" s="3"/>
      <c r="K366" s="3"/>
      <c r="L366" s="3"/>
      <c r="M366" s="3"/>
    </row>
    <row r="367" spans="1:13" x14ac:dyDescent="0.2">
      <c r="A367" s="3">
        <v>364</v>
      </c>
      <c r="B367" s="3"/>
      <c r="C367" s="3" t="str">
        <f>IFERROR(VLOOKUP(B367,Sessions!A:J,2,FALSE),"")</f>
        <v/>
      </c>
      <c r="D367" s="3"/>
      <c r="E367" s="3" t="str">
        <f>IFERROR(VLOOKUP(D367,Employees!A:L,2,FALSE),"")</f>
        <v/>
      </c>
      <c r="F367" s="6"/>
      <c r="G367" s="6"/>
      <c r="H367" s="6" t="str">
        <f>IF(G367="","",G367)</f>
        <v/>
      </c>
      <c r="I367" s="3" t="str">
        <f>IF(H367="","",IF(H367&gt;=Setup!B7,"ناجح","إعادة تدريب"))</f>
        <v/>
      </c>
      <c r="J367" s="3"/>
      <c r="K367" s="3"/>
      <c r="L367" s="3"/>
      <c r="M367" s="3"/>
    </row>
    <row r="368" spans="1:13" x14ac:dyDescent="0.2">
      <c r="A368" s="3">
        <v>365</v>
      </c>
      <c r="B368" s="3"/>
      <c r="C368" s="3" t="str">
        <f>IFERROR(VLOOKUP(B368,Sessions!A:J,2,FALSE),"")</f>
        <v/>
      </c>
      <c r="D368" s="3"/>
      <c r="E368" s="3" t="str">
        <f>IFERROR(VLOOKUP(D368,Employees!A:L,2,FALSE),"")</f>
        <v/>
      </c>
      <c r="F368" s="6"/>
      <c r="G368" s="6"/>
      <c r="H368" s="6" t="str">
        <f>IF(G368="","",G368)</f>
        <v/>
      </c>
      <c r="I368" s="3" t="str">
        <f>IF(H368="","",IF(H368&gt;=Setup!B7,"ناجح","إعادة تدريب"))</f>
        <v/>
      </c>
      <c r="J368" s="3"/>
      <c r="K368" s="3"/>
      <c r="L368" s="3"/>
      <c r="M368" s="3"/>
    </row>
    <row r="369" spans="1:13" x14ac:dyDescent="0.2">
      <c r="A369" s="3">
        <v>366</v>
      </c>
      <c r="B369" s="3"/>
      <c r="C369" s="3" t="str">
        <f>IFERROR(VLOOKUP(B369,Sessions!A:J,2,FALSE),"")</f>
        <v/>
      </c>
      <c r="D369" s="3"/>
      <c r="E369" s="3" t="str">
        <f>IFERROR(VLOOKUP(D369,Employees!A:L,2,FALSE),"")</f>
        <v/>
      </c>
      <c r="F369" s="6"/>
      <c r="G369" s="6"/>
      <c r="H369" s="6" t="str">
        <f>IF(G369="","",G369)</f>
        <v/>
      </c>
      <c r="I369" s="3" t="str">
        <f>IF(H369="","",IF(H369&gt;=Setup!B7,"ناجح","إعادة تدريب"))</f>
        <v/>
      </c>
      <c r="J369" s="3"/>
      <c r="K369" s="3"/>
      <c r="L369" s="3"/>
      <c r="M369" s="3"/>
    </row>
    <row r="370" spans="1:13" x14ac:dyDescent="0.2">
      <c r="A370" s="3">
        <v>367</v>
      </c>
      <c r="B370" s="3"/>
      <c r="C370" s="3" t="str">
        <f>IFERROR(VLOOKUP(B370,Sessions!A:J,2,FALSE),"")</f>
        <v/>
      </c>
      <c r="D370" s="3"/>
      <c r="E370" s="3" t="str">
        <f>IFERROR(VLOOKUP(D370,Employees!A:L,2,FALSE),"")</f>
        <v/>
      </c>
      <c r="F370" s="6"/>
      <c r="G370" s="6"/>
      <c r="H370" s="6" t="str">
        <f>IF(G370="","",G370)</f>
        <v/>
      </c>
      <c r="I370" s="3" t="str">
        <f>IF(H370="","",IF(H370&gt;=Setup!B7,"ناجح","إعادة تدريب"))</f>
        <v/>
      </c>
      <c r="J370" s="3"/>
      <c r="K370" s="3"/>
      <c r="L370" s="3"/>
      <c r="M370" s="3"/>
    </row>
    <row r="371" spans="1:13" x14ac:dyDescent="0.2">
      <c r="A371" s="3">
        <v>368</v>
      </c>
      <c r="B371" s="3"/>
      <c r="C371" s="3" t="str">
        <f>IFERROR(VLOOKUP(B371,Sessions!A:J,2,FALSE),"")</f>
        <v/>
      </c>
      <c r="D371" s="3"/>
      <c r="E371" s="3" t="str">
        <f>IFERROR(VLOOKUP(D371,Employees!A:L,2,FALSE),"")</f>
        <v/>
      </c>
      <c r="F371" s="6"/>
      <c r="G371" s="6"/>
      <c r="H371" s="6" t="str">
        <f>IF(G371="","",G371)</f>
        <v/>
      </c>
      <c r="I371" s="3" t="str">
        <f>IF(H371="","",IF(H371&gt;=Setup!B7,"ناجح","إعادة تدريب"))</f>
        <v/>
      </c>
      <c r="J371" s="3"/>
      <c r="K371" s="3"/>
      <c r="L371" s="3"/>
      <c r="M371" s="3"/>
    </row>
    <row r="372" spans="1:13" x14ac:dyDescent="0.2">
      <c r="A372" s="3">
        <v>369</v>
      </c>
      <c r="B372" s="3"/>
      <c r="C372" s="3" t="str">
        <f>IFERROR(VLOOKUP(B372,Sessions!A:J,2,FALSE),"")</f>
        <v/>
      </c>
      <c r="D372" s="3"/>
      <c r="E372" s="3" t="str">
        <f>IFERROR(VLOOKUP(D372,Employees!A:L,2,FALSE),"")</f>
        <v/>
      </c>
      <c r="F372" s="6"/>
      <c r="G372" s="6"/>
      <c r="H372" s="6" t="str">
        <f>IF(G372="","",G372)</f>
        <v/>
      </c>
      <c r="I372" s="3" t="str">
        <f>IF(H372="","",IF(H372&gt;=Setup!B7,"ناجح","إعادة تدريب"))</f>
        <v/>
      </c>
      <c r="J372" s="3"/>
      <c r="K372" s="3"/>
      <c r="L372" s="3"/>
      <c r="M372" s="3"/>
    </row>
    <row r="373" spans="1:13" x14ac:dyDescent="0.2">
      <c r="A373" s="3">
        <v>370</v>
      </c>
      <c r="B373" s="3"/>
      <c r="C373" s="3" t="str">
        <f>IFERROR(VLOOKUP(B373,Sessions!A:J,2,FALSE),"")</f>
        <v/>
      </c>
      <c r="D373" s="3"/>
      <c r="E373" s="3" t="str">
        <f>IFERROR(VLOOKUP(D373,Employees!A:L,2,FALSE),"")</f>
        <v/>
      </c>
      <c r="F373" s="6"/>
      <c r="G373" s="6"/>
      <c r="H373" s="6" t="str">
        <f>IF(G373="","",G373)</f>
        <v/>
      </c>
      <c r="I373" s="3" t="str">
        <f>IF(H373="","",IF(H373&gt;=Setup!B7,"ناجح","إعادة تدريب"))</f>
        <v/>
      </c>
      <c r="J373" s="3"/>
      <c r="K373" s="3"/>
      <c r="L373" s="3"/>
      <c r="M373" s="3"/>
    </row>
    <row r="374" spans="1:13" x14ac:dyDescent="0.2">
      <c r="A374" s="3">
        <v>371</v>
      </c>
      <c r="B374" s="3"/>
      <c r="C374" s="3" t="str">
        <f>IFERROR(VLOOKUP(B374,Sessions!A:J,2,FALSE),"")</f>
        <v/>
      </c>
      <c r="D374" s="3"/>
      <c r="E374" s="3" t="str">
        <f>IFERROR(VLOOKUP(D374,Employees!A:L,2,FALSE),"")</f>
        <v/>
      </c>
      <c r="F374" s="6"/>
      <c r="G374" s="6"/>
      <c r="H374" s="6" t="str">
        <f>IF(G374="","",G374)</f>
        <v/>
      </c>
      <c r="I374" s="3" t="str">
        <f>IF(H374="","",IF(H374&gt;=Setup!B7,"ناجح","إعادة تدريب"))</f>
        <v/>
      </c>
      <c r="J374" s="3"/>
      <c r="K374" s="3"/>
      <c r="L374" s="3"/>
      <c r="M374" s="3"/>
    </row>
    <row r="375" spans="1:13" x14ac:dyDescent="0.2">
      <c r="A375" s="3">
        <v>372</v>
      </c>
      <c r="B375" s="3"/>
      <c r="C375" s="3" t="str">
        <f>IFERROR(VLOOKUP(B375,Sessions!A:J,2,FALSE),"")</f>
        <v/>
      </c>
      <c r="D375" s="3"/>
      <c r="E375" s="3" t="str">
        <f>IFERROR(VLOOKUP(D375,Employees!A:L,2,FALSE),"")</f>
        <v/>
      </c>
      <c r="F375" s="6"/>
      <c r="G375" s="6"/>
      <c r="H375" s="6" t="str">
        <f>IF(G375="","",G375)</f>
        <v/>
      </c>
      <c r="I375" s="3" t="str">
        <f>IF(H375="","",IF(H375&gt;=Setup!B7,"ناجح","إعادة تدريب"))</f>
        <v/>
      </c>
      <c r="J375" s="3"/>
      <c r="K375" s="3"/>
      <c r="L375" s="3"/>
      <c r="M375" s="3"/>
    </row>
    <row r="376" spans="1:13" x14ac:dyDescent="0.2">
      <c r="A376" s="3">
        <v>373</v>
      </c>
      <c r="B376" s="3"/>
      <c r="C376" s="3" t="str">
        <f>IFERROR(VLOOKUP(B376,Sessions!A:J,2,FALSE),"")</f>
        <v/>
      </c>
      <c r="D376" s="3"/>
      <c r="E376" s="3" t="str">
        <f>IFERROR(VLOOKUP(D376,Employees!A:L,2,FALSE),"")</f>
        <v/>
      </c>
      <c r="F376" s="6"/>
      <c r="G376" s="6"/>
      <c r="H376" s="6" t="str">
        <f>IF(G376="","",G376)</f>
        <v/>
      </c>
      <c r="I376" s="3" t="str">
        <f>IF(H376="","",IF(H376&gt;=Setup!B7,"ناجح","إعادة تدريب"))</f>
        <v/>
      </c>
      <c r="J376" s="3"/>
      <c r="K376" s="3"/>
      <c r="L376" s="3"/>
      <c r="M376" s="3"/>
    </row>
    <row r="377" spans="1:13" x14ac:dyDescent="0.2">
      <c r="A377" s="3">
        <v>374</v>
      </c>
      <c r="B377" s="3"/>
      <c r="C377" s="3" t="str">
        <f>IFERROR(VLOOKUP(B377,Sessions!A:J,2,FALSE),"")</f>
        <v/>
      </c>
      <c r="D377" s="3"/>
      <c r="E377" s="3" t="str">
        <f>IFERROR(VLOOKUP(D377,Employees!A:L,2,FALSE),"")</f>
        <v/>
      </c>
      <c r="F377" s="6"/>
      <c r="G377" s="6"/>
      <c r="H377" s="6" t="str">
        <f>IF(G377="","",G377)</f>
        <v/>
      </c>
      <c r="I377" s="3" t="str">
        <f>IF(H377="","",IF(H377&gt;=Setup!B7,"ناجح","إعادة تدريب"))</f>
        <v/>
      </c>
      <c r="J377" s="3"/>
      <c r="K377" s="3"/>
      <c r="L377" s="3"/>
      <c r="M377" s="3"/>
    </row>
    <row r="378" spans="1:13" x14ac:dyDescent="0.2">
      <c r="A378" s="3">
        <v>375</v>
      </c>
      <c r="B378" s="3"/>
      <c r="C378" s="3" t="str">
        <f>IFERROR(VLOOKUP(B378,Sessions!A:J,2,FALSE),"")</f>
        <v/>
      </c>
      <c r="D378" s="3"/>
      <c r="E378" s="3" t="str">
        <f>IFERROR(VLOOKUP(D378,Employees!A:L,2,FALSE),"")</f>
        <v/>
      </c>
      <c r="F378" s="6"/>
      <c r="G378" s="6"/>
      <c r="H378" s="6" t="str">
        <f>IF(G378="","",G378)</f>
        <v/>
      </c>
      <c r="I378" s="3" t="str">
        <f>IF(H378="","",IF(H378&gt;=Setup!B7,"ناجح","إعادة تدريب"))</f>
        <v/>
      </c>
      <c r="J378" s="3"/>
      <c r="K378" s="3"/>
      <c r="L378" s="3"/>
      <c r="M378" s="3"/>
    </row>
    <row r="379" spans="1:13" x14ac:dyDescent="0.2">
      <c r="A379" s="3">
        <v>376</v>
      </c>
      <c r="B379" s="3"/>
      <c r="C379" s="3" t="str">
        <f>IFERROR(VLOOKUP(B379,Sessions!A:J,2,FALSE),"")</f>
        <v/>
      </c>
      <c r="D379" s="3"/>
      <c r="E379" s="3" t="str">
        <f>IFERROR(VLOOKUP(D379,Employees!A:L,2,FALSE),"")</f>
        <v/>
      </c>
      <c r="F379" s="6"/>
      <c r="G379" s="6"/>
      <c r="H379" s="6" t="str">
        <f>IF(G379="","",G379)</f>
        <v/>
      </c>
      <c r="I379" s="3" t="str">
        <f>IF(H379="","",IF(H379&gt;=Setup!B7,"ناجح","إعادة تدريب"))</f>
        <v/>
      </c>
      <c r="J379" s="3"/>
      <c r="K379" s="3"/>
      <c r="L379" s="3"/>
      <c r="M379" s="3"/>
    </row>
    <row r="380" spans="1:13" x14ac:dyDescent="0.2">
      <c r="A380" s="3">
        <v>377</v>
      </c>
      <c r="B380" s="3"/>
      <c r="C380" s="3" t="str">
        <f>IFERROR(VLOOKUP(B380,Sessions!A:J,2,FALSE),"")</f>
        <v/>
      </c>
      <c r="D380" s="3"/>
      <c r="E380" s="3" t="str">
        <f>IFERROR(VLOOKUP(D380,Employees!A:L,2,FALSE),"")</f>
        <v/>
      </c>
      <c r="F380" s="6"/>
      <c r="G380" s="6"/>
      <c r="H380" s="6" t="str">
        <f>IF(G380="","",G380)</f>
        <v/>
      </c>
      <c r="I380" s="3" t="str">
        <f>IF(H380="","",IF(H380&gt;=Setup!B7,"ناجح","إعادة تدريب"))</f>
        <v/>
      </c>
      <c r="J380" s="3"/>
      <c r="K380" s="3"/>
      <c r="L380" s="3"/>
      <c r="M380" s="3"/>
    </row>
    <row r="381" spans="1:13" x14ac:dyDescent="0.2">
      <c r="A381" s="3">
        <v>378</v>
      </c>
      <c r="B381" s="3"/>
      <c r="C381" s="3" t="str">
        <f>IFERROR(VLOOKUP(B381,Sessions!A:J,2,FALSE),"")</f>
        <v/>
      </c>
      <c r="D381" s="3"/>
      <c r="E381" s="3" t="str">
        <f>IFERROR(VLOOKUP(D381,Employees!A:L,2,FALSE),"")</f>
        <v/>
      </c>
      <c r="F381" s="6"/>
      <c r="G381" s="6"/>
      <c r="H381" s="6" t="str">
        <f>IF(G381="","",G381)</f>
        <v/>
      </c>
      <c r="I381" s="3" t="str">
        <f>IF(H381="","",IF(H381&gt;=Setup!B7,"ناجح","إعادة تدريب"))</f>
        <v/>
      </c>
      <c r="J381" s="3"/>
      <c r="K381" s="3"/>
      <c r="L381" s="3"/>
      <c r="M381" s="3"/>
    </row>
    <row r="382" spans="1:13" x14ac:dyDescent="0.2">
      <c r="A382" s="3">
        <v>379</v>
      </c>
      <c r="B382" s="3"/>
      <c r="C382" s="3" t="str">
        <f>IFERROR(VLOOKUP(B382,Sessions!A:J,2,FALSE),"")</f>
        <v/>
      </c>
      <c r="D382" s="3"/>
      <c r="E382" s="3" t="str">
        <f>IFERROR(VLOOKUP(D382,Employees!A:L,2,FALSE),"")</f>
        <v/>
      </c>
      <c r="F382" s="6"/>
      <c r="G382" s="6"/>
      <c r="H382" s="6" t="str">
        <f>IF(G382="","",G382)</f>
        <v/>
      </c>
      <c r="I382" s="3" t="str">
        <f>IF(H382="","",IF(H382&gt;=Setup!B7,"ناجح","إعادة تدريب"))</f>
        <v/>
      </c>
      <c r="J382" s="3"/>
      <c r="K382" s="3"/>
      <c r="L382" s="3"/>
      <c r="M382" s="3"/>
    </row>
    <row r="383" spans="1:13" x14ac:dyDescent="0.2">
      <c r="A383" s="3">
        <v>380</v>
      </c>
      <c r="B383" s="3"/>
      <c r="C383" s="3" t="str">
        <f>IFERROR(VLOOKUP(B383,Sessions!A:J,2,FALSE),"")</f>
        <v/>
      </c>
      <c r="D383" s="3"/>
      <c r="E383" s="3" t="str">
        <f>IFERROR(VLOOKUP(D383,Employees!A:L,2,FALSE),"")</f>
        <v/>
      </c>
      <c r="F383" s="6"/>
      <c r="G383" s="6"/>
      <c r="H383" s="6" t="str">
        <f>IF(G383="","",G383)</f>
        <v/>
      </c>
      <c r="I383" s="3" t="str">
        <f>IF(H383="","",IF(H383&gt;=Setup!B7,"ناجح","إعادة تدريب"))</f>
        <v/>
      </c>
      <c r="J383" s="3"/>
      <c r="K383" s="3"/>
      <c r="L383" s="3"/>
      <c r="M383" s="3"/>
    </row>
    <row r="384" spans="1:13" x14ac:dyDescent="0.2">
      <c r="A384" s="3">
        <v>381</v>
      </c>
      <c r="B384" s="3"/>
      <c r="C384" s="3" t="str">
        <f>IFERROR(VLOOKUP(B384,Sessions!A:J,2,FALSE),"")</f>
        <v/>
      </c>
      <c r="D384" s="3"/>
      <c r="E384" s="3" t="str">
        <f>IFERROR(VLOOKUP(D384,Employees!A:L,2,FALSE),"")</f>
        <v/>
      </c>
      <c r="F384" s="6"/>
      <c r="G384" s="6"/>
      <c r="H384" s="6" t="str">
        <f>IF(G384="","",G384)</f>
        <v/>
      </c>
      <c r="I384" s="3" t="str">
        <f>IF(H384="","",IF(H384&gt;=Setup!B7,"ناجح","إعادة تدريب"))</f>
        <v/>
      </c>
      <c r="J384" s="3"/>
      <c r="K384" s="3"/>
      <c r="L384" s="3"/>
      <c r="M384" s="3"/>
    </row>
    <row r="385" spans="1:13" x14ac:dyDescent="0.2">
      <c r="A385" s="3">
        <v>382</v>
      </c>
      <c r="B385" s="3"/>
      <c r="C385" s="3" t="str">
        <f>IFERROR(VLOOKUP(B385,Sessions!A:J,2,FALSE),"")</f>
        <v/>
      </c>
      <c r="D385" s="3"/>
      <c r="E385" s="3" t="str">
        <f>IFERROR(VLOOKUP(D385,Employees!A:L,2,FALSE),"")</f>
        <v/>
      </c>
      <c r="F385" s="6"/>
      <c r="G385" s="6"/>
      <c r="H385" s="6" t="str">
        <f>IF(G385="","",G385)</f>
        <v/>
      </c>
      <c r="I385" s="3" t="str">
        <f>IF(H385="","",IF(H385&gt;=Setup!B7,"ناجح","إعادة تدريب"))</f>
        <v/>
      </c>
      <c r="J385" s="3"/>
      <c r="K385" s="3"/>
      <c r="L385" s="3"/>
      <c r="M385" s="3"/>
    </row>
    <row r="386" spans="1:13" x14ac:dyDescent="0.2">
      <c r="A386" s="3">
        <v>383</v>
      </c>
      <c r="B386" s="3"/>
      <c r="C386" s="3" t="str">
        <f>IFERROR(VLOOKUP(B386,Sessions!A:J,2,FALSE),"")</f>
        <v/>
      </c>
      <c r="D386" s="3"/>
      <c r="E386" s="3" t="str">
        <f>IFERROR(VLOOKUP(D386,Employees!A:L,2,FALSE),"")</f>
        <v/>
      </c>
      <c r="F386" s="6"/>
      <c r="G386" s="6"/>
      <c r="H386" s="6" t="str">
        <f>IF(G386="","",G386)</f>
        <v/>
      </c>
      <c r="I386" s="3" t="str">
        <f>IF(H386="","",IF(H386&gt;=Setup!B7,"ناجح","إعادة تدريب"))</f>
        <v/>
      </c>
      <c r="J386" s="3"/>
      <c r="K386" s="3"/>
      <c r="L386" s="3"/>
      <c r="M386" s="3"/>
    </row>
    <row r="387" spans="1:13" x14ac:dyDescent="0.2">
      <c r="A387" s="3">
        <v>384</v>
      </c>
      <c r="B387" s="3"/>
      <c r="C387" s="3" t="str">
        <f>IFERROR(VLOOKUP(B387,Sessions!A:J,2,FALSE),"")</f>
        <v/>
      </c>
      <c r="D387" s="3"/>
      <c r="E387" s="3" t="str">
        <f>IFERROR(VLOOKUP(D387,Employees!A:L,2,FALSE),"")</f>
        <v/>
      </c>
      <c r="F387" s="6"/>
      <c r="G387" s="6"/>
      <c r="H387" s="6" t="str">
        <f>IF(G387="","",G387)</f>
        <v/>
      </c>
      <c r="I387" s="3" t="str">
        <f>IF(H387="","",IF(H387&gt;=Setup!B7,"ناجح","إعادة تدريب"))</f>
        <v/>
      </c>
      <c r="J387" s="3"/>
      <c r="K387" s="3"/>
      <c r="L387" s="3"/>
      <c r="M387" s="3"/>
    </row>
    <row r="388" spans="1:13" x14ac:dyDescent="0.2">
      <c r="A388" s="3">
        <v>385</v>
      </c>
      <c r="B388" s="3"/>
      <c r="C388" s="3" t="str">
        <f>IFERROR(VLOOKUP(B388,Sessions!A:J,2,FALSE),"")</f>
        <v/>
      </c>
      <c r="D388" s="3"/>
      <c r="E388" s="3" t="str">
        <f>IFERROR(VLOOKUP(D388,Employees!A:L,2,FALSE),"")</f>
        <v/>
      </c>
      <c r="F388" s="6"/>
      <c r="G388" s="6"/>
      <c r="H388" s="6" t="str">
        <f>IF(G388="","",G388)</f>
        <v/>
      </c>
      <c r="I388" s="3" t="str">
        <f>IF(H388="","",IF(H388&gt;=Setup!B7,"ناجح","إعادة تدريب"))</f>
        <v/>
      </c>
      <c r="J388" s="3"/>
      <c r="K388" s="3"/>
      <c r="L388" s="3"/>
      <c r="M388" s="3"/>
    </row>
    <row r="389" spans="1:13" x14ac:dyDescent="0.2">
      <c r="A389" s="3">
        <v>386</v>
      </c>
      <c r="B389" s="3"/>
      <c r="C389" s="3" t="str">
        <f>IFERROR(VLOOKUP(B389,Sessions!A:J,2,FALSE),"")</f>
        <v/>
      </c>
      <c r="D389" s="3"/>
      <c r="E389" s="3" t="str">
        <f>IFERROR(VLOOKUP(D389,Employees!A:L,2,FALSE),"")</f>
        <v/>
      </c>
      <c r="F389" s="6"/>
      <c r="G389" s="6"/>
      <c r="H389" s="6" t="str">
        <f>IF(G389="","",G389)</f>
        <v/>
      </c>
      <c r="I389" s="3" t="str">
        <f>IF(H389="","",IF(H389&gt;=Setup!B7,"ناجح","إعادة تدريب"))</f>
        <v/>
      </c>
      <c r="J389" s="3"/>
      <c r="K389" s="3"/>
      <c r="L389" s="3"/>
      <c r="M389" s="3"/>
    </row>
    <row r="390" spans="1:13" x14ac:dyDescent="0.2">
      <c r="A390" s="3">
        <v>387</v>
      </c>
      <c r="B390" s="3"/>
      <c r="C390" s="3" t="str">
        <f>IFERROR(VLOOKUP(B390,Sessions!A:J,2,FALSE),"")</f>
        <v/>
      </c>
      <c r="D390" s="3"/>
      <c r="E390" s="3" t="str">
        <f>IFERROR(VLOOKUP(D390,Employees!A:L,2,FALSE),"")</f>
        <v/>
      </c>
      <c r="F390" s="6"/>
      <c r="G390" s="6"/>
      <c r="H390" s="6" t="str">
        <f>IF(G390="","",G390)</f>
        <v/>
      </c>
      <c r="I390" s="3" t="str">
        <f>IF(H390="","",IF(H390&gt;=Setup!B7,"ناجح","إعادة تدريب"))</f>
        <v/>
      </c>
      <c r="J390" s="3"/>
      <c r="K390" s="3"/>
      <c r="L390" s="3"/>
      <c r="M390" s="3"/>
    </row>
    <row r="391" spans="1:13" x14ac:dyDescent="0.2">
      <c r="A391" s="3">
        <v>388</v>
      </c>
      <c r="B391" s="3"/>
      <c r="C391" s="3" t="str">
        <f>IFERROR(VLOOKUP(B391,Sessions!A:J,2,FALSE),"")</f>
        <v/>
      </c>
      <c r="D391" s="3"/>
      <c r="E391" s="3" t="str">
        <f>IFERROR(VLOOKUP(D391,Employees!A:L,2,FALSE),"")</f>
        <v/>
      </c>
      <c r="F391" s="6"/>
      <c r="G391" s="6"/>
      <c r="H391" s="6" t="str">
        <f>IF(G391="","",G391)</f>
        <v/>
      </c>
      <c r="I391" s="3" t="str">
        <f>IF(H391="","",IF(H391&gt;=Setup!B7,"ناجح","إعادة تدريب"))</f>
        <v/>
      </c>
      <c r="J391" s="3"/>
      <c r="K391" s="3"/>
      <c r="L391" s="3"/>
      <c r="M391" s="3"/>
    </row>
    <row r="392" spans="1:13" x14ac:dyDescent="0.2">
      <c r="A392" s="3">
        <v>389</v>
      </c>
      <c r="B392" s="3"/>
      <c r="C392" s="3" t="str">
        <f>IFERROR(VLOOKUP(B392,Sessions!A:J,2,FALSE),"")</f>
        <v/>
      </c>
      <c r="D392" s="3"/>
      <c r="E392" s="3" t="str">
        <f>IFERROR(VLOOKUP(D392,Employees!A:L,2,FALSE),"")</f>
        <v/>
      </c>
      <c r="F392" s="6"/>
      <c r="G392" s="6"/>
      <c r="H392" s="6" t="str">
        <f>IF(G392="","",G392)</f>
        <v/>
      </c>
      <c r="I392" s="3" t="str">
        <f>IF(H392="","",IF(H392&gt;=Setup!B7,"ناجح","إعادة تدريب"))</f>
        <v/>
      </c>
      <c r="J392" s="3"/>
      <c r="K392" s="3"/>
      <c r="L392" s="3"/>
      <c r="M392" s="3"/>
    </row>
    <row r="393" spans="1:13" x14ac:dyDescent="0.2">
      <c r="A393" s="3">
        <v>390</v>
      </c>
      <c r="B393" s="3"/>
      <c r="C393" s="3" t="str">
        <f>IFERROR(VLOOKUP(B393,Sessions!A:J,2,FALSE),"")</f>
        <v/>
      </c>
      <c r="D393" s="3"/>
      <c r="E393" s="3" t="str">
        <f>IFERROR(VLOOKUP(D393,Employees!A:L,2,FALSE),"")</f>
        <v/>
      </c>
      <c r="F393" s="6"/>
      <c r="G393" s="6"/>
      <c r="H393" s="6" t="str">
        <f>IF(G393="","",G393)</f>
        <v/>
      </c>
      <c r="I393" s="3" t="str">
        <f>IF(H393="","",IF(H393&gt;=Setup!B7,"ناجح","إعادة تدريب"))</f>
        <v/>
      </c>
      <c r="J393" s="3"/>
      <c r="K393" s="3"/>
      <c r="L393" s="3"/>
      <c r="M393" s="3"/>
    </row>
    <row r="394" spans="1:13" x14ac:dyDescent="0.2">
      <c r="A394" s="3">
        <v>391</v>
      </c>
      <c r="B394" s="3"/>
      <c r="C394" s="3" t="str">
        <f>IFERROR(VLOOKUP(B394,Sessions!A:J,2,FALSE),"")</f>
        <v/>
      </c>
      <c r="D394" s="3"/>
      <c r="E394" s="3" t="str">
        <f>IFERROR(VLOOKUP(D394,Employees!A:L,2,FALSE),"")</f>
        <v/>
      </c>
      <c r="F394" s="6"/>
      <c r="G394" s="6"/>
      <c r="H394" s="6" t="str">
        <f>IF(G394="","",G394)</f>
        <v/>
      </c>
      <c r="I394" s="3" t="str">
        <f>IF(H394="","",IF(H394&gt;=Setup!B7,"ناجح","إعادة تدريب"))</f>
        <v/>
      </c>
      <c r="J394" s="3"/>
      <c r="K394" s="3"/>
      <c r="L394" s="3"/>
      <c r="M394" s="3"/>
    </row>
    <row r="395" spans="1:13" x14ac:dyDescent="0.2">
      <c r="A395" s="3">
        <v>392</v>
      </c>
      <c r="B395" s="3"/>
      <c r="C395" s="3" t="str">
        <f>IFERROR(VLOOKUP(B395,Sessions!A:J,2,FALSE),"")</f>
        <v/>
      </c>
      <c r="D395" s="3"/>
      <c r="E395" s="3" t="str">
        <f>IFERROR(VLOOKUP(D395,Employees!A:L,2,FALSE),"")</f>
        <v/>
      </c>
      <c r="F395" s="6"/>
      <c r="G395" s="6"/>
      <c r="H395" s="6" t="str">
        <f>IF(G395="","",G395)</f>
        <v/>
      </c>
      <c r="I395" s="3" t="str">
        <f>IF(H395="","",IF(H395&gt;=Setup!B7,"ناجح","إعادة تدريب"))</f>
        <v/>
      </c>
      <c r="J395" s="3"/>
      <c r="K395" s="3"/>
      <c r="L395" s="3"/>
      <c r="M395" s="3"/>
    </row>
    <row r="396" spans="1:13" x14ac:dyDescent="0.2">
      <c r="A396" s="3">
        <v>393</v>
      </c>
      <c r="B396" s="3"/>
      <c r="C396" s="3" t="str">
        <f>IFERROR(VLOOKUP(B396,Sessions!A:J,2,FALSE),"")</f>
        <v/>
      </c>
      <c r="D396" s="3"/>
      <c r="E396" s="3" t="str">
        <f>IFERROR(VLOOKUP(D396,Employees!A:L,2,FALSE),"")</f>
        <v/>
      </c>
      <c r="F396" s="6"/>
      <c r="G396" s="6"/>
      <c r="H396" s="6" t="str">
        <f>IF(G396="","",G396)</f>
        <v/>
      </c>
      <c r="I396" s="3" t="str">
        <f>IF(H396="","",IF(H396&gt;=Setup!B7,"ناجح","إعادة تدريب"))</f>
        <v/>
      </c>
      <c r="J396" s="3"/>
      <c r="K396" s="3"/>
      <c r="L396" s="3"/>
      <c r="M396" s="3"/>
    </row>
    <row r="397" spans="1:13" x14ac:dyDescent="0.2">
      <c r="A397" s="3">
        <v>394</v>
      </c>
      <c r="B397" s="3"/>
      <c r="C397" s="3" t="str">
        <f>IFERROR(VLOOKUP(B397,Sessions!A:J,2,FALSE),"")</f>
        <v/>
      </c>
      <c r="D397" s="3"/>
      <c r="E397" s="3" t="str">
        <f>IFERROR(VLOOKUP(D397,Employees!A:L,2,FALSE),"")</f>
        <v/>
      </c>
      <c r="F397" s="6"/>
      <c r="G397" s="6"/>
      <c r="H397" s="6" t="str">
        <f>IF(G397="","",G397)</f>
        <v/>
      </c>
      <c r="I397" s="3" t="str">
        <f>IF(H397="","",IF(H397&gt;=Setup!B7,"ناجح","إعادة تدريب"))</f>
        <v/>
      </c>
      <c r="J397" s="3"/>
      <c r="K397" s="3"/>
      <c r="L397" s="3"/>
      <c r="M397" s="3"/>
    </row>
    <row r="398" spans="1:13" x14ac:dyDescent="0.2">
      <c r="A398" s="3">
        <v>395</v>
      </c>
      <c r="B398" s="3"/>
      <c r="C398" s="3" t="str">
        <f>IFERROR(VLOOKUP(B398,Sessions!A:J,2,FALSE),"")</f>
        <v/>
      </c>
      <c r="D398" s="3"/>
      <c r="E398" s="3" t="str">
        <f>IFERROR(VLOOKUP(D398,Employees!A:L,2,FALSE),"")</f>
        <v/>
      </c>
      <c r="F398" s="6"/>
      <c r="G398" s="6"/>
      <c r="H398" s="6" t="str">
        <f>IF(G398="","",G398)</f>
        <v/>
      </c>
      <c r="I398" s="3" t="str">
        <f>IF(H398="","",IF(H398&gt;=Setup!B7,"ناجح","إعادة تدريب"))</f>
        <v/>
      </c>
      <c r="J398" s="3"/>
      <c r="K398" s="3"/>
      <c r="L398" s="3"/>
      <c r="M398" s="3"/>
    </row>
    <row r="399" spans="1:13" x14ac:dyDescent="0.2">
      <c r="A399" s="3">
        <v>396</v>
      </c>
      <c r="B399" s="3"/>
      <c r="C399" s="3" t="str">
        <f>IFERROR(VLOOKUP(B399,Sessions!A:J,2,FALSE),"")</f>
        <v/>
      </c>
      <c r="D399" s="3"/>
      <c r="E399" s="3" t="str">
        <f>IFERROR(VLOOKUP(D399,Employees!A:L,2,FALSE),"")</f>
        <v/>
      </c>
      <c r="F399" s="6"/>
      <c r="G399" s="6"/>
      <c r="H399" s="6" t="str">
        <f>IF(G399="","",G399)</f>
        <v/>
      </c>
      <c r="I399" s="3" t="str">
        <f>IF(H399="","",IF(H399&gt;=Setup!B7,"ناجح","إعادة تدريب"))</f>
        <v/>
      </c>
      <c r="J399" s="3"/>
      <c r="K399" s="3"/>
      <c r="L399" s="3"/>
      <c r="M399" s="3"/>
    </row>
    <row r="400" spans="1:13" x14ac:dyDescent="0.2">
      <c r="A400" s="3">
        <v>397</v>
      </c>
      <c r="B400" s="3"/>
      <c r="C400" s="3" t="str">
        <f>IFERROR(VLOOKUP(B400,Sessions!A:J,2,FALSE),"")</f>
        <v/>
      </c>
      <c r="D400" s="3"/>
      <c r="E400" s="3" t="str">
        <f>IFERROR(VLOOKUP(D400,Employees!A:L,2,FALSE),"")</f>
        <v/>
      </c>
      <c r="F400" s="6"/>
      <c r="G400" s="6"/>
      <c r="H400" s="6" t="str">
        <f>IF(G400="","",G400)</f>
        <v/>
      </c>
      <c r="I400" s="3" t="str">
        <f>IF(H400="","",IF(H400&gt;=Setup!B7,"ناجح","إعادة تدريب"))</f>
        <v/>
      </c>
      <c r="J400" s="3"/>
      <c r="K400" s="3"/>
      <c r="L400" s="3"/>
      <c r="M400" s="3"/>
    </row>
    <row r="401" spans="1:13" x14ac:dyDescent="0.2">
      <c r="A401" s="3">
        <v>398</v>
      </c>
      <c r="B401" s="3"/>
      <c r="C401" s="3" t="str">
        <f>IFERROR(VLOOKUP(B401,Sessions!A:J,2,FALSE),"")</f>
        <v/>
      </c>
      <c r="D401" s="3"/>
      <c r="E401" s="3" t="str">
        <f>IFERROR(VLOOKUP(D401,Employees!A:L,2,FALSE),"")</f>
        <v/>
      </c>
      <c r="F401" s="6"/>
      <c r="G401" s="6"/>
      <c r="H401" s="6" t="str">
        <f>IF(G401="","",G401)</f>
        <v/>
      </c>
      <c r="I401" s="3" t="str">
        <f>IF(H401="","",IF(H401&gt;=Setup!B7,"ناجح","إعادة تدريب"))</f>
        <v/>
      </c>
      <c r="J401" s="3"/>
      <c r="K401" s="3"/>
      <c r="L401" s="3"/>
      <c r="M401" s="3"/>
    </row>
    <row r="402" spans="1:13" x14ac:dyDescent="0.2">
      <c r="A402" s="3">
        <v>399</v>
      </c>
      <c r="B402" s="3"/>
      <c r="C402" s="3" t="str">
        <f>IFERROR(VLOOKUP(B402,Sessions!A:J,2,FALSE),"")</f>
        <v/>
      </c>
      <c r="D402" s="3"/>
      <c r="E402" s="3" t="str">
        <f>IFERROR(VLOOKUP(D402,Employees!A:L,2,FALSE),"")</f>
        <v/>
      </c>
      <c r="F402" s="6"/>
      <c r="G402" s="6"/>
      <c r="H402" s="6" t="str">
        <f>IF(G402="","",G402)</f>
        <v/>
      </c>
      <c r="I402" s="3" t="str">
        <f>IF(H402="","",IF(H402&gt;=Setup!B7,"ناجح","إعادة تدريب"))</f>
        <v/>
      </c>
      <c r="J402" s="3"/>
      <c r="K402" s="3"/>
      <c r="L402" s="3"/>
      <c r="M402" s="3"/>
    </row>
    <row r="403" spans="1:13" x14ac:dyDescent="0.2">
      <c r="A403" s="3">
        <v>400</v>
      </c>
      <c r="B403" s="3"/>
      <c r="C403" s="3" t="str">
        <f>IFERROR(VLOOKUP(B403,Sessions!A:J,2,FALSE),"")</f>
        <v/>
      </c>
      <c r="D403" s="3"/>
      <c r="E403" s="3" t="str">
        <f>IFERROR(VLOOKUP(D403,Employees!A:L,2,FALSE),"")</f>
        <v/>
      </c>
      <c r="F403" s="6"/>
      <c r="G403" s="6"/>
      <c r="H403" s="6" t="str">
        <f>IF(G403="","",G403)</f>
        <v/>
      </c>
      <c r="I403" s="3" t="str">
        <f>IF(H403="","",IF(H403&gt;=Setup!B7,"ناجح","إعادة تدريب"))</f>
        <v/>
      </c>
      <c r="J403" s="3"/>
      <c r="K403" s="3"/>
      <c r="L403" s="3"/>
      <c r="M403" s="3"/>
    </row>
    <row r="404" spans="1:13" x14ac:dyDescent="0.2">
      <c r="A404" s="3">
        <v>401</v>
      </c>
      <c r="B404" s="3"/>
      <c r="C404" s="3" t="str">
        <f>IFERROR(VLOOKUP(B404,Sessions!A:J,2,FALSE),"")</f>
        <v/>
      </c>
      <c r="D404" s="3"/>
      <c r="E404" s="3" t="str">
        <f>IFERROR(VLOOKUP(D404,Employees!A:L,2,FALSE),"")</f>
        <v/>
      </c>
      <c r="F404" s="6"/>
      <c r="G404" s="6"/>
      <c r="H404" s="6" t="str">
        <f>IF(G404="","",G404)</f>
        <v/>
      </c>
      <c r="I404" s="3" t="str">
        <f>IF(H404="","",IF(H404&gt;=Setup!B7,"ناجح","إعادة تدريب"))</f>
        <v/>
      </c>
      <c r="J404" s="3"/>
      <c r="K404" s="3"/>
      <c r="L404" s="3"/>
      <c r="M404" s="3"/>
    </row>
    <row r="405" spans="1:13" x14ac:dyDescent="0.2">
      <c r="A405" s="3">
        <v>402</v>
      </c>
      <c r="B405" s="3"/>
      <c r="C405" s="3" t="str">
        <f>IFERROR(VLOOKUP(B405,Sessions!A:J,2,FALSE),"")</f>
        <v/>
      </c>
      <c r="D405" s="3"/>
      <c r="E405" s="3" t="str">
        <f>IFERROR(VLOOKUP(D405,Employees!A:L,2,FALSE),"")</f>
        <v/>
      </c>
      <c r="F405" s="6"/>
      <c r="G405" s="6"/>
      <c r="H405" s="6" t="str">
        <f>IF(G405="","",G405)</f>
        <v/>
      </c>
      <c r="I405" s="3" t="str">
        <f>IF(H405="","",IF(H405&gt;=Setup!B7,"ناجح","إعادة تدريب"))</f>
        <v/>
      </c>
      <c r="J405" s="3"/>
      <c r="K405" s="3"/>
      <c r="L405" s="3"/>
      <c r="M405" s="3"/>
    </row>
    <row r="406" spans="1:13" x14ac:dyDescent="0.2">
      <c r="A406" s="3">
        <v>403</v>
      </c>
      <c r="B406" s="3"/>
      <c r="C406" s="3" t="str">
        <f>IFERROR(VLOOKUP(B406,Sessions!A:J,2,FALSE),"")</f>
        <v/>
      </c>
      <c r="D406" s="3"/>
      <c r="E406" s="3" t="str">
        <f>IFERROR(VLOOKUP(D406,Employees!A:L,2,FALSE),"")</f>
        <v/>
      </c>
      <c r="F406" s="6"/>
      <c r="G406" s="6"/>
      <c r="H406" s="6" t="str">
        <f>IF(G406="","",G406)</f>
        <v/>
      </c>
      <c r="I406" s="3" t="str">
        <f>IF(H406="","",IF(H406&gt;=Setup!B7,"ناجح","إعادة تدريب"))</f>
        <v/>
      </c>
      <c r="J406" s="3"/>
      <c r="K406" s="3"/>
      <c r="L406" s="3"/>
      <c r="M406" s="3"/>
    </row>
    <row r="407" spans="1:13" x14ac:dyDescent="0.2">
      <c r="A407" s="3">
        <v>404</v>
      </c>
      <c r="B407" s="3"/>
      <c r="C407" s="3" t="str">
        <f>IFERROR(VLOOKUP(B407,Sessions!A:J,2,FALSE),"")</f>
        <v/>
      </c>
      <c r="D407" s="3"/>
      <c r="E407" s="3" t="str">
        <f>IFERROR(VLOOKUP(D407,Employees!A:L,2,FALSE),"")</f>
        <v/>
      </c>
      <c r="F407" s="6"/>
      <c r="G407" s="6"/>
      <c r="H407" s="6" t="str">
        <f>IF(G407="","",G407)</f>
        <v/>
      </c>
      <c r="I407" s="3" t="str">
        <f>IF(H407="","",IF(H407&gt;=Setup!B7,"ناجح","إعادة تدريب"))</f>
        <v/>
      </c>
      <c r="J407" s="3"/>
      <c r="K407" s="3"/>
      <c r="L407" s="3"/>
      <c r="M407" s="3"/>
    </row>
    <row r="408" spans="1:13" x14ac:dyDescent="0.2">
      <c r="A408" s="3">
        <v>405</v>
      </c>
      <c r="B408" s="3"/>
      <c r="C408" s="3" t="str">
        <f>IFERROR(VLOOKUP(B408,Sessions!A:J,2,FALSE),"")</f>
        <v/>
      </c>
      <c r="D408" s="3"/>
      <c r="E408" s="3" t="str">
        <f>IFERROR(VLOOKUP(D408,Employees!A:L,2,FALSE),"")</f>
        <v/>
      </c>
      <c r="F408" s="6"/>
      <c r="G408" s="6"/>
      <c r="H408" s="6" t="str">
        <f>IF(G408="","",G408)</f>
        <v/>
      </c>
      <c r="I408" s="3" t="str">
        <f>IF(H408="","",IF(H408&gt;=Setup!B7,"ناجح","إعادة تدريب"))</f>
        <v/>
      </c>
      <c r="J408" s="3"/>
      <c r="K408" s="3"/>
      <c r="L408" s="3"/>
      <c r="M408" s="3"/>
    </row>
    <row r="409" spans="1:13" x14ac:dyDescent="0.2">
      <c r="A409" s="3">
        <v>406</v>
      </c>
      <c r="B409" s="3"/>
      <c r="C409" s="3" t="str">
        <f>IFERROR(VLOOKUP(B409,Sessions!A:J,2,FALSE),"")</f>
        <v/>
      </c>
      <c r="D409" s="3"/>
      <c r="E409" s="3" t="str">
        <f>IFERROR(VLOOKUP(D409,Employees!A:L,2,FALSE),"")</f>
        <v/>
      </c>
      <c r="F409" s="6"/>
      <c r="G409" s="6"/>
      <c r="H409" s="6" t="str">
        <f>IF(G409="","",G409)</f>
        <v/>
      </c>
      <c r="I409" s="3" t="str">
        <f>IF(H409="","",IF(H409&gt;=Setup!B7,"ناجح","إعادة تدريب"))</f>
        <v/>
      </c>
      <c r="J409" s="3"/>
      <c r="K409" s="3"/>
      <c r="L409" s="3"/>
      <c r="M409" s="3"/>
    </row>
    <row r="410" spans="1:13" x14ac:dyDescent="0.2">
      <c r="A410" s="3">
        <v>407</v>
      </c>
      <c r="B410" s="3"/>
      <c r="C410" s="3" t="str">
        <f>IFERROR(VLOOKUP(B410,Sessions!A:J,2,FALSE),"")</f>
        <v/>
      </c>
      <c r="D410" s="3"/>
      <c r="E410" s="3" t="str">
        <f>IFERROR(VLOOKUP(D410,Employees!A:L,2,FALSE),"")</f>
        <v/>
      </c>
      <c r="F410" s="6"/>
      <c r="G410" s="6"/>
      <c r="H410" s="6" t="str">
        <f>IF(G410="","",G410)</f>
        <v/>
      </c>
      <c r="I410" s="3" t="str">
        <f>IF(H410="","",IF(H410&gt;=Setup!B7,"ناجح","إعادة تدريب"))</f>
        <v/>
      </c>
      <c r="J410" s="3"/>
      <c r="K410" s="3"/>
      <c r="L410" s="3"/>
      <c r="M410" s="3"/>
    </row>
    <row r="411" spans="1:13" x14ac:dyDescent="0.2">
      <c r="A411" s="3">
        <v>408</v>
      </c>
      <c r="B411" s="3"/>
      <c r="C411" s="3" t="str">
        <f>IFERROR(VLOOKUP(B411,Sessions!A:J,2,FALSE),"")</f>
        <v/>
      </c>
      <c r="D411" s="3"/>
      <c r="E411" s="3" t="str">
        <f>IFERROR(VLOOKUP(D411,Employees!A:L,2,FALSE),"")</f>
        <v/>
      </c>
      <c r="F411" s="6"/>
      <c r="G411" s="6"/>
      <c r="H411" s="6" t="str">
        <f>IF(G411="","",G411)</f>
        <v/>
      </c>
      <c r="I411" s="3" t="str">
        <f>IF(H411="","",IF(H411&gt;=Setup!B7,"ناجح","إعادة تدريب"))</f>
        <v/>
      </c>
      <c r="J411" s="3"/>
      <c r="K411" s="3"/>
      <c r="L411" s="3"/>
      <c r="M411" s="3"/>
    </row>
    <row r="412" spans="1:13" x14ac:dyDescent="0.2">
      <c r="A412" s="3">
        <v>409</v>
      </c>
      <c r="B412" s="3"/>
      <c r="C412" s="3" t="str">
        <f>IFERROR(VLOOKUP(B412,Sessions!A:J,2,FALSE),"")</f>
        <v/>
      </c>
      <c r="D412" s="3"/>
      <c r="E412" s="3" t="str">
        <f>IFERROR(VLOOKUP(D412,Employees!A:L,2,FALSE),"")</f>
        <v/>
      </c>
      <c r="F412" s="6"/>
      <c r="G412" s="6"/>
      <c r="H412" s="6" t="str">
        <f>IF(G412="","",G412)</f>
        <v/>
      </c>
      <c r="I412" s="3" t="str">
        <f>IF(H412="","",IF(H412&gt;=Setup!B7,"ناجح","إعادة تدريب"))</f>
        <v/>
      </c>
      <c r="J412" s="3"/>
      <c r="K412" s="3"/>
      <c r="L412" s="3"/>
      <c r="M412" s="3"/>
    </row>
    <row r="413" spans="1:13" x14ac:dyDescent="0.2">
      <c r="A413" s="3">
        <v>410</v>
      </c>
      <c r="B413" s="3"/>
      <c r="C413" s="3" t="str">
        <f>IFERROR(VLOOKUP(B413,Sessions!A:J,2,FALSE),"")</f>
        <v/>
      </c>
      <c r="D413" s="3"/>
      <c r="E413" s="3" t="str">
        <f>IFERROR(VLOOKUP(D413,Employees!A:L,2,FALSE),"")</f>
        <v/>
      </c>
      <c r="F413" s="6"/>
      <c r="G413" s="6"/>
      <c r="H413" s="6" t="str">
        <f>IF(G413="","",G413)</f>
        <v/>
      </c>
      <c r="I413" s="3" t="str">
        <f>IF(H413="","",IF(H413&gt;=Setup!B7,"ناجح","إعادة تدريب"))</f>
        <v/>
      </c>
      <c r="J413" s="3"/>
      <c r="K413" s="3"/>
      <c r="L413" s="3"/>
      <c r="M413" s="3"/>
    </row>
    <row r="414" spans="1:13" x14ac:dyDescent="0.2">
      <c r="A414" s="3">
        <v>411</v>
      </c>
      <c r="B414" s="3"/>
      <c r="C414" s="3" t="str">
        <f>IFERROR(VLOOKUP(B414,Sessions!A:J,2,FALSE),"")</f>
        <v/>
      </c>
      <c r="D414" s="3"/>
      <c r="E414" s="3" t="str">
        <f>IFERROR(VLOOKUP(D414,Employees!A:L,2,FALSE),"")</f>
        <v/>
      </c>
      <c r="F414" s="6"/>
      <c r="G414" s="6"/>
      <c r="H414" s="6" t="str">
        <f>IF(G414="","",G414)</f>
        <v/>
      </c>
      <c r="I414" s="3" t="str">
        <f>IF(H414="","",IF(H414&gt;=Setup!B7,"ناجح","إعادة تدريب"))</f>
        <v/>
      </c>
      <c r="J414" s="3"/>
      <c r="K414" s="3"/>
      <c r="L414" s="3"/>
      <c r="M414" s="3"/>
    </row>
    <row r="415" spans="1:13" x14ac:dyDescent="0.2">
      <c r="A415" s="3">
        <v>412</v>
      </c>
      <c r="B415" s="3"/>
      <c r="C415" s="3" t="str">
        <f>IFERROR(VLOOKUP(B415,Sessions!A:J,2,FALSE),"")</f>
        <v/>
      </c>
      <c r="D415" s="3"/>
      <c r="E415" s="3" t="str">
        <f>IFERROR(VLOOKUP(D415,Employees!A:L,2,FALSE),"")</f>
        <v/>
      </c>
      <c r="F415" s="6"/>
      <c r="G415" s="6"/>
      <c r="H415" s="6" t="str">
        <f>IF(G415="","",G415)</f>
        <v/>
      </c>
      <c r="I415" s="3" t="str">
        <f>IF(H415="","",IF(H415&gt;=Setup!B7,"ناجح","إعادة تدريب"))</f>
        <v/>
      </c>
      <c r="J415" s="3"/>
      <c r="K415" s="3"/>
      <c r="L415" s="3"/>
      <c r="M415" s="3"/>
    </row>
    <row r="416" spans="1:13" x14ac:dyDescent="0.2">
      <c r="A416" s="3">
        <v>413</v>
      </c>
      <c r="B416" s="3"/>
      <c r="C416" s="3" t="str">
        <f>IFERROR(VLOOKUP(B416,Sessions!A:J,2,FALSE),"")</f>
        <v/>
      </c>
      <c r="D416" s="3"/>
      <c r="E416" s="3" t="str">
        <f>IFERROR(VLOOKUP(D416,Employees!A:L,2,FALSE),"")</f>
        <v/>
      </c>
      <c r="F416" s="6"/>
      <c r="G416" s="6"/>
      <c r="H416" s="6" t="str">
        <f>IF(G416="","",G416)</f>
        <v/>
      </c>
      <c r="I416" s="3" t="str">
        <f>IF(H416="","",IF(H416&gt;=Setup!B7,"ناجح","إعادة تدريب"))</f>
        <v/>
      </c>
      <c r="J416" s="3"/>
      <c r="K416" s="3"/>
      <c r="L416" s="3"/>
      <c r="M416" s="3"/>
    </row>
    <row r="417" spans="1:13" x14ac:dyDescent="0.2">
      <c r="A417" s="3">
        <v>414</v>
      </c>
      <c r="B417" s="3"/>
      <c r="C417" s="3" t="str">
        <f>IFERROR(VLOOKUP(B417,Sessions!A:J,2,FALSE),"")</f>
        <v/>
      </c>
      <c r="D417" s="3"/>
      <c r="E417" s="3" t="str">
        <f>IFERROR(VLOOKUP(D417,Employees!A:L,2,FALSE),"")</f>
        <v/>
      </c>
      <c r="F417" s="6"/>
      <c r="G417" s="6"/>
      <c r="H417" s="6" t="str">
        <f>IF(G417="","",G417)</f>
        <v/>
      </c>
      <c r="I417" s="3" t="str">
        <f>IF(H417="","",IF(H417&gt;=Setup!B7,"ناجح","إعادة تدريب"))</f>
        <v/>
      </c>
      <c r="J417" s="3"/>
      <c r="K417" s="3"/>
      <c r="L417" s="3"/>
      <c r="M417" s="3"/>
    </row>
    <row r="418" spans="1:13" x14ac:dyDescent="0.2">
      <c r="A418" s="3">
        <v>415</v>
      </c>
      <c r="B418" s="3"/>
      <c r="C418" s="3" t="str">
        <f>IFERROR(VLOOKUP(B418,Sessions!A:J,2,FALSE),"")</f>
        <v/>
      </c>
      <c r="D418" s="3"/>
      <c r="E418" s="3" t="str">
        <f>IFERROR(VLOOKUP(D418,Employees!A:L,2,FALSE),"")</f>
        <v/>
      </c>
      <c r="F418" s="6"/>
      <c r="G418" s="6"/>
      <c r="H418" s="6" t="str">
        <f>IF(G418="","",G418)</f>
        <v/>
      </c>
      <c r="I418" s="3" t="str">
        <f>IF(H418="","",IF(H418&gt;=Setup!B7,"ناجح","إعادة تدريب"))</f>
        <v/>
      </c>
      <c r="J418" s="3"/>
      <c r="K418" s="3"/>
      <c r="L418" s="3"/>
      <c r="M418" s="3"/>
    </row>
    <row r="419" spans="1:13" x14ac:dyDescent="0.2">
      <c r="A419" s="3">
        <v>416</v>
      </c>
      <c r="B419" s="3"/>
      <c r="C419" s="3" t="str">
        <f>IFERROR(VLOOKUP(B419,Sessions!A:J,2,FALSE),"")</f>
        <v/>
      </c>
      <c r="D419" s="3"/>
      <c r="E419" s="3" t="str">
        <f>IFERROR(VLOOKUP(D419,Employees!A:L,2,FALSE),"")</f>
        <v/>
      </c>
      <c r="F419" s="6"/>
      <c r="G419" s="6"/>
      <c r="H419" s="6" t="str">
        <f>IF(G419="","",G419)</f>
        <v/>
      </c>
      <c r="I419" s="3" t="str">
        <f>IF(H419="","",IF(H419&gt;=Setup!B7,"ناجح","إعادة تدريب"))</f>
        <v/>
      </c>
      <c r="J419" s="3"/>
      <c r="K419" s="3"/>
      <c r="L419" s="3"/>
      <c r="M419" s="3"/>
    </row>
    <row r="420" spans="1:13" x14ac:dyDescent="0.2">
      <c r="A420" s="3">
        <v>417</v>
      </c>
      <c r="B420" s="3"/>
      <c r="C420" s="3" t="str">
        <f>IFERROR(VLOOKUP(B420,Sessions!A:J,2,FALSE),"")</f>
        <v/>
      </c>
      <c r="D420" s="3"/>
      <c r="E420" s="3" t="str">
        <f>IFERROR(VLOOKUP(D420,Employees!A:L,2,FALSE),"")</f>
        <v/>
      </c>
      <c r="F420" s="6"/>
      <c r="G420" s="6"/>
      <c r="H420" s="6" t="str">
        <f>IF(G420="","",G420)</f>
        <v/>
      </c>
      <c r="I420" s="3" t="str">
        <f>IF(H420="","",IF(H420&gt;=Setup!B7,"ناجح","إعادة تدريب"))</f>
        <v/>
      </c>
      <c r="J420" s="3"/>
      <c r="K420" s="3"/>
      <c r="L420" s="3"/>
      <c r="M420" s="3"/>
    </row>
    <row r="421" spans="1:13" x14ac:dyDescent="0.2">
      <c r="A421" s="3">
        <v>418</v>
      </c>
      <c r="B421" s="3"/>
      <c r="C421" s="3" t="str">
        <f>IFERROR(VLOOKUP(B421,Sessions!A:J,2,FALSE),"")</f>
        <v/>
      </c>
      <c r="D421" s="3"/>
      <c r="E421" s="3" t="str">
        <f>IFERROR(VLOOKUP(D421,Employees!A:L,2,FALSE),"")</f>
        <v/>
      </c>
      <c r="F421" s="6"/>
      <c r="G421" s="6"/>
      <c r="H421" s="6" t="str">
        <f>IF(G421="","",G421)</f>
        <v/>
      </c>
      <c r="I421" s="3" t="str">
        <f>IF(H421="","",IF(H421&gt;=Setup!B7,"ناجح","إعادة تدريب"))</f>
        <v/>
      </c>
      <c r="J421" s="3"/>
      <c r="K421" s="3"/>
      <c r="L421" s="3"/>
      <c r="M421" s="3"/>
    </row>
    <row r="422" spans="1:13" x14ac:dyDescent="0.2">
      <c r="A422" s="3">
        <v>419</v>
      </c>
      <c r="B422" s="3"/>
      <c r="C422" s="3" t="str">
        <f>IFERROR(VLOOKUP(B422,Sessions!A:J,2,FALSE),"")</f>
        <v/>
      </c>
      <c r="D422" s="3"/>
      <c r="E422" s="3" t="str">
        <f>IFERROR(VLOOKUP(D422,Employees!A:L,2,FALSE),"")</f>
        <v/>
      </c>
      <c r="F422" s="6"/>
      <c r="G422" s="6"/>
      <c r="H422" s="6" t="str">
        <f>IF(G422="","",G422)</f>
        <v/>
      </c>
      <c r="I422" s="3" t="str">
        <f>IF(H422="","",IF(H422&gt;=Setup!B7,"ناجح","إعادة تدريب"))</f>
        <v/>
      </c>
      <c r="J422" s="3"/>
      <c r="K422" s="3"/>
      <c r="L422" s="3"/>
      <c r="M422" s="3"/>
    </row>
    <row r="423" spans="1:13" x14ac:dyDescent="0.2">
      <c r="A423" s="3">
        <v>420</v>
      </c>
      <c r="B423" s="3"/>
      <c r="C423" s="3" t="str">
        <f>IFERROR(VLOOKUP(B423,Sessions!A:J,2,FALSE),"")</f>
        <v/>
      </c>
      <c r="D423" s="3"/>
      <c r="E423" s="3" t="str">
        <f>IFERROR(VLOOKUP(D423,Employees!A:L,2,FALSE),"")</f>
        <v/>
      </c>
      <c r="F423" s="6"/>
      <c r="G423" s="6"/>
      <c r="H423" s="6" t="str">
        <f>IF(G423="","",G423)</f>
        <v/>
      </c>
      <c r="I423" s="3" t="str">
        <f>IF(H423="","",IF(H423&gt;=Setup!B7,"ناجح","إعادة تدريب"))</f>
        <v/>
      </c>
      <c r="J423" s="3"/>
      <c r="K423" s="3"/>
      <c r="L423" s="3"/>
      <c r="M423" s="3"/>
    </row>
    <row r="424" spans="1:13" x14ac:dyDescent="0.2">
      <c r="A424" s="3">
        <v>421</v>
      </c>
      <c r="B424" s="3"/>
      <c r="C424" s="3" t="str">
        <f>IFERROR(VLOOKUP(B424,Sessions!A:J,2,FALSE),"")</f>
        <v/>
      </c>
      <c r="D424" s="3"/>
      <c r="E424" s="3" t="str">
        <f>IFERROR(VLOOKUP(D424,Employees!A:L,2,FALSE),"")</f>
        <v/>
      </c>
      <c r="F424" s="6"/>
      <c r="G424" s="6"/>
      <c r="H424" s="6" t="str">
        <f>IF(G424="","",G424)</f>
        <v/>
      </c>
      <c r="I424" s="3" t="str">
        <f>IF(H424="","",IF(H424&gt;=Setup!B7,"ناجح","إعادة تدريب"))</f>
        <v/>
      </c>
      <c r="J424" s="3"/>
      <c r="K424" s="3"/>
      <c r="L424" s="3"/>
      <c r="M424" s="3"/>
    </row>
    <row r="425" spans="1:13" x14ac:dyDescent="0.2">
      <c r="A425" s="3">
        <v>422</v>
      </c>
      <c r="B425" s="3"/>
      <c r="C425" s="3" t="str">
        <f>IFERROR(VLOOKUP(B425,Sessions!A:J,2,FALSE),"")</f>
        <v/>
      </c>
      <c r="D425" s="3"/>
      <c r="E425" s="3" t="str">
        <f>IFERROR(VLOOKUP(D425,Employees!A:L,2,FALSE),"")</f>
        <v/>
      </c>
      <c r="F425" s="6"/>
      <c r="G425" s="6"/>
      <c r="H425" s="6" t="str">
        <f>IF(G425="","",G425)</f>
        <v/>
      </c>
      <c r="I425" s="3" t="str">
        <f>IF(H425="","",IF(H425&gt;=Setup!B7,"ناجح","إعادة تدريب"))</f>
        <v/>
      </c>
      <c r="J425" s="3"/>
      <c r="K425" s="3"/>
      <c r="L425" s="3"/>
      <c r="M425" s="3"/>
    </row>
    <row r="426" spans="1:13" x14ac:dyDescent="0.2">
      <c r="A426" s="3">
        <v>423</v>
      </c>
      <c r="B426" s="3"/>
      <c r="C426" s="3" t="str">
        <f>IFERROR(VLOOKUP(B426,Sessions!A:J,2,FALSE),"")</f>
        <v/>
      </c>
      <c r="D426" s="3"/>
      <c r="E426" s="3" t="str">
        <f>IFERROR(VLOOKUP(D426,Employees!A:L,2,FALSE),"")</f>
        <v/>
      </c>
      <c r="F426" s="6"/>
      <c r="G426" s="6"/>
      <c r="H426" s="6" t="str">
        <f>IF(G426="","",G426)</f>
        <v/>
      </c>
      <c r="I426" s="3" t="str">
        <f>IF(H426="","",IF(H426&gt;=Setup!B7,"ناجح","إعادة تدريب"))</f>
        <v/>
      </c>
      <c r="J426" s="3"/>
      <c r="K426" s="3"/>
      <c r="L426" s="3"/>
      <c r="M426" s="3"/>
    </row>
    <row r="427" spans="1:13" x14ac:dyDescent="0.2">
      <c r="A427" s="3">
        <v>424</v>
      </c>
      <c r="B427" s="3"/>
      <c r="C427" s="3" t="str">
        <f>IFERROR(VLOOKUP(B427,Sessions!A:J,2,FALSE),"")</f>
        <v/>
      </c>
      <c r="D427" s="3"/>
      <c r="E427" s="3" t="str">
        <f>IFERROR(VLOOKUP(D427,Employees!A:L,2,FALSE),"")</f>
        <v/>
      </c>
      <c r="F427" s="6"/>
      <c r="G427" s="6"/>
      <c r="H427" s="6" t="str">
        <f>IF(G427="","",G427)</f>
        <v/>
      </c>
      <c r="I427" s="3" t="str">
        <f>IF(H427="","",IF(H427&gt;=Setup!B7,"ناجح","إعادة تدريب"))</f>
        <v/>
      </c>
      <c r="J427" s="3"/>
      <c r="K427" s="3"/>
      <c r="L427" s="3"/>
      <c r="M427" s="3"/>
    </row>
    <row r="428" spans="1:13" x14ac:dyDescent="0.2">
      <c r="A428" s="3">
        <v>425</v>
      </c>
      <c r="B428" s="3"/>
      <c r="C428" s="3" t="str">
        <f>IFERROR(VLOOKUP(B428,Sessions!A:J,2,FALSE),"")</f>
        <v/>
      </c>
      <c r="D428" s="3"/>
      <c r="E428" s="3" t="str">
        <f>IFERROR(VLOOKUP(D428,Employees!A:L,2,FALSE),"")</f>
        <v/>
      </c>
      <c r="F428" s="6"/>
      <c r="G428" s="6"/>
      <c r="H428" s="6" t="str">
        <f>IF(G428="","",G428)</f>
        <v/>
      </c>
      <c r="I428" s="3" t="str">
        <f>IF(H428="","",IF(H428&gt;=Setup!B7,"ناجح","إعادة تدريب"))</f>
        <v/>
      </c>
      <c r="J428" s="3"/>
      <c r="K428" s="3"/>
      <c r="L428" s="3"/>
      <c r="M428" s="3"/>
    </row>
    <row r="429" spans="1:13" x14ac:dyDescent="0.2">
      <c r="A429" s="3">
        <v>426</v>
      </c>
      <c r="B429" s="3"/>
      <c r="C429" s="3" t="str">
        <f>IFERROR(VLOOKUP(B429,Sessions!A:J,2,FALSE),"")</f>
        <v/>
      </c>
      <c r="D429" s="3"/>
      <c r="E429" s="3" t="str">
        <f>IFERROR(VLOOKUP(D429,Employees!A:L,2,FALSE),"")</f>
        <v/>
      </c>
      <c r="F429" s="6"/>
      <c r="G429" s="6"/>
      <c r="H429" s="6" t="str">
        <f>IF(G429="","",G429)</f>
        <v/>
      </c>
      <c r="I429" s="3" t="str">
        <f>IF(H429="","",IF(H429&gt;=Setup!B7,"ناجح","إعادة تدريب"))</f>
        <v/>
      </c>
      <c r="J429" s="3"/>
      <c r="K429" s="3"/>
      <c r="L429" s="3"/>
      <c r="M429" s="3"/>
    </row>
    <row r="430" spans="1:13" x14ac:dyDescent="0.2">
      <c r="A430" s="3">
        <v>427</v>
      </c>
      <c r="B430" s="3"/>
      <c r="C430" s="3" t="str">
        <f>IFERROR(VLOOKUP(B430,Sessions!A:J,2,FALSE),"")</f>
        <v/>
      </c>
      <c r="D430" s="3"/>
      <c r="E430" s="3" t="str">
        <f>IFERROR(VLOOKUP(D430,Employees!A:L,2,FALSE),"")</f>
        <v/>
      </c>
      <c r="F430" s="6"/>
      <c r="G430" s="6"/>
      <c r="H430" s="6" t="str">
        <f>IF(G430="","",G430)</f>
        <v/>
      </c>
      <c r="I430" s="3" t="str">
        <f>IF(H430="","",IF(H430&gt;=Setup!B7,"ناجح","إعادة تدريب"))</f>
        <v/>
      </c>
      <c r="J430" s="3"/>
      <c r="K430" s="3"/>
      <c r="L430" s="3"/>
      <c r="M430" s="3"/>
    </row>
    <row r="431" spans="1:13" x14ac:dyDescent="0.2">
      <c r="A431" s="3">
        <v>428</v>
      </c>
      <c r="B431" s="3"/>
      <c r="C431" s="3" t="str">
        <f>IFERROR(VLOOKUP(B431,Sessions!A:J,2,FALSE),"")</f>
        <v/>
      </c>
      <c r="D431" s="3"/>
      <c r="E431" s="3" t="str">
        <f>IFERROR(VLOOKUP(D431,Employees!A:L,2,FALSE),"")</f>
        <v/>
      </c>
      <c r="F431" s="6"/>
      <c r="G431" s="6"/>
      <c r="H431" s="6" t="str">
        <f>IF(G431="","",G431)</f>
        <v/>
      </c>
      <c r="I431" s="3" t="str">
        <f>IF(H431="","",IF(H431&gt;=Setup!B7,"ناجح","إعادة تدريب"))</f>
        <v/>
      </c>
      <c r="J431" s="3"/>
      <c r="K431" s="3"/>
      <c r="L431" s="3"/>
      <c r="M431" s="3"/>
    </row>
    <row r="432" spans="1:13" x14ac:dyDescent="0.2">
      <c r="A432" s="3">
        <v>429</v>
      </c>
      <c r="B432" s="3"/>
      <c r="C432" s="3" t="str">
        <f>IFERROR(VLOOKUP(B432,Sessions!A:J,2,FALSE),"")</f>
        <v/>
      </c>
      <c r="D432" s="3"/>
      <c r="E432" s="3" t="str">
        <f>IFERROR(VLOOKUP(D432,Employees!A:L,2,FALSE),"")</f>
        <v/>
      </c>
      <c r="F432" s="6"/>
      <c r="G432" s="6"/>
      <c r="H432" s="6" t="str">
        <f>IF(G432="","",G432)</f>
        <v/>
      </c>
      <c r="I432" s="3" t="str">
        <f>IF(H432="","",IF(H432&gt;=Setup!B7,"ناجح","إعادة تدريب"))</f>
        <v/>
      </c>
      <c r="J432" s="3"/>
      <c r="K432" s="3"/>
      <c r="L432" s="3"/>
      <c r="M432" s="3"/>
    </row>
    <row r="433" spans="1:13" x14ac:dyDescent="0.2">
      <c r="A433" s="3">
        <v>430</v>
      </c>
      <c r="B433" s="3"/>
      <c r="C433" s="3" t="str">
        <f>IFERROR(VLOOKUP(B433,Sessions!A:J,2,FALSE),"")</f>
        <v/>
      </c>
      <c r="D433" s="3"/>
      <c r="E433" s="3" t="str">
        <f>IFERROR(VLOOKUP(D433,Employees!A:L,2,FALSE),"")</f>
        <v/>
      </c>
      <c r="F433" s="6"/>
      <c r="G433" s="6"/>
      <c r="H433" s="6" t="str">
        <f>IF(G433="","",G433)</f>
        <v/>
      </c>
      <c r="I433" s="3" t="str">
        <f>IF(H433="","",IF(H433&gt;=Setup!B7,"ناجح","إعادة تدريب"))</f>
        <v/>
      </c>
      <c r="J433" s="3"/>
      <c r="K433" s="3"/>
      <c r="L433" s="3"/>
      <c r="M433" s="3"/>
    </row>
    <row r="434" spans="1:13" x14ac:dyDescent="0.2">
      <c r="A434" s="3">
        <v>431</v>
      </c>
      <c r="B434" s="3"/>
      <c r="C434" s="3" t="str">
        <f>IFERROR(VLOOKUP(B434,Sessions!A:J,2,FALSE),"")</f>
        <v/>
      </c>
      <c r="D434" s="3"/>
      <c r="E434" s="3" t="str">
        <f>IFERROR(VLOOKUP(D434,Employees!A:L,2,FALSE),"")</f>
        <v/>
      </c>
      <c r="F434" s="6"/>
      <c r="G434" s="6"/>
      <c r="H434" s="6" t="str">
        <f>IF(G434="","",G434)</f>
        <v/>
      </c>
      <c r="I434" s="3" t="str">
        <f>IF(H434="","",IF(H434&gt;=Setup!B7,"ناجح","إعادة تدريب"))</f>
        <v/>
      </c>
      <c r="J434" s="3"/>
      <c r="K434" s="3"/>
      <c r="L434" s="3"/>
      <c r="M434" s="3"/>
    </row>
    <row r="435" spans="1:13" x14ac:dyDescent="0.2">
      <c r="A435" s="3">
        <v>432</v>
      </c>
      <c r="B435" s="3"/>
      <c r="C435" s="3" t="str">
        <f>IFERROR(VLOOKUP(B435,Sessions!A:J,2,FALSE),"")</f>
        <v/>
      </c>
      <c r="D435" s="3"/>
      <c r="E435" s="3" t="str">
        <f>IFERROR(VLOOKUP(D435,Employees!A:L,2,FALSE),"")</f>
        <v/>
      </c>
      <c r="F435" s="6"/>
      <c r="G435" s="6"/>
      <c r="H435" s="6" t="str">
        <f>IF(G435="","",G435)</f>
        <v/>
      </c>
      <c r="I435" s="3" t="str">
        <f>IF(H435="","",IF(H435&gt;=Setup!B7,"ناجح","إعادة تدريب"))</f>
        <v/>
      </c>
      <c r="J435" s="3"/>
      <c r="K435" s="3"/>
      <c r="L435" s="3"/>
      <c r="M435" s="3"/>
    </row>
    <row r="436" spans="1:13" x14ac:dyDescent="0.2">
      <c r="A436" s="3">
        <v>433</v>
      </c>
      <c r="B436" s="3"/>
      <c r="C436" s="3" t="str">
        <f>IFERROR(VLOOKUP(B436,Sessions!A:J,2,FALSE),"")</f>
        <v/>
      </c>
      <c r="D436" s="3"/>
      <c r="E436" s="3" t="str">
        <f>IFERROR(VLOOKUP(D436,Employees!A:L,2,FALSE),"")</f>
        <v/>
      </c>
      <c r="F436" s="6"/>
      <c r="G436" s="6"/>
      <c r="H436" s="6" t="str">
        <f>IF(G436="","",G436)</f>
        <v/>
      </c>
      <c r="I436" s="3" t="str">
        <f>IF(H436="","",IF(H436&gt;=Setup!B7,"ناجح","إعادة تدريب"))</f>
        <v/>
      </c>
      <c r="J436" s="3"/>
      <c r="K436" s="3"/>
      <c r="L436" s="3"/>
      <c r="M436" s="3"/>
    </row>
    <row r="437" spans="1:13" x14ac:dyDescent="0.2">
      <c r="A437" s="3">
        <v>434</v>
      </c>
      <c r="B437" s="3"/>
      <c r="C437" s="3" t="str">
        <f>IFERROR(VLOOKUP(B437,Sessions!A:J,2,FALSE),"")</f>
        <v/>
      </c>
      <c r="D437" s="3"/>
      <c r="E437" s="3" t="str">
        <f>IFERROR(VLOOKUP(D437,Employees!A:L,2,FALSE),"")</f>
        <v/>
      </c>
      <c r="F437" s="6"/>
      <c r="G437" s="6"/>
      <c r="H437" s="6" t="str">
        <f>IF(G437="","",G437)</f>
        <v/>
      </c>
      <c r="I437" s="3" t="str">
        <f>IF(H437="","",IF(H437&gt;=Setup!B7,"ناجح","إعادة تدريب"))</f>
        <v/>
      </c>
      <c r="J437" s="3"/>
      <c r="K437" s="3"/>
      <c r="L437" s="3"/>
      <c r="M437" s="3"/>
    </row>
    <row r="438" spans="1:13" x14ac:dyDescent="0.2">
      <c r="A438" s="3">
        <v>435</v>
      </c>
      <c r="B438" s="3"/>
      <c r="C438" s="3" t="str">
        <f>IFERROR(VLOOKUP(B438,Sessions!A:J,2,FALSE),"")</f>
        <v/>
      </c>
      <c r="D438" s="3"/>
      <c r="E438" s="3" t="str">
        <f>IFERROR(VLOOKUP(D438,Employees!A:L,2,FALSE),"")</f>
        <v/>
      </c>
      <c r="F438" s="6"/>
      <c r="G438" s="6"/>
      <c r="H438" s="6" t="str">
        <f>IF(G438="","",G438)</f>
        <v/>
      </c>
      <c r="I438" s="3" t="str">
        <f>IF(H438="","",IF(H438&gt;=Setup!B7,"ناجح","إعادة تدريب"))</f>
        <v/>
      </c>
      <c r="J438" s="3"/>
      <c r="K438" s="3"/>
      <c r="L438" s="3"/>
      <c r="M438" s="3"/>
    </row>
    <row r="439" spans="1:13" x14ac:dyDescent="0.2">
      <c r="A439" s="3">
        <v>436</v>
      </c>
      <c r="B439" s="3"/>
      <c r="C439" s="3" t="str">
        <f>IFERROR(VLOOKUP(B439,Sessions!A:J,2,FALSE),"")</f>
        <v/>
      </c>
      <c r="D439" s="3"/>
      <c r="E439" s="3" t="str">
        <f>IFERROR(VLOOKUP(D439,Employees!A:L,2,FALSE),"")</f>
        <v/>
      </c>
      <c r="F439" s="6"/>
      <c r="G439" s="6"/>
      <c r="H439" s="6" t="str">
        <f>IF(G439="","",G439)</f>
        <v/>
      </c>
      <c r="I439" s="3" t="str">
        <f>IF(H439="","",IF(H439&gt;=Setup!B7,"ناجح","إعادة تدريب"))</f>
        <v/>
      </c>
      <c r="J439" s="3"/>
      <c r="K439" s="3"/>
      <c r="L439" s="3"/>
      <c r="M439" s="3"/>
    </row>
    <row r="440" spans="1:13" x14ac:dyDescent="0.2">
      <c r="A440" s="3">
        <v>437</v>
      </c>
      <c r="B440" s="3"/>
      <c r="C440" s="3" t="str">
        <f>IFERROR(VLOOKUP(B440,Sessions!A:J,2,FALSE),"")</f>
        <v/>
      </c>
      <c r="D440" s="3"/>
      <c r="E440" s="3" t="str">
        <f>IFERROR(VLOOKUP(D440,Employees!A:L,2,FALSE),"")</f>
        <v/>
      </c>
      <c r="F440" s="6"/>
      <c r="G440" s="6"/>
      <c r="H440" s="6" t="str">
        <f>IF(G440="","",G440)</f>
        <v/>
      </c>
      <c r="I440" s="3" t="str">
        <f>IF(H440="","",IF(H440&gt;=Setup!B7,"ناجح","إعادة تدريب"))</f>
        <v/>
      </c>
      <c r="J440" s="3"/>
      <c r="K440" s="3"/>
      <c r="L440" s="3"/>
      <c r="M440" s="3"/>
    </row>
    <row r="441" spans="1:13" x14ac:dyDescent="0.2">
      <c r="A441" s="3">
        <v>438</v>
      </c>
      <c r="B441" s="3"/>
      <c r="C441" s="3" t="str">
        <f>IFERROR(VLOOKUP(B441,Sessions!A:J,2,FALSE),"")</f>
        <v/>
      </c>
      <c r="D441" s="3"/>
      <c r="E441" s="3" t="str">
        <f>IFERROR(VLOOKUP(D441,Employees!A:L,2,FALSE),"")</f>
        <v/>
      </c>
      <c r="F441" s="6"/>
      <c r="G441" s="6"/>
      <c r="H441" s="6" t="str">
        <f>IF(G441="","",G441)</f>
        <v/>
      </c>
      <c r="I441" s="3" t="str">
        <f>IF(H441="","",IF(H441&gt;=Setup!B7,"ناجح","إعادة تدريب"))</f>
        <v/>
      </c>
      <c r="J441" s="3"/>
      <c r="K441" s="3"/>
      <c r="L441" s="3"/>
      <c r="M441" s="3"/>
    </row>
    <row r="442" spans="1:13" x14ac:dyDescent="0.2">
      <c r="A442" s="3">
        <v>439</v>
      </c>
      <c r="B442" s="3"/>
      <c r="C442" s="3" t="str">
        <f>IFERROR(VLOOKUP(B442,Sessions!A:J,2,FALSE),"")</f>
        <v/>
      </c>
      <c r="D442" s="3"/>
      <c r="E442" s="3" t="str">
        <f>IFERROR(VLOOKUP(D442,Employees!A:L,2,FALSE),"")</f>
        <v/>
      </c>
      <c r="F442" s="6"/>
      <c r="G442" s="6"/>
      <c r="H442" s="6" t="str">
        <f>IF(G442="","",G442)</f>
        <v/>
      </c>
      <c r="I442" s="3" t="str">
        <f>IF(H442="","",IF(H442&gt;=Setup!B7,"ناجح","إعادة تدريب"))</f>
        <v/>
      </c>
      <c r="J442" s="3"/>
      <c r="K442" s="3"/>
      <c r="L442" s="3"/>
      <c r="M442" s="3"/>
    </row>
    <row r="443" spans="1:13" x14ac:dyDescent="0.2">
      <c r="A443" s="3">
        <v>440</v>
      </c>
      <c r="B443" s="3"/>
      <c r="C443" s="3" t="str">
        <f>IFERROR(VLOOKUP(B443,Sessions!A:J,2,FALSE),"")</f>
        <v/>
      </c>
      <c r="D443" s="3"/>
      <c r="E443" s="3" t="str">
        <f>IFERROR(VLOOKUP(D443,Employees!A:L,2,FALSE),"")</f>
        <v/>
      </c>
      <c r="F443" s="6"/>
      <c r="G443" s="6"/>
      <c r="H443" s="6" t="str">
        <f>IF(G443="","",G443)</f>
        <v/>
      </c>
      <c r="I443" s="3" t="str">
        <f>IF(H443="","",IF(H443&gt;=Setup!B7,"ناجح","إعادة تدريب"))</f>
        <v/>
      </c>
      <c r="J443" s="3"/>
      <c r="K443" s="3"/>
      <c r="L443" s="3"/>
      <c r="M443" s="3"/>
    </row>
    <row r="444" spans="1:13" x14ac:dyDescent="0.2">
      <c r="A444" s="3">
        <v>441</v>
      </c>
      <c r="B444" s="3"/>
      <c r="C444" s="3" t="str">
        <f>IFERROR(VLOOKUP(B444,Sessions!A:J,2,FALSE),"")</f>
        <v/>
      </c>
      <c r="D444" s="3"/>
      <c r="E444" s="3" t="str">
        <f>IFERROR(VLOOKUP(D444,Employees!A:L,2,FALSE),"")</f>
        <v/>
      </c>
      <c r="F444" s="6"/>
      <c r="G444" s="6"/>
      <c r="H444" s="6" t="str">
        <f>IF(G444="","",G444)</f>
        <v/>
      </c>
      <c r="I444" s="3" t="str">
        <f>IF(H444="","",IF(H444&gt;=Setup!B7,"ناجح","إعادة تدريب"))</f>
        <v/>
      </c>
      <c r="J444" s="3"/>
      <c r="K444" s="3"/>
      <c r="L444" s="3"/>
      <c r="M444" s="3"/>
    </row>
    <row r="445" spans="1:13" x14ac:dyDescent="0.2">
      <c r="A445" s="3">
        <v>442</v>
      </c>
      <c r="B445" s="3"/>
      <c r="C445" s="3" t="str">
        <f>IFERROR(VLOOKUP(B445,Sessions!A:J,2,FALSE),"")</f>
        <v/>
      </c>
      <c r="D445" s="3"/>
      <c r="E445" s="3" t="str">
        <f>IFERROR(VLOOKUP(D445,Employees!A:L,2,FALSE),"")</f>
        <v/>
      </c>
      <c r="F445" s="6"/>
      <c r="G445" s="6"/>
      <c r="H445" s="6" t="str">
        <f>IF(G445="","",G445)</f>
        <v/>
      </c>
      <c r="I445" s="3" t="str">
        <f>IF(H445="","",IF(H445&gt;=Setup!B7,"ناجح","إعادة تدريب"))</f>
        <v/>
      </c>
      <c r="J445" s="3"/>
      <c r="K445" s="3"/>
      <c r="L445" s="3"/>
      <c r="M445" s="3"/>
    </row>
    <row r="446" spans="1:13" x14ac:dyDescent="0.2">
      <c r="A446" s="3">
        <v>443</v>
      </c>
      <c r="B446" s="3"/>
      <c r="C446" s="3" t="str">
        <f>IFERROR(VLOOKUP(B446,Sessions!A:J,2,FALSE),"")</f>
        <v/>
      </c>
      <c r="D446" s="3"/>
      <c r="E446" s="3" t="str">
        <f>IFERROR(VLOOKUP(D446,Employees!A:L,2,FALSE),"")</f>
        <v/>
      </c>
      <c r="F446" s="6"/>
      <c r="G446" s="6"/>
      <c r="H446" s="6" t="str">
        <f>IF(G446="","",G446)</f>
        <v/>
      </c>
      <c r="I446" s="3" t="str">
        <f>IF(H446="","",IF(H446&gt;=Setup!B7,"ناجح","إعادة تدريب"))</f>
        <v/>
      </c>
      <c r="J446" s="3"/>
      <c r="K446" s="3"/>
      <c r="L446" s="3"/>
      <c r="M446" s="3"/>
    </row>
    <row r="447" spans="1:13" x14ac:dyDescent="0.2">
      <c r="A447" s="3">
        <v>444</v>
      </c>
      <c r="B447" s="3"/>
      <c r="C447" s="3" t="str">
        <f>IFERROR(VLOOKUP(B447,Sessions!A:J,2,FALSE),"")</f>
        <v/>
      </c>
      <c r="D447" s="3"/>
      <c r="E447" s="3" t="str">
        <f>IFERROR(VLOOKUP(D447,Employees!A:L,2,FALSE),"")</f>
        <v/>
      </c>
      <c r="F447" s="6"/>
      <c r="G447" s="6"/>
      <c r="H447" s="6" t="str">
        <f>IF(G447="","",G447)</f>
        <v/>
      </c>
      <c r="I447" s="3" t="str">
        <f>IF(H447="","",IF(H447&gt;=Setup!B7,"ناجح","إعادة تدريب"))</f>
        <v/>
      </c>
      <c r="J447" s="3"/>
      <c r="K447" s="3"/>
      <c r="L447" s="3"/>
      <c r="M447" s="3"/>
    </row>
    <row r="448" spans="1:13" x14ac:dyDescent="0.2">
      <c r="A448" s="3">
        <v>445</v>
      </c>
      <c r="B448" s="3"/>
      <c r="C448" s="3" t="str">
        <f>IFERROR(VLOOKUP(B448,Sessions!A:J,2,FALSE),"")</f>
        <v/>
      </c>
      <c r="D448" s="3"/>
      <c r="E448" s="3" t="str">
        <f>IFERROR(VLOOKUP(D448,Employees!A:L,2,FALSE),"")</f>
        <v/>
      </c>
      <c r="F448" s="6"/>
      <c r="G448" s="6"/>
      <c r="H448" s="6" t="str">
        <f>IF(G448="","",G448)</f>
        <v/>
      </c>
      <c r="I448" s="3" t="str">
        <f>IF(H448="","",IF(H448&gt;=Setup!B7,"ناجح","إعادة تدريب"))</f>
        <v/>
      </c>
      <c r="J448" s="3"/>
      <c r="K448" s="3"/>
      <c r="L448" s="3"/>
      <c r="M448" s="3"/>
    </row>
    <row r="449" spans="1:13" x14ac:dyDescent="0.2">
      <c r="A449" s="3">
        <v>446</v>
      </c>
      <c r="B449" s="3"/>
      <c r="C449" s="3" t="str">
        <f>IFERROR(VLOOKUP(B449,Sessions!A:J,2,FALSE),"")</f>
        <v/>
      </c>
      <c r="D449" s="3"/>
      <c r="E449" s="3" t="str">
        <f>IFERROR(VLOOKUP(D449,Employees!A:L,2,FALSE),"")</f>
        <v/>
      </c>
      <c r="F449" s="6"/>
      <c r="G449" s="6"/>
      <c r="H449" s="6" t="str">
        <f>IF(G449="","",G449)</f>
        <v/>
      </c>
      <c r="I449" s="3" t="str">
        <f>IF(H449="","",IF(H449&gt;=Setup!B7,"ناجح","إعادة تدريب"))</f>
        <v/>
      </c>
      <c r="J449" s="3"/>
      <c r="K449" s="3"/>
      <c r="L449" s="3"/>
      <c r="M449" s="3"/>
    </row>
    <row r="450" spans="1:13" x14ac:dyDescent="0.2">
      <c r="A450" s="3">
        <v>447</v>
      </c>
      <c r="B450" s="3"/>
      <c r="C450" s="3" t="str">
        <f>IFERROR(VLOOKUP(B450,Sessions!A:J,2,FALSE),"")</f>
        <v/>
      </c>
      <c r="D450" s="3"/>
      <c r="E450" s="3" t="str">
        <f>IFERROR(VLOOKUP(D450,Employees!A:L,2,FALSE),"")</f>
        <v/>
      </c>
      <c r="F450" s="6"/>
      <c r="G450" s="6"/>
      <c r="H450" s="6" t="str">
        <f>IF(G450="","",G450)</f>
        <v/>
      </c>
      <c r="I450" s="3" t="str">
        <f>IF(H450="","",IF(H450&gt;=Setup!B7,"ناجح","إعادة تدريب"))</f>
        <v/>
      </c>
      <c r="J450" s="3"/>
      <c r="K450" s="3"/>
      <c r="L450" s="3"/>
      <c r="M450" s="3"/>
    </row>
    <row r="451" spans="1:13" x14ac:dyDescent="0.2">
      <c r="A451" s="3">
        <v>448</v>
      </c>
      <c r="B451" s="3"/>
      <c r="C451" s="3" t="str">
        <f>IFERROR(VLOOKUP(B451,Sessions!A:J,2,FALSE),"")</f>
        <v/>
      </c>
      <c r="D451" s="3"/>
      <c r="E451" s="3" t="str">
        <f>IFERROR(VLOOKUP(D451,Employees!A:L,2,FALSE),"")</f>
        <v/>
      </c>
      <c r="F451" s="6"/>
      <c r="G451" s="6"/>
      <c r="H451" s="6" t="str">
        <f>IF(G451="","",G451)</f>
        <v/>
      </c>
      <c r="I451" s="3" t="str">
        <f>IF(H451="","",IF(H451&gt;=Setup!B7,"ناجح","إعادة تدريب"))</f>
        <v/>
      </c>
      <c r="J451" s="3"/>
      <c r="K451" s="3"/>
      <c r="L451" s="3"/>
      <c r="M451" s="3"/>
    </row>
    <row r="452" spans="1:13" x14ac:dyDescent="0.2">
      <c r="A452" s="3">
        <v>449</v>
      </c>
      <c r="B452" s="3"/>
      <c r="C452" s="3" t="str">
        <f>IFERROR(VLOOKUP(B452,Sessions!A:J,2,FALSE),"")</f>
        <v/>
      </c>
      <c r="D452" s="3"/>
      <c r="E452" s="3" t="str">
        <f>IFERROR(VLOOKUP(D452,Employees!A:L,2,FALSE),"")</f>
        <v/>
      </c>
      <c r="F452" s="6"/>
      <c r="G452" s="6"/>
      <c r="H452" s="6" t="str">
        <f>IF(G452="","",G452)</f>
        <v/>
      </c>
      <c r="I452" s="3" t="str">
        <f>IF(H452="","",IF(H452&gt;=Setup!B7,"ناجح","إعادة تدريب"))</f>
        <v/>
      </c>
      <c r="J452" s="3"/>
      <c r="K452" s="3"/>
      <c r="L452" s="3"/>
      <c r="M452" s="3"/>
    </row>
    <row r="453" spans="1:13" x14ac:dyDescent="0.2">
      <c r="A453" s="3">
        <v>450</v>
      </c>
      <c r="B453" s="3"/>
      <c r="C453" s="3" t="str">
        <f>IFERROR(VLOOKUP(B453,Sessions!A:J,2,FALSE),"")</f>
        <v/>
      </c>
      <c r="D453" s="3"/>
      <c r="E453" s="3" t="str">
        <f>IFERROR(VLOOKUP(D453,Employees!A:L,2,FALSE),"")</f>
        <v/>
      </c>
      <c r="F453" s="6"/>
      <c r="G453" s="6"/>
      <c r="H453" s="6" t="str">
        <f>IF(G453="","",G453)</f>
        <v/>
      </c>
      <c r="I453" s="3" t="str">
        <f>IF(H453="","",IF(H453&gt;=Setup!B7,"ناجح","إعادة تدريب"))</f>
        <v/>
      </c>
      <c r="J453" s="3"/>
      <c r="K453" s="3"/>
      <c r="L453" s="3"/>
      <c r="M453" s="3"/>
    </row>
    <row r="454" spans="1:13" x14ac:dyDescent="0.2">
      <c r="A454" s="3">
        <v>451</v>
      </c>
      <c r="B454" s="3"/>
      <c r="C454" s="3" t="str">
        <f>IFERROR(VLOOKUP(B454,Sessions!A:J,2,FALSE),"")</f>
        <v/>
      </c>
      <c r="D454" s="3"/>
      <c r="E454" s="3" t="str">
        <f>IFERROR(VLOOKUP(D454,Employees!A:L,2,FALSE),"")</f>
        <v/>
      </c>
      <c r="F454" s="6"/>
      <c r="G454" s="6"/>
      <c r="H454" s="6" t="str">
        <f>IF(G454="","",G454)</f>
        <v/>
      </c>
      <c r="I454" s="3" t="str">
        <f>IF(H454="","",IF(H454&gt;=Setup!B7,"ناجح","إعادة تدريب"))</f>
        <v/>
      </c>
      <c r="J454" s="3"/>
      <c r="K454" s="3"/>
      <c r="L454" s="3"/>
      <c r="M454" s="3"/>
    </row>
    <row r="455" spans="1:13" x14ac:dyDescent="0.2">
      <c r="A455" s="3">
        <v>452</v>
      </c>
      <c r="B455" s="3"/>
      <c r="C455" s="3" t="str">
        <f>IFERROR(VLOOKUP(B455,Sessions!A:J,2,FALSE),"")</f>
        <v/>
      </c>
      <c r="D455" s="3"/>
      <c r="E455" s="3" t="str">
        <f>IFERROR(VLOOKUP(D455,Employees!A:L,2,FALSE),"")</f>
        <v/>
      </c>
      <c r="F455" s="6"/>
      <c r="G455" s="6"/>
      <c r="H455" s="6" t="str">
        <f>IF(G455="","",G455)</f>
        <v/>
      </c>
      <c r="I455" s="3" t="str">
        <f>IF(H455="","",IF(H455&gt;=Setup!B7,"ناجح","إعادة تدريب"))</f>
        <v/>
      </c>
      <c r="J455" s="3"/>
      <c r="K455" s="3"/>
      <c r="L455" s="3"/>
      <c r="M455" s="3"/>
    </row>
    <row r="456" spans="1:13" x14ac:dyDescent="0.2">
      <c r="A456" s="3">
        <v>453</v>
      </c>
      <c r="B456" s="3"/>
      <c r="C456" s="3" t="str">
        <f>IFERROR(VLOOKUP(B456,Sessions!A:J,2,FALSE),"")</f>
        <v/>
      </c>
      <c r="D456" s="3"/>
      <c r="E456" s="3" t="str">
        <f>IFERROR(VLOOKUP(D456,Employees!A:L,2,FALSE),"")</f>
        <v/>
      </c>
      <c r="F456" s="6"/>
      <c r="G456" s="6"/>
      <c r="H456" s="6" t="str">
        <f>IF(G456="","",G456)</f>
        <v/>
      </c>
      <c r="I456" s="3" t="str">
        <f>IF(H456="","",IF(H456&gt;=Setup!B7,"ناجح","إعادة تدريب"))</f>
        <v/>
      </c>
      <c r="J456" s="3"/>
      <c r="K456" s="3"/>
      <c r="L456" s="3"/>
      <c r="M456" s="3"/>
    </row>
    <row r="457" spans="1:13" x14ac:dyDescent="0.2">
      <c r="A457" s="3">
        <v>454</v>
      </c>
      <c r="B457" s="3"/>
      <c r="C457" s="3" t="str">
        <f>IFERROR(VLOOKUP(B457,Sessions!A:J,2,FALSE),"")</f>
        <v/>
      </c>
      <c r="D457" s="3"/>
      <c r="E457" s="3" t="str">
        <f>IFERROR(VLOOKUP(D457,Employees!A:L,2,FALSE),"")</f>
        <v/>
      </c>
      <c r="F457" s="6"/>
      <c r="G457" s="6"/>
      <c r="H457" s="6" t="str">
        <f>IF(G457="","",G457)</f>
        <v/>
      </c>
      <c r="I457" s="3" t="str">
        <f>IF(H457="","",IF(H457&gt;=Setup!B7,"ناجح","إعادة تدريب"))</f>
        <v/>
      </c>
      <c r="J457" s="3"/>
      <c r="K457" s="3"/>
      <c r="L457" s="3"/>
      <c r="M457" s="3"/>
    </row>
    <row r="458" spans="1:13" x14ac:dyDescent="0.2">
      <c r="A458" s="3">
        <v>455</v>
      </c>
      <c r="B458" s="3"/>
      <c r="C458" s="3" t="str">
        <f>IFERROR(VLOOKUP(B458,Sessions!A:J,2,FALSE),"")</f>
        <v/>
      </c>
      <c r="D458" s="3"/>
      <c r="E458" s="3" t="str">
        <f>IFERROR(VLOOKUP(D458,Employees!A:L,2,FALSE),"")</f>
        <v/>
      </c>
      <c r="F458" s="6"/>
      <c r="G458" s="6"/>
      <c r="H458" s="6" t="str">
        <f>IF(G458="","",G458)</f>
        <v/>
      </c>
      <c r="I458" s="3" t="str">
        <f>IF(H458="","",IF(H458&gt;=Setup!B7,"ناجح","إعادة تدريب"))</f>
        <v/>
      </c>
      <c r="J458" s="3"/>
      <c r="K458" s="3"/>
      <c r="L458" s="3"/>
      <c r="M458" s="3"/>
    </row>
    <row r="459" spans="1:13" x14ac:dyDescent="0.2">
      <c r="A459" s="3">
        <v>456</v>
      </c>
      <c r="B459" s="3"/>
      <c r="C459" s="3" t="str">
        <f>IFERROR(VLOOKUP(B459,Sessions!A:J,2,FALSE),"")</f>
        <v/>
      </c>
      <c r="D459" s="3"/>
      <c r="E459" s="3" t="str">
        <f>IFERROR(VLOOKUP(D459,Employees!A:L,2,FALSE),"")</f>
        <v/>
      </c>
      <c r="F459" s="6"/>
      <c r="G459" s="6"/>
      <c r="H459" s="6" t="str">
        <f>IF(G459="","",G459)</f>
        <v/>
      </c>
      <c r="I459" s="3" t="str">
        <f>IF(H459="","",IF(H459&gt;=Setup!B7,"ناجح","إعادة تدريب"))</f>
        <v/>
      </c>
      <c r="J459" s="3"/>
      <c r="K459" s="3"/>
      <c r="L459" s="3"/>
      <c r="M459" s="3"/>
    </row>
    <row r="460" spans="1:13" x14ac:dyDescent="0.2">
      <c r="A460" s="3">
        <v>457</v>
      </c>
      <c r="B460" s="3"/>
      <c r="C460" s="3" t="str">
        <f>IFERROR(VLOOKUP(B460,Sessions!A:J,2,FALSE),"")</f>
        <v/>
      </c>
      <c r="D460" s="3"/>
      <c r="E460" s="3" t="str">
        <f>IFERROR(VLOOKUP(D460,Employees!A:L,2,FALSE),"")</f>
        <v/>
      </c>
      <c r="F460" s="6"/>
      <c r="G460" s="6"/>
      <c r="H460" s="6" t="str">
        <f>IF(G460="","",G460)</f>
        <v/>
      </c>
      <c r="I460" s="3" t="str">
        <f>IF(H460="","",IF(H460&gt;=Setup!B7,"ناجح","إعادة تدريب"))</f>
        <v/>
      </c>
      <c r="J460" s="3"/>
      <c r="K460" s="3"/>
      <c r="L460" s="3"/>
      <c r="M460" s="3"/>
    </row>
    <row r="461" spans="1:13" x14ac:dyDescent="0.2">
      <c r="A461" s="3">
        <v>458</v>
      </c>
      <c r="B461" s="3"/>
      <c r="C461" s="3" t="str">
        <f>IFERROR(VLOOKUP(B461,Sessions!A:J,2,FALSE),"")</f>
        <v/>
      </c>
      <c r="D461" s="3"/>
      <c r="E461" s="3" t="str">
        <f>IFERROR(VLOOKUP(D461,Employees!A:L,2,FALSE),"")</f>
        <v/>
      </c>
      <c r="F461" s="6"/>
      <c r="G461" s="6"/>
      <c r="H461" s="6" t="str">
        <f>IF(G461="","",G461)</f>
        <v/>
      </c>
      <c r="I461" s="3" t="str">
        <f>IF(H461="","",IF(H461&gt;=Setup!B7,"ناجح","إعادة تدريب"))</f>
        <v/>
      </c>
      <c r="J461" s="3"/>
      <c r="K461" s="3"/>
      <c r="L461" s="3"/>
      <c r="M461" s="3"/>
    </row>
    <row r="462" spans="1:13" x14ac:dyDescent="0.2">
      <c r="A462" s="3">
        <v>459</v>
      </c>
      <c r="B462" s="3"/>
      <c r="C462" s="3" t="str">
        <f>IFERROR(VLOOKUP(B462,Sessions!A:J,2,FALSE),"")</f>
        <v/>
      </c>
      <c r="D462" s="3"/>
      <c r="E462" s="3" t="str">
        <f>IFERROR(VLOOKUP(D462,Employees!A:L,2,FALSE),"")</f>
        <v/>
      </c>
      <c r="F462" s="6"/>
      <c r="G462" s="6"/>
      <c r="H462" s="6" t="str">
        <f>IF(G462="","",G462)</f>
        <v/>
      </c>
      <c r="I462" s="3" t="str">
        <f>IF(H462="","",IF(H462&gt;=Setup!B7,"ناجح","إعادة تدريب"))</f>
        <v/>
      </c>
      <c r="J462" s="3"/>
      <c r="K462" s="3"/>
      <c r="L462" s="3"/>
      <c r="M462" s="3"/>
    </row>
    <row r="463" spans="1:13" x14ac:dyDescent="0.2">
      <c r="A463" s="3">
        <v>460</v>
      </c>
      <c r="B463" s="3"/>
      <c r="C463" s="3" t="str">
        <f>IFERROR(VLOOKUP(B463,Sessions!A:J,2,FALSE),"")</f>
        <v/>
      </c>
      <c r="D463" s="3"/>
      <c r="E463" s="3" t="str">
        <f>IFERROR(VLOOKUP(D463,Employees!A:L,2,FALSE),"")</f>
        <v/>
      </c>
      <c r="F463" s="6"/>
      <c r="G463" s="6"/>
      <c r="H463" s="6" t="str">
        <f>IF(G463="","",G463)</f>
        <v/>
      </c>
      <c r="I463" s="3" t="str">
        <f>IF(H463="","",IF(H463&gt;=Setup!B7,"ناجح","إعادة تدريب"))</f>
        <v/>
      </c>
      <c r="J463" s="3"/>
      <c r="K463" s="3"/>
      <c r="L463" s="3"/>
      <c r="M463" s="3"/>
    </row>
    <row r="464" spans="1:13" x14ac:dyDescent="0.2">
      <c r="A464" s="3">
        <v>461</v>
      </c>
      <c r="B464" s="3"/>
      <c r="C464" s="3" t="str">
        <f>IFERROR(VLOOKUP(B464,Sessions!A:J,2,FALSE),"")</f>
        <v/>
      </c>
      <c r="D464" s="3"/>
      <c r="E464" s="3" t="str">
        <f>IFERROR(VLOOKUP(D464,Employees!A:L,2,FALSE),"")</f>
        <v/>
      </c>
      <c r="F464" s="6"/>
      <c r="G464" s="6"/>
      <c r="H464" s="6" t="str">
        <f>IF(G464="","",G464)</f>
        <v/>
      </c>
      <c r="I464" s="3" t="str">
        <f>IF(H464="","",IF(H464&gt;=Setup!B7,"ناجح","إعادة تدريب"))</f>
        <v/>
      </c>
      <c r="J464" s="3"/>
      <c r="K464" s="3"/>
      <c r="L464" s="3"/>
      <c r="M464" s="3"/>
    </row>
    <row r="465" spans="1:13" x14ac:dyDescent="0.2">
      <c r="A465" s="3">
        <v>462</v>
      </c>
      <c r="B465" s="3"/>
      <c r="C465" s="3" t="str">
        <f>IFERROR(VLOOKUP(B465,Sessions!A:J,2,FALSE),"")</f>
        <v/>
      </c>
      <c r="D465" s="3"/>
      <c r="E465" s="3" t="str">
        <f>IFERROR(VLOOKUP(D465,Employees!A:L,2,FALSE),"")</f>
        <v/>
      </c>
      <c r="F465" s="6"/>
      <c r="G465" s="6"/>
      <c r="H465" s="6" t="str">
        <f>IF(G465="","",G465)</f>
        <v/>
      </c>
      <c r="I465" s="3" t="str">
        <f>IF(H465="","",IF(H465&gt;=Setup!B7,"ناجح","إعادة تدريب"))</f>
        <v/>
      </c>
      <c r="J465" s="3"/>
      <c r="K465" s="3"/>
      <c r="L465" s="3"/>
      <c r="M465" s="3"/>
    </row>
    <row r="466" spans="1:13" x14ac:dyDescent="0.2">
      <c r="A466" s="3">
        <v>463</v>
      </c>
      <c r="B466" s="3"/>
      <c r="C466" s="3" t="str">
        <f>IFERROR(VLOOKUP(B466,Sessions!A:J,2,FALSE),"")</f>
        <v/>
      </c>
      <c r="D466" s="3"/>
      <c r="E466" s="3" t="str">
        <f>IFERROR(VLOOKUP(D466,Employees!A:L,2,FALSE),"")</f>
        <v/>
      </c>
      <c r="F466" s="6"/>
      <c r="G466" s="6"/>
      <c r="H466" s="6" t="str">
        <f>IF(G466="","",G466)</f>
        <v/>
      </c>
      <c r="I466" s="3" t="str">
        <f>IF(H466="","",IF(H466&gt;=Setup!B7,"ناجح","إعادة تدريب"))</f>
        <v/>
      </c>
      <c r="J466" s="3"/>
      <c r="K466" s="3"/>
      <c r="L466" s="3"/>
      <c r="M466" s="3"/>
    </row>
    <row r="467" spans="1:13" x14ac:dyDescent="0.2">
      <c r="A467" s="3">
        <v>464</v>
      </c>
      <c r="B467" s="3"/>
      <c r="C467" s="3" t="str">
        <f>IFERROR(VLOOKUP(B467,Sessions!A:J,2,FALSE),"")</f>
        <v/>
      </c>
      <c r="D467" s="3"/>
      <c r="E467" s="3" t="str">
        <f>IFERROR(VLOOKUP(D467,Employees!A:L,2,FALSE),"")</f>
        <v/>
      </c>
      <c r="F467" s="6"/>
      <c r="G467" s="6"/>
      <c r="H467" s="6" t="str">
        <f>IF(G467="","",G467)</f>
        <v/>
      </c>
      <c r="I467" s="3" t="str">
        <f>IF(H467="","",IF(H467&gt;=Setup!B7,"ناجح","إعادة تدريب"))</f>
        <v/>
      </c>
      <c r="J467" s="3"/>
      <c r="K467" s="3"/>
      <c r="L467" s="3"/>
      <c r="M467" s="3"/>
    </row>
    <row r="468" spans="1:13" x14ac:dyDescent="0.2">
      <c r="A468" s="3">
        <v>465</v>
      </c>
      <c r="B468" s="3"/>
      <c r="C468" s="3" t="str">
        <f>IFERROR(VLOOKUP(B468,Sessions!A:J,2,FALSE),"")</f>
        <v/>
      </c>
      <c r="D468" s="3"/>
      <c r="E468" s="3" t="str">
        <f>IFERROR(VLOOKUP(D468,Employees!A:L,2,FALSE),"")</f>
        <v/>
      </c>
      <c r="F468" s="6"/>
      <c r="G468" s="6"/>
      <c r="H468" s="6" t="str">
        <f>IF(G468="","",G468)</f>
        <v/>
      </c>
      <c r="I468" s="3" t="str">
        <f>IF(H468="","",IF(H468&gt;=Setup!B7,"ناجح","إعادة تدريب"))</f>
        <v/>
      </c>
      <c r="J468" s="3"/>
      <c r="K468" s="3"/>
      <c r="L468" s="3"/>
      <c r="M468" s="3"/>
    </row>
    <row r="469" spans="1:13" x14ac:dyDescent="0.2">
      <c r="A469" s="3">
        <v>466</v>
      </c>
      <c r="B469" s="3"/>
      <c r="C469" s="3" t="str">
        <f>IFERROR(VLOOKUP(B469,Sessions!A:J,2,FALSE),"")</f>
        <v/>
      </c>
      <c r="D469" s="3"/>
      <c r="E469" s="3" t="str">
        <f>IFERROR(VLOOKUP(D469,Employees!A:L,2,FALSE),"")</f>
        <v/>
      </c>
      <c r="F469" s="6"/>
      <c r="G469" s="6"/>
      <c r="H469" s="6" t="str">
        <f>IF(G469="","",G469)</f>
        <v/>
      </c>
      <c r="I469" s="3" t="str">
        <f>IF(H469="","",IF(H469&gt;=Setup!B7,"ناجح","إعادة تدريب"))</f>
        <v/>
      </c>
      <c r="J469" s="3"/>
      <c r="K469" s="3"/>
      <c r="L469" s="3"/>
      <c r="M469" s="3"/>
    </row>
    <row r="470" spans="1:13" x14ac:dyDescent="0.2">
      <c r="A470" s="3">
        <v>467</v>
      </c>
      <c r="B470" s="3"/>
      <c r="C470" s="3" t="str">
        <f>IFERROR(VLOOKUP(B470,Sessions!A:J,2,FALSE),"")</f>
        <v/>
      </c>
      <c r="D470" s="3"/>
      <c r="E470" s="3" t="str">
        <f>IFERROR(VLOOKUP(D470,Employees!A:L,2,FALSE),"")</f>
        <v/>
      </c>
      <c r="F470" s="6"/>
      <c r="G470" s="6"/>
      <c r="H470" s="6" t="str">
        <f>IF(G470="","",G470)</f>
        <v/>
      </c>
      <c r="I470" s="3" t="str">
        <f>IF(H470="","",IF(H470&gt;=Setup!B7,"ناجح","إعادة تدريب"))</f>
        <v/>
      </c>
      <c r="J470" s="3"/>
      <c r="K470" s="3"/>
      <c r="L470" s="3"/>
      <c r="M470" s="3"/>
    </row>
    <row r="471" spans="1:13" x14ac:dyDescent="0.2">
      <c r="A471" s="3">
        <v>468</v>
      </c>
      <c r="B471" s="3"/>
      <c r="C471" s="3" t="str">
        <f>IFERROR(VLOOKUP(B471,Sessions!A:J,2,FALSE),"")</f>
        <v/>
      </c>
      <c r="D471" s="3"/>
      <c r="E471" s="3" t="str">
        <f>IFERROR(VLOOKUP(D471,Employees!A:L,2,FALSE),"")</f>
        <v/>
      </c>
      <c r="F471" s="6"/>
      <c r="G471" s="6"/>
      <c r="H471" s="6" t="str">
        <f>IF(G471="","",G471)</f>
        <v/>
      </c>
      <c r="I471" s="3" t="str">
        <f>IF(H471="","",IF(H471&gt;=Setup!B7,"ناجح","إعادة تدريب"))</f>
        <v/>
      </c>
      <c r="J471" s="3"/>
      <c r="K471" s="3"/>
      <c r="L471" s="3"/>
      <c r="M471" s="3"/>
    </row>
    <row r="472" spans="1:13" x14ac:dyDescent="0.2">
      <c r="A472" s="3">
        <v>469</v>
      </c>
      <c r="B472" s="3"/>
      <c r="C472" s="3" t="str">
        <f>IFERROR(VLOOKUP(B472,Sessions!A:J,2,FALSE),"")</f>
        <v/>
      </c>
      <c r="D472" s="3"/>
      <c r="E472" s="3" t="str">
        <f>IFERROR(VLOOKUP(D472,Employees!A:L,2,FALSE),"")</f>
        <v/>
      </c>
      <c r="F472" s="6"/>
      <c r="G472" s="6"/>
      <c r="H472" s="6" t="str">
        <f>IF(G472="","",G472)</f>
        <v/>
      </c>
      <c r="I472" s="3" t="str">
        <f>IF(H472="","",IF(H472&gt;=Setup!B7,"ناجح","إعادة تدريب"))</f>
        <v/>
      </c>
      <c r="J472" s="3"/>
      <c r="K472" s="3"/>
      <c r="L472" s="3"/>
      <c r="M472" s="3"/>
    </row>
    <row r="473" spans="1:13" x14ac:dyDescent="0.2">
      <c r="A473" s="3">
        <v>470</v>
      </c>
      <c r="B473" s="3"/>
      <c r="C473" s="3" t="str">
        <f>IFERROR(VLOOKUP(B473,Sessions!A:J,2,FALSE),"")</f>
        <v/>
      </c>
      <c r="D473" s="3"/>
      <c r="E473" s="3" t="str">
        <f>IFERROR(VLOOKUP(D473,Employees!A:L,2,FALSE),"")</f>
        <v/>
      </c>
      <c r="F473" s="6"/>
      <c r="G473" s="6"/>
      <c r="H473" s="6" t="str">
        <f>IF(G473="","",G473)</f>
        <v/>
      </c>
      <c r="I473" s="3" t="str">
        <f>IF(H473="","",IF(H473&gt;=Setup!B7,"ناجح","إعادة تدريب"))</f>
        <v/>
      </c>
      <c r="J473" s="3"/>
      <c r="K473" s="3"/>
      <c r="L473" s="3"/>
      <c r="M473" s="3"/>
    </row>
    <row r="474" spans="1:13" x14ac:dyDescent="0.2">
      <c r="A474" s="3">
        <v>471</v>
      </c>
      <c r="B474" s="3"/>
      <c r="C474" s="3" t="str">
        <f>IFERROR(VLOOKUP(B474,Sessions!A:J,2,FALSE),"")</f>
        <v/>
      </c>
      <c r="D474" s="3"/>
      <c r="E474" s="3" t="str">
        <f>IFERROR(VLOOKUP(D474,Employees!A:L,2,FALSE),"")</f>
        <v/>
      </c>
      <c r="F474" s="6"/>
      <c r="G474" s="6"/>
      <c r="H474" s="6" t="str">
        <f>IF(G474="","",G474)</f>
        <v/>
      </c>
      <c r="I474" s="3" t="str">
        <f>IF(H474="","",IF(H474&gt;=Setup!B7,"ناجح","إعادة تدريب"))</f>
        <v/>
      </c>
      <c r="J474" s="3"/>
      <c r="K474" s="3"/>
      <c r="L474" s="3"/>
      <c r="M474" s="3"/>
    </row>
    <row r="475" spans="1:13" x14ac:dyDescent="0.2">
      <c r="A475" s="3">
        <v>472</v>
      </c>
      <c r="B475" s="3"/>
      <c r="C475" s="3" t="str">
        <f>IFERROR(VLOOKUP(B475,Sessions!A:J,2,FALSE),"")</f>
        <v/>
      </c>
      <c r="D475" s="3"/>
      <c r="E475" s="3" t="str">
        <f>IFERROR(VLOOKUP(D475,Employees!A:L,2,FALSE),"")</f>
        <v/>
      </c>
      <c r="F475" s="6"/>
      <c r="G475" s="6"/>
      <c r="H475" s="6" t="str">
        <f>IF(G475="","",G475)</f>
        <v/>
      </c>
      <c r="I475" s="3" t="str">
        <f>IF(H475="","",IF(H475&gt;=Setup!B7,"ناجح","إعادة تدريب"))</f>
        <v/>
      </c>
      <c r="J475" s="3"/>
      <c r="K475" s="3"/>
      <c r="L475" s="3"/>
      <c r="M475" s="3"/>
    </row>
    <row r="476" spans="1:13" x14ac:dyDescent="0.2">
      <c r="A476" s="3">
        <v>473</v>
      </c>
      <c r="B476" s="3"/>
      <c r="C476" s="3" t="str">
        <f>IFERROR(VLOOKUP(B476,Sessions!A:J,2,FALSE),"")</f>
        <v/>
      </c>
      <c r="D476" s="3"/>
      <c r="E476" s="3" t="str">
        <f>IFERROR(VLOOKUP(D476,Employees!A:L,2,FALSE),"")</f>
        <v/>
      </c>
      <c r="F476" s="6"/>
      <c r="G476" s="6"/>
      <c r="H476" s="6" t="str">
        <f>IF(G476="","",G476)</f>
        <v/>
      </c>
      <c r="I476" s="3" t="str">
        <f>IF(H476="","",IF(H476&gt;=Setup!B7,"ناجح","إعادة تدريب"))</f>
        <v/>
      </c>
      <c r="J476" s="3"/>
      <c r="K476" s="3"/>
      <c r="L476" s="3"/>
      <c r="M476" s="3"/>
    </row>
    <row r="477" spans="1:13" x14ac:dyDescent="0.2">
      <c r="A477" s="3">
        <v>474</v>
      </c>
      <c r="B477" s="3"/>
      <c r="C477" s="3" t="str">
        <f>IFERROR(VLOOKUP(B477,Sessions!A:J,2,FALSE),"")</f>
        <v/>
      </c>
      <c r="D477" s="3"/>
      <c r="E477" s="3" t="str">
        <f>IFERROR(VLOOKUP(D477,Employees!A:L,2,FALSE),"")</f>
        <v/>
      </c>
      <c r="F477" s="6"/>
      <c r="G477" s="6"/>
      <c r="H477" s="6" t="str">
        <f>IF(G477="","",G477)</f>
        <v/>
      </c>
      <c r="I477" s="3" t="str">
        <f>IF(H477="","",IF(H477&gt;=Setup!B7,"ناجح","إعادة تدريب"))</f>
        <v/>
      </c>
      <c r="J477" s="3"/>
      <c r="K477" s="3"/>
      <c r="L477" s="3"/>
      <c r="M477" s="3"/>
    </row>
    <row r="478" spans="1:13" x14ac:dyDescent="0.2">
      <c r="A478" s="3">
        <v>475</v>
      </c>
      <c r="B478" s="3"/>
      <c r="C478" s="3" t="str">
        <f>IFERROR(VLOOKUP(B478,Sessions!A:J,2,FALSE),"")</f>
        <v/>
      </c>
      <c r="D478" s="3"/>
      <c r="E478" s="3" t="str">
        <f>IFERROR(VLOOKUP(D478,Employees!A:L,2,FALSE),"")</f>
        <v/>
      </c>
      <c r="F478" s="6"/>
      <c r="G478" s="6"/>
      <c r="H478" s="6" t="str">
        <f>IF(G478="","",G478)</f>
        <v/>
      </c>
      <c r="I478" s="3" t="str">
        <f>IF(H478="","",IF(H478&gt;=Setup!B7,"ناجح","إعادة تدريب"))</f>
        <v/>
      </c>
      <c r="J478" s="3"/>
      <c r="K478" s="3"/>
      <c r="L478" s="3"/>
      <c r="M478" s="3"/>
    </row>
    <row r="479" spans="1:13" x14ac:dyDescent="0.2">
      <c r="A479" s="3">
        <v>476</v>
      </c>
      <c r="B479" s="3"/>
      <c r="C479" s="3" t="str">
        <f>IFERROR(VLOOKUP(B479,Sessions!A:J,2,FALSE),"")</f>
        <v/>
      </c>
      <c r="D479" s="3"/>
      <c r="E479" s="3" t="str">
        <f>IFERROR(VLOOKUP(D479,Employees!A:L,2,FALSE),"")</f>
        <v/>
      </c>
      <c r="F479" s="6"/>
      <c r="G479" s="6"/>
      <c r="H479" s="6" t="str">
        <f>IF(G479="","",G479)</f>
        <v/>
      </c>
      <c r="I479" s="3" t="str">
        <f>IF(H479="","",IF(H479&gt;=Setup!B7,"ناجح","إعادة تدريب"))</f>
        <v/>
      </c>
      <c r="J479" s="3"/>
      <c r="K479" s="3"/>
      <c r="L479" s="3"/>
      <c r="M479" s="3"/>
    </row>
    <row r="480" spans="1:13" x14ac:dyDescent="0.2">
      <c r="A480" s="3">
        <v>477</v>
      </c>
      <c r="B480" s="3"/>
      <c r="C480" s="3" t="str">
        <f>IFERROR(VLOOKUP(B480,Sessions!A:J,2,FALSE),"")</f>
        <v/>
      </c>
      <c r="D480" s="3"/>
      <c r="E480" s="3" t="str">
        <f>IFERROR(VLOOKUP(D480,Employees!A:L,2,FALSE),"")</f>
        <v/>
      </c>
      <c r="F480" s="6"/>
      <c r="G480" s="6"/>
      <c r="H480" s="6" t="str">
        <f>IF(G480="","",G480)</f>
        <v/>
      </c>
      <c r="I480" s="3" t="str">
        <f>IF(H480="","",IF(H480&gt;=Setup!B7,"ناجح","إعادة تدريب"))</f>
        <v/>
      </c>
      <c r="J480" s="3"/>
      <c r="K480" s="3"/>
      <c r="L480" s="3"/>
      <c r="M480" s="3"/>
    </row>
    <row r="481" spans="1:13" x14ac:dyDescent="0.2">
      <c r="A481" s="3">
        <v>478</v>
      </c>
      <c r="B481" s="3"/>
      <c r="C481" s="3" t="str">
        <f>IFERROR(VLOOKUP(B481,Sessions!A:J,2,FALSE),"")</f>
        <v/>
      </c>
      <c r="D481" s="3"/>
      <c r="E481" s="3" t="str">
        <f>IFERROR(VLOOKUP(D481,Employees!A:L,2,FALSE),"")</f>
        <v/>
      </c>
      <c r="F481" s="6"/>
      <c r="G481" s="6"/>
      <c r="H481" s="6" t="str">
        <f>IF(G481="","",G481)</f>
        <v/>
      </c>
      <c r="I481" s="3" t="str">
        <f>IF(H481="","",IF(H481&gt;=Setup!B7,"ناجح","إعادة تدريب"))</f>
        <v/>
      </c>
      <c r="J481" s="3"/>
      <c r="K481" s="3"/>
      <c r="L481" s="3"/>
      <c r="M481" s="3"/>
    </row>
    <row r="482" spans="1:13" x14ac:dyDescent="0.2">
      <c r="A482" s="3">
        <v>479</v>
      </c>
      <c r="B482" s="3"/>
      <c r="C482" s="3" t="str">
        <f>IFERROR(VLOOKUP(B482,Sessions!A:J,2,FALSE),"")</f>
        <v/>
      </c>
      <c r="D482" s="3"/>
      <c r="E482" s="3" t="str">
        <f>IFERROR(VLOOKUP(D482,Employees!A:L,2,FALSE),"")</f>
        <v/>
      </c>
      <c r="F482" s="6"/>
      <c r="G482" s="6"/>
      <c r="H482" s="6" t="str">
        <f>IF(G482="","",G482)</f>
        <v/>
      </c>
      <c r="I482" s="3" t="str">
        <f>IF(H482="","",IF(H482&gt;=Setup!B7,"ناجح","إعادة تدريب"))</f>
        <v/>
      </c>
      <c r="J482" s="3"/>
      <c r="K482" s="3"/>
      <c r="L482" s="3"/>
      <c r="M482" s="3"/>
    </row>
    <row r="483" spans="1:13" x14ac:dyDescent="0.2">
      <c r="A483" s="3">
        <v>480</v>
      </c>
      <c r="B483" s="3"/>
      <c r="C483" s="3" t="str">
        <f>IFERROR(VLOOKUP(B483,Sessions!A:J,2,FALSE),"")</f>
        <v/>
      </c>
      <c r="D483" s="3"/>
      <c r="E483" s="3" t="str">
        <f>IFERROR(VLOOKUP(D483,Employees!A:L,2,FALSE),"")</f>
        <v/>
      </c>
      <c r="F483" s="6"/>
      <c r="G483" s="6"/>
      <c r="H483" s="6" t="str">
        <f>IF(G483="","",G483)</f>
        <v/>
      </c>
      <c r="I483" s="3" t="str">
        <f>IF(H483="","",IF(H483&gt;=Setup!B7,"ناجح","إعادة تدريب"))</f>
        <v/>
      </c>
      <c r="J483" s="3"/>
      <c r="K483" s="3"/>
      <c r="L483" s="3"/>
      <c r="M483" s="3"/>
    </row>
    <row r="484" spans="1:13" x14ac:dyDescent="0.2">
      <c r="A484" s="3">
        <v>481</v>
      </c>
      <c r="B484" s="3"/>
      <c r="C484" s="3" t="str">
        <f>IFERROR(VLOOKUP(B484,Sessions!A:J,2,FALSE),"")</f>
        <v/>
      </c>
      <c r="D484" s="3"/>
      <c r="E484" s="3" t="str">
        <f>IFERROR(VLOOKUP(D484,Employees!A:L,2,FALSE),"")</f>
        <v/>
      </c>
      <c r="F484" s="6"/>
      <c r="G484" s="6"/>
      <c r="H484" s="6" t="str">
        <f>IF(G484="","",G484)</f>
        <v/>
      </c>
      <c r="I484" s="3" t="str">
        <f>IF(H484="","",IF(H484&gt;=Setup!B7,"ناجح","إعادة تدريب"))</f>
        <v/>
      </c>
      <c r="J484" s="3"/>
      <c r="K484" s="3"/>
      <c r="L484" s="3"/>
      <c r="M484" s="3"/>
    </row>
    <row r="485" spans="1:13" x14ac:dyDescent="0.2">
      <c r="A485" s="3">
        <v>482</v>
      </c>
      <c r="B485" s="3"/>
      <c r="C485" s="3" t="str">
        <f>IFERROR(VLOOKUP(B485,Sessions!A:J,2,FALSE),"")</f>
        <v/>
      </c>
      <c r="D485" s="3"/>
      <c r="E485" s="3" t="str">
        <f>IFERROR(VLOOKUP(D485,Employees!A:L,2,FALSE),"")</f>
        <v/>
      </c>
      <c r="F485" s="6"/>
      <c r="G485" s="6"/>
      <c r="H485" s="6" t="str">
        <f>IF(G485="","",G485)</f>
        <v/>
      </c>
      <c r="I485" s="3" t="str">
        <f>IF(H485="","",IF(H485&gt;=Setup!B7,"ناجح","إعادة تدريب"))</f>
        <v/>
      </c>
      <c r="J485" s="3"/>
      <c r="K485" s="3"/>
      <c r="L485" s="3"/>
      <c r="M485" s="3"/>
    </row>
    <row r="486" spans="1:13" x14ac:dyDescent="0.2">
      <c r="A486" s="3">
        <v>483</v>
      </c>
      <c r="B486" s="3"/>
      <c r="C486" s="3" t="str">
        <f>IFERROR(VLOOKUP(B486,Sessions!A:J,2,FALSE),"")</f>
        <v/>
      </c>
      <c r="D486" s="3"/>
      <c r="E486" s="3" t="str">
        <f>IFERROR(VLOOKUP(D486,Employees!A:L,2,FALSE),"")</f>
        <v/>
      </c>
      <c r="F486" s="6"/>
      <c r="G486" s="6"/>
      <c r="H486" s="6" t="str">
        <f>IF(G486="","",G486)</f>
        <v/>
      </c>
      <c r="I486" s="3" t="str">
        <f>IF(H486="","",IF(H486&gt;=Setup!B7,"ناجح","إعادة تدريب"))</f>
        <v/>
      </c>
      <c r="J486" s="3"/>
      <c r="K486" s="3"/>
      <c r="L486" s="3"/>
      <c r="M486" s="3"/>
    </row>
    <row r="487" spans="1:13" x14ac:dyDescent="0.2">
      <c r="A487" s="3">
        <v>484</v>
      </c>
      <c r="B487" s="3"/>
      <c r="C487" s="3" t="str">
        <f>IFERROR(VLOOKUP(B487,Sessions!A:J,2,FALSE),"")</f>
        <v/>
      </c>
      <c r="D487" s="3"/>
      <c r="E487" s="3" t="str">
        <f>IFERROR(VLOOKUP(D487,Employees!A:L,2,FALSE),"")</f>
        <v/>
      </c>
      <c r="F487" s="6"/>
      <c r="G487" s="6"/>
      <c r="H487" s="6" t="str">
        <f>IF(G487="","",G487)</f>
        <v/>
      </c>
      <c r="I487" s="3" t="str">
        <f>IF(H487="","",IF(H487&gt;=Setup!B7,"ناجح","إعادة تدريب"))</f>
        <v/>
      </c>
      <c r="J487" s="3"/>
      <c r="K487" s="3"/>
      <c r="L487" s="3"/>
      <c r="M487" s="3"/>
    </row>
    <row r="488" spans="1:13" x14ac:dyDescent="0.2">
      <c r="A488" s="3">
        <v>485</v>
      </c>
      <c r="B488" s="3"/>
      <c r="C488" s="3" t="str">
        <f>IFERROR(VLOOKUP(B488,Sessions!A:J,2,FALSE),"")</f>
        <v/>
      </c>
      <c r="D488" s="3"/>
      <c r="E488" s="3" t="str">
        <f>IFERROR(VLOOKUP(D488,Employees!A:L,2,FALSE),"")</f>
        <v/>
      </c>
      <c r="F488" s="6"/>
      <c r="G488" s="6"/>
      <c r="H488" s="6" t="str">
        <f>IF(G488="","",G488)</f>
        <v/>
      </c>
      <c r="I488" s="3" t="str">
        <f>IF(H488="","",IF(H488&gt;=Setup!B7,"ناجح","إعادة تدريب"))</f>
        <v/>
      </c>
      <c r="J488" s="3"/>
      <c r="K488" s="3"/>
      <c r="L488" s="3"/>
      <c r="M488" s="3"/>
    </row>
    <row r="489" spans="1:13" x14ac:dyDescent="0.2">
      <c r="A489" s="3">
        <v>486</v>
      </c>
      <c r="B489" s="3"/>
      <c r="C489" s="3" t="str">
        <f>IFERROR(VLOOKUP(B489,Sessions!A:J,2,FALSE),"")</f>
        <v/>
      </c>
      <c r="D489" s="3"/>
      <c r="E489" s="3" t="str">
        <f>IFERROR(VLOOKUP(D489,Employees!A:L,2,FALSE),"")</f>
        <v/>
      </c>
      <c r="F489" s="6"/>
      <c r="G489" s="6"/>
      <c r="H489" s="6" t="str">
        <f>IF(G489="","",G489)</f>
        <v/>
      </c>
      <c r="I489" s="3" t="str">
        <f>IF(H489="","",IF(H489&gt;=Setup!B7,"ناجح","إعادة تدريب"))</f>
        <v/>
      </c>
      <c r="J489" s="3"/>
      <c r="K489" s="3"/>
      <c r="L489" s="3"/>
      <c r="M489" s="3"/>
    </row>
    <row r="490" spans="1:13" x14ac:dyDescent="0.2">
      <c r="A490" s="3">
        <v>487</v>
      </c>
      <c r="B490" s="3"/>
      <c r="C490" s="3" t="str">
        <f>IFERROR(VLOOKUP(B490,Sessions!A:J,2,FALSE),"")</f>
        <v/>
      </c>
      <c r="D490" s="3"/>
      <c r="E490" s="3" t="str">
        <f>IFERROR(VLOOKUP(D490,Employees!A:L,2,FALSE),"")</f>
        <v/>
      </c>
      <c r="F490" s="6"/>
      <c r="G490" s="6"/>
      <c r="H490" s="6" t="str">
        <f>IF(G490="","",G490)</f>
        <v/>
      </c>
      <c r="I490" s="3" t="str">
        <f>IF(H490="","",IF(H490&gt;=Setup!B7,"ناجح","إعادة تدريب"))</f>
        <v/>
      </c>
      <c r="J490" s="3"/>
      <c r="K490" s="3"/>
      <c r="L490" s="3"/>
      <c r="M490" s="3"/>
    </row>
    <row r="491" spans="1:13" x14ac:dyDescent="0.2">
      <c r="A491" s="3">
        <v>488</v>
      </c>
      <c r="B491" s="3"/>
      <c r="C491" s="3" t="str">
        <f>IFERROR(VLOOKUP(B491,Sessions!A:J,2,FALSE),"")</f>
        <v/>
      </c>
      <c r="D491" s="3"/>
      <c r="E491" s="3" t="str">
        <f>IFERROR(VLOOKUP(D491,Employees!A:L,2,FALSE),"")</f>
        <v/>
      </c>
      <c r="F491" s="6"/>
      <c r="G491" s="6"/>
      <c r="H491" s="6" t="str">
        <f>IF(G491="","",G491)</f>
        <v/>
      </c>
      <c r="I491" s="3" t="str">
        <f>IF(H491="","",IF(H491&gt;=Setup!B7,"ناجح","إعادة تدريب"))</f>
        <v/>
      </c>
      <c r="J491" s="3"/>
      <c r="K491" s="3"/>
      <c r="L491" s="3"/>
      <c r="M491" s="3"/>
    </row>
    <row r="492" spans="1:13" x14ac:dyDescent="0.2">
      <c r="A492" s="3">
        <v>489</v>
      </c>
      <c r="B492" s="3"/>
      <c r="C492" s="3" t="str">
        <f>IFERROR(VLOOKUP(B492,Sessions!A:J,2,FALSE),"")</f>
        <v/>
      </c>
      <c r="D492" s="3"/>
      <c r="E492" s="3" t="str">
        <f>IFERROR(VLOOKUP(D492,Employees!A:L,2,FALSE),"")</f>
        <v/>
      </c>
      <c r="F492" s="6"/>
      <c r="G492" s="6"/>
      <c r="H492" s="6" t="str">
        <f>IF(G492="","",G492)</f>
        <v/>
      </c>
      <c r="I492" s="3" t="str">
        <f>IF(H492="","",IF(H492&gt;=Setup!B7,"ناجح","إعادة تدريب"))</f>
        <v/>
      </c>
      <c r="J492" s="3"/>
      <c r="K492" s="3"/>
      <c r="L492" s="3"/>
      <c r="M492" s="3"/>
    </row>
    <row r="493" spans="1:13" x14ac:dyDescent="0.2">
      <c r="A493" s="3">
        <v>490</v>
      </c>
      <c r="B493" s="3"/>
      <c r="C493" s="3" t="str">
        <f>IFERROR(VLOOKUP(B493,Sessions!A:J,2,FALSE),"")</f>
        <v/>
      </c>
      <c r="D493" s="3"/>
      <c r="E493" s="3" t="str">
        <f>IFERROR(VLOOKUP(D493,Employees!A:L,2,FALSE),"")</f>
        <v/>
      </c>
      <c r="F493" s="6"/>
      <c r="G493" s="6"/>
      <c r="H493" s="6" t="str">
        <f>IF(G493="","",G493)</f>
        <v/>
      </c>
      <c r="I493" s="3" t="str">
        <f>IF(H493="","",IF(H493&gt;=Setup!B7,"ناجح","إعادة تدريب"))</f>
        <v/>
      </c>
      <c r="J493" s="3"/>
      <c r="K493" s="3"/>
      <c r="L493" s="3"/>
      <c r="M493" s="3"/>
    </row>
    <row r="494" spans="1:13" x14ac:dyDescent="0.2">
      <c r="A494" s="3">
        <v>491</v>
      </c>
      <c r="B494" s="3"/>
      <c r="C494" s="3" t="str">
        <f>IFERROR(VLOOKUP(B494,Sessions!A:J,2,FALSE),"")</f>
        <v/>
      </c>
      <c r="D494" s="3"/>
      <c r="E494" s="3" t="str">
        <f>IFERROR(VLOOKUP(D494,Employees!A:L,2,FALSE),"")</f>
        <v/>
      </c>
      <c r="F494" s="6"/>
      <c r="G494" s="6"/>
      <c r="H494" s="6" t="str">
        <f>IF(G494="","",G494)</f>
        <v/>
      </c>
      <c r="I494" s="3" t="str">
        <f>IF(H494="","",IF(H494&gt;=Setup!B7,"ناجح","إعادة تدريب"))</f>
        <v/>
      </c>
      <c r="J494" s="3"/>
      <c r="K494" s="3"/>
      <c r="L494" s="3"/>
      <c r="M494" s="3"/>
    </row>
    <row r="495" spans="1:13" x14ac:dyDescent="0.2">
      <c r="A495" s="3">
        <v>492</v>
      </c>
      <c r="B495" s="3"/>
      <c r="C495" s="3" t="str">
        <f>IFERROR(VLOOKUP(B495,Sessions!A:J,2,FALSE),"")</f>
        <v/>
      </c>
      <c r="D495" s="3"/>
      <c r="E495" s="3" t="str">
        <f>IFERROR(VLOOKUP(D495,Employees!A:L,2,FALSE),"")</f>
        <v/>
      </c>
      <c r="F495" s="6"/>
      <c r="G495" s="6"/>
      <c r="H495" s="6" t="str">
        <f>IF(G495="","",G495)</f>
        <v/>
      </c>
      <c r="I495" s="3" t="str">
        <f>IF(H495="","",IF(H495&gt;=Setup!B7,"ناجح","إعادة تدريب"))</f>
        <v/>
      </c>
      <c r="J495" s="3"/>
      <c r="K495" s="3"/>
      <c r="L495" s="3"/>
      <c r="M495" s="3"/>
    </row>
    <row r="496" spans="1:13" x14ac:dyDescent="0.2">
      <c r="A496" s="3">
        <v>493</v>
      </c>
      <c r="B496" s="3"/>
      <c r="C496" s="3" t="str">
        <f>IFERROR(VLOOKUP(B496,Sessions!A:J,2,FALSE),"")</f>
        <v/>
      </c>
      <c r="D496" s="3"/>
      <c r="E496" s="3" t="str">
        <f>IFERROR(VLOOKUP(D496,Employees!A:L,2,FALSE),"")</f>
        <v/>
      </c>
      <c r="F496" s="6"/>
      <c r="G496" s="6"/>
      <c r="H496" s="6" t="str">
        <f>IF(G496="","",G496)</f>
        <v/>
      </c>
      <c r="I496" s="3" t="str">
        <f>IF(H496="","",IF(H496&gt;=Setup!B7,"ناجح","إعادة تدريب"))</f>
        <v/>
      </c>
      <c r="J496" s="3"/>
      <c r="K496" s="3"/>
      <c r="L496" s="3"/>
      <c r="M496" s="3"/>
    </row>
    <row r="497" spans="1:13" x14ac:dyDescent="0.2">
      <c r="A497" s="3">
        <v>494</v>
      </c>
      <c r="B497" s="3"/>
      <c r="C497" s="3" t="str">
        <f>IFERROR(VLOOKUP(B497,Sessions!A:J,2,FALSE),"")</f>
        <v/>
      </c>
      <c r="D497" s="3"/>
      <c r="E497" s="3" t="str">
        <f>IFERROR(VLOOKUP(D497,Employees!A:L,2,FALSE),"")</f>
        <v/>
      </c>
      <c r="F497" s="6"/>
      <c r="G497" s="6"/>
      <c r="H497" s="6" t="str">
        <f>IF(G497="","",G497)</f>
        <v/>
      </c>
      <c r="I497" s="3" t="str">
        <f>IF(H497="","",IF(H497&gt;=Setup!B7,"ناجح","إعادة تدريب"))</f>
        <v/>
      </c>
      <c r="J497" s="3"/>
      <c r="K497" s="3"/>
      <c r="L497" s="3"/>
      <c r="M497" s="3"/>
    </row>
    <row r="498" spans="1:13" x14ac:dyDescent="0.2">
      <c r="A498" s="3">
        <v>495</v>
      </c>
      <c r="B498" s="3"/>
      <c r="C498" s="3" t="str">
        <f>IFERROR(VLOOKUP(B498,Sessions!A:J,2,FALSE),"")</f>
        <v/>
      </c>
      <c r="D498" s="3"/>
      <c r="E498" s="3" t="str">
        <f>IFERROR(VLOOKUP(D498,Employees!A:L,2,FALSE),"")</f>
        <v/>
      </c>
      <c r="F498" s="6"/>
      <c r="G498" s="6"/>
      <c r="H498" s="6" t="str">
        <f>IF(G498="","",G498)</f>
        <v/>
      </c>
      <c r="I498" s="3" t="str">
        <f>IF(H498="","",IF(H498&gt;=Setup!B7,"ناجح","إعادة تدريب"))</f>
        <v/>
      </c>
      <c r="J498" s="3"/>
      <c r="K498" s="3"/>
      <c r="L498" s="3"/>
      <c r="M498" s="3"/>
    </row>
    <row r="499" spans="1:13" x14ac:dyDescent="0.2">
      <c r="A499" s="3">
        <v>496</v>
      </c>
      <c r="B499" s="3"/>
      <c r="C499" s="3" t="str">
        <f>IFERROR(VLOOKUP(B499,Sessions!A:J,2,FALSE),"")</f>
        <v/>
      </c>
      <c r="D499" s="3"/>
      <c r="E499" s="3" t="str">
        <f>IFERROR(VLOOKUP(D499,Employees!A:L,2,FALSE),"")</f>
        <v/>
      </c>
      <c r="F499" s="6"/>
      <c r="G499" s="6"/>
      <c r="H499" s="6" t="str">
        <f>IF(G499="","",G499)</f>
        <v/>
      </c>
      <c r="I499" s="3" t="str">
        <f>IF(H499="","",IF(H499&gt;=Setup!B7,"ناجح","إعادة تدريب"))</f>
        <v/>
      </c>
      <c r="J499" s="3"/>
      <c r="K499" s="3"/>
      <c r="L499" s="3"/>
      <c r="M499" s="3"/>
    </row>
    <row r="500" spans="1:13" x14ac:dyDescent="0.2">
      <c r="A500" s="3">
        <v>497</v>
      </c>
      <c r="B500" s="3"/>
      <c r="C500" s="3" t="str">
        <f>IFERROR(VLOOKUP(B500,Sessions!A:J,2,FALSE),"")</f>
        <v/>
      </c>
      <c r="D500" s="3"/>
      <c r="E500" s="3" t="str">
        <f>IFERROR(VLOOKUP(D500,Employees!A:L,2,FALSE),"")</f>
        <v/>
      </c>
      <c r="F500" s="6"/>
      <c r="G500" s="6"/>
      <c r="H500" s="6" t="str">
        <f>IF(G500="","",G500)</f>
        <v/>
      </c>
      <c r="I500" s="3" t="str">
        <f>IF(H500="","",IF(H500&gt;=Setup!B7,"ناجح","إعادة تدريب"))</f>
        <v/>
      </c>
      <c r="J500" s="3"/>
      <c r="K500" s="3"/>
      <c r="L500" s="3"/>
      <c r="M500" s="3"/>
    </row>
    <row r="501" spans="1:13" x14ac:dyDescent="0.2">
      <c r="A501" s="3">
        <v>498</v>
      </c>
      <c r="B501" s="3"/>
      <c r="C501" s="3" t="str">
        <f>IFERROR(VLOOKUP(B501,Sessions!A:J,2,FALSE),"")</f>
        <v/>
      </c>
      <c r="D501" s="3"/>
      <c r="E501" s="3" t="str">
        <f>IFERROR(VLOOKUP(D501,Employees!A:L,2,FALSE),"")</f>
        <v/>
      </c>
      <c r="F501" s="6"/>
      <c r="G501" s="6"/>
      <c r="H501" s="6" t="str">
        <f>IF(G501="","",G501)</f>
        <v/>
      </c>
      <c r="I501" s="3" t="str">
        <f>IF(H501="","",IF(H501&gt;=Setup!B7,"ناجح","إعادة تدريب"))</f>
        <v/>
      </c>
      <c r="J501" s="3"/>
      <c r="K501" s="3"/>
      <c r="L501" s="3"/>
      <c r="M501" s="3"/>
    </row>
    <row r="502" spans="1:13" x14ac:dyDescent="0.2">
      <c r="A502" s="3">
        <v>499</v>
      </c>
      <c r="B502" s="3"/>
      <c r="C502" s="3" t="str">
        <f>IFERROR(VLOOKUP(B502,Sessions!A:J,2,FALSE),"")</f>
        <v/>
      </c>
      <c r="D502" s="3"/>
      <c r="E502" s="3" t="str">
        <f>IFERROR(VLOOKUP(D502,Employees!A:L,2,FALSE),"")</f>
        <v/>
      </c>
      <c r="F502" s="6"/>
      <c r="G502" s="6"/>
      <c r="H502" s="6" t="str">
        <f>IF(G502="","",G502)</f>
        <v/>
      </c>
      <c r="I502" s="3" t="str">
        <f>IF(H502="","",IF(H502&gt;=Setup!B7,"ناجح","إعادة تدريب"))</f>
        <v/>
      </c>
      <c r="J502" s="3"/>
      <c r="K502" s="3"/>
      <c r="L502" s="3"/>
      <c r="M502" s="3"/>
    </row>
    <row r="503" spans="1:13" x14ac:dyDescent="0.2">
      <c r="A503" s="3">
        <v>500</v>
      </c>
      <c r="B503" s="3"/>
      <c r="C503" s="3" t="str">
        <f>IFERROR(VLOOKUP(B503,Sessions!A:J,2,FALSE),"")</f>
        <v/>
      </c>
      <c r="D503" s="3"/>
      <c r="E503" s="3" t="str">
        <f>IFERROR(VLOOKUP(D503,Employees!A:L,2,FALSE),"")</f>
        <v/>
      </c>
      <c r="F503" s="6"/>
      <c r="G503" s="6"/>
      <c r="H503" s="6" t="str">
        <f>IF(G503="","",G503)</f>
        <v/>
      </c>
      <c r="I503" s="3" t="str">
        <f>IF(H503="","",IF(H503&gt;=Setup!B7,"ناجح","إعادة تدريب"))</f>
        <v/>
      </c>
      <c r="J503" s="3"/>
      <c r="K503" s="3"/>
      <c r="L503" s="3"/>
      <c r="M503" s="3"/>
    </row>
    <row r="504" spans="1:13" x14ac:dyDescent="0.2">
      <c r="A504" s="3">
        <v>501</v>
      </c>
      <c r="B504" s="3"/>
      <c r="C504" s="3" t="str">
        <f>IFERROR(VLOOKUP(B504,Sessions!A:J,2,FALSE),"")</f>
        <v/>
      </c>
      <c r="D504" s="3"/>
      <c r="E504" s="3" t="str">
        <f>IFERROR(VLOOKUP(D504,Employees!A:L,2,FALSE),"")</f>
        <v/>
      </c>
      <c r="F504" s="6"/>
      <c r="G504" s="6"/>
      <c r="H504" s="6" t="str">
        <f>IF(G504="","",G504)</f>
        <v/>
      </c>
      <c r="I504" s="3" t="str">
        <f>IF(H504="","",IF(H504&gt;=Setup!B7,"ناجح","إعادة تدريب"))</f>
        <v/>
      </c>
      <c r="J504" s="3"/>
      <c r="K504" s="3"/>
      <c r="L504" s="3"/>
      <c r="M504" s="3"/>
    </row>
    <row r="505" spans="1:13" x14ac:dyDescent="0.2">
      <c r="A505" s="3">
        <v>502</v>
      </c>
      <c r="B505" s="3"/>
      <c r="C505" s="3" t="str">
        <f>IFERROR(VLOOKUP(B505,Sessions!A:J,2,FALSE),"")</f>
        <v/>
      </c>
      <c r="D505" s="3"/>
      <c r="E505" s="3" t="str">
        <f>IFERROR(VLOOKUP(D505,Employees!A:L,2,FALSE),"")</f>
        <v/>
      </c>
      <c r="F505" s="6"/>
      <c r="G505" s="6"/>
      <c r="H505" s="6" t="str">
        <f>IF(G505="","",G505)</f>
        <v/>
      </c>
      <c r="I505" s="3" t="str">
        <f>IF(H505="","",IF(H505&gt;=Setup!B7,"ناجح","إعادة تدريب"))</f>
        <v/>
      </c>
      <c r="J505" s="3"/>
      <c r="K505" s="3"/>
      <c r="L505" s="3"/>
      <c r="M505" s="3"/>
    </row>
    <row r="506" spans="1:13" x14ac:dyDescent="0.2">
      <c r="A506" s="3">
        <v>503</v>
      </c>
      <c r="B506" s="3"/>
      <c r="C506" s="3" t="str">
        <f>IFERROR(VLOOKUP(B506,Sessions!A:J,2,FALSE),"")</f>
        <v/>
      </c>
      <c r="D506" s="3"/>
      <c r="E506" s="3" t="str">
        <f>IFERROR(VLOOKUP(D506,Employees!A:L,2,FALSE),"")</f>
        <v/>
      </c>
      <c r="F506" s="6"/>
      <c r="G506" s="6"/>
      <c r="H506" s="6" t="str">
        <f>IF(G506="","",G506)</f>
        <v/>
      </c>
      <c r="I506" s="3" t="str">
        <f>IF(H506="","",IF(H506&gt;=Setup!B7,"ناجح","إعادة تدريب"))</f>
        <v/>
      </c>
      <c r="J506" s="3"/>
      <c r="K506" s="3"/>
      <c r="L506" s="3"/>
      <c r="M506" s="3"/>
    </row>
    <row r="507" spans="1:13" x14ac:dyDescent="0.2">
      <c r="A507" s="3">
        <v>504</v>
      </c>
      <c r="B507" s="3"/>
      <c r="C507" s="3" t="str">
        <f>IFERROR(VLOOKUP(B507,Sessions!A:J,2,FALSE),"")</f>
        <v/>
      </c>
      <c r="D507" s="3"/>
      <c r="E507" s="3" t="str">
        <f>IFERROR(VLOOKUP(D507,Employees!A:L,2,FALSE),"")</f>
        <v/>
      </c>
      <c r="F507" s="6"/>
      <c r="G507" s="6"/>
      <c r="H507" s="6" t="str">
        <f>IF(G507="","",G507)</f>
        <v/>
      </c>
      <c r="I507" s="3" t="str">
        <f>IF(H507="","",IF(H507&gt;=Setup!B7,"ناجح","إعادة تدريب"))</f>
        <v/>
      </c>
      <c r="J507" s="3"/>
      <c r="K507" s="3"/>
      <c r="L507" s="3"/>
      <c r="M507" s="3"/>
    </row>
    <row r="508" spans="1:13" x14ac:dyDescent="0.2">
      <c r="A508" s="3">
        <v>505</v>
      </c>
      <c r="B508" s="3"/>
      <c r="C508" s="3" t="str">
        <f>IFERROR(VLOOKUP(B508,Sessions!A:J,2,FALSE),"")</f>
        <v/>
      </c>
      <c r="D508" s="3"/>
      <c r="E508" s="3" t="str">
        <f>IFERROR(VLOOKUP(D508,Employees!A:L,2,FALSE),"")</f>
        <v/>
      </c>
      <c r="F508" s="6"/>
      <c r="G508" s="6"/>
      <c r="H508" s="6" t="str">
        <f>IF(G508="","",G508)</f>
        <v/>
      </c>
      <c r="I508" s="3" t="str">
        <f>IF(H508="","",IF(H508&gt;=Setup!B7,"ناجح","إعادة تدريب"))</f>
        <v/>
      </c>
      <c r="J508" s="3"/>
      <c r="K508" s="3"/>
      <c r="L508" s="3"/>
      <c r="M508" s="3"/>
    </row>
    <row r="509" spans="1:13" x14ac:dyDescent="0.2">
      <c r="A509" s="3">
        <v>506</v>
      </c>
      <c r="B509" s="3"/>
      <c r="C509" s="3" t="str">
        <f>IFERROR(VLOOKUP(B509,Sessions!A:J,2,FALSE),"")</f>
        <v/>
      </c>
      <c r="D509" s="3"/>
      <c r="E509" s="3" t="str">
        <f>IFERROR(VLOOKUP(D509,Employees!A:L,2,FALSE),"")</f>
        <v/>
      </c>
      <c r="F509" s="6"/>
      <c r="G509" s="6"/>
      <c r="H509" s="6" t="str">
        <f>IF(G509="","",G509)</f>
        <v/>
      </c>
      <c r="I509" s="3" t="str">
        <f>IF(H509="","",IF(H509&gt;=Setup!B7,"ناجح","إعادة تدريب"))</f>
        <v/>
      </c>
      <c r="J509" s="3"/>
      <c r="K509" s="3"/>
      <c r="L509" s="3"/>
      <c r="M509" s="3"/>
    </row>
    <row r="510" spans="1:13" x14ac:dyDescent="0.2">
      <c r="A510" s="3">
        <v>507</v>
      </c>
      <c r="B510" s="3"/>
      <c r="C510" s="3" t="str">
        <f>IFERROR(VLOOKUP(B510,Sessions!A:J,2,FALSE),"")</f>
        <v/>
      </c>
      <c r="D510" s="3"/>
      <c r="E510" s="3" t="str">
        <f>IFERROR(VLOOKUP(D510,Employees!A:L,2,FALSE),"")</f>
        <v/>
      </c>
      <c r="F510" s="6"/>
      <c r="G510" s="6"/>
      <c r="H510" s="6" t="str">
        <f>IF(G510="","",G510)</f>
        <v/>
      </c>
      <c r="I510" s="3" t="str">
        <f>IF(H510="","",IF(H510&gt;=Setup!B7,"ناجح","إعادة تدريب"))</f>
        <v/>
      </c>
      <c r="J510" s="3"/>
      <c r="K510" s="3"/>
      <c r="L510" s="3"/>
      <c r="M510" s="3"/>
    </row>
    <row r="511" spans="1:13" x14ac:dyDescent="0.2">
      <c r="A511" s="3">
        <v>508</v>
      </c>
      <c r="B511" s="3"/>
      <c r="C511" s="3" t="str">
        <f>IFERROR(VLOOKUP(B511,Sessions!A:J,2,FALSE),"")</f>
        <v/>
      </c>
      <c r="D511" s="3"/>
      <c r="E511" s="3" t="str">
        <f>IFERROR(VLOOKUP(D511,Employees!A:L,2,FALSE),"")</f>
        <v/>
      </c>
      <c r="F511" s="6"/>
      <c r="G511" s="6"/>
      <c r="H511" s="6" t="str">
        <f>IF(G511="","",G511)</f>
        <v/>
      </c>
      <c r="I511" s="3" t="str">
        <f>IF(H511="","",IF(H511&gt;=Setup!B7,"ناجح","إعادة تدريب"))</f>
        <v/>
      </c>
      <c r="J511" s="3"/>
      <c r="K511" s="3"/>
      <c r="L511" s="3"/>
      <c r="M511" s="3"/>
    </row>
    <row r="512" spans="1:13" x14ac:dyDescent="0.2">
      <c r="A512" s="3">
        <v>509</v>
      </c>
      <c r="B512" s="3"/>
      <c r="C512" s="3" t="str">
        <f>IFERROR(VLOOKUP(B512,Sessions!A:J,2,FALSE),"")</f>
        <v/>
      </c>
      <c r="D512" s="3"/>
      <c r="E512" s="3" t="str">
        <f>IFERROR(VLOOKUP(D512,Employees!A:L,2,FALSE),"")</f>
        <v/>
      </c>
      <c r="F512" s="6"/>
      <c r="G512" s="6"/>
      <c r="H512" s="6" t="str">
        <f>IF(G512="","",G512)</f>
        <v/>
      </c>
      <c r="I512" s="3" t="str">
        <f>IF(H512="","",IF(H512&gt;=Setup!B7,"ناجح","إعادة تدريب"))</f>
        <v/>
      </c>
      <c r="J512" s="3"/>
      <c r="K512" s="3"/>
      <c r="L512" s="3"/>
      <c r="M512" s="3"/>
    </row>
    <row r="513" spans="1:13" x14ac:dyDescent="0.2">
      <c r="A513" s="3">
        <v>510</v>
      </c>
      <c r="B513" s="3"/>
      <c r="C513" s="3" t="str">
        <f>IFERROR(VLOOKUP(B513,Sessions!A:J,2,FALSE),"")</f>
        <v/>
      </c>
      <c r="D513" s="3"/>
      <c r="E513" s="3" t="str">
        <f>IFERROR(VLOOKUP(D513,Employees!A:L,2,FALSE),"")</f>
        <v/>
      </c>
      <c r="F513" s="6"/>
      <c r="G513" s="6"/>
      <c r="H513" s="6" t="str">
        <f>IF(G513="","",G513)</f>
        <v/>
      </c>
      <c r="I513" s="3" t="str">
        <f>IF(H513="","",IF(H513&gt;=Setup!B7,"ناجح","إعادة تدريب"))</f>
        <v/>
      </c>
      <c r="J513" s="3"/>
      <c r="K513" s="3"/>
      <c r="L513" s="3"/>
      <c r="M513" s="3"/>
    </row>
    <row r="514" spans="1:13" x14ac:dyDescent="0.2">
      <c r="A514" s="3">
        <v>511</v>
      </c>
      <c r="B514" s="3"/>
      <c r="C514" s="3" t="str">
        <f>IFERROR(VLOOKUP(B514,Sessions!A:J,2,FALSE),"")</f>
        <v/>
      </c>
      <c r="D514" s="3"/>
      <c r="E514" s="3" t="str">
        <f>IFERROR(VLOOKUP(D514,Employees!A:L,2,FALSE),"")</f>
        <v/>
      </c>
      <c r="F514" s="6"/>
      <c r="G514" s="6"/>
      <c r="H514" s="6" t="str">
        <f>IF(G514="","",G514)</f>
        <v/>
      </c>
      <c r="I514" s="3" t="str">
        <f>IF(H514="","",IF(H514&gt;=Setup!B7,"ناجح","إعادة تدريب"))</f>
        <v/>
      </c>
      <c r="J514" s="3"/>
      <c r="K514" s="3"/>
      <c r="L514" s="3"/>
      <c r="M514" s="3"/>
    </row>
    <row r="515" spans="1:13" x14ac:dyDescent="0.2">
      <c r="A515" s="3">
        <v>512</v>
      </c>
      <c r="B515" s="3"/>
      <c r="C515" s="3" t="str">
        <f>IFERROR(VLOOKUP(B515,Sessions!A:J,2,FALSE),"")</f>
        <v/>
      </c>
      <c r="D515" s="3"/>
      <c r="E515" s="3" t="str">
        <f>IFERROR(VLOOKUP(D515,Employees!A:L,2,FALSE),"")</f>
        <v/>
      </c>
      <c r="F515" s="6"/>
      <c r="G515" s="6"/>
      <c r="H515" s="6" t="str">
        <f>IF(G515="","",G515)</f>
        <v/>
      </c>
      <c r="I515" s="3" t="str">
        <f>IF(H515="","",IF(H515&gt;=Setup!B7,"ناجح","إعادة تدريب"))</f>
        <v/>
      </c>
      <c r="J515" s="3"/>
      <c r="K515" s="3"/>
      <c r="L515" s="3"/>
      <c r="M515" s="3"/>
    </row>
    <row r="516" spans="1:13" x14ac:dyDescent="0.2">
      <c r="A516" s="3">
        <v>513</v>
      </c>
      <c r="B516" s="3"/>
      <c r="C516" s="3" t="str">
        <f>IFERROR(VLOOKUP(B516,Sessions!A:J,2,FALSE),"")</f>
        <v/>
      </c>
      <c r="D516" s="3"/>
      <c r="E516" s="3" t="str">
        <f>IFERROR(VLOOKUP(D516,Employees!A:L,2,FALSE),"")</f>
        <v/>
      </c>
      <c r="F516" s="6"/>
      <c r="G516" s="6"/>
      <c r="H516" s="6" t="str">
        <f>IF(G516="","",G516)</f>
        <v/>
      </c>
      <c r="I516" s="3" t="str">
        <f>IF(H516="","",IF(H516&gt;=Setup!B7,"ناجح","إعادة تدريب"))</f>
        <v/>
      </c>
      <c r="J516" s="3"/>
      <c r="K516" s="3"/>
      <c r="L516" s="3"/>
      <c r="M516" s="3"/>
    </row>
    <row r="517" spans="1:13" x14ac:dyDescent="0.2">
      <c r="A517" s="3">
        <v>514</v>
      </c>
      <c r="B517" s="3"/>
      <c r="C517" s="3" t="str">
        <f>IFERROR(VLOOKUP(B517,Sessions!A:J,2,FALSE),"")</f>
        <v/>
      </c>
      <c r="D517" s="3"/>
      <c r="E517" s="3" t="str">
        <f>IFERROR(VLOOKUP(D517,Employees!A:L,2,FALSE),"")</f>
        <v/>
      </c>
      <c r="F517" s="6"/>
      <c r="G517" s="6"/>
      <c r="H517" s="6" t="str">
        <f>IF(G517="","",G517)</f>
        <v/>
      </c>
      <c r="I517" s="3" t="str">
        <f>IF(H517="","",IF(H517&gt;=Setup!B7,"ناجح","إعادة تدريب"))</f>
        <v/>
      </c>
      <c r="J517" s="3"/>
      <c r="K517" s="3"/>
      <c r="L517" s="3"/>
      <c r="M517" s="3"/>
    </row>
    <row r="518" spans="1:13" x14ac:dyDescent="0.2">
      <c r="A518" s="3">
        <v>515</v>
      </c>
      <c r="B518" s="3"/>
      <c r="C518" s="3" t="str">
        <f>IFERROR(VLOOKUP(B518,Sessions!A:J,2,FALSE),"")</f>
        <v/>
      </c>
      <c r="D518" s="3"/>
      <c r="E518" s="3" t="str">
        <f>IFERROR(VLOOKUP(D518,Employees!A:L,2,FALSE),"")</f>
        <v/>
      </c>
      <c r="F518" s="6"/>
      <c r="G518" s="6"/>
      <c r="H518" s="6" t="str">
        <f>IF(G518="","",G518)</f>
        <v/>
      </c>
      <c r="I518" s="3" t="str">
        <f>IF(H518="","",IF(H518&gt;=Setup!B7,"ناجح","إعادة تدريب"))</f>
        <v/>
      </c>
      <c r="J518" s="3"/>
      <c r="K518" s="3"/>
      <c r="L518" s="3"/>
      <c r="M518" s="3"/>
    </row>
    <row r="519" spans="1:13" x14ac:dyDescent="0.2">
      <c r="A519" s="3">
        <v>516</v>
      </c>
      <c r="B519" s="3"/>
      <c r="C519" s="3" t="str">
        <f>IFERROR(VLOOKUP(B519,Sessions!A:J,2,FALSE),"")</f>
        <v/>
      </c>
      <c r="D519" s="3"/>
      <c r="E519" s="3" t="str">
        <f>IFERROR(VLOOKUP(D519,Employees!A:L,2,FALSE),"")</f>
        <v/>
      </c>
      <c r="F519" s="6"/>
      <c r="G519" s="6"/>
      <c r="H519" s="6" t="str">
        <f>IF(G519="","",G519)</f>
        <v/>
      </c>
      <c r="I519" s="3" t="str">
        <f>IF(H519="","",IF(H519&gt;=Setup!B7,"ناجح","إعادة تدريب"))</f>
        <v/>
      </c>
      <c r="J519" s="3"/>
      <c r="K519" s="3"/>
      <c r="L519" s="3"/>
      <c r="M519" s="3"/>
    </row>
    <row r="520" spans="1:13" x14ac:dyDescent="0.2">
      <c r="A520" s="3">
        <v>517</v>
      </c>
      <c r="B520" s="3"/>
      <c r="C520" s="3" t="str">
        <f>IFERROR(VLOOKUP(B520,Sessions!A:J,2,FALSE),"")</f>
        <v/>
      </c>
      <c r="D520" s="3"/>
      <c r="E520" s="3" t="str">
        <f>IFERROR(VLOOKUP(D520,Employees!A:L,2,FALSE),"")</f>
        <v/>
      </c>
      <c r="F520" s="6"/>
      <c r="G520" s="6"/>
      <c r="H520" s="6" t="str">
        <f>IF(G520="","",G520)</f>
        <v/>
      </c>
      <c r="I520" s="3" t="str">
        <f>IF(H520="","",IF(H520&gt;=Setup!B7,"ناجح","إعادة تدريب"))</f>
        <v/>
      </c>
      <c r="J520" s="3"/>
      <c r="K520" s="3"/>
      <c r="L520" s="3"/>
      <c r="M520" s="3"/>
    </row>
    <row r="521" spans="1:13" x14ac:dyDescent="0.2">
      <c r="A521" s="3">
        <v>518</v>
      </c>
      <c r="B521" s="3"/>
      <c r="C521" s="3" t="str">
        <f>IFERROR(VLOOKUP(B521,Sessions!A:J,2,FALSE),"")</f>
        <v/>
      </c>
      <c r="D521" s="3"/>
      <c r="E521" s="3" t="str">
        <f>IFERROR(VLOOKUP(D521,Employees!A:L,2,FALSE),"")</f>
        <v/>
      </c>
      <c r="F521" s="6"/>
      <c r="G521" s="6"/>
      <c r="H521" s="6" t="str">
        <f>IF(G521="","",G521)</f>
        <v/>
      </c>
      <c r="I521" s="3" t="str">
        <f>IF(H521="","",IF(H521&gt;=Setup!B7,"ناجح","إعادة تدريب"))</f>
        <v/>
      </c>
      <c r="J521" s="3"/>
      <c r="K521" s="3"/>
      <c r="L521" s="3"/>
      <c r="M521" s="3"/>
    </row>
    <row r="522" spans="1:13" x14ac:dyDescent="0.2">
      <c r="A522" s="3">
        <v>519</v>
      </c>
      <c r="B522" s="3"/>
      <c r="C522" s="3" t="str">
        <f>IFERROR(VLOOKUP(B522,Sessions!A:J,2,FALSE),"")</f>
        <v/>
      </c>
      <c r="D522" s="3"/>
      <c r="E522" s="3" t="str">
        <f>IFERROR(VLOOKUP(D522,Employees!A:L,2,FALSE),"")</f>
        <v/>
      </c>
      <c r="F522" s="6"/>
      <c r="G522" s="6"/>
      <c r="H522" s="6" t="str">
        <f>IF(G522="","",G522)</f>
        <v/>
      </c>
      <c r="I522" s="3" t="str">
        <f>IF(H522="","",IF(H522&gt;=Setup!B7,"ناجح","إعادة تدريب"))</f>
        <v/>
      </c>
      <c r="J522" s="3"/>
      <c r="K522" s="3"/>
      <c r="L522" s="3"/>
      <c r="M522" s="3"/>
    </row>
    <row r="523" spans="1:13" x14ac:dyDescent="0.2">
      <c r="A523" s="3">
        <v>520</v>
      </c>
      <c r="B523" s="3"/>
      <c r="C523" s="3" t="str">
        <f>IFERROR(VLOOKUP(B523,Sessions!A:J,2,FALSE),"")</f>
        <v/>
      </c>
      <c r="D523" s="3"/>
      <c r="E523" s="3" t="str">
        <f>IFERROR(VLOOKUP(D523,Employees!A:L,2,FALSE),"")</f>
        <v/>
      </c>
      <c r="F523" s="6"/>
      <c r="G523" s="6"/>
      <c r="H523" s="6" t="str">
        <f>IF(G523="","",G523)</f>
        <v/>
      </c>
      <c r="I523" s="3" t="str">
        <f>IF(H523="","",IF(H523&gt;=Setup!B7,"ناجح","إعادة تدريب"))</f>
        <v/>
      </c>
      <c r="J523" s="3"/>
      <c r="K523" s="3"/>
      <c r="L523" s="3"/>
      <c r="M523" s="3"/>
    </row>
    <row r="524" spans="1:13" x14ac:dyDescent="0.2">
      <c r="A524" s="3">
        <v>521</v>
      </c>
      <c r="B524" s="3"/>
      <c r="C524" s="3" t="str">
        <f>IFERROR(VLOOKUP(B524,Sessions!A:J,2,FALSE),"")</f>
        <v/>
      </c>
      <c r="D524" s="3"/>
      <c r="E524" s="3" t="str">
        <f>IFERROR(VLOOKUP(D524,Employees!A:L,2,FALSE),"")</f>
        <v/>
      </c>
      <c r="F524" s="6"/>
      <c r="G524" s="6"/>
      <c r="H524" s="6" t="str">
        <f>IF(G524="","",G524)</f>
        <v/>
      </c>
      <c r="I524" s="3" t="str">
        <f>IF(H524="","",IF(H524&gt;=Setup!B7,"ناجح","إعادة تدريب"))</f>
        <v/>
      </c>
      <c r="J524" s="3"/>
      <c r="K524" s="3"/>
      <c r="L524" s="3"/>
      <c r="M524" s="3"/>
    </row>
    <row r="525" spans="1:13" x14ac:dyDescent="0.2">
      <c r="A525" s="3">
        <v>522</v>
      </c>
      <c r="B525" s="3"/>
      <c r="C525" s="3" t="str">
        <f>IFERROR(VLOOKUP(B525,Sessions!A:J,2,FALSE),"")</f>
        <v/>
      </c>
      <c r="D525" s="3"/>
      <c r="E525" s="3" t="str">
        <f>IFERROR(VLOOKUP(D525,Employees!A:L,2,FALSE),"")</f>
        <v/>
      </c>
      <c r="F525" s="6"/>
      <c r="G525" s="6"/>
      <c r="H525" s="6" t="str">
        <f>IF(G525="","",G525)</f>
        <v/>
      </c>
      <c r="I525" s="3" t="str">
        <f>IF(H525="","",IF(H525&gt;=Setup!B7,"ناجح","إعادة تدريب"))</f>
        <v/>
      </c>
      <c r="J525" s="3"/>
      <c r="K525" s="3"/>
      <c r="L525" s="3"/>
      <c r="M525" s="3"/>
    </row>
    <row r="526" spans="1:13" x14ac:dyDescent="0.2">
      <c r="A526" s="3">
        <v>523</v>
      </c>
      <c r="B526" s="3"/>
      <c r="C526" s="3" t="str">
        <f>IFERROR(VLOOKUP(B526,Sessions!A:J,2,FALSE),"")</f>
        <v/>
      </c>
      <c r="D526" s="3"/>
      <c r="E526" s="3" t="str">
        <f>IFERROR(VLOOKUP(D526,Employees!A:L,2,FALSE),"")</f>
        <v/>
      </c>
      <c r="F526" s="6"/>
      <c r="G526" s="6"/>
      <c r="H526" s="6" t="str">
        <f>IF(G526="","",G526)</f>
        <v/>
      </c>
      <c r="I526" s="3" t="str">
        <f>IF(H526="","",IF(H526&gt;=Setup!B7,"ناجح","إعادة تدريب"))</f>
        <v/>
      </c>
      <c r="J526" s="3"/>
      <c r="K526" s="3"/>
      <c r="L526" s="3"/>
      <c r="M526" s="3"/>
    </row>
    <row r="527" spans="1:13" x14ac:dyDescent="0.2">
      <c r="A527" s="3">
        <v>524</v>
      </c>
      <c r="B527" s="3"/>
      <c r="C527" s="3" t="str">
        <f>IFERROR(VLOOKUP(B527,Sessions!A:J,2,FALSE),"")</f>
        <v/>
      </c>
      <c r="D527" s="3"/>
      <c r="E527" s="3" t="str">
        <f>IFERROR(VLOOKUP(D527,Employees!A:L,2,FALSE),"")</f>
        <v/>
      </c>
      <c r="F527" s="6"/>
      <c r="G527" s="6"/>
      <c r="H527" s="6" t="str">
        <f>IF(G527="","",G527)</f>
        <v/>
      </c>
      <c r="I527" s="3" t="str">
        <f>IF(H527="","",IF(H527&gt;=Setup!B7,"ناجح","إعادة تدريب"))</f>
        <v/>
      </c>
      <c r="J527" s="3"/>
      <c r="K527" s="3"/>
      <c r="L527" s="3"/>
      <c r="M527" s="3"/>
    </row>
    <row r="528" spans="1:13" x14ac:dyDescent="0.2">
      <c r="A528" s="3">
        <v>525</v>
      </c>
      <c r="B528" s="3"/>
      <c r="C528" s="3" t="str">
        <f>IFERROR(VLOOKUP(B528,Sessions!A:J,2,FALSE),"")</f>
        <v/>
      </c>
      <c r="D528" s="3"/>
      <c r="E528" s="3" t="str">
        <f>IFERROR(VLOOKUP(D528,Employees!A:L,2,FALSE),"")</f>
        <v/>
      </c>
      <c r="F528" s="6"/>
      <c r="G528" s="6"/>
      <c r="H528" s="6" t="str">
        <f>IF(G528="","",G528)</f>
        <v/>
      </c>
      <c r="I528" s="3" t="str">
        <f>IF(H528="","",IF(H528&gt;=Setup!B7,"ناجح","إعادة تدريب"))</f>
        <v/>
      </c>
      <c r="J528" s="3"/>
      <c r="K528" s="3"/>
      <c r="L528" s="3"/>
      <c r="M528" s="3"/>
    </row>
    <row r="529" spans="1:13" x14ac:dyDescent="0.2">
      <c r="A529" s="3">
        <v>526</v>
      </c>
      <c r="B529" s="3"/>
      <c r="C529" s="3" t="str">
        <f>IFERROR(VLOOKUP(B529,Sessions!A:J,2,FALSE),"")</f>
        <v/>
      </c>
      <c r="D529" s="3"/>
      <c r="E529" s="3" t="str">
        <f>IFERROR(VLOOKUP(D529,Employees!A:L,2,FALSE),"")</f>
        <v/>
      </c>
      <c r="F529" s="6"/>
      <c r="G529" s="6"/>
      <c r="H529" s="6" t="str">
        <f>IF(G529="","",G529)</f>
        <v/>
      </c>
      <c r="I529" s="3" t="str">
        <f>IF(H529="","",IF(H529&gt;=Setup!B7,"ناجح","إعادة تدريب"))</f>
        <v/>
      </c>
      <c r="J529" s="3"/>
      <c r="K529" s="3"/>
      <c r="L529" s="3"/>
      <c r="M529" s="3"/>
    </row>
    <row r="530" spans="1:13" x14ac:dyDescent="0.2">
      <c r="A530" s="3">
        <v>527</v>
      </c>
      <c r="B530" s="3"/>
      <c r="C530" s="3" t="str">
        <f>IFERROR(VLOOKUP(B530,Sessions!A:J,2,FALSE),"")</f>
        <v/>
      </c>
      <c r="D530" s="3"/>
      <c r="E530" s="3" t="str">
        <f>IFERROR(VLOOKUP(D530,Employees!A:L,2,FALSE),"")</f>
        <v/>
      </c>
      <c r="F530" s="6"/>
      <c r="G530" s="6"/>
      <c r="H530" s="6" t="str">
        <f>IF(G530="","",G530)</f>
        <v/>
      </c>
      <c r="I530" s="3" t="str">
        <f>IF(H530="","",IF(H530&gt;=Setup!B7,"ناجح","إعادة تدريب"))</f>
        <v/>
      </c>
      <c r="J530" s="3"/>
      <c r="K530" s="3"/>
      <c r="L530" s="3"/>
      <c r="M530" s="3"/>
    </row>
    <row r="531" spans="1:13" x14ac:dyDescent="0.2">
      <c r="A531" s="3">
        <v>528</v>
      </c>
      <c r="B531" s="3"/>
      <c r="C531" s="3" t="str">
        <f>IFERROR(VLOOKUP(B531,Sessions!A:J,2,FALSE),"")</f>
        <v/>
      </c>
      <c r="D531" s="3"/>
      <c r="E531" s="3" t="str">
        <f>IFERROR(VLOOKUP(D531,Employees!A:L,2,FALSE),"")</f>
        <v/>
      </c>
      <c r="F531" s="6"/>
      <c r="G531" s="6"/>
      <c r="H531" s="6" t="str">
        <f>IF(G531="","",G531)</f>
        <v/>
      </c>
      <c r="I531" s="3" t="str">
        <f>IF(H531="","",IF(H531&gt;=Setup!B7,"ناجح","إعادة تدريب"))</f>
        <v/>
      </c>
      <c r="J531" s="3"/>
      <c r="K531" s="3"/>
      <c r="L531" s="3"/>
      <c r="M531" s="3"/>
    </row>
    <row r="532" spans="1:13" x14ac:dyDescent="0.2">
      <c r="A532" s="3">
        <v>529</v>
      </c>
      <c r="B532" s="3"/>
      <c r="C532" s="3" t="str">
        <f>IFERROR(VLOOKUP(B532,Sessions!A:J,2,FALSE),"")</f>
        <v/>
      </c>
      <c r="D532" s="3"/>
      <c r="E532" s="3" t="str">
        <f>IFERROR(VLOOKUP(D532,Employees!A:L,2,FALSE),"")</f>
        <v/>
      </c>
      <c r="F532" s="6"/>
      <c r="G532" s="6"/>
      <c r="H532" s="6" t="str">
        <f>IF(G532="","",G532)</f>
        <v/>
      </c>
      <c r="I532" s="3" t="str">
        <f>IF(H532="","",IF(H532&gt;=Setup!B7,"ناجح","إعادة تدريب"))</f>
        <v/>
      </c>
      <c r="J532" s="3"/>
      <c r="K532" s="3"/>
      <c r="L532" s="3"/>
      <c r="M532" s="3"/>
    </row>
    <row r="533" spans="1:13" x14ac:dyDescent="0.2">
      <c r="A533" s="3">
        <v>530</v>
      </c>
      <c r="B533" s="3"/>
      <c r="C533" s="3" t="str">
        <f>IFERROR(VLOOKUP(B533,Sessions!A:J,2,FALSE),"")</f>
        <v/>
      </c>
      <c r="D533" s="3"/>
      <c r="E533" s="3" t="str">
        <f>IFERROR(VLOOKUP(D533,Employees!A:L,2,FALSE),"")</f>
        <v/>
      </c>
      <c r="F533" s="6"/>
      <c r="G533" s="6"/>
      <c r="H533" s="6" t="str">
        <f>IF(G533="","",G533)</f>
        <v/>
      </c>
      <c r="I533" s="3" t="str">
        <f>IF(H533="","",IF(H533&gt;=Setup!B7,"ناجح","إعادة تدريب"))</f>
        <v/>
      </c>
      <c r="J533" s="3"/>
      <c r="K533" s="3"/>
      <c r="L533" s="3"/>
      <c r="M533" s="3"/>
    </row>
    <row r="534" spans="1:13" x14ac:dyDescent="0.2">
      <c r="A534" s="3">
        <v>531</v>
      </c>
      <c r="B534" s="3"/>
      <c r="C534" s="3" t="str">
        <f>IFERROR(VLOOKUP(B534,Sessions!A:J,2,FALSE),"")</f>
        <v/>
      </c>
      <c r="D534" s="3"/>
      <c r="E534" s="3" t="str">
        <f>IFERROR(VLOOKUP(D534,Employees!A:L,2,FALSE),"")</f>
        <v/>
      </c>
      <c r="F534" s="6"/>
      <c r="G534" s="6"/>
      <c r="H534" s="6" t="str">
        <f>IF(G534="","",G534)</f>
        <v/>
      </c>
      <c r="I534" s="3" t="str">
        <f>IF(H534="","",IF(H534&gt;=Setup!B7,"ناجح","إعادة تدريب"))</f>
        <v/>
      </c>
      <c r="J534" s="3"/>
      <c r="K534" s="3"/>
      <c r="L534" s="3"/>
      <c r="M534" s="3"/>
    </row>
    <row r="535" spans="1:13" x14ac:dyDescent="0.2">
      <c r="A535" s="3">
        <v>532</v>
      </c>
      <c r="B535" s="3"/>
      <c r="C535" s="3" t="str">
        <f>IFERROR(VLOOKUP(B535,Sessions!A:J,2,FALSE),"")</f>
        <v/>
      </c>
      <c r="D535" s="3"/>
      <c r="E535" s="3" t="str">
        <f>IFERROR(VLOOKUP(D535,Employees!A:L,2,FALSE),"")</f>
        <v/>
      </c>
      <c r="F535" s="6"/>
      <c r="G535" s="6"/>
      <c r="H535" s="6" t="str">
        <f>IF(G535="","",G535)</f>
        <v/>
      </c>
      <c r="I535" s="3" t="str">
        <f>IF(H535="","",IF(H535&gt;=Setup!B7,"ناجح","إعادة تدريب"))</f>
        <v/>
      </c>
      <c r="J535" s="3"/>
      <c r="K535" s="3"/>
      <c r="L535" s="3"/>
      <c r="M535" s="3"/>
    </row>
    <row r="536" spans="1:13" x14ac:dyDescent="0.2">
      <c r="A536" s="3">
        <v>533</v>
      </c>
      <c r="B536" s="3"/>
      <c r="C536" s="3" t="str">
        <f>IFERROR(VLOOKUP(B536,Sessions!A:J,2,FALSE),"")</f>
        <v/>
      </c>
      <c r="D536" s="3"/>
      <c r="E536" s="3" t="str">
        <f>IFERROR(VLOOKUP(D536,Employees!A:L,2,FALSE),"")</f>
        <v/>
      </c>
      <c r="F536" s="6"/>
      <c r="G536" s="6"/>
      <c r="H536" s="6" t="str">
        <f>IF(G536="","",G536)</f>
        <v/>
      </c>
      <c r="I536" s="3" t="str">
        <f>IF(H536="","",IF(H536&gt;=Setup!B7,"ناجح","إعادة تدريب"))</f>
        <v/>
      </c>
      <c r="J536" s="3"/>
      <c r="K536" s="3"/>
      <c r="L536" s="3"/>
      <c r="M536" s="3"/>
    </row>
    <row r="537" spans="1:13" x14ac:dyDescent="0.2">
      <c r="A537" s="3">
        <v>534</v>
      </c>
      <c r="B537" s="3"/>
      <c r="C537" s="3" t="str">
        <f>IFERROR(VLOOKUP(B537,Sessions!A:J,2,FALSE),"")</f>
        <v/>
      </c>
      <c r="D537" s="3"/>
      <c r="E537" s="3" t="str">
        <f>IFERROR(VLOOKUP(D537,Employees!A:L,2,FALSE),"")</f>
        <v/>
      </c>
      <c r="F537" s="6"/>
      <c r="G537" s="6"/>
      <c r="H537" s="6" t="str">
        <f>IF(G537="","",G537)</f>
        <v/>
      </c>
      <c r="I537" s="3" t="str">
        <f>IF(H537="","",IF(H537&gt;=Setup!B7,"ناجح","إعادة تدريب"))</f>
        <v/>
      </c>
      <c r="J537" s="3"/>
      <c r="K537" s="3"/>
      <c r="L537" s="3"/>
      <c r="M537" s="3"/>
    </row>
    <row r="538" spans="1:13" x14ac:dyDescent="0.2">
      <c r="A538" s="3">
        <v>535</v>
      </c>
      <c r="B538" s="3"/>
      <c r="C538" s="3" t="str">
        <f>IFERROR(VLOOKUP(B538,Sessions!A:J,2,FALSE),"")</f>
        <v/>
      </c>
      <c r="D538" s="3"/>
      <c r="E538" s="3" t="str">
        <f>IFERROR(VLOOKUP(D538,Employees!A:L,2,FALSE),"")</f>
        <v/>
      </c>
      <c r="F538" s="6"/>
      <c r="G538" s="6"/>
      <c r="H538" s="6" t="str">
        <f>IF(G538="","",G538)</f>
        <v/>
      </c>
      <c r="I538" s="3" t="str">
        <f>IF(H538="","",IF(H538&gt;=Setup!B7,"ناجح","إعادة تدريب"))</f>
        <v/>
      </c>
      <c r="J538" s="3"/>
      <c r="K538" s="3"/>
      <c r="L538" s="3"/>
      <c r="M538" s="3"/>
    </row>
    <row r="539" spans="1:13" x14ac:dyDescent="0.2">
      <c r="A539" s="3">
        <v>536</v>
      </c>
      <c r="B539" s="3"/>
      <c r="C539" s="3" t="str">
        <f>IFERROR(VLOOKUP(B539,Sessions!A:J,2,FALSE),"")</f>
        <v/>
      </c>
      <c r="D539" s="3"/>
      <c r="E539" s="3" t="str">
        <f>IFERROR(VLOOKUP(D539,Employees!A:L,2,FALSE),"")</f>
        <v/>
      </c>
      <c r="F539" s="6"/>
      <c r="G539" s="6"/>
      <c r="H539" s="6" t="str">
        <f>IF(G539="","",G539)</f>
        <v/>
      </c>
      <c r="I539" s="3" t="str">
        <f>IF(H539="","",IF(H539&gt;=Setup!B7,"ناجح","إعادة تدريب"))</f>
        <v/>
      </c>
      <c r="J539" s="3"/>
      <c r="K539" s="3"/>
      <c r="L539" s="3"/>
      <c r="M539" s="3"/>
    </row>
    <row r="540" spans="1:13" x14ac:dyDescent="0.2">
      <c r="A540" s="3">
        <v>537</v>
      </c>
      <c r="B540" s="3"/>
      <c r="C540" s="3" t="str">
        <f>IFERROR(VLOOKUP(B540,Sessions!A:J,2,FALSE),"")</f>
        <v/>
      </c>
      <c r="D540" s="3"/>
      <c r="E540" s="3" t="str">
        <f>IFERROR(VLOOKUP(D540,Employees!A:L,2,FALSE),"")</f>
        <v/>
      </c>
      <c r="F540" s="6"/>
      <c r="G540" s="6"/>
      <c r="H540" s="6" t="str">
        <f>IF(G540="","",G540)</f>
        <v/>
      </c>
      <c r="I540" s="3" t="str">
        <f>IF(H540="","",IF(H540&gt;=Setup!B7,"ناجح","إعادة تدريب"))</f>
        <v/>
      </c>
      <c r="J540" s="3"/>
      <c r="K540" s="3"/>
      <c r="L540" s="3"/>
      <c r="M540" s="3"/>
    </row>
    <row r="541" spans="1:13" x14ac:dyDescent="0.2">
      <c r="A541" s="3">
        <v>538</v>
      </c>
      <c r="B541" s="3"/>
      <c r="C541" s="3" t="str">
        <f>IFERROR(VLOOKUP(B541,Sessions!A:J,2,FALSE),"")</f>
        <v/>
      </c>
      <c r="D541" s="3"/>
      <c r="E541" s="3" t="str">
        <f>IFERROR(VLOOKUP(D541,Employees!A:L,2,FALSE),"")</f>
        <v/>
      </c>
      <c r="F541" s="6"/>
      <c r="G541" s="6"/>
      <c r="H541" s="6" t="str">
        <f>IF(G541="","",G541)</f>
        <v/>
      </c>
      <c r="I541" s="3" t="str">
        <f>IF(H541="","",IF(H541&gt;=Setup!B7,"ناجح","إعادة تدريب"))</f>
        <v/>
      </c>
      <c r="J541" s="3"/>
      <c r="K541" s="3"/>
      <c r="L541" s="3"/>
      <c r="M541" s="3"/>
    </row>
    <row r="542" spans="1:13" x14ac:dyDescent="0.2">
      <c r="A542" s="3">
        <v>539</v>
      </c>
      <c r="B542" s="3"/>
      <c r="C542" s="3" t="str">
        <f>IFERROR(VLOOKUP(B542,Sessions!A:J,2,FALSE),"")</f>
        <v/>
      </c>
      <c r="D542" s="3"/>
      <c r="E542" s="3" t="str">
        <f>IFERROR(VLOOKUP(D542,Employees!A:L,2,FALSE),"")</f>
        <v/>
      </c>
      <c r="F542" s="6"/>
      <c r="G542" s="6"/>
      <c r="H542" s="6" t="str">
        <f>IF(G542="","",G542)</f>
        <v/>
      </c>
      <c r="I542" s="3" t="str">
        <f>IF(H542="","",IF(H542&gt;=Setup!B7,"ناجح","إعادة تدريب"))</f>
        <v/>
      </c>
      <c r="J542" s="3"/>
      <c r="K542" s="3"/>
      <c r="L542" s="3"/>
      <c r="M542" s="3"/>
    </row>
    <row r="543" spans="1:13" x14ac:dyDescent="0.2">
      <c r="A543" s="3">
        <v>540</v>
      </c>
      <c r="B543" s="3"/>
      <c r="C543" s="3" t="str">
        <f>IFERROR(VLOOKUP(B543,Sessions!A:J,2,FALSE),"")</f>
        <v/>
      </c>
      <c r="D543" s="3"/>
      <c r="E543" s="3" t="str">
        <f>IFERROR(VLOOKUP(D543,Employees!A:L,2,FALSE),"")</f>
        <v/>
      </c>
      <c r="F543" s="6"/>
      <c r="G543" s="6"/>
      <c r="H543" s="6" t="str">
        <f>IF(G543="","",G543)</f>
        <v/>
      </c>
      <c r="I543" s="3" t="str">
        <f>IF(H543="","",IF(H543&gt;=Setup!B7,"ناجح","إعادة تدريب"))</f>
        <v/>
      </c>
      <c r="J543" s="3"/>
      <c r="K543" s="3"/>
      <c r="L543" s="3"/>
      <c r="M543" s="3"/>
    </row>
    <row r="544" spans="1:13" x14ac:dyDescent="0.2">
      <c r="A544" s="3">
        <v>541</v>
      </c>
      <c r="B544" s="3"/>
      <c r="C544" s="3" t="str">
        <f>IFERROR(VLOOKUP(B544,Sessions!A:J,2,FALSE),"")</f>
        <v/>
      </c>
      <c r="D544" s="3"/>
      <c r="E544" s="3" t="str">
        <f>IFERROR(VLOOKUP(D544,Employees!A:L,2,FALSE),"")</f>
        <v/>
      </c>
      <c r="F544" s="6"/>
      <c r="G544" s="6"/>
      <c r="H544" s="6" t="str">
        <f>IF(G544="","",G544)</f>
        <v/>
      </c>
      <c r="I544" s="3" t="str">
        <f>IF(H544="","",IF(H544&gt;=Setup!B7,"ناجح","إعادة تدريب"))</f>
        <v/>
      </c>
      <c r="J544" s="3"/>
      <c r="K544" s="3"/>
      <c r="L544" s="3"/>
      <c r="M544" s="3"/>
    </row>
    <row r="545" spans="1:13" x14ac:dyDescent="0.2">
      <c r="A545" s="3">
        <v>542</v>
      </c>
      <c r="B545" s="3"/>
      <c r="C545" s="3" t="str">
        <f>IFERROR(VLOOKUP(B545,Sessions!A:J,2,FALSE),"")</f>
        <v/>
      </c>
      <c r="D545" s="3"/>
      <c r="E545" s="3" t="str">
        <f>IFERROR(VLOOKUP(D545,Employees!A:L,2,FALSE),"")</f>
        <v/>
      </c>
      <c r="F545" s="6"/>
      <c r="G545" s="6"/>
      <c r="H545" s="6" t="str">
        <f>IF(G545="","",G545)</f>
        <v/>
      </c>
      <c r="I545" s="3" t="str">
        <f>IF(H545="","",IF(H545&gt;=Setup!B7,"ناجح","إعادة تدريب"))</f>
        <v/>
      </c>
      <c r="J545" s="3"/>
      <c r="K545" s="3"/>
      <c r="L545" s="3"/>
      <c r="M545" s="3"/>
    </row>
    <row r="546" spans="1:13" x14ac:dyDescent="0.2">
      <c r="A546" s="3">
        <v>543</v>
      </c>
      <c r="B546" s="3"/>
      <c r="C546" s="3" t="str">
        <f>IFERROR(VLOOKUP(B546,Sessions!A:J,2,FALSE),"")</f>
        <v/>
      </c>
      <c r="D546" s="3"/>
      <c r="E546" s="3" t="str">
        <f>IFERROR(VLOOKUP(D546,Employees!A:L,2,FALSE),"")</f>
        <v/>
      </c>
      <c r="F546" s="6"/>
      <c r="G546" s="6"/>
      <c r="H546" s="6" t="str">
        <f>IF(G546="","",G546)</f>
        <v/>
      </c>
      <c r="I546" s="3" t="str">
        <f>IF(H546="","",IF(H546&gt;=Setup!B7,"ناجح","إعادة تدريب"))</f>
        <v/>
      </c>
      <c r="J546" s="3"/>
      <c r="K546" s="3"/>
      <c r="L546" s="3"/>
      <c r="M546" s="3"/>
    </row>
    <row r="547" spans="1:13" x14ac:dyDescent="0.2">
      <c r="A547" s="3">
        <v>544</v>
      </c>
      <c r="B547" s="3"/>
      <c r="C547" s="3" t="str">
        <f>IFERROR(VLOOKUP(B547,Sessions!A:J,2,FALSE),"")</f>
        <v/>
      </c>
      <c r="D547" s="3"/>
      <c r="E547" s="3" t="str">
        <f>IFERROR(VLOOKUP(D547,Employees!A:L,2,FALSE),"")</f>
        <v/>
      </c>
      <c r="F547" s="6"/>
      <c r="G547" s="6"/>
      <c r="H547" s="6" t="str">
        <f>IF(G547="","",G547)</f>
        <v/>
      </c>
      <c r="I547" s="3" t="str">
        <f>IF(H547="","",IF(H547&gt;=Setup!B7,"ناجح","إعادة تدريب"))</f>
        <v/>
      </c>
      <c r="J547" s="3"/>
      <c r="K547" s="3"/>
      <c r="L547" s="3"/>
      <c r="M547" s="3"/>
    </row>
    <row r="548" spans="1:13" x14ac:dyDescent="0.2">
      <c r="A548" s="3">
        <v>545</v>
      </c>
      <c r="B548" s="3"/>
      <c r="C548" s="3" t="str">
        <f>IFERROR(VLOOKUP(B548,Sessions!A:J,2,FALSE),"")</f>
        <v/>
      </c>
      <c r="D548" s="3"/>
      <c r="E548" s="3" t="str">
        <f>IFERROR(VLOOKUP(D548,Employees!A:L,2,FALSE),"")</f>
        <v/>
      </c>
      <c r="F548" s="6"/>
      <c r="G548" s="6"/>
      <c r="H548" s="6" t="str">
        <f>IF(G548="","",G548)</f>
        <v/>
      </c>
      <c r="I548" s="3" t="str">
        <f>IF(H548="","",IF(H548&gt;=Setup!B7,"ناجح","إعادة تدريب"))</f>
        <v/>
      </c>
      <c r="J548" s="3"/>
      <c r="K548" s="3"/>
      <c r="L548" s="3"/>
      <c r="M548" s="3"/>
    </row>
    <row r="549" spans="1:13" x14ac:dyDescent="0.2">
      <c r="A549" s="3">
        <v>546</v>
      </c>
      <c r="B549" s="3"/>
      <c r="C549" s="3" t="str">
        <f>IFERROR(VLOOKUP(B549,Sessions!A:J,2,FALSE),"")</f>
        <v/>
      </c>
      <c r="D549" s="3"/>
      <c r="E549" s="3" t="str">
        <f>IFERROR(VLOOKUP(D549,Employees!A:L,2,FALSE),"")</f>
        <v/>
      </c>
      <c r="F549" s="6"/>
      <c r="G549" s="6"/>
      <c r="H549" s="6" t="str">
        <f>IF(G549="","",G549)</f>
        <v/>
      </c>
      <c r="I549" s="3" t="str">
        <f>IF(H549="","",IF(H549&gt;=Setup!B7,"ناجح","إعادة تدريب"))</f>
        <v/>
      </c>
      <c r="J549" s="3"/>
      <c r="K549" s="3"/>
      <c r="L549" s="3"/>
      <c r="M549" s="3"/>
    </row>
    <row r="550" spans="1:13" x14ac:dyDescent="0.2">
      <c r="A550" s="3">
        <v>547</v>
      </c>
      <c r="B550" s="3"/>
      <c r="C550" s="3" t="str">
        <f>IFERROR(VLOOKUP(B550,Sessions!A:J,2,FALSE),"")</f>
        <v/>
      </c>
      <c r="D550" s="3"/>
      <c r="E550" s="3" t="str">
        <f>IFERROR(VLOOKUP(D550,Employees!A:L,2,FALSE),"")</f>
        <v/>
      </c>
      <c r="F550" s="6"/>
      <c r="G550" s="6"/>
      <c r="H550" s="6" t="str">
        <f>IF(G550="","",G550)</f>
        <v/>
      </c>
      <c r="I550" s="3" t="str">
        <f>IF(H550="","",IF(H550&gt;=Setup!B7,"ناجح","إعادة تدريب"))</f>
        <v/>
      </c>
      <c r="J550" s="3"/>
      <c r="K550" s="3"/>
      <c r="L550" s="3"/>
      <c r="M550" s="3"/>
    </row>
    <row r="551" spans="1:13" x14ac:dyDescent="0.2">
      <c r="A551" s="3">
        <v>548</v>
      </c>
      <c r="B551" s="3"/>
      <c r="C551" s="3" t="str">
        <f>IFERROR(VLOOKUP(B551,Sessions!A:J,2,FALSE),"")</f>
        <v/>
      </c>
      <c r="D551" s="3"/>
      <c r="E551" s="3" t="str">
        <f>IFERROR(VLOOKUP(D551,Employees!A:L,2,FALSE),"")</f>
        <v/>
      </c>
      <c r="F551" s="6"/>
      <c r="G551" s="6"/>
      <c r="H551" s="6" t="str">
        <f>IF(G551="","",G551)</f>
        <v/>
      </c>
      <c r="I551" s="3" t="str">
        <f>IF(H551="","",IF(H551&gt;=Setup!B7,"ناجح","إعادة تدريب"))</f>
        <v/>
      </c>
      <c r="J551" s="3"/>
      <c r="K551" s="3"/>
      <c r="L551" s="3"/>
      <c r="M551" s="3"/>
    </row>
    <row r="552" spans="1:13" x14ac:dyDescent="0.2">
      <c r="A552" s="3">
        <v>549</v>
      </c>
      <c r="B552" s="3"/>
      <c r="C552" s="3" t="str">
        <f>IFERROR(VLOOKUP(B552,Sessions!A:J,2,FALSE),"")</f>
        <v/>
      </c>
      <c r="D552" s="3"/>
      <c r="E552" s="3" t="str">
        <f>IFERROR(VLOOKUP(D552,Employees!A:L,2,FALSE),"")</f>
        <v/>
      </c>
      <c r="F552" s="6"/>
      <c r="G552" s="6"/>
      <c r="H552" s="6" t="str">
        <f>IF(G552="","",G552)</f>
        <v/>
      </c>
      <c r="I552" s="3" t="str">
        <f>IF(H552="","",IF(H552&gt;=Setup!B7,"ناجح","إعادة تدريب"))</f>
        <v/>
      </c>
      <c r="J552" s="3"/>
      <c r="K552" s="3"/>
      <c r="L552" s="3"/>
      <c r="M552" s="3"/>
    </row>
    <row r="553" spans="1:13" x14ac:dyDescent="0.2">
      <c r="A553" s="3">
        <v>550</v>
      </c>
      <c r="B553" s="3"/>
      <c r="C553" s="3" t="str">
        <f>IFERROR(VLOOKUP(B553,Sessions!A:J,2,FALSE),"")</f>
        <v/>
      </c>
      <c r="D553" s="3"/>
      <c r="E553" s="3" t="str">
        <f>IFERROR(VLOOKUP(D553,Employees!A:L,2,FALSE),"")</f>
        <v/>
      </c>
      <c r="F553" s="6"/>
      <c r="G553" s="6"/>
      <c r="H553" s="6" t="str">
        <f>IF(G553="","",G553)</f>
        <v/>
      </c>
      <c r="I553" s="3" t="str">
        <f>IF(H553="","",IF(H553&gt;=Setup!B7,"ناجح","إعادة تدريب"))</f>
        <v/>
      </c>
      <c r="J553" s="3"/>
      <c r="K553" s="3"/>
      <c r="L553" s="3"/>
      <c r="M553" s="3"/>
    </row>
    <row r="554" spans="1:13" x14ac:dyDescent="0.2">
      <c r="A554" s="3">
        <v>551</v>
      </c>
      <c r="B554" s="3"/>
      <c r="C554" s="3" t="str">
        <f>IFERROR(VLOOKUP(B554,Sessions!A:J,2,FALSE),"")</f>
        <v/>
      </c>
      <c r="D554" s="3"/>
      <c r="E554" s="3" t="str">
        <f>IFERROR(VLOOKUP(D554,Employees!A:L,2,FALSE),"")</f>
        <v/>
      </c>
      <c r="F554" s="6"/>
      <c r="G554" s="6"/>
      <c r="H554" s="6" t="str">
        <f>IF(G554="","",G554)</f>
        <v/>
      </c>
      <c r="I554" s="3" t="str">
        <f>IF(H554="","",IF(H554&gt;=Setup!B7,"ناجح","إعادة تدريب"))</f>
        <v/>
      </c>
      <c r="J554" s="3"/>
      <c r="K554" s="3"/>
      <c r="L554" s="3"/>
      <c r="M554" s="3"/>
    </row>
    <row r="555" spans="1:13" x14ac:dyDescent="0.2">
      <c r="A555" s="3">
        <v>552</v>
      </c>
      <c r="B555" s="3"/>
      <c r="C555" s="3" t="str">
        <f>IFERROR(VLOOKUP(B555,Sessions!A:J,2,FALSE),"")</f>
        <v/>
      </c>
      <c r="D555" s="3"/>
      <c r="E555" s="3" t="str">
        <f>IFERROR(VLOOKUP(D555,Employees!A:L,2,FALSE),"")</f>
        <v/>
      </c>
      <c r="F555" s="6"/>
      <c r="G555" s="6"/>
      <c r="H555" s="6" t="str">
        <f>IF(G555="","",G555)</f>
        <v/>
      </c>
      <c r="I555" s="3" t="str">
        <f>IF(H555="","",IF(H555&gt;=Setup!B7,"ناجح","إعادة تدريب"))</f>
        <v/>
      </c>
      <c r="J555" s="3"/>
      <c r="K555" s="3"/>
      <c r="L555" s="3"/>
      <c r="M555" s="3"/>
    </row>
    <row r="556" spans="1:13" x14ac:dyDescent="0.2">
      <c r="A556" s="3">
        <v>553</v>
      </c>
      <c r="B556" s="3"/>
      <c r="C556" s="3" t="str">
        <f>IFERROR(VLOOKUP(B556,Sessions!A:J,2,FALSE),"")</f>
        <v/>
      </c>
      <c r="D556" s="3"/>
      <c r="E556" s="3" t="str">
        <f>IFERROR(VLOOKUP(D556,Employees!A:L,2,FALSE),"")</f>
        <v/>
      </c>
      <c r="F556" s="6"/>
      <c r="G556" s="6"/>
      <c r="H556" s="6" t="str">
        <f>IF(G556="","",G556)</f>
        <v/>
      </c>
      <c r="I556" s="3" t="str">
        <f>IF(H556="","",IF(H556&gt;=Setup!B7,"ناجح","إعادة تدريب"))</f>
        <v/>
      </c>
      <c r="J556" s="3"/>
      <c r="K556" s="3"/>
      <c r="L556" s="3"/>
      <c r="M556" s="3"/>
    </row>
    <row r="557" spans="1:13" x14ac:dyDescent="0.2">
      <c r="A557" s="3">
        <v>554</v>
      </c>
      <c r="B557" s="3"/>
      <c r="C557" s="3" t="str">
        <f>IFERROR(VLOOKUP(B557,Sessions!A:J,2,FALSE),"")</f>
        <v/>
      </c>
      <c r="D557" s="3"/>
      <c r="E557" s="3" t="str">
        <f>IFERROR(VLOOKUP(D557,Employees!A:L,2,FALSE),"")</f>
        <v/>
      </c>
      <c r="F557" s="6"/>
      <c r="G557" s="6"/>
      <c r="H557" s="6" t="str">
        <f>IF(G557="","",G557)</f>
        <v/>
      </c>
      <c r="I557" s="3" t="str">
        <f>IF(H557="","",IF(H557&gt;=Setup!B7,"ناجح","إعادة تدريب"))</f>
        <v/>
      </c>
      <c r="J557" s="3"/>
      <c r="K557" s="3"/>
      <c r="L557" s="3"/>
      <c r="M557" s="3"/>
    </row>
    <row r="558" spans="1:13" x14ac:dyDescent="0.2">
      <c r="A558" s="3">
        <v>555</v>
      </c>
      <c r="B558" s="3"/>
      <c r="C558" s="3" t="str">
        <f>IFERROR(VLOOKUP(B558,Sessions!A:J,2,FALSE),"")</f>
        <v/>
      </c>
      <c r="D558" s="3"/>
      <c r="E558" s="3" t="str">
        <f>IFERROR(VLOOKUP(D558,Employees!A:L,2,FALSE),"")</f>
        <v/>
      </c>
      <c r="F558" s="6"/>
      <c r="G558" s="6"/>
      <c r="H558" s="6" t="str">
        <f>IF(G558="","",G558)</f>
        <v/>
      </c>
      <c r="I558" s="3" t="str">
        <f>IF(H558="","",IF(H558&gt;=Setup!B7,"ناجح","إعادة تدريب"))</f>
        <v/>
      </c>
      <c r="J558" s="3"/>
      <c r="K558" s="3"/>
      <c r="L558" s="3"/>
      <c r="M558" s="3"/>
    </row>
    <row r="559" spans="1:13" x14ac:dyDescent="0.2">
      <c r="A559" s="3">
        <v>556</v>
      </c>
      <c r="B559" s="3"/>
      <c r="C559" s="3" t="str">
        <f>IFERROR(VLOOKUP(B559,Sessions!A:J,2,FALSE),"")</f>
        <v/>
      </c>
      <c r="D559" s="3"/>
      <c r="E559" s="3" t="str">
        <f>IFERROR(VLOOKUP(D559,Employees!A:L,2,FALSE),"")</f>
        <v/>
      </c>
      <c r="F559" s="6"/>
      <c r="G559" s="6"/>
      <c r="H559" s="6" t="str">
        <f>IF(G559="","",G559)</f>
        <v/>
      </c>
      <c r="I559" s="3" t="str">
        <f>IF(H559="","",IF(H559&gt;=Setup!B7,"ناجح","إعادة تدريب"))</f>
        <v/>
      </c>
      <c r="J559" s="3"/>
      <c r="K559" s="3"/>
      <c r="L559" s="3"/>
      <c r="M559" s="3"/>
    </row>
    <row r="560" spans="1:13" x14ac:dyDescent="0.2">
      <c r="A560" s="3">
        <v>557</v>
      </c>
      <c r="B560" s="3"/>
      <c r="C560" s="3" t="str">
        <f>IFERROR(VLOOKUP(B560,Sessions!A:J,2,FALSE),"")</f>
        <v/>
      </c>
      <c r="D560" s="3"/>
      <c r="E560" s="3" t="str">
        <f>IFERROR(VLOOKUP(D560,Employees!A:L,2,FALSE),"")</f>
        <v/>
      </c>
      <c r="F560" s="6"/>
      <c r="G560" s="6"/>
      <c r="H560" s="6" t="str">
        <f>IF(G560="","",G560)</f>
        <v/>
      </c>
      <c r="I560" s="3" t="str">
        <f>IF(H560="","",IF(H560&gt;=Setup!B7,"ناجح","إعادة تدريب"))</f>
        <v/>
      </c>
      <c r="J560" s="3"/>
      <c r="K560" s="3"/>
      <c r="L560" s="3"/>
      <c r="M560" s="3"/>
    </row>
    <row r="561" spans="1:13" x14ac:dyDescent="0.2">
      <c r="A561" s="3">
        <v>558</v>
      </c>
      <c r="B561" s="3"/>
      <c r="C561" s="3" t="str">
        <f>IFERROR(VLOOKUP(B561,Sessions!A:J,2,FALSE),"")</f>
        <v/>
      </c>
      <c r="D561" s="3"/>
      <c r="E561" s="3" t="str">
        <f>IFERROR(VLOOKUP(D561,Employees!A:L,2,FALSE),"")</f>
        <v/>
      </c>
      <c r="F561" s="6"/>
      <c r="G561" s="6"/>
      <c r="H561" s="6" t="str">
        <f>IF(G561="","",G561)</f>
        <v/>
      </c>
      <c r="I561" s="3" t="str">
        <f>IF(H561="","",IF(H561&gt;=Setup!B7,"ناجح","إعادة تدريب"))</f>
        <v/>
      </c>
      <c r="J561" s="3"/>
      <c r="K561" s="3"/>
      <c r="L561" s="3"/>
      <c r="M561" s="3"/>
    </row>
    <row r="562" spans="1:13" x14ac:dyDescent="0.2">
      <c r="A562" s="3">
        <v>559</v>
      </c>
      <c r="B562" s="3"/>
      <c r="C562" s="3" t="str">
        <f>IFERROR(VLOOKUP(B562,Sessions!A:J,2,FALSE),"")</f>
        <v/>
      </c>
      <c r="D562" s="3"/>
      <c r="E562" s="3" t="str">
        <f>IFERROR(VLOOKUP(D562,Employees!A:L,2,FALSE),"")</f>
        <v/>
      </c>
      <c r="F562" s="6"/>
      <c r="G562" s="6"/>
      <c r="H562" s="6" t="str">
        <f>IF(G562="","",G562)</f>
        <v/>
      </c>
      <c r="I562" s="3" t="str">
        <f>IF(H562="","",IF(H562&gt;=Setup!B7,"ناجح","إعادة تدريب"))</f>
        <v/>
      </c>
      <c r="J562" s="3"/>
      <c r="K562" s="3"/>
      <c r="L562" s="3"/>
      <c r="M562" s="3"/>
    </row>
    <row r="563" spans="1:13" x14ac:dyDescent="0.2">
      <c r="A563" s="3">
        <v>560</v>
      </c>
      <c r="B563" s="3"/>
      <c r="C563" s="3" t="str">
        <f>IFERROR(VLOOKUP(B563,Sessions!A:J,2,FALSE),"")</f>
        <v/>
      </c>
      <c r="D563" s="3"/>
      <c r="E563" s="3" t="str">
        <f>IFERROR(VLOOKUP(D563,Employees!A:L,2,FALSE),"")</f>
        <v/>
      </c>
      <c r="F563" s="6"/>
      <c r="G563" s="6"/>
      <c r="H563" s="6" t="str">
        <f>IF(G563="","",G563)</f>
        <v/>
      </c>
      <c r="I563" s="3" t="str">
        <f>IF(H563="","",IF(H563&gt;=Setup!B7,"ناجح","إعادة تدريب"))</f>
        <v/>
      </c>
      <c r="J563" s="3"/>
      <c r="K563" s="3"/>
      <c r="L563" s="3"/>
      <c r="M563" s="3"/>
    </row>
    <row r="564" spans="1:13" x14ac:dyDescent="0.2">
      <c r="A564" s="3">
        <v>561</v>
      </c>
      <c r="B564" s="3"/>
      <c r="C564" s="3" t="str">
        <f>IFERROR(VLOOKUP(B564,Sessions!A:J,2,FALSE),"")</f>
        <v/>
      </c>
      <c r="D564" s="3"/>
      <c r="E564" s="3" t="str">
        <f>IFERROR(VLOOKUP(D564,Employees!A:L,2,FALSE),"")</f>
        <v/>
      </c>
      <c r="F564" s="6"/>
      <c r="G564" s="6"/>
      <c r="H564" s="6" t="str">
        <f>IF(G564="","",G564)</f>
        <v/>
      </c>
      <c r="I564" s="3" t="str">
        <f>IF(H564="","",IF(H564&gt;=Setup!B7,"ناجح","إعادة تدريب"))</f>
        <v/>
      </c>
      <c r="J564" s="3"/>
      <c r="K564" s="3"/>
      <c r="L564" s="3"/>
      <c r="M564" s="3"/>
    </row>
    <row r="565" spans="1:13" x14ac:dyDescent="0.2">
      <c r="A565" s="3">
        <v>562</v>
      </c>
      <c r="B565" s="3"/>
      <c r="C565" s="3" t="str">
        <f>IFERROR(VLOOKUP(B565,Sessions!A:J,2,FALSE),"")</f>
        <v/>
      </c>
      <c r="D565" s="3"/>
      <c r="E565" s="3" t="str">
        <f>IFERROR(VLOOKUP(D565,Employees!A:L,2,FALSE),"")</f>
        <v/>
      </c>
      <c r="F565" s="6"/>
      <c r="G565" s="6"/>
      <c r="H565" s="6" t="str">
        <f>IF(G565="","",G565)</f>
        <v/>
      </c>
      <c r="I565" s="3" t="str">
        <f>IF(H565="","",IF(H565&gt;=Setup!B7,"ناجح","إعادة تدريب"))</f>
        <v/>
      </c>
      <c r="J565" s="3"/>
      <c r="K565" s="3"/>
      <c r="L565" s="3"/>
      <c r="M565" s="3"/>
    </row>
    <row r="566" spans="1:13" x14ac:dyDescent="0.2">
      <c r="A566" s="3">
        <v>563</v>
      </c>
      <c r="B566" s="3"/>
      <c r="C566" s="3" t="str">
        <f>IFERROR(VLOOKUP(B566,Sessions!A:J,2,FALSE),"")</f>
        <v/>
      </c>
      <c r="D566" s="3"/>
      <c r="E566" s="3" t="str">
        <f>IFERROR(VLOOKUP(D566,Employees!A:L,2,FALSE),"")</f>
        <v/>
      </c>
      <c r="F566" s="6"/>
      <c r="G566" s="6"/>
      <c r="H566" s="6" t="str">
        <f>IF(G566="","",G566)</f>
        <v/>
      </c>
      <c r="I566" s="3" t="str">
        <f>IF(H566="","",IF(H566&gt;=Setup!B7,"ناجح","إعادة تدريب"))</f>
        <v/>
      </c>
      <c r="J566" s="3"/>
      <c r="K566" s="3"/>
      <c r="L566" s="3"/>
      <c r="M566" s="3"/>
    </row>
    <row r="567" spans="1:13" x14ac:dyDescent="0.2">
      <c r="A567" s="3">
        <v>564</v>
      </c>
      <c r="B567" s="3"/>
      <c r="C567" s="3" t="str">
        <f>IFERROR(VLOOKUP(B567,Sessions!A:J,2,FALSE),"")</f>
        <v/>
      </c>
      <c r="D567" s="3"/>
      <c r="E567" s="3" t="str">
        <f>IFERROR(VLOOKUP(D567,Employees!A:L,2,FALSE),"")</f>
        <v/>
      </c>
      <c r="F567" s="6"/>
      <c r="G567" s="6"/>
      <c r="H567" s="6" t="str">
        <f>IF(G567="","",G567)</f>
        <v/>
      </c>
      <c r="I567" s="3" t="str">
        <f>IF(H567="","",IF(H567&gt;=Setup!B7,"ناجح","إعادة تدريب"))</f>
        <v/>
      </c>
      <c r="J567" s="3"/>
      <c r="K567" s="3"/>
      <c r="L567" s="3"/>
      <c r="M567" s="3"/>
    </row>
    <row r="568" spans="1:13" x14ac:dyDescent="0.2">
      <c r="A568" s="3">
        <v>565</v>
      </c>
      <c r="B568" s="3"/>
      <c r="C568" s="3" t="str">
        <f>IFERROR(VLOOKUP(B568,Sessions!A:J,2,FALSE),"")</f>
        <v/>
      </c>
      <c r="D568" s="3"/>
      <c r="E568" s="3" t="str">
        <f>IFERROR(VLOOKUP(D568,Employees!A:L,2,FALSE),"")</f>
        <v/>
      </c>
      <c r="F568" s="6"/>
      <c r="G568" s="6"/>
      <c r="H568" s="6" t="str">
        <f>IF(G568="","",G568)</f>
        <v/>
      </c>
      <c r="I568" s="3" t="str">
        <f>IF(H568="","",IF(H568&gt;=Setup!B7,"ناجح","إعادة تدريب"))</f>
        <v/>
      </c>
      <c r="J568" s="3"/>
      <c r="K568" s="3"/>
      <c r="L568" s="3"/>
      <c r="M568" s="3"/>
    </row>
    <row r="569" spans="1:13" x14ac:dyDescent="0.2">
      <c r="A569" s="3">
        <v>566</v>
      </c>
      <c r="B569" s="3"/>
      <c r="C569" s="3" t="str">
        <f>IFERROR(VLOOKUP(B569,Sessions!A:J,2,FALSE),"")</f>
        <v/>
      </c>
      <c r="D569" s="3"/>
      <c r="E569" s="3" t="str">
        <f>IFERROR(VLOOKUP(D569,Employees!A:L,2,FALSE),"")</f>
        <v/>
      </c>
      <c r="F569" s="6"/>
      <c r="G569" s="6"/>
      <c r="H569" s="6" t="str">
        <f>IF(G569="","",G569)</f>
        <v/>
      </c>
      <c r="I569" s="3" t="str">
        <f>IF(H569="","",IF(H569&gt;=Setup!B7,"ناجح","إعادة تدريب"))</f>
        <v/>
      </c>
      <c r="J569" s="3"/>
      <c r="K569" s="3"/>
      <c r="L569" s="3"/>
      <c r="M569" s="3"/>
    </row>
    <row r="570" spans="1:13" x14ac:dyDescent="0.2">
      <c r="A570" s="3">
        <v>567</v>
      </c>
      <c r="B570" s="3"/>
      <c r="C570" s="3" t="str">
        <f>IFERROR(VLOOKUP(B570,Sessions!A:J,2,FALSE),"")</f>
        <v/>
      </c>
      <c r="D570" s="3"/>
      <c r="E570" s="3" t="str">
        <f>IFERROR(VLOOKUP(D570,Employees!A:L,2,FALSE),"")</f>
        <v/>
      </c>
      <c r="F570" s="6"/>
      <c r="G570" s="6"/>
      <c r="H570" s="6" t="str">
        <f>IF(G570="","",G570)</f>
        <v/>
      </c>
      <c r="I570" s="3" t="str">
        <f>IF(H570="","",IF(H570&gt;=Setup!B7,"ناجح","إعادة تدريب"))</f>
        <v/>
      </c>
      <c r="J570" s="3"/>
      <c r="K570" s="3"/>
      <c r="L570" s="3"/>
      <c r="M570" s="3"/>
    </row>
    <row r="571" spans="1:13" x14ac:dyDescent="0.2">
      <c r="A571" s="3">
        <v>568</v>
      </c>
      <c r="B571" s="3"/>
      <c r="C571" s="3" t="str">
        <f>IFERROR(VLOOKUP(B571,Sessions!A:J,2,FALSE),"")</f>
        <v/>
      </c>
      <c r="D571" s="3"/>
      <c r="E571" s="3" t="str">
        <f>IFERROR(VLOOKUP(D571,Employees!A:L,2,FALSE),"")</f>
        <v/>
      </c>
      <c r="F571" s="6"/>
      <c r="G571" s="6"/>
      <c r="H571" s="6" t="str">
        <f>IF(G571="","",G571)</f>
        <v/>
      </c>
      <c r="I571" s="3" t="str">
        <f>IF(H571="","",IF(H571&gt;=Setup!B7,"ناجح","إعادة تدريب"))</f>
        <v/>
      </c>
      <c r="J571" s="3"/>
      <c r="K571" s="3"/>
      <c r="L571" s="3"/>
      <c r="M571" s="3"/>
    </row>
    <row r="572" spans="1:13" x14ac:dyDescent="0.2">
      <c r="A572" s="3">
        <v>569</v>
      </c>
      <c r="B572" s="3"/>
      <c r="C572" s="3" t="str">
        <f>IFERROR(VLOOKUP(B572,Sessions!A:J,2,FALSE),"")</f>
        <v/>
      </c>
      <c r="D572" s="3"/>
      <c r="E572" s="3" t="str">
        <f>IFERROR(VLOOKUP(D572,Employees!A:L,2,FALSE),"")</f>
        <v/>
      </c>
      <c r="F572" s="6"/>
      <c r="G572" s="6"/>
      <c r="H572" s="6" t="str">
        <f>IF(G572="","",G572)</f>
        <v/>
      </c>
      <c r="I572" s="3" t="str">
        <f>IF(H572="","",IF(H572&gt;=Setup!B7,"ناجح","إعادة تدريب"))</f>
        <v/>
      </c>
      <c r="J572" s="3"/>
      <c r="K572" s="3"/>
      <c r="L572" s="3"/>
      <c r="M572" s="3"/>
    </row>
    <row r="573" spans="1:13" x14ac:dyDescent="0.2">
      <c r="A573" s="3">
        <v>570</v>
      </c>
      <c r="B573" s="3"/>
      <c r="C573" s="3" t="str">
        <f>IFERROR(VLOOKUP(B573,Sessions!A:J,2,FALSE),"")</f>
        <v/>
      </c>
      <c r="D573" s="3"/>
      <c r="E573" s="3" t="str">
        <f>IFERROR(VLOOKUP(D573,Employees!A:L,2,FALSE),"")</f>
        <v/>
      </c>
      <c r="F573" s="6"/>
      <c r="G573" s="6"/>
      <c r="H573" s="6" t="str">
        <f>IF(G573="","",G573)</f>
        <v/>
      </c>
      <c r="I573" s="3" t="str">
        <f>IF(H573="","",IF(H573&gt;=Setup!B7,"ناجح","إعادة تدريب"))</f>
        <v/>
      </c>
      <c r="J573" s="3"/>
      <c r="K573" s="3"/>
      <c r="L573" s="3"/>
      <c r="M573" s="3"/>
    </row>
    <row r="574" spans="1:13" x14ac:dyDescent="0.2">
      <c r="A574" s="3">
        <v>571</v>
      </c>
      <c r="B574" s="3"/>
      <c r="C574" s="3" t="str">
        <f>IFERROR(VLOOKUP(B574,Sessions!A:J,2,FALSE),"")</f>
        <v/>
      </c>
      <c r="D574" s="3"/>
      <c r="E574" s="3" t="str">
        <f>IFERROR(VLOOKUP(D574,Employees!A:L,2,FALSE),"")</f>
        <v/>
      </c>
      <c r="F574" s="6"/>
      <c r="G574" s="6"/>
      <c r="H574" s="6" t="str">
        <f>IF(G574="","",G574)</f>
        <v/>
      </c>
      <c r="I574" s="3" t="str">
        <f>IF(H574="","",IF(H574&gt;=Setup!B7,"ناجح","إعادة تدريب"))</f>
        <v/>
      </c>
      <c r="J574" s="3"/>
      <c r="K574" s="3"/>
      <c r="L574" s="3"/>
      <c r="M574" s="3"/>
    </row>
    <row r="575" spans="1:13" x14ac:dyDescent="0.2">
      <c r="A575" s="3">
        <v>572</v>
      </c>
      <c r="B575" s="3"/>
      <c r="C575" s="3" t="str">
        <f>IFERROR(VLOOKUP(B575,Sessions!A:J,2,FALSE),"")</f>
        <v/>
      </c>
      <c r="D575" s="3"/>
      <c r="E575" s="3" t="str">
        <f>IFERROR(VLOOKUP(D575,Employees!A:L,2,FALSE),"")</f>
        <v/>
      </c>
      <c r="F575" s="6"/>
      <c r="G575" s="6"/>
      <c r="H575" s="6" t="str">
        <f>IF(G575="","",G575)</f>
        <v/>
      </c>
      <c r="I575" s="3" t="str">
        <f>IF(H575="","",IF(H575&gt;=Setup!B7,"ناجح","إعادة تدريب"))</f>
        <v/>
      </c>
      <c r="J575" s="3"/>
      <c r="K575" s="3"/>
      <c r="L575" s="3"/>
      <c r="M575" s="3"/>
    </row>
    <row r="576" spans="1:13" x14ac:dyDescent="0.2">
      <c r="A576" s="3">
        <v>573</v>
      </c>
      <c r="B576" s="3"/>
      <c r="C576" s="3" t="str">
        <f>IFERROR(VLOOKUP(B576,Sessions!A:J,2,FALSE),"")</f>
        <v/>
      </c>
      <c r="D576" s="3"/>
      <c r="E576" s="3" t="str">
        <f>IFERROR(VLOOKUP(D576,Employees!A:L,2,FALSE),"")</f>
        <v/>
      </c>
      <c r="F576" s="6"/>
      <c r="G576" s="6"/>
      <c r="H576" s="6" t="str">
        <f>IF(G576="","",G576)</f>
        <v/>
      </c>
      <c r="I576" s="3" t="str">
        <f>IF(H576="","",IF(H576&gt;=Setup!B7,"ناجح","إعادة تدريب"))</f>
        <v/>
      </c>
      <c r="J576" s="3"/>
      <c r="K576" s="3"/>
      <c r="L576" s="3"/>
      <c r="M576" s="3"/>
    </row>
    <row r="577" spans="1:13" x14ac:dyDescent="0.2">
      <c r="A577" s="3">
        <v>574</v>
      </c>
      <c r="B577" s="3"/>
      <c r="C577" s="3" t="str">
        <f>IFERROR(VLOOKUP(B577,Sessions!A:J,2,FALSE),"")</f>
        <v/>
      </c>
      <c r="D577" s="3"/>
      <c r="E577" s="3" t="str">
        <f>IFERROR(VLOOKUP(D577,Employees!A:L,2,FALSE),"")</f>
        <v/>
      </c>
      <c r="F577" s="6"/>
      <c r="G577" s="6"/>
      <c r="H577" s="6" t="str">
        <f>IF(G577="","",G577)</f>
        <v/>
      </c>
      <c r="I577" s="3" t="str">
        <f>IF(H577="","",IF(H577&gt;=Setup!B7,"ناجح","إعادة تدريب"))</f>
        <v/>
      </c>
      <c r="J577" s="3"/>
      <c r="K577" s="3"/>
      <c r="L577" s="3"/>
      <c r="M577" s="3"/>
    </row>
    <row r="578" spans="1:13" x14ac:dyDescent="0.2">
      <c r="A578" s="3">
        <v>575</v>
      </c>
      <c r="B578" s="3"/>
      <c r="C578" s="3" t="str">
        <f>IFERROR(VLOOKUP(B578,Sessions!A:J,2,FALSE),"")</f>
        <v/>
      </c>
      <c r="D578" s="3"/>
      <c r="E578" s="3" t="str">
        <f>IFERROR(VLOOKUP(D578,Employees!A:L,2,FALSE),"")</f>
        <v/>
      </c>
      <c r="F578" s="6"/>
      <c r="G578" s="6"/>
      <c r="H578" s="6" t="str">
        <f>IF(G578="","",G578)</f>
        <v/>
      </c>
      <c r="I578" s="3" t="str">
        <f>IF(H578="","",IF(H578&gt;=Setup!B7,"ناجح","إعادة تدريب"))</f>
        <v/>
      </c>
      <c r="J578" s="3"/>
      <c r="K578" s="3"/>
      <c r="L578" s="3"/>
      <c r="M578" s="3"/>
    </row>
    <row r="579" spans="1:13" x14ac:dyDescent="0.2">
      <c r="A579" s="3">
        <v>576</v>
      </c>
      <c r="B579" s="3"/>
      <c r="C579" s="3" t="str">
        <f>IFERROR(VLOOKUP(B579,Sessions!A:J,2,FALSE),"")</f>
        <v/>
      </c>
      <c r="D579" s="3"/>
      <c r="E579" s="3" t="str">
        <f>IFERROR(VLOOKUP(D579,Employees!A:L,2,FALSE),"")</f>
        <v/>
      </c>
      <c r="F579" s="6"/>
      <c r="G579" s="6"/>
      <c r="H579" s="6" t="str">
        <f>IF(G579="","",G579)</f>
        <v/>
      </c>
      <c r="I579" s="3" t="str">
        <f>IF(H579="","",IF(H579&gt;=Setup!B7,"ناجح","إعادة تدريب"))</f>
        <v/>
      </c>
      <c r="J579" s="3"/>
      <c r="K579" s="3"/>
      <c r="L579" s="3"/>
      <c r="M579" s="3"/>
    </row>
    <row r="580" spans="1:13" x14ac:dyDescent="0.2">
      <c r="A580" s="3">
        <v>577</v>
      </c>
      <c r="B580" s="3"/>
      <c r="C580" s="3" t="str">
        <f>IFERROR(VLOOKUP(B580,Sessions!A:J,2,FALSE),"")</f>
        <v/>
      </c>
      <c r="D580" s="3"/>
      <c r="E580" s="3" t="str">
        <f>IFERROR(VLOOKUP(D580,Employees!A:L,2,FALSE),"")</f>
        <v/>
      </c>
      <c r="F580" s="6"/>
      <c r="G580" s="6"/>
      <c r="H580" s="6" t="str">
        <f>IF(G580="","",G580)</f>
        <v/>
      </c>
      <c r="I580" s="3" t="str">
        <f>IF(H580="","",IF(H580&gt;=Setup!B7,"ناجح","إعادة تدريب"))</f>
        <v/>
      </c>
      <c r="J580" s="3"/>
      <c r="K580" s="3"/>
      <c r="L580" s="3"/>
      <c r="M580" s="3"/>
    </row>
    <row r="581" spans="1:13" x14ac:dyDescent="0.2">
      <c r="A581" s="3">
        <v>578</v>
      </c>
      <c r="B581" s="3"/>
      <c r="C581" s="3" t="str">
        <f>IFERROR(VLOOKUP(B581,Sessions!A:J,2,FALSE),"")</f>
        <v/>
      </c>
      <c r="D581" s="3"/>
      <c r="E581" s="3" t="str">
        <f>IFERROR(VLOOKUP(D581,Employees!A:L,2,FALSE),"")</f>
        <v/>
      </c>
      <c r="F581" s="6"/>
      <c r="G581" s="6"/>
      <c r="H581" s="6" t="str">
        <f>IF(G581="","",G581)</f>
        <v/>
      </c>
      <c r="I581" s="3" t="str">
        <f>IF(H581="","",IF(H581&gt;=Setup!B7,"ناجح","إعادة تدريب"))</f>
        <v/>
      </c>
      <c r="J581" s="3"/>
      <c r="K581" s="3"/>
      <c r="L581" s="3"/>
      <c r="M581" s="3"/>
    </row>
    <row r="582" spans="1:13" x14ac:dyDescent="0.2">
      <c r="A582" s="3">
        <v>579</v>
      </c>
      <c r="B582" s="3"/>
      <c r="C582" s="3" t="str">
        <f>IFERROR(VLOOKUP(B582,Sessions!A:J,2,FALSE),"")</f>
        <v/>
      </c>
      <c r="D582" s="3"/>
      <c r="E582" s="3" t="str">
        <f>IFERROR(VLOOKUP(D582,Employees!A:L,2,FALSE),"")</f>
        <v/>
      </c>
      <c r="F582" s="6"/>
      <c r="G582" s="6"/>
      <c r="H582" s="6" t="str">
        <f>IF(G582="","",G582)</f>
        <v/>
      </c>
      <c r="I582" s="3" t="str">
        <f>IF(H582="","",IF(H582&gt;=Setup!B7,"ناجح","إعادة تدريب"))</f>
        <v/>
      </c>
      <c r="J582" s="3"/>
      <c r="K582" s="3"/>
      <c r="L582" s="3"/>
      <c r="M582" s="3"/>
    </row>
    <row r="583" spans="1:13" x14ac:dyDescent="0.2">
      <c r="A583" s="3">
        <v>580</v>
      </c>
      <c r="B583" s="3"/>
      <c r="C583" s="3" t="str">
        <f>IFERROR(VLOOKUP(B583,Sessions!A:J,2,FALSE),"")</f>
        <v/>
      </c>
      <c r="D583" s="3"/>
      <c r="E583" s="3" t="str">
        <f>IFERROR(VLOOKUP(D583,Employees!A:L,2,FALSE),"")</f>
        <v/>
      </c>
      <c r="F583" s="6"/>
      <c r="G583" s="6"/>
      <c r="H583" s="6" t="str">
        <f>IF(G583="","",G583)</f>
        <v/>
      </c>
      <c r="I583" s="3" t="str">
        <f>IF(H583="","",IF(H583&gt;=Setup!B7,"ناجح","إعادة تدريب"))</f>
        <v/>
      </c>
      <c r="J583" s="3"/>
      <c r="K583" s="3"/>
      <c r="L583" s="3"/>
      <c r="M583" s="3"/>
    </row>
    <row r="584" spans="1:13" x14ac:dyDescent="0.2">
      <c r="A584" s="3">
        <v>581</v>
      </c>
      <c r="B584" s="3"/>
      <c r="C584" s="3" t="str">
        <f>IFERROR(VLOOKUP(B584,Sessions!A:J,2,FALSE),"")</f>
        <v/>
      </c>
      <c r="D584" s="3"/>
      <c r="E584" s="3" t="str">
        <f>IFERROR(VLOOKUP(D584,Employees!A:L,2,FALSE),"")</f>
        <v/>
      </c>
      <c r="F584" s="6"/>
      <c r="G584" s="6"/>
      <c r="H584" s="6" t="str">
        <f>IF(G584="","",G584)</f>
        <v/>
      </c>
      <c r="I584" s="3" t="str">
        <f>IF(H584="","",IF(H584&gt;=Setup!B7,"ناجح","إعادة تدريب"))</f>
        <v/>
      </c>
      <c r="J584" s="3"/>
      <c r="K584" s="3"/>
      <c r="L584" s="3"/>
      <c r="M584" s="3"/>
    </row>
    <row r="585" spans="1:13" x14ac:dyDescent="0.2">
      <c r="A585" s="3">
        <v>582</v>
      </c>
      <c r="B585" s="3"/>
      <c r="C585" s="3" t="str">
        <f>IFERROR(VLOOKUP(B585,Sessions!A:J,2,FALSE),"")</f>
        <v/>
      </c>
      <c r="D585" s="3"/>
      <c r="E585" s="3" t="str">
        <f>IFERROR(VLOOKUP(D585,Employees!A:L,2,FALSE),"")</f>
        <v/>
      </c>
      <c r="F585" s="6"/>
      <c r="G585" s="6"/>
      <c r="H585" s="6" t="str">
        <f>IF(G585="","",G585)</f>
        <v/>
      </c>
      <c r="I585" s="3" t="str">
        <f>IF(H585="","",IF(H585&gt;=Setup!B7,"ناجح","إعادة تدريب"))</f>
        <v/>
      </c>
      <c r="J585" s="3"/>
      <c r="K585" s="3"/>
      <c r="L585" s="3"/>
      <c r="M585" s="3"/>
    </row>
    <row r="586" spans="1:13" x14ac:dyDescent="0.2">
      <c r="A586" s="3">
        <v>583</v>
      </c>
      <c r="B586" s="3"/>
      <c r="C586" s="3" t="str">
        <f>IFERROR(VLOOKUP(B586,Sessions!A:J,2,FALSE),"")</f>
        <v/>
      </c>
      <c r="D586" s="3"/>
      <c r="E586" s="3" t="str">
        <f>IFERROR(VLOOKUP(D586,Employees!A:L,2,FALSE),"")</f>
        <v/>
      </c>
      <c r="F586" s="6"/>
      <c r="G586" s="6"/>
      <c r="H586" s="6" t="str">
        <f>IF(G586="","",G586)</f>
        <v/>
      </c>
      <c r="I586" s="3" t="str">
        <f>IF(H586="","",IF(H586&gt;=Setup!B7,"ناجح","إعادة تدريب"))</f>
        <v/>
      </c>
      <c r="J586" s="3"/>
      <c r="K586" s="3"/>
      <c r="L586" s="3"/>
      <c r="M586" s="3"/>
    </row>
    <row r="587" spans="1:13" x14ac:dyDescent="0.2">
      <c r="A587" s="3">
        <v>584</v>
      </c>
      <c r="B587" s="3"/>
      <c r="C587" s="3" t="str">
        <f>IFERROR(VLOOKUP(B587,Sessions!A:J,2,FALSE),"")</f>
        <v/>
      </c>
      <c r="D587" s="3"/>
      <c r="E587" s="3" t="str">
        <f>IFERROR(VLOOKUP(D587,Employees!A:L,2,FALSE),"")</f>
        <v/>
      </c>
      <c r="F587" s="6"/>
      <c r="G587" s="6"/>
      <c r="H587" s="6" t="str">
        <f>IF(G587="","",G587)</f>
        <v/>
      </c>
      <c r="I587" s="3" t="str">
        <f>IF(H587="","",IF(H587&gt;=Setup!B7,"ناجح","إعادة تدريب"))</f>
        <v/>
      </c>
      <c r="J587" s="3"/>
      <c r="K587" s="3"/>
      <c r="L587" s="3"/>
      <c r="M587" s="3"/>
    </row>
    <row r="588" spans="1:13" x14ac:dyDescent="0.2">
      <c r="A588" s="3">
        <v>585</v>
      </c>
      <c r="B588" s="3"/>
      <c r="C588" s="3" t="str">
        <f>IFERROR(VLOOKUP(B588,Sessions!A:J,2,FALSE),"")</f>
        <v/>
      </c>
      <c r="D588" s="3"/>
      <c r="E588" s="3" t="str">
        <f>IFERROR(VLOOKUP(D588,Employees!A:L,2,FALSE),"")</f>
        <v/>
      </c>
      <c r="F588" s="6"/>
      <c r="G588" s="6"/>
      <c r="H588" s="6" t="str">
        <f>IF(G588="","",G588)</f>
        <v/>
      </c>
      <c r="I588" s="3" t="str">
        <f>IF(H588="","",IF(H588&gt;=Setup!B7,"ناجح","إعادة تدريب"))</f>
        <v/>
      </c>
      <c r="J588" s="3"/>
      <c r="K588" s="3"/>
      <c r="L588" s="3"/>
      <c r="M588" s="3"/>
    </row>
    <row r="589" spans="1:13" x14ac:dyDescent="0.2">
      <c r="A589" s="3">
        <v>586</v>
      </c>
      <c r="B589" s="3"/>
      <c r="C589" s="3" t="str">
        <f>IFERROR(VLOOKUP(B589,Sessions!A:J,2,FALSE),"")</f>
        <v/>
      </c>
      <c r="D589" s="3"/>
      <c r="E589" s="3" t="str">
        <f>IFERROR(VLOOKUP(D589,Employees!A:L,2,FALSE),"")</f>
        <v/>
      </c>
      <c r="F589" s="6"/>
      <c r="G589" s="6"/>
      <c r="H589" s="6" t="str">
        <f>IF(G589="","",G589)</f>
        <v/>
      </c>
      <c r="I589" s="3" t="str">
        <f>IF(H589="","",IF(H589&gt;=Setup!B7,"ناجح","إعادة تدريب"))</f>
        <v/>
      </c>
      <c r="J589" s="3"/>
      <c r="K589" s="3"/>
      <c r="L589" s="3"/>
      <c r="M589" s="3"/>
    </row>
    <row r="590" spans="1:13" x14ac:dyDescent="0.2">
      <c r="A590" s="3">
        <v>587</v>
      </c>
      <c r="B590" s="3"/>
      <c r="C590" s="3" t="str">
        <f>IFERROR(VLOOKUP(B590,Sessions!A:J,2,FALSE),"")</f>
        <v/>
      </c>
      <c r="D590" s="3"/>
      <c r="E590" s="3" t="str">
        <f>IFERROR(VLOOKUP(D590,Employees!A:L,2,FALSE),"")</f>
        <v/>
      </c>
      <c r="F590" s="6"/>
      <c r="G590" s="6"/>
      <c r="H590" s="6" t="str">
        <f>IF(G590="","",G590)</f>
        <v/>
      </c>
      <c r="I590" s="3" t="str">
        <f>IF(H590="","",IF(H590&gt;=Setup!B7,"ناجح","إعادة تدريب"))</f>
        <v/>
      </c>
      <c r="J590" s="3"/>
      <c r="K590" s="3"/>
      <c r="L590" s="3"/>
      <c r="M590" s="3"/>
    </row>
    <row r="591" spans="1:13" x14ac:dyDescent="0.2">
      <c r="A591" s="3">
        <v>588</v>
      </c>
      <c r="B591" s="3"/>
      <c r="C591" s="3" t="str">
        <f>IFERROR(VLOOKUP(B591,Sessions!A:J,2,FALSE),"")</f>
        <v/>
      </c>
      <c r="D591" s="3"/>
      <c r="E591" s="3" t="str">
        <f>IFERROR(VLOOKUP(D591,Employees!A:L,2,FALSE),"")</f>
        <v/>
      </c>
      <c r="F591" s="6"/>
      <c r="G591" s="6"/>
      <c r="H591" s="6" t="str">
        <f>IF(G591="","",G591)</f>
        <v/>
      </c>
      <c r="I591" s="3" t="str">
        <f>IF(H591="","",IF(H591&gt;=Setup!B7,"ناجح","إعادة تدريب"))</f>
        <v/>
      </c>
      <c r="J591" s="3"/>
      <c r="K591" s="3"/>
      <c r="L591" s="3"/>
      <c r="M591" s="3"/>
    </row>
    <row r="592" spans="1:13" x14ac:dyDescent="0.2">
      <c r="A592" s="3">
        <v>589</v>
      </c>
      <c r="B592" s="3"/>
      <c r="C592" s="3" t="str">
        <f>IFERROR(VLOOKUP(B592,Sessions!A:J,2,FALSE),"")</f>
        <v/>
      </c>
      <c r="D592" s="3"/>
      <c r="E592" s="3" t="str">
        <f>IFERROR(VLOOKUP(D592,Employees!A:L,2,FALSE),"")</f>
        <v/>
      </c>
      <c r="F592" s="6"/>
      <c r="G592" s="6"/>
      <c r="H592" s="6" t="str">
        <f>IF(G592="","",G592)</f>
        <v/>
      </c>
      <c r="I592" s="3" t="str">
        <f>IF(H592="","",IF(H592&gt;=Setup!B7,"ناجح","إعادة تدريب"))</f>
        <v/>
      </c>
      <c r="J592" s="3"/>
      <c r="K592" s="3"/>
      <c r="L592" s="3"/>
      <c r="M592" s="3"/>
    </row>
    <row r="593" spans="1:13" x14ac:dyDescent="0.2">
      <c r="A593" s="3">
        <v>590</v>
      </c>
      <c r="B593" s="3"/>
      <c r="C593" s="3" t="str">
        <f>IFERROR(VLOOKUP(B593,Sessions!A:J,2,FALSE),"")</f>
        <v/>
      </c>
      <c r="D593" s="3"/>
      <c r="E593" s="3" t="str">
        <f>IFERROR(VLOOKUP(D593,Employees!A:L,2,FALSE),"")</f>
        <v/>
      </c>
      <c r="F593" s="6"/>
      <c r="G593" s="6"/>
      <c r="H593" s="6" t="str">
        <f>IF(G593="","",G593)</f>
        <v/>
      </c>
      <c r="I593" s="3" t="str">
        <f>IF(H593="","",IF(H593&gt;=Setup!B7,"ناجح","إعادة تدريب"))</f>
        <v/>
      </c>
      <c r="J593" s="3"/>
      <c r="K593" s="3"/>
      <c r="L593" s="3"/>
      <c r="M593" s="3"/>
    </row>
    <row r="594" spans="1:13" x14ac:dyDescent="0.2">
      <c r="A594" s="3">
        <v>591</v>
      </c>
      <c r="B594" s="3"/>
      <c r="C594" s="3" t="str">
        <f>IFERROR(VLOOKUP(B594,Sessions!A:J,2,FALSE),"")</f>
        <v/>
      </c>
      <c r="D594" s="3"/>
      <c r="E594" s="3" t="str">
        <f>IFERROR(VLOOKUP(D594,Employees!A:L,2,FALSE),"")</f>
        <v/>
      </c>
      <c r="F594" s="6"/>
      <c r="G594" s="6"/>
      <c r="H594" s="6" t="str">
        <f>IF(G594="","",G594)</f>
        <v/>
      </c>
      <c r="I594" s="3" t="str">
        <f>IF(H594="","",IF(H594&gt;=Setup!B7,"ناجح","إعادة تدريب"))</f>
        <v/>
      </c>
      <c r="J594" s="3"/>
      <c r="K594" s="3"/>
      <c r="L594" s="3"/>
      <c r="M594" s="3"/>
    </row>
    <row r="595" spans="1:13" x14ac:dyDescent="0.2">
      <c r="A595" s="3">
        <v>592</v>
      </c>
      <c r="B595" s="3"/>
      <c r="C595" s="3" t="str">
        <f>IFERROR(VLOOKUP(B595,Sessions!A:J,2,FALSE),"")</f>
        <v/>
      </c>
      <c r="D595" s="3"/>
      <c r="E595" s="3" t="str">
        <f>IFERROR(VLOOKUP(D595,Employees!A:L,2,FALSE),"")</f>
        <v/>
      </c>
      <c r="F595" s="6"/>
      <c r="G595" s="6"/>
      <c r="H595" s="6" t="str">
        <f>IF(G595="","",G595)</f>
        <v/>
      </c>
      <c r="I595" s="3" t="str">
        <f>IF(H595="","",IF(H595&gt;=Setup!B7,"ناجح","إعادة تدريب"))</f>
        <v/>
      </c>
      <c r="J595" s="3"/>
      <c r="K595" s="3"/>
      <c r="L595" s="3"/>
      <c r="M595" s="3"/>
    </row>
    <row r="596" spans="1:13" x14ac:dyDescent="0.2">
      <c r="A596" s="3">
        <v>593</v>
      </c>
      <c r="B596" s="3"/>
      <c r="C596" s="3" t="str">
        <f>IFERROR(VLOOKUP(B596,Sessions!A:J,2,FALSE),"")</f>
        <v/>
      </c>
      <c r="D596" s="3"/>
      <c r="E596" s="3" t="str">
        <f>IFERROR(VLOOKUP(D596,Employees!A:L,2,FALSE),"")</f>
        <v/>
      </c>
      <c r="F596" s="6"/>
      <c r="G596" s="6"/>
      <c r="H596" s="6" t="str">
        <f>IF(G596="","",G596)</f>
        <v/>
      </c>
      <c r="I596" s="3" t="str">
        <f>IF(H596="","",IF(H596&gt;=Setup!B7,"ناجح","إعادة تدريب"))</f>
        <v/>
      </c>
      <c r="J596" s="3"/>
      <c r="K596" s="3"/>
      <c r="L596" s="3"/>
      <c r="M596" s="3"/>
    </row>
    <row r="597" spans="1:13" x14ac:dyDescent="0.2">
      <c r="A597" s="3">
        <v>594</v>
      </c>
      <c r="B597" s="3"/>
      <c r="C597" s="3" t="str">
        <f>IFERROR(VLOOKUP(B597,Sessions!A:J,2,FALSE),"")</f>
        <v/>
      </c>
      <c r="D597" s="3"/>
      <c r="E597" s="3" t="str">
        <f>IFERROR(VLOOKUP(D597,Employees!A:L,2,FALSE),"")</f>
        <v/>
      </c>
      <c r="F597" s="6"/>
      <c r="G597" s="6"/>
      <c r="H597" s="6" t="str">
        <f>IF(G597="","",G597)</f>
        <v/>
      </c>
      <c r="I597" s="3" t="str">
        <f>IF(H597="","",IF(H597&gt;=Setup!B7,"ناجح","إعادة تدريب"))</f>
        <v/>
      </c>
      <c r="J597" s="3"/>
      <c r="K597" s="3"/>
      <c r="L597" s="3"/>
      <c r="M597" s="3"/>
    </row>
    <row r="598" spans="1:13" x14ac:dyDescent="0.2">
      <c r="A598" s="3">
        <v>595</v>
      </c>
      <c r="B598" s="3"/>
      <c r="C598" s="3" t="str">
        <f>IFERROR(VLOOKUP(B598,Sessions!A:J,2,FALSE),"")</f>
        <v/>
      </c>
      <c r="D598" s="3"/>
      <c r="E598" s="3" t="str">
        <f>IFERROR(VLOOKUP(D598,Employees!A:L,2,FALSE),"")</f>
        <v/>
      </c>
      <c r="F598" s="6"/>
      <c r="G598" s="6"/>
      <c r="H598" s="6" t="str">
        <f>IF(G598="","",G598)</f>
        <v/>
      </c>
      <c r="I598" s="3" t="str">
        <f>IF(H598="","",IF(H598&gt;=Setup!B7,"ناجح","إعادة تدريب"))</f>
        <v/>
      </c>
      <c r="J598" s="3"/>
      <c r="K598" s="3"/>
      <c r="L598" s="3"/>
      <c r="M598" s="3"/>
    </row>
    <row r="599" spans="1:13" x14ac:dyDescent="0.2">
      <c r="A599" s="3">
        <v>596</v>
      </c>
      <c r="B599" s="3"/>
      <c r="C599" s="3" t="str">
        <f>IFERROR(VLOOKUP(B599,Sessions!A:J,2,FALSE),"")</f>
        <v/>
      </c>
      <c r="D599" s="3"/>
      <c r="E599" s="3" t="str">
        <f>IFERROR(VLOOKUP(D599,Employees!A:L,2,FALSE),"")</f>
        <v/>
      </c>
      <c r="F599" s="6"/>
      <c r="G599" s="6"/>
      <c r="H599" s="6" t="str">
        <f>IF(G599="","",G599)</f>
        <v/>
      </c>
      <c r="I599" s="3" t="str">
        <f>IF(H599="","",IF(H599&gt;=Setup!B7,"ناجح","إعادة تدريب"))</f>
        <v/>
      </c>
      <c r="J599" s="3"/>
      <c r="K599" s="3"/>
      <c r="L599" s="3"/>
      <c r="M599" s="3"/>
    </row>
    <row r="600" spans="1:13" x14ac:dyDescent="0.2">
      <c r="A600" s="3">
        <v>597</v>
      </c>
      <c r="B600" s="3"/>
      <c r="C600" s="3" t="str">
        <f>IFERROR(VLOOKUP(B600,Sessions!A:J,2,FALSE),"")</f>
        <v/>
      </c>
      <c r="D600" s="3"/>
      <c r="E600" s="3" t="str">
        <f>IFERROR(VLOOKUP(D600,Employees!A:L,2,FALSE),"")</f>
        <v/>
      </c>
      <c r="F600" s="6"/>
      <c r="G600" s="6"/>
      <c r="H600" s="6" t="str">
        <f>IF(G600="","",G600)</f>
        <v/>
      </c>
      <c r="I600" s="3" t="str">
        <f>IF(H600="","",IF(H600&gt;=Setup!B7,"ناجح","إعادة تدريب"))</f>
        <v/>
      </c>
      <c r="J600" s="3"/>
      <c r="K600" s="3"/>
      <c r="L600" s="3"/>
      <c r="M600" s="3"/>
    </row>
    <row r="601" spans="1:13" x14ac:dyDescent="0.2">
      <c r="A601" s="3">
        <v>598</v>
      </c>
      <c r="B601" s="3"/>
      <c r="C601" s="3" t="str">
        <f>IFERROR(VLOOKUP(B601,Sessions!A:J,2,FALSE),"")</f>
        <v/>
      </c>
      <c r="D601" s="3"/>
      <c r="E601" s="3" t="str">
        <f>IFERROR(VLOOKUP(D601,Employees!A:L,2,FALSE),"")</f>
        <v/>
      </c>
      <c r="F601" s="6"/>
      <c r="G601" s="6"/>
      <c r="H601" s="6" t="str">
        <f>IF(G601="","",G601)</f>
        <v/>
      </c>
      <c r="I601" s="3" t="str">
        <f>IF(H601="","",IF(H601&gt;=Setup!B7,"ناجح","إعادة تدريب"))</f>
        <v/>
      </c>
      <c r="J601" s="3"/>
      <c r="K601" s="3"/>
      <c r="L601" s="3"/>
      <c r="M601" s="3"/>
    </row>
    <row r="602" spans="1:13" x14ac:dyDescent="0.2">
      <c r="A602" s="3">
        <v>599</v>
      </c>
      <c r="B602" s="3"/>
      <c r="C602" s="3" t="str">
        <f>IFERROR(VLOOKUP(B602,Sessions!A:J,2,FALSE),"")</f>
        <v/>
      </c>
      <c r="D602" s="3"/>
      <c r="E602" s="3" t="str">
        <f>IFERROR(VLOOKUP(D602,Employees!A:L,2,FALSE),"")</f>
        <v/>
      </c>
      <c r="F602" s="6"/>
      <c r="G602" s="6"/>
      <c r="H602" s="6" t="str">
        <f>IF(G602="","",G602)</f>
        <v/>
      </c>
      <c r="I602" s="3" t="str">
        <f>IF(H602="","",IF(H602&gt;=Setup!B7,"ناجح","إعادة تدريب"))</f>
        <v/>
      </c>
      <c r="J602" s="3"/>
      <c r="K602" s="3"/>
      <c r="L602" s="3"/>
      <c r="M602" s="3"/>
    </row>
    <row r="603" spans="1:13" x14ac:dyDescent="0.2">
      <c r="A603" s="3">
        <v>600</v>
      </c>
      <c r="B603" s="3"/>
      <c r="C603" s="3" t="str">
        <f>IFERROR(VLOOKUP(B603,Sessions!A:J,2,FALSE),"")</f>
        <v/>
      </c>
      <c r="D603" s="3"/>
      <c r="E603" s="3" t="str">
        <f>IFERROR(VLOOKUP(D603,Employees!A:L,2,FALSE),"")</f>
        <v/>
      </c>
      <c r="F603" s="6"/>
      <c r="G603" s="6"/>
      <c r="H603" s="6" t="str">
        <f>IF(G603="","",G603)</f>
        <v/>
      </c>
      <c r="I603" s="3" t="str">
        <f>IF(H603="","",IF(H603&gt;=Setup!B7,"ناجح","إعادة تدريب"))</f>
        <v/>
      </c>
      <c r="J603" s="3"/>
      <c r="K603" s="3"/>
      <c r="L603" s="3"/>
      <c r="M603" s="3"/>
    </row>
    <row r="604" spans="1:13" x14ac:dyDescent="0.2">
      <c r="A604" s="3">
        <v>601</v>
      </c>
      <c r="B604" s="3"/>
      <c r="C604" s="3" t="str">
        <f>IFERROR(VLOOKUP(B604,Sessions!A:J,2,FALSE),"")</f>
        <v/>
      </c>
      <c r="D604" s="3"/>
      <c r="E604" s="3" t="str">
        <f>IFERROR(VLOOKUP(D604,Employees!A:L,2,FALSE),"")</f>
        <v/>
      </c>
      <c r="F604" s="6"/>
      <c r="G604" s="6"/>
      <c r="H604" s="6" t="str">
        <f>IF(G604="","",G604)</f>
        <v/>
      </c>
      <c r="I604" s="3" t="str">
        <f>IF(H604="","",IF(H604&gt;=Setup!B7,"ناجح","إعادة تدريب"))</f>
        <v/>
      </c>
      <c r="J604" s="3"/>
      <c r="K604" s="3"/>
      <c r="L604" s="3"/>
      <c r="M604" s="3"/>
    </row>
    <row r="605" spans="1:13" x14ac:dyDescent="0.2">
      <c r="A605" s="3">
        <v>602</v>
      </c>
      <c r="B605" s="3"/>
      <c r="C605" s="3" t="str">
        <f>IFERROR(VLOOKUP(B605,Sessions!A:J,2,FALSE),"")</f>
        <v/>
      </c>
      <c r="D605" s="3"/>
      <c r="E605" s="3" t="str">
        <f>IFERROR(VLOOKUP(D605,Employees!A:L,2,FALSE),"")</f>
        <v/>
      </c>
      <c r="F605" s="6"/>
      <c r="G605" s="6"/>
      <c r="H605" s="6" t="str">
        <f>IF(G605="","",G605)</f>
        <v/>
      </c>
      <c r="I605" s="3" t="str">
        <f>IF(H605="","",IF(H605&gt;=Setup!B7,"ناجح","إعادة تدريب"))</f>
        <v/>
      </c>
      <c r="J605" s="3"/>
      <c r="K605" s="3"/>
      <c r="L605" s="3"/>
      <c r="M605" s="3"/>
    </row>
    <row r="606" spans="1:13" x14ac:dyDescent="0.2">
      <c r="A606" s="3">
        <v>603</v>
      </c>
      <c r="B606" s="3"/>
      <c r="C606" s="3" t="str">
        <f>IFERROR(VLOOKUP(B606,Sessions!A:J,2,FALSE),"")</f>
        <v/>
      </c>
      <c r="D606" s="3"/>
      <c r="E606" s="3" t="str">
        <f>IFERROR(VLOOKUP(D606,Employees!A:L,2,FALSE),"")</f>
        <v/>
      </c>
      <c r="F606" s="6"/>
      <c r="G606" s="6"/>
      <c r="H606" s="6" t="str">
        <f>IF(G606="","",G606)</f>
        <v/>
      </c>
      <c r="I606" s="3" t="str">
        <f>IF(H606="","",IF(H606&gt;=Setup!B7,"ناجح","إعادة تدريب"))</f>
        <v/>
      </c>
      <c r="J606" s="3"/>
      <c r="K606" s="3"/>
      <c r="L606" s="3"/>
      <c r="M606" s="3"/>
    </row>
    <row r="607" spans="1:13" x14ac:dyDescent="0.2">
      <c r="A607" s="3">
        <v>604</v>
      </c>
      <c r="B607" s="3"/>
      <c r="C607" s="3" t="str">
        <f>IFERROR(VLOOKUP(B607,Sessions!A:J,2,FALSE),"")</f>
        <v/>
      </c>
      <c r="D607" s="3"/>
      <c r="E607" s="3" t="str">
        <f>IFERROR(VLOOKUP(D607,Employees!A:L,2,FALSE),"")</f>
        <v/>
      </c>
      <c r="F607" s="6"/>
      <c r="G607" s="6"/>
      <c r="H607" s="6" t="str">
        <f>IF(G607="","",G607)</f>
        <v/>
      </c>
      <c r="I607" s="3" t="str">
        <f>IF(H607="","",IF(H607&gt;=Setup!B7,"ناجح","إعادة تدريب"))</f>
        <v/>
      </c>
      <c r="J607" s="3"/>
      <c r="K607" s="3"/>
      <c r="L607" s="3"/>
      <c r="M607" s="3"/>
    </row>
    <row r="608" spans="1:13" x14ac:dyDescent="0.2">
      <c r="A608" s="3">
        <v>605</v>
      </c>
      <c r="B608" s="3"/>
      <c r="C608" s="3" t="str">
        <f>IFERROR(VLOOKUP(B608,Sessions!A:J,2,FALSE),"")</f>
        <v/>
      </c>
      <c r="D608" s="3"/>
      <c r="E608" s="3" t="str">
        <f>IFERROR(VLOOKUP(D608,Employees!A:L,2,FALSE),"")</f>
        <v/>
      </c>
      <c r="F608" s="6"/>
      <c r="G608" s="6"/>
      <c r="H608" s="6" t="str">
        <f>IF(G608="","",G608)</f>
        <v/>
      </c>
      <c r="I608" s="3" t="str">
        <f>IF(H608="","",IF(H608&gt;=Setup!B7,"ناجح","إعادة تدريب"))</f>
        <v/>
      </c>
      <c r="J608" s="3"/>
      <c r="K608" s="3"/>
      <c r="L608" s="3"/>
      <c r="M608" s="3"/>
    </row>
    <row r="609" spans="1:13" x14ac:dyDescent="0.2">
      <c r="A609" s="3">
        <v>606</v>
      </c>
      <c r="B609" s="3"/>
      <c r="C609" s="3" t="str">
        <f>IFERROR(VLOOKUP(B609,Sessions!A:J,2,FALSE),"")</f>
        <v/>
      </c>
      <c r="D609" s="3"/>
      <c r="E609" s="3" t="str">
        <f>IFERROR(VLOOKUP(D609,Employees!A:L,2,FALSE),"")</f>
        <v/>
      </c>
      <c r="F609" s="6"/>
      <c r="G609" s="6"/>
      <c r="H609" s="6" t="str">
        <f>IF(G609="","",G609)</f>
        <v/>
      </c>
      <c r="I609" s="3" t="str">
        <f>IF(H609="","",IF(H609&gt;=Setup!B7,"ناجح","إعادة تدريب"))</f>
        <v/>
      </c>
      <c r="J609" s="3"/>
      <c r="K609" s="3"/>
      <c r="L609" s="3"/>
      <c r="M609" s="3"/>
    </row>
    <row r="610" spans="1:13" x14ac:dyDescent="0.2">
      <c r="A610" s="3">
        <v>607</v>
      </c>
      <c r="B610" s="3"/>
      <c r="C610" s="3" t="str">
        <f>IFERROR(VLOOKUP(B610,Sessions!A:J,2,FALSE),"")</f>
        <v/>
      </c>
      <c r="D610" s="3"/>
      <c r="E610" s="3" t="str">
        <f>IFERROR(VLOOKUP(D610,Employees!A:L,2,FALSE),"")</f>
        <v/>
      </c>
      <c r="F610" s="6"/>
      <c r="G610" s="6"/>
      <c r="H610" s="6" t="str">
        <f>IF(G610="","",G610)</f>
        <v/>
      </c>
      <c r="I610" s="3" t="str">
        <f>IF(H610="","",IF(H610&gt;=Setup!B7,"ناجح","إعادة تدريب"))</f>
        <v/>
      </c>
      <c r="J610" s="3"/>
      <c r="K610" s="3"/>
      <c r="L610" s="3"/>
      <c r="M610" s="3"/>
    </row>
    <row r="611" spans="1:13" x14ac:dyDescent="0.2">
      <c r="A611" s="3">
        <v>608</v>
      </c>
      <c r="B611" s="3"/>
      <c r="C611" s="3" t="str">
        <f>IFERROR(VLOOKUP(B611,Sessions!A:J,2,FALSE),"")</f>
        <v/>
      </c>
      <c r="D611" s="3"/>
      <c r="E611" s="3" t="str">
        <f>IFERROR(VLOOKUP(D611,Employees!A:L,2,FALSE),"")</f>
        <v/>
      </c>
      <c r="F611" s="6"/>
      <c r="G611" s="6"/>
      <c r="H611" s="6" t="str">
        <f>IF(G611="","",G611)</f>
        <v/>
      </c>
      <c r="I611" s="3" t="str">
        <f>IF(H611="","",IF(H611&gt;=Setup!B7,"ناجح","إعادة تدريب"))</f>
        <v/>
      </c>
      <c r="J611" s="3"/>
      <c r="K611" s="3"/>
      <c r="L611" s="3"/>
      <c r="M611" s="3"/>
    </row>
    <row r="612" spans="1:13" x14ac:dyDescent="0.2">
      <c r="A612" s="3">
        <v>609</v>
      </c>
      <c r="B612" s="3"/>
      <c r="C612" s="3" t="str">
        <f>IFERROR(VLOOKUP(B612,Sessions!A:J,2,FALSE),"")</f>
        <v/>
      </c>
      <c r="D612" s="3"/>
      <c r="E612" s="3" t="str">
        <f>IFERROR(VLOOKUP(D612,Employees!A:L,2,FALSE),"")</f>
        <v/>
      </c>
      <c r="F612" s="6"/>
      <c r="G612" s="6"/>
      <c r="H612" s="6" t="str">
        <f>IF(G612="","",G612)</f>
        <v/>
      </c>
      <c r="I612" s="3" t="str">
        <f>IF(H612="","",IF(H612&gt;=Setup!B7,"ناجح","إعادة تدريب"))</f>
        <v/>
      </c>
      <c r="J612" s="3"/>
      <c r="K612" s="3"/>
      <c r="L612" s="3"/>
      <c r="M612" s="3"/>
    </row>
    <row r="613" spans="1:13" x14ac:dyDescent="0.2">
      <c r="A613" s="3">
        <v>610</v>
      </c>
      <c r="B613" s="3"/>
      <c r="C613" s="3" t="str">
        <f>IFERROR(VLOOKUP(B613,Sessions!A:J,2,FALSE),"")</f>
        <v/>
      </c>
      <c r="D613" s="3"/>
      <c r="E613" s="3" t="str">
        <f>IFERROR(VLOOKUP(D613,Employees!A:L,2,FALSE),"")</f>
        <v/>
      </c>
      <c r="F613" s="6"/>
      <c r="G613" s="6"/>
      <c r="H613" s="6" t="str">
        <f>IF(G613="","",G613)</f>
        <v/>
      </c>
      <c r="I613" s="3" t="str">
        <f>IF(H613="","",IF(H613&gt;=Setup!B7,"ناجح","إعادة تدريب"))</f>
        <v/>
      </c>
      <c r="J613" s="3"/>
      <c r="K613" s="3"/>
      <c r="L613" s="3"/>
      <c r="M613" s="3"/>
    </row>
    <row r="614" spans="1:13" x14ac:dyDescent="0.2">
      <c r="A614" s="3">
        <v>611</v>
      </c>
      <c r="B614" s="3"/>
      <c r="C614" s="3" t="str">
        <f>IFERROR(VLOOKUP(B614,Sessions!A:J,2,FALSE),"")</f>
        <v/>
      </c>
      <c r="D614" s="3"/>
      <c r="E614" s="3" t="str">
        <f>IFERROR(VLOOKUP(D614,Employees!A:L,2,FALSE),"")</f>
        <v/>
      </c>
      <c r="F614" s="6"/>
      <c r="G614" s="6"/>
      <c r="H614" s="6" t="str">
        <f>IF(G614="","",G614)</f>
        <v/>
      </c>
      <c r="I614" s="3" t="str">
        <f>IF(H614="","",IF(H614&gt;=Setup!B7,"ناجح","إعادة تدريب"))</f>
        <v/>
      </c>
      <c r="J614" s="3"/>
      <c r="K614" s="3"/>
      <c r="L614" s="3"/>
      <c r="M614" s="3"/>
    </row>
    <row r="615" spans="1:13" x14ac:dyDescent="0.2">
      <c r="A615" s="3">
        <v>612</v>
      </c>
      <c r="B615" s="3"/>
      <c r="C615" s="3" t="str">
        <f>IFERROR(VLOOKUP(B615,Sessions!A:J,2,FALSE),"")</f>
        <v/>
      </c>
      <c r="D615" s="3"/>
      <c r="E615" s="3" t="str">
        <f>IFERROR(VLOOKUP(D615,Employees!A:L,2,FALSE),"")</f>
        <v/>
      </c>
      <c r="F615" s="6"/>
      <c r="G615" s="6"/>
      <c r="H615" s="6" t="str">
        <f>IF(G615="","",G615)</f>
        <v/>
      </c>
      <c r="I615" s="3" t="str">
        <f>IF(H615="","",IF(H615&gt;=Setup!B7,"ناجح","إعادة تدريب"))</f>
        <v/>
      </c>
      <c r="J615" s="3"/>
      <c r="K615" s="3"/>
      <c r="L615" s="3"/>
      <c r="M615" s="3"/>
    </row>
    <row r="616" spans="1:13" x14ac:dyDescent="0.2">
      <c r="A616" s="3">
        <v>613</v>
      </c>
      <c r="B616" s="3"/>
      <c r="C616" s="3" t="str">
        <f>IFERROR(VLOOKUP(B616,Sessions!A:J,2,FALSE),"")</f>
        <v/>
      </c>
      <c r="D616" s="3"/>
      <c r="E616" s="3" t="str">
        <f>IFERROR(VLOOKUP(D616,Employees!A:L,2,FALSE),"")</f>
        <v/>
      </c>
      <c r="F616" s="6"/>
      <c r="G616" s="6"/>
      <c r="H616" s="6" t="str">
        <f>IF(G616="","",G616)</f>
        <v/>
      </c>
      <c r="I616" s="3" t="str">
        <f>IF(H616="","",IF(H616&gt;=Setup!B7,"ناجح","إعادة تدريب"))</f>
        <v/>
      </c>
      <c r="J616" s="3"/>
      <c r="K616" s="3"/>
      <c r="L616" s="3"/>
      <c r="M616" s="3"/>
    </row>
    <row r="617" spans="1:13" x14ac:dyDescent="0.2">
      <c r="A617" s="3">
        <v>614</v>
      </c>
      <c r="B617" s="3"/>
      <c r="C617" s="3" t="str">
        <f>IFERROR(VLOOKUP(B617,Sessions!A:J,2,FALSE),"")</f>
        <v/>
      </c>
      <c r="D617" s="3"/>
      <c r="E617" s="3" t="str">
        <f>IFERROR(VLOOKUP(D617,Employees!A:L,2,FALSE),"")</f>
        <v/>
      </c>
      <c r="F617" s="6"/>
      <c r="G617" s="6"/>
      <c r="H617" s="6" t="str">
        <f>IF(G617="","",G617)</f>
        <v/>
      </c>
      <c r="I617" s="3" t="str">
        <f>IF(H617="","",IF(H617&gt;=Setup!B7,"ناجح","إعادة تدريب"))</f>
        <v/>
      </c>
      <c r="J617" s="3"/>
      <c r="K617" s="3"/>
      <c r="L617" s="3"/>
      <c r="M617" s="3"/>
    </row>
    <row r="618" spans="1:13" x14ac:dyDescent="0.2">
      <c r="A618" s="3">
        <v>615</v>
      </c>
      <c r="B618" s="3"/>
      <c r="C618" s="3" t="str">
        <f>IFERROR(VLOOKUP(B618,Sessions!A:J,2,FALSE),"")</f>
        <v/>
      </c>
      <c r="D618" s="3"/>
      <c r="E618" s="3" t="str">
        <f>IFERROR(VLOOKUP(D618,Employees!A:L,2,FALSE),"")</f>
        <v/>
      </c>
      <c r="F618" s="6"/>
      <c r="G618" s="6"/>
      <c r="H618" s="6" t="str">
        <f>IF(G618="","",G618)</f>
        <v/>
      </c>
      <c r="I618" s="3" t="str">
        <f>IF(H618="","",IF(H618&gt;=Setup!B7,"ناجح","إعادة تدريب"))</f>
        <v/>
      </c>
      <c r="J618" s="3"/>
      <c r="K618" s="3"/>
      <c r="L618" s="3"/>
      <c r="M618" s="3"/>
    </row>
    <row r="619" spans="1:13" x14ac:dyDescent="0.2">
      <c r="A619" s="3">
        <v>616</v>
      </c>
      <c r="B619" s="3"/>
      <c r="C619" s="3" t="str">
        <f>IFERROR(VLOOKUP(B619,Sessions!A:J,2,FALSE),"")</f>
        <v/>
      </c>
      <c r="D619" s="3"/>
      <c r="E619" s="3" t="str">
        <f>IFERROR(VLOOKUP(D619,Employees!A:L,2,FALSE),"")</f>
        <v/>
      </c>
      <c r="F619" s="6"/>
      <c r="G619" s="6"/>
      <c r="H619" s="6" t="str">
        <f>IF(G619="","",G619)</f>
        <v/>
      </c>
      <c r="I619" s="3" t="str">
        <f>IF(H619="","",IF(H619&gt;=Setup!B7,"ناجح","إعادة تدريب"))</f>
        <v/>
      </c>
      <c r="J619" s="3"/>
      <c r="K619" s="3"/>
      <c r="L619" s="3"/>
      <c r="M619" s="3"/>
    </row>
    <row r="620" spans="1:13" x14ac:dyDescent="0.2">
      <c r="A620" s="3">
        <v>617</v>
      </c>
      <c r="B620" s="3"/>
      <c r="C620" s="3" t="str">
        <f>IFERROR(VLOOKUP(B620,Sessions!A:J,2,FALSE),"")</f>
        <v/>
      </c>
      <c r="D620" s="3"/>
      <c r="E620" s="3" t="str">
        <f>IFERROR(VLOOKUP(D620,Employees!A:L,2,FALSE),"")</f>
        <v/>
      </c>
      <c r="F620" s="6"/>
      <c r="G620" s="6"/>
      <c r="H620" s="6" t="str">
        <f>IF(G620="","",G620)</f>
        <v/>
      </c>
      <c r="I620" s="3" t="str">
        <f>IF(H620="","",IF(H620&gt;=Setup!B7,"ناجح","إعادة تدريب"))</f>
        <v/>
      </c>
      <c r="J620" s="3"/>
      <c r="K620" s="3"/>
      <c r="L620" s="3"/>
      <c r="M620" s="3"/>
    </row>
    <row r="621" spans="1:13" x14ac:dyDescent="0.2">
      <c r="A621" s="3">
        <v>618</v>
      </c>
      <c r="B621" s="3"/>
      <c r="C621" s="3" t="str">
        <f>IFERROR(VLOOKUP(B621,Sessions!A:J,2,FALSE),"")</f>
        <v/>
      </c>
      <c r="D621" s="3"/>
      <c r="E621" s="3" t="str">
        <f>IFERROR(VLOOKUP(D621,Employees!A:L,2,FALSE),"")</f>
        <v/>
      </c>
      <c r="F621" s="6"/>
      <c r="G621" s="6"/>
      <c r="H621" s="6" t="str">
        <f>IF(G621="","",G621)</f>
        <v/>
      </c>
      <c r="I621" s="3" t="str">
        <f>IF(H621="","",IF(H621&gt;=Setup!B7,"ناجح","إعادة تدريب"))</f>
        <v/>
      </c>
      <c r="J621" s="3"/>
      <c r="K621" s="3"/>
      <c r="L621" s="3"/>
      <c r="M621" s="3"/>
    </row>
    <row r="622" spans="1:13" x14ac:dyDescent="0.2">
      <c r="A622" s="3">
        <v>619</v>
      </c>
      <c r="B622" s="3"/>
      <c r="C622" s="3" t="str">
        <f>IFERROR(VLOOKUP(B622,Sessions!A:J,2,FALSE),"")</f>
        <v/>
      </c>
      <c r="D622" s="3"/>
      <c r="E622" s="3" t="str">
        <f>IFERROR(VLOOKUP(D622,Employees!A:L,2,FALSE),"")</f>
        <v/>
      </c>
      <c r="F622" s="6"/>
      <c r="G622" s="6"/>
      <c r="H622" s="6" t="str">
        <f>IF(G622="","",G622)</f>
        <v/>
      </c>
      <c r="I622" s="3" t="str">
        <f>IF(H622="","",IF(H622&gt;=Setup!B7,"ناجح","إعادة تدريب"))</f>
        <v/>
      </c>
      <c r="J622" s="3"/>
      <c r="K622" s="3"/>
      <c r="L622" s="3"/>
      <c r="M622" s="3"/>
    </row>
    <row r="623" spans="1:13" x14ac:dyDescent="0.2">
      <c r="A623" s="3">
        <v>620</v>
      </c>
      <c r="B623" s="3"/>
      <c r="C623" s="3" t="str">
        <f>IFERROR(VLOOKUP(B623,Sessions!A:J,2,FALSE),"")</f>
        <v/>
      </c>
      <c r="D623" s="3"/>
      <c r="E623" s="3" t="str">
        <f>IFERROR(VLOOKUP(D623,Employees!A:L,2,FALSE),"")</f>
        <v/>
      </c>
      <c r="F623" s="6"/>
      <c r="G623" s="6"/>
      <c r="H623" s="6" t="str">
        <f>IF(G623="","",G623)</f>
        <v/>
      </c>
      <c r="I623" s="3" t="str">
        <f>IF(H623="","",IF(H623&gt;=Setup!B7,"ناجح","إعادة تدريب"))</f>
        <v/>
      </c>
      <c r="J623" s="3"/>
      <c r="K623" s="3"/>
      <c r="L623" s="3"/>
      <c r="M623" s="3"/>
    </row>
    <row r="624" spans="1:13" x14ac:dyDescent="0.2">
      <c r="A624" s="3">
        <v>621</v>
      </c>
      <c r="B624" s="3"/>
      <c r="C624" s="3" t="str">
        <f>IFERROR(VLOOKUP(B624,Sessions!A:J,2,FALSE),"")</f>
        <v/>
      </c>
      <c r="D624" s="3"/>
      <c r="E624" s="3" t="str">
        <f>IFERROR(VLOOKUP(D624,Employees!A:L,2,FALSE),"")</f>
        <v/>
      </c>
      <c r="F624" s="6"/>
      <c r="G624" s="6"/>
      <c r="H624" s="6" t="str">
        <f>IF(G624="","",G624)</f>
        <v/>
      </c>
      <c r="I624" s="3" t="str">
        <f>IF(H624="","",IF(H624&gt;=Setup!B7,"ناجح","إعادة تدريب"))</f>
        <v/>
      </c>
      <c r="J624" s="3"/>
      <c r="K624" s="3"/>
      <c r="L624" s="3"/>
      <c r="M624" s="3"/>
    </row>
    <row r="625" spans="1:13" x14ac:dyDescent="0.2">
      <c r="A625" s="3">
        <v>622</v>
      </c>
      <c r="B625" s="3"/>
      <c r="C625" s="3" t="str">
        <f>IFERROR(VLOOKUP(B625,Sessions!A:J,2,FALSE),"")</f>
        <v/>
      </c>
      <c r="D625" s="3"/>
      <c r="E625" s="3" t="str">
        <f>IFERROR(VLOOKUP(D625,Employees!A:L,2,FALSE),"")</f>
        <v/>
      </c>
      <c r="F625" s="6"/>
      <c r="G625" s="6"/>
      <c r="H625" s="6" t="str">
        <f>IF(G625="","",G625)</f>
        <v/>
      </c>
      <c r="I625" s="3" t="str">
        <f>IF(H625="","",IF(H625&gt;=Setup!B7,"ناجح","إعادة تدريب"))</f>
        <v/>
      </c>
      <c r="J625" s="3"/>
      <c r="K625" s="3"/>
      <c r="L625" s="3"/>
      <c r="M625" s="3"/>
    </row>
    <row r="626" spans="1:13" x14ac:dyDescent="0.2">
      <c r="A626" s="3">
        <v>623</v>
      </c>
      <c r="B626" s="3"/>
      <c r="C626" s="3" t="str">
        <f>IFERROR(VLOOKUP(B626,Sessions!A:J,2,FALSE),"")</f>
        <v/>
      </c>
      <c r="D626" s="3"/>
      <c r="E626" s="3" t="str">
        <f>IFERROR(VLOOKUP(D626,Employees!A:L,2,FALSE),"")</f>
        <v/>
      </c>
      <c r="F626" s="6"/>
      <c r="G626" s="6"/>
      <c r="H626" s="6" t="str">
        <f>IF(G626="","",G626)</f>
        <v/>
      </c>
      <c r="I626" s="3" t="str">
        <f>IF(H626="","",IF(H626&gt;=Setup!B7,"ناجح","إعادة تدريب"))</f>
        <v/>
      </c>
      <c r="J626" s="3"/>
      <c r="K626" s="3"/>
      <c r="L626" s="3"/>
      <c r="M626" s="3"/>
    </row>
    <row r="627" spans="1:13" x14ac:dyDescent="0.2">
      <c r="A627" s="3">
        <v>624</v>
      </c>
      <c r="B627" s="3"/>
      <c r="C627" s="3" t="str">
        <f>IFERROR(VLOOKUP(B627,Sessions!A:J,2,FALSE),"")</f>
        <v/>
      </c>
      <c r="D627" s="3"/>
      <c r="E627" s="3" t="str">
        <f>IFERROR(VLOOKUP(D627,Employees!A:L,2,FALSE),"")</f>
        <v/>
      </c>
      <c r="F627" s="6"/>
      <c r="G627" s="6"/>
      <c r="H627" s="6" t="str">
        <f>IF(G627="","",G627)</f>
        <v/>
      </c>
      <c r="I627" s="3" t="str">
        <f>IF(H627="","",IF(H627&gt;=Setup!B7,"ناجح","إعادة تدريب"))</f>
        <v/>
      </c>
      <c r="J627" s="3"/>
      <c r="K627" s="3"/>
      <c r="L627" s="3"/>
      <c r="M627" s="3"/>
    </row>
    <row r="628" spans="1:13" x14ac:dyDescent="0.2">
      <c r="A628" s="3">
        <v>625</v>
      </c>
      <c r="B628" s="3"/>
      <c r="C628" s="3" t="str">
        <f>IFERROR(VLOOKUP(B628,Sessions!A:J,2,FALSE),"")</f>
        <v/>
      </c>
      <c r="D628" s="3"/>
      <c r="E628" s="3" t="str">
        <f>IFERROR(VLOOKUP(D628,Employees!A:L,2,FALSE),"")</f>
        <v/>
      </c>
      <c r="F628" s="6"/>
      <c r="G628" s="6"/>
      <c r="H628" s="6" t="str">
        <f>IF(G628="","",G628)</f>
        <v/>
      </c>
      <c r="I628" s="3" t="str">
        <f>IF(H628="","",IF(H628&gt;=Setup!B7,"ناجح","إعادة تدريب"))</f>
        <v/>
      </c>
      <c r="J628" s="3"/>
      <c r="K628" s="3"/>
      <c r="L628" s="3"/>
      <c r="M628" s="3"/>
    </row>
    <row r="629" spans="1:13" x14ac:dyDescent="0.2">
      <c r="A629" s="3">
        <v>626</v>
      </c>
      <c r="B629" s="3"/>
      <c r="C629" s="3" t="str">
        <f>IFERROR(VLOOKUP(B629,Sessions!A:J,2,FALSE),"")</f>
        <v/>
      </c>
      <c r="D629" s="3"/>
      <c r="E629" s="3" t="str">
        <f>IFERROR(VLOOKUP(D629,Employees!A:L,2,FALSE),"")</f>
        <v/>
      </c>
      <c r="F629" s="6"/>
      <c r="G629" s="6"/>
      <c r="H629" s="6" t="str">
        <f>IF(G629="","",G629)</f>
        <v/>
      </c>
      <c r="I629" s="3" t="str">
        <f>IF(H629="","",IF(H629&gt;=Setup!B7,"ناجح","إعادة تدريب"))</f>
        <v/>
      </c>
      <c r="J629" s="3"/>
      <c r="K629" s="3"/>
      <c r="L629" s="3"/>
      <c r="M629" s="3"/>
    </row>
    <row r="630" spans="1:13" x14ac:dyDescent="0.2">
      <c r="A630" s="3">
        <v>627</v>
      </c>
      <c r="B630" s="3"/>
      <c r="C630" s="3" t="str">
        <f>IFERROR(VLOOKUP(B630,Sessions!A:J,2,FALSE),"")</f>
        <v/>
      </c>
      <c r="D630" s="3"/>
      <c r="E630" s="3" t="str">
        <f>IFERROR(VLOOKUP(D630,Employees!A:L,2,FALSE),"")</f>
        <v/>
      </c>
      <c r="F630" s="6"/>
      <c r="G630" s="6"/>
      <c r="H630" s="6" t="str">
        <f>IF(G630="","",G630)</f>
        <v/>
      </c>
      <c r="I630" s="3" t="str">
        <f>IF(H630="","",IF(H630&gt;=Setup!B7,"ناجح","إعادة تدريب"))</f>
        <v/>
      </c>
      <c r="J630" s="3"/>
      <c r="K630" s="3"/>
      <c r="L630" s="3"/>
      <c r="M630" s="3"/>
    </row>
    <row r="631" spans="1:13" x14ac:dyDescent="0.2">
      <c r="A631" s="3">
        <v>628</v>
      </c>
      <c r="B631" s="3"/>
      <c r="C631" s="3" t="str">
        <f>IFERROR(VLOOKUP(B631,Sessions!A:J,2,FALSE),"")</f>
        <v/>
      </c>
      <c r="D631" s="3"/>
      <c r="E631" s="3" t="str">
        <f>IFERROR(VLOOKUP(D631,Employees!A:L,2,FALSE),"")</f>
        <v/>
      </c>
      <c r="F631" s="6"/>
      <c r="G631" s="6"/>
      <c r="H631" s="6" t="str">
        <f>IF(G631="","",G631)</f>
        <v/>
      </c>
      <c r="I631" s="3" t="str">
        <f>IF(H631="","",IF(H631&gt;=Setup!B7,"ناجح","إعادة تدريب"))</f>
        <v/>
      </c>
      <c r="J631" s="3"/>
      <c r="K631" s="3"/>
      <c r="L631" s="3"/>
      <c r="M631" s="3"/>
    </row>
    <row r="632" spans="1:13" x14ac:dyDescent="0.2">
      <c r="A632" s="3">
        <v>629</v>
      </c>
      <c r="B632" s="3"/>
      <c r="C632" s="3" t="str">
        <f>IFERROR(VLOOKUP(B632,Sessions!A:J,2,FALSE),"")</f>
        <v/>
      </c>
      <c r="D632" s="3"/>
      <c r="E632" s="3" t="str">
        <f>IFERROR(VLOOKUP(D632,Employees!A:L,2,FALSE),"")</f>
        <v/>
      </c>
      <c r="F632" s="6"/>
      <c r="G632" s="6"/>
      <c r="H632" s="6" t="str">
        <f>IF(G632="","",G632)</f>
        <v/>
      </c>
      <c r="I632" s="3" t="str">
        <f>IF(H632="","",IF(H632&gt;=Setup!B7,"ناجح","إعادة تدريب"))</f>
        <v/>
      </c>
      <c r="J632" s="3"/>
      <c r="K632" s="3"/>
      <c r="L632" s="3"/>
      <c r="M632" s="3"/>
    </row>
    <row r="633" spans="1:13" x14ac:dyDescent="0.2">
      <c r="A633" s="3">
        <v>630</v>
      </c>
      <c r="B633" s="3"/>
      <c r="C633" s="3" t="str">
        <f>IFERROR(VLOOKUP(B633,Sessions!A:J,2,FALSE),"")</f>
        <v/>
      </c>
      <c r="D633" s="3"/>
      <c r="E633" s="3" t="str">
        <f>IFERROR(VLOOKUP(D633,Employees!A:L,2,FALSE),"")</f>
        <v/>
      </c>
      <c r="F633" s="6"/>
      <c r="G633" s="6"/>
      <c r="H633" s="6" t="str">
        <f>IF(G633="","",G633)</f>
        <v/>
      </c>
      <c r="I633" s="3" t="str">
        <f>IF(H633="","",IF(H633&gt;=Setup!B7,"ناجح","إعادة تدريب"))</f>
        <v/>
      </c>
      <c r="J633" s="3"/>
      <c r="K633" s="3"/>
      <c r="L633" s="3"/>
      <c r="M633" s="3"/>
    </row>
    <row r="634" spans="1:13" x14ac:dyDescent="0.2">
      <c r="A634" s="3">
        <v>631</v>
      </c>
      <c r="B634" s="3"/>
      <c r="C634" s="3" t="str">
        <f>IFERROR(VLOOKUP(B634,Sessions!A:J,2,FALSE),"")</f>
        <v/>
      </c>
      <c r="D634" s="3"/>
      <c r="E634" s="3" t="str">
        <f>IFERROR(VLOOKUP(D634,Employees!A:L,2,FALSE),"")</f>
        <v/>
      </c>
      <c r="F634" s="6"/>
      <c r="G634" s="6"/>
      <c r="H634" s="6" t="str">
        <f>IF(G634="","",G634)</f>
        <v/>
      </c>
      <c r="I634" s="3" t="str">
        <f>IF(H634="","",IF(H634&gt;=Setup!B7,"ناجح","إعادة تدريب"))</f>
        <v/>
      </c>
      <c r="J634" s="3"/>
      <c r="K634" s="3"/>
      <c r="L634" s="3"/>
      <c r="M634" s="3"/>
    </row>
    <row r="635" spans="1:13" x14ac:dyDescent="0.2">
      <c r="A635" s="3">
        <v>632</v>
      </c>
      <c r="B635" s="3"/>
      <c r="C635" s="3" t="str">
        <f>IFERROR(VLOOKUP(B635,Sessions!A:J,2,FALSE),"")</f>
        <v/>
      </c>
      <c r="D635" s="3"/>
      <c r="E635" s="3" t="str">
        <f>IFERROR(VLOOKUP(D635,Employees!A:L,2,FALSE),"")</f>
        <v/>
      </c>
      <c r="F635" s="6"/>
      <c r="G635" s="6"/>
      <c r="H635" s="6" t="str">
        <f>IF(G635="","",G635)</f>
        <v/>
      </c>
      <c r="I635" s="3" t="str">
        <f>IF(H635="","",IF(H635&gt;=Setup!B7,"ناجح","إعادة تدريب"))</f>
        <v/>
      </c>
      <c r="J635" s="3"/>
      <c r="K635" s="3"/>
      <c r="L635" s="3"/>
      <c r="M635" s="3"/>
    </row>
    <row r="636" spans="1:13" x14ac:dyDescent="0.2">
      <c r="A636" s="3">
        <v>633</v>
      </c>
      <c r="B636" s="3"/>
      <c r="C636" s="3" t="str">
        <f>IFERROR(VLOOKUP(B636,Sessions!A:J,2,FALSE),"")</f>
        <v/>
      </c>
      <c r="D636" s="3"/>
      <c r="E636" s="3" t="str">
        <f>IFERROR(VLOOKUP(D636,Employees!A:L,2,FALSE),"")</f>
        <v/>
      </c>
      <c r="F636" s="6"/>
      <c r="G636" s="6"/>
      <c r="H636" s="6" t="str">
        <f>IF(G636="","",G636)</f>
        <v/>
      </c>
      <c r="I636" s="3" t="str">
        <f>IF(H636="","",IF(H636&gt;=Setup!B7,"ناجح","إعادة تدريب"))</f>
        <v/>
      </c>
      <c r="J636" s="3"/>
      <c r="K636" s="3"/>
      <c r="L636" s="3"/>
      <c r="M636" s="3"/>
    </row>
    <row r="637" spans="1:13" x14ac:dyDescent="0.2">
      <c r="A637" s="3">
        <v>634</v>
      </c>
      <c r="B637" s="3"/>
      <c r="C637" s="3" t="str">
        <f>IFERROR(VLOOKUP(B637,Sessions!A:J,2,FALSE),"")</f>
        <v/>
      </c>
      <c r="D637" s="3"/>
      <c r="E637" s="3" t="str">
        <f>IFERROR(VLOOKUP(D637,Employees!A:L,2,FALSE),"")</f>
        <v/>
      </c>
      <c r="F637" s="6"/>
      <c r="G637" s="6"/>
      <c r="H637" s="6" t="str">
        <f>IF(G637="","",G637)</f>
        <v/>
      </c>
      <c r="I637" s="3" t="str">
        <f>IF(H637="","",IF(H637&gt;=Setup!B7,"ناجح","إعادة تدريب"))</f>
        <v/>
      </c>
      <c r="J637" s="3"/>
      <c r="K637" s="3"/>
      <c r="L637" s="3"/>
      <c r="M637" s="3"/>
    </row>
    <row r="638" spans="1:13" x14ac:dyDescent="0.2">
      <c r="A638" s="3">
        <v>635</v>
      </c>
      <c r="B638" s="3"/>
      <c r="C638" s="3" t="str">
        <f>IFERROR(VLOOKUP(B638,Sessions!A:J,2,FALSE),"")</f>
        <v/>
      </c>
      <c r="D638" s="3"/>
      <c r="E638" s="3" t="str">
        <f>IFERROR(VLOOKUP(D638,Employees!A:L,2,FALSE),"")</f>
        <v/>
      </c>
      <c r="F638" s="6"/>
      <c r="G638" s="6"/>
      <c r="H638" s="6" t="str">
        <f>IF(G638="","",G638)</f>
        <v/>
      </c>
      <c r="I638" s="3" t="str">
        <f>IF(H638="","",IF(H638&gt;=Setup!B7,"ناجح","إعادة تدريب"))</f>
        <v/>
      </c>
      <c r="J638" s="3"/>
      <c r="K638" s="3"/>
      <c r="L638" s="3"/>
      <c r="M638" s="3"/>
    </row>
    <row r="639" spans="1:13" x14ac:dyDescent="0.2">
      <c r="A639" s="3">
        <v>636</v>
      </c>
      <c r="B639" s="3"/>
      <c r="C639" s="3" t="str">
        <f>IFERROR(VLOOKUP(B639,Sessions!A:J,2,FALSE),"")</f>
        <v/>
      </c>
      <c r="D639" s="3"/>
      <c r="E639" s="3" t="str">
        <f>IFERROR(VLOOKUP(D639,Employees!A:L,2,FALSE),"")</f>
        <v/>
      </c>
      <c r="F639" s="6"/>
      <c r="G639" s="6"/>
      <c r="H639" s="6" t="str">
        <f>IF(G639="","",G639)</f>
        <v/>
      </c>
      <c r="I639" s="3" t="str">
        <f>IF(H639="","",IF(H639&gt;=Setup!B7,"ناجح","إعادة تدريب"))</f>
        <v/>
      </c>
      <c r="J639" s="3"/>
      <c r="K639" s="3"/>
      <c r="L639" s="3"/>
      <c r="M639" s="3"/>
    </row>
    <row r="640" spans="1:13" x14ac:dyDescent="0.2">
      <c r="A640" s="3">
        <v>637</v>
      </c>
      <c r="B640" s="3"/>
      <c r="C640" s="3" t="str">
        <f>IFERROR(VLOOKUP(B640,Sessions!A:J,2,FALSE),"")</f>
        <v/>
      </c>
      <c r="D640" s="3"/>
      <c r="E640" s="3" t="str">
        <f>IFERROR(VLOOKUP(D640,Employees!A:L,2,FALSE),"")</f>
        <v/>
      </c>
      <c r="F640" s="6"/>
      <c r="G640" s="6"/>
      <c r="H640" s="6" t="str">
        <f>IF(G640="","",G640)</f>
        <v/>
      </c>
      <c r="I640" s="3" t="str">
        <f>IF(H640="","",IF(H640&gt;=Setup!B7,"ناجح","إعادة تدريب"))</f>
        <v/>
      </c>
      <c r="J640" s="3"/>
      <c r="K640" s="3"/>
      <c r="L640" s="3"/>
      <c r="M640" s="3"/>
    </row>
    <row r="641" spans="1:13" x14ac:dyDescent="0.2">
      <c r="A641" s="3">
        <v>638</v>
      </c>
      <c r="B641" s="3"/>
      <c r="C641" s="3" t="str">
        <f>IFERROR(VLOOKUP(B641,Sessions!A:J,2,FALSE),"")</f>
        <v/>
      </c>
      <c r="D641" s="3"/>
      <c r="E641" s="3" t="str">
        <f>IFERROR(VLOOKUP(D641,Employees!A:L,2,FALSE),"")</f>
        <v/>
      </c>
      <c r="F641" s="6"/>
      <c r="G641" s="6"/>
      <c r="H641" s="6" t="str">
        <f>IF(G641="","",G641)</f>
        <v/>
      </c>
      <c r="I641" s="3" t="str">
        <f>IF(H641="","",IF(H641&gt;=Setup!B7,"ناجح","إعادة تدريب"))</f>
        <v/>
      </c>
      <c r="J641" s="3"/>
      <c r="K641" s="3"/>
      <c r="L641" s="3"/>
      <c r="M641" s="3"/>
    </row>
    <row r="642" spans="1:13" x14ac:dyDescent="0.2">
      <c r="A642" s="3">
        <v>639</v>
      </c>
      <c r="B642" s="3"/>
      <c r="C642" s="3" t="str">
        <f>IFERROR(VLOOKUP(B642,Sessions!A:J,2,FALSE),"")</f>
        <v/>
      </c>
      <c r="D642" s="3"/>
      <c r="E642" s="3" t="str">
        <f>IFERROR(VLOOKUP(D642,Employees!A:L,2,FALSE),"")</f>
        <v/>
      </c>
      <c r="F642" s="6"/>
      <c r="G642" s="6"/>
      <c r="H642" s="6" t="str">
        <f>IF(G642="","",G642)</f>
        <v/>
      </c>
      <c r="I642" s="3" t="str">
        <f>IF(H642="","",IF(H642&gt;=Setup!B7,"ناجح","إعادة تدريب"))</f>
        <v/>
      </c>
      <c r="J642" s="3"/>
      <c r="K642" s="3"/>
      <c r="L642" s="3"/>
      <c r="M642" s="3"/>
    </row>
    <row r="643" spans="1:13" x14ac:dyDescent="0.2">
      <c r="A643" s="3">
        <v>640</v>
      </c>
      <c r="B643" s="3"/>
      <c r="C643" s="3" t="str">
        <f>IFERROR(VLOOKUP(B643,Sessions!A:J,2,FALSE),"")</f>
        <v/>
      </c>
      <c r="D643" s="3"/>
      <c r="E643" s="3" t="str">
        <f>IFERROR(VLOOKUP(D643,Employees!A:L,2,FALSE),"")</f>
        <v/>
      </c>
      <c r="F643" s="6"/>
      <c r="G643" s="6"/>
      <c r="H643" s="6" t="str">
        <f>IF(G643="","",G643)</f>
        <v/>
      </c>
      <c r="I643" s="3" t="str">
        <f>IF(H643="","",IF(H643&gt;=Setup!B7,"ناجح","إعادة تدريب"))</f>
        <v/>
      </c>
      <c r="J643" s="3"/>
      <c r="K643" s="3"/>
      <c r="L643" s="3"/>
      <c r="M643" s="3"/>
    </row>
    <row r="644" spans="1:13" x14ac:dyDescent="0.2">
      <c r="A644" s="3">
        <v>641</v>
      </c>
      <c r="B644" s="3"/>
      <c r="C644" s="3" t="str">
        <f>IFERROR(VLOOKUP(B644,Sessions!A:J,2,FALSE),"")</f>
        <v/>
      </c>
      <c r="D644" s="3"/>
      <c r="E644" s="3" t="str">
        <f>IFERROR(VLOOKUP(D644,Employees!A:L,2,FALSE),"")</f>
        <v/>
      </c>
      <c r="F644" s="6"/>
      <c r="G644" s="6"/>
      <c r="H644" s="6" t="str">
        <f>IF(G644="","",G644)</f>
        <v/>
      </c>
      <c r="I644" s="3" t="str">
        <f>IF(H644="","",IF(H644&gt;=Setup!B7,"ناجح","إعادة تدريب"))</f>
        <v/>
      </c>
      <c r="J644" s="3"/>
      <c r="K644" s="3"/>
      <c r="L644" s="3"/>
      <c r="M644" s="3"/>
    </row>
    <row r="645" spans="1:13" x14ac:dyDescent="0.2">
      <c r="A645" s="3">
        <v>642</v>
      </c>
      <c r="B645" s="3"/>
      <c r="C645" s="3" t="str">
        <f>IFERROR(VLOOKUP(B645,Sessions!A:J,2,FALSE),"")</f>
        <v/>
      </c>
      <c r="D645" s="3"/>
      <c r="E645" s="3" t="str">
        <f>IFERROR(VLOOKUP(D645,Employees!A:L,2,FALSE),"")</f>
        <v/>
      </c>
      <c r="F645" s="6"/>
      <c r="G645" s="6"/>
      <c r="H645" s="6" t="str">
        <f>IF(G645="","",G645)</f>
        <v/>
      </c>
      <c r="I645" s="3" t="str">
        <f>IF(H645="","",IF(H645&gt;=Setup!B7,"ناجح","إعادة تدريب"))</f>
        <v/>
      </c>
      <c r="J645" s="3"/>
      <c r="K645" s="3"/>
      <c r="L645" s="3"/>
      <c r="M645" s="3"/>
    </row>
    <row r="646" spans="1:13" x14ac:dyDescent="0.2">
      <c r="A646" s="3">
        <v>643</v>
      </c>
      <c r="B646" s="3"/>
      <c r="C646" s="3" t="str">
        <f>IFERROR(VLOOKUP(B646,Sessions!A:J,2,FALSE),"")</f>
        <v/>
      </c>
      <c r="D646" s="3"/>
      <c r="E646" s="3" t="str">
        <f>IFERROR(VLOOKUP(D646,Employees!A:L,2,FALSE),"")</f>
        <v/>
      </c>
      <c r="F646" s="6"/>
      <c r="G646" s="6"/>
      <c r="H646" s="6" t="str">
        <f>IF(G646="","",G646)</f>
        <v/>
      </c>
      <c r="I646" s="3" t="str">
        <f>IF(H646="","",IF(H646&gt;=Setup!B7,"ناجح","إعادة تدريب"))</f>
        <v/>
      </c>
      <c r="J646" s="3"/>
      <c r="K646" s="3"/>
      <c r="L646" s="3"/>
      <c r="M646" s="3"/>
    </row>
    <row r="647" spans="1:13" x14ac:dyDescent="0.2">
      <c r="A647" s="3">
        <v>644</v>
      </c>
      <c r="B647" s="3"/>
      <c r="C647" s="3" t="str">
        <f>IFERROR(VLOOKUP(B647,Sessions!A:J,2,FALSE),"")</f>
        <v/>
      </c>
      <c r="D647" s="3"/>
      <c r="E647" s="3" t="str">
        <f>IFERROR(VLOOKUP(D647,Employees!A:L,2,FALSE),"")</f>
        <v/>
      </c>
      <c r="F647" s="6"/>
      <c r="G647" s="6"/>
      <c r="H647" s="6" t="str">
        <f>IF(G647="","",G647)</f>
        <v/>
      </c>
      <c r="I647" s="3" t="str">
        <f>IF(H647="","",IF(H647&gt;=Setup!B7,"ناجح","إعادة تدريب"))</f>
        <v/>
      </c>
      <c r="J647" s="3"/>
      <c r="K647" s="3"/>
      <c r="L647" s="3"/>
      <c r="M647" s="3"/>
    </row>
    <row r="648" spans="1:13" x14ac:dyDescent="0.2">
      <c r="A648" s="3">
        <v>645</v>
      </c>
      <c r="B648" s="3"/>
      <c r="C648" s="3" t="str">
        <f>IFERROR(VLOOKUP(B648,Sessions!A:J,2,FALSE),"")</f>
        <v/>
      </c>
      <c r="D648" s="3"/>
      <c r="E648" s="3" t="str">
        <f>IFERROR(VLOOKUP(D648,Employees!A:L,2,FALSE),"")</f>
        <v/>
      </c>
      <c r="F648" s="6"/>
      <c r="G648" s="6"/>
      <c r="H648" s="6" t="str">
        <f>IF(G648="","",G648)</f>
        <v/>
      </c>
      <c r="I648" s="3" t="str">
        <f>IF(H648="","",IF(H648&gt;=Setup!B7,"ناجح","إعادة تدريب"))</f>
        <v/>
      </c>
      <c r="J648" s="3"/>
      <c r="K648" s="3"/>
      <c r="L648" s="3"/>
      <c r="M648" s="3"/>
    </row>
    <row r="649" spans="1:13" x14ac:dyDescent="0.2">
      <c r="A649" s="3">
        <v>646</v>
      </c>
      <c r="B649" s="3"/>
      <c r="C649" s="3" t="str">
        <f>IFERROR(VLOOKUP(B649,Sessions!A:J,2,FALSE),"")</f>
        <v/>
      </c>
      <c r="D649" s="3"/>
      <c r="E649" s="3" t="str">
        <f>IFERROR(VLOOKUP(D649,Employees!A:L,2,FALSE),"")</f>
        <v/>
      </c>
      <c r="F649" s="6"/>
      <c r="G649" s="6"/>
      <c r="H649" s="6" t="str">
        <f>IF(G649="","",G649)</f>
        <v/>
      </c>
      <c r="I649" s="3" t="str">
        <f>IF(H649="","",IF(H649&gt;=Setup!B7,"ناجح","إعادة تدريب"))</f>
        <v/>
      </c>
      <c r="J649" s="3"/>
      <c r="K649" s="3"/>
      <c r="L649" s="3"/>
      <c r="M649" s="3"/>
    </row>
    <row r="650" spans="1:13" x14ac:dyDescent="0.2">
      <c r="A650" s="3">
        <v>647</v>
      </c>
      <c r="B650" s="3"/>
      <c r="C650" s="3" t="str">
        <f>IFERROR(VLOOKUP(B650,Sessions!A:J,2,FALSE),"")</f>
        <v/>
      </c>
      <c r="D650" s="3"/>
      <c r="E650" s="3" t="str">
        <f>IFERROR(VLOOKUP(D650,Employees!A:L,2,FALSE),"")</f>
        <v/>
      </c>
      <c r="F650" s="6"/>
      <c r="G650" s="6"/>
      <c r="H650" s="6" t="str">
        <f>IF(G650="","",G650)</f>
        <v/>
      </c>
      <c r="I650" s="3" t="str">
        <f>IF(H650="","",IF(H650&gt;=Setup!B7,"ناجح","إعادة تدريب"))</f>
        <v/>
      </c>
      <c r="J650" s="3"/>
      <c r="K650" s="3"/>
      <c r="L650" s="3"/>
      <c r="M650" s="3"/>
    </row>
    <row r="651" spans="1:13" x14ac:dyDescent="0.2">
      <c r="A651" s="3">
        <v>648</v>
      </c>
      <c r="B651" s="3"/>
      <c r="C651" s="3" t="str">
        <f>IFERROR(VLOOKUP(B651,Sessions!A:J,2,FALSE),"")</f>
        <v/>
      </c>
      <c r="D651" s="3"/>
      <c r="E651" s="3" t="str">
        <f>IFERROR(VLOOKUP(D651,Employees!A:L,2,FALSE),"")</f>
        <v/>
      </c>
      <c r="F651" s="6"/>
      <c r="G651" s="6"/>
      <c r="H651" s="6" t="str">
        <f>IF(G651="","",G651)</f>
        <v/>
      </c>
      <c r="I651" s="3" t="str">
        <f>IF(H651="","",IF(H651&gt;=Setup!B7,"ناجح","إعادة تدريب"))</f>
        <v/>
      </c>
      <c r="J651" s="3"/>
      <c r="K651" s="3"/>
      <c r="L651" s="3"/>
      <c r="M651" s="3"/>
    </row>
    <row r="652" spans="1:13" x14ac:dyDescent="0.2">
      <c r="A652" s="3">
        <v>649</v>
      </c>
      <c r="B652" s="3"/>
      <c r="C652" s="3" t="str">
        <f>IFERROR(VLOOKUP(B652,Sessions!A:J,2,FALSE),"")</f>
        <v/>
      </c>
      <c r="D652" s="3"/>
      <c r="E652" s="3" t="str">
        <f>IFERROR(VLOOKUP(D652,Employees!A:L,2,FALSE),"")</f>
        <v/>
      </c>
      <c r="F652" s="6"/>
      <c r="G652" s="6"/>
      <c r="H652" s="6" t="str">
        <f>IF(G652="","",G652)</f>
        <v/>
      </c>
      <c r="I652" s="3" t="str">
        <f>IF(H652="","",IF(H652&gt;=Setup!B7,"ناجح","إعادة تدريب"))</f>
        <v/>
      </c>
      <c r="J652" s="3"/>
      <c r="K652" s="3"/>
      <c r="L652" s="3"/>
      <c r="M652" s="3"/>
    </row>
    <row r="653" spans="1:13" x14ac:dyDescent="0.2">
      <c r="A653" s="3">
        <v>650</v>
      </c>
      <c r="B653" s="3"/>
      <c r="C653" s="3" t="str">
        <f>IFERROR(VLOOKUP(B653,Sessions!A:J,2,FALSE),"")</f>
        <v/>
      </c>
      <c r="D653" s="3"/>
      <c r="E653" s="3" t="str">
        <f>IFERROR(VLOOKUP(D653,Employees!A:L,2,FALSE),"")</f>
        <v/>
      </c>
      <c r="F653" s="6"/>
      <c r="G653" s="6"/>
      <c r="H653" s="6" t="str">
        <f>IF(G653="","",G653)</f>
        <v/>
      </c>
      <c r="I653" s="3" t="str">
        <f>IF(H653="","",IF(H653&gt;=Setup!B7,"ناجح","إعادة تدريب"))</f>
        <v/>
      </c>
      <c r="J653" s="3"/>
      <c r="K653" s="3"/>
      <c r="L653" s="3"/>
      <c r="M653" s="3"/>
    </row>
    <row r="654" spans="1:13" x14ac:dyDescent="0.2">
      <c r="A654" s="3">
        <v>651</v>
      </c>
      <c r="B654" s="3"/>
      <c r="C654" s="3" t="str">
        <f>IFERROR(VLOOKUP(B654,Sessions!A:J,2,FALSE),"")</f>
        <v/>
      </c>
      <c r="D654" s="3"/>
      <c r="E654" s="3" t="str">
        <f>IFERROR(VLOOKUP(D654,Employees!A:L,2,FALSE),"")</f>
        <v/>
      </c>
      <c r="F654" s="6"/>
      <c r="G654" s="6"/>
      <c r="H654" s="6" t="str">
        <f>IF(G654="","",G654)</f>
        <v/>
      </c>
      <c r="I654" s="3" t="str">
        <f>IF(H654="","",IF(H654&gt;=Setup!B7,"ناجح","إعادة تدريب"))</f>
        <v/>
      </c>
      <c r="J654" s="3"/>
      <c r="K654" s="3"/>
      <c r="L654" s="3"/>
      <c r="M654" s="3"/>
    </row>
    <row r="655" spans="1:13" x14ac:dyDescent="0.2">
      <c r="A655" s="3">
        <v>652</v>
      </c>
      <c r="B655" s="3"/>
      <c r="C655" s="3" t="str">
        <f>IFERROR(VLOOKUP(B655,Sessions!A:J,2,FALSE),"")</f>
        <v/>
      </c>
      <c r="D655" s="3"/>
      <c r="E655" s="3" t="str">
        <f>IFERROR(VLOOKUP(D655,Employees!A:L,2,FALSE),"")</f>
        <v/>
      </c>
      <c r="F655" s="6"/>
      <c r="G655" s="6"/>
      <c r="H655" s="6" t="str">
        <f>IF(G655="","",G655)</f>
        <v/>
      </c>
      <c r="I655" s="3" t="str">
        <f>IF(H655="","",IF(H655&gt;=Setup!B7,"ناجح","إعادة تدريب"))</f>
        <v/>
      </c>
      <c r="J655" s="3"/>
      <c r="K655" s="3"/>
      <c r="L655" s="3"/>
      <c r="M655" s="3"/>
    </row>
    <row r="656" spans="1:13" x14ac:dyDescent="0.2">
      <c r="A656" s="3">
        <v>653</v>
      </c>
      <c r="B656" s="3"/>
      <c r="C656" s="3" t="str">
        <f>IFERROR(VLOOKUP(B656,Sessions!A:J,2,FALSE),"")</f>
        <v/>
      </c>
      <c r="D656" s="3"/>
      <c r="E656" s="3" t="str">
        <f>IFERROR(VLOOKUP(D656,Employees!A:L,2,FALSE),"")</f>
        <v/>
      </c>
      <c r="F656" s="6"/>
      <c r="G656" s="6"/>
      <c r="H656" s="6" t="str">
        <f>IF(G656="","",G656)</f>
        <v/>
      </c>
      <c r="I656" s="3" t="str">
        <f>IF(H656="","",IF(H656&gt;=Setup!B7,"ناجح","إعادة تدريب"))</f>
        <v/>
      </c>
      <c r="J656" s="3"/>
      <c r="K656" s="3"/>
      <c r="L656" s="3"/>
      <c r="M656" s="3"/>
    </row>
    <row r="657" spans="1:13" x14ac:dyDescent="0.2">
      <c r="A657" s="3">
        <v>654</v>
      </c>
      <c r="B657" s="3"/>
      <c r="C657" s="3" t="str">
        <f>IFERROR(VLOOKUP(B657,Sessions!A:J,2,FALSE),"")</f>
        <v/>
      </c>
      <c r="D657" s="3"/>
      <c r="E657" s="3" t="str">
        <f>IFERROR(VLOOKUP(D657,Employees!A:L,2,FALSE),"")</f>
        <v/>
      </c>
      <c r="F657" s="6"/>
      <c r="G657" s="6"/>
      <c r="H657" s="6" t="str">
        <f>IF(G657="","",G657)</f>
        <v/>
      </c>
      <c r="I657" s="3" t="str">
        <f>IF(H657="","",IF(H657&gt;=Setup!B7,"ناجح","إعادة تدريب"))</f>
        <v/>
      </c>
      <c r="J657" s="3"/>
      <c r="K657" s="3"/>
      <c r="L657" s="3"/>
      <c r="M657" s="3"/>
    </row>
    <row r="658" spans="1:13" x14ac:dyDescent="0.2">
      <c r="A658" s="3">
        <v>655</v>
      </c>
      <c r="B658" s="3"/>
      <c r="C658" s="3" t="str">
        <f>IFERROR(VLOOKUP(B658,Sessions!A:J,2,FALSE),"")</f>
        <v/>
      </c>
      <c r="D658" s="3"/>
      <c r="E658" s="3" t="str">
        <f>IFERROR(VLOOKUP(D658,Employees!A:L,2,FALSE),"")</f>
        <v/>
      </c>
      <c r="F658" s="6"/>
      <c r="G658" s="6"/>
      <c r="H658" s="6" t="str">
        <f>IF(G658="","",G658)</f>
        <v/>
      </c>
      <c r="I658" s="3" t="str">
        <f>IF(H658="","",IF(H658&gt;=Setup!B7,"ناجح","إعادة تدريب"))</f>
        <v/>
      </c>
      <c r="J658" s="3"/>
      <c r="K658" s="3"/>
      <c r="L658" s="3"/>
      <c r="M658" s="3"/>
    </row>
    <row r="659" spans="1:13" x14ac:dyDescent="0.2">
      <c r="A659" s="3">
        <v>656</v>
      </c>
      <c r="B659" s="3"/>
      <c r="C659" s="3" t="str">
        <f>IFERROR(VLOOKUP(B659,Sessions!A:J,2,FALSE),"")</f>
        <v/>
      </c>
      <c r="D659" s="3"/>
      <c r="E659" s="3" t="str">
        <f>IFERROR(VLOOKUP(D659,Employees!A:L,2,FALSE),"")</f>
        <v/>
      </c>
      <c r="F659" s="6"/>
      <c r="G659" s="6"/>
      <c r="H659" s="6" t="str">
        <f>IF(G659="","",G659)</f>
        <v/>
      </c>
      <c r="I659" s="3" t="str">
        <f>IF(H659="","",IF(H659&gt;=Setup!B7,"ناجح","إعادة تدريب"))</f>
        <v/>
      </c>
      <c r="J659" s="3"/>
      <c r="K659" s="3"/>
      <c r="L659" s="3"/>
      <c r="M659" s="3"/>
    </row>
    <row r="660" spans="1:13" x14ac:dyDescent="0.2">
      <c r="A660" s="3">
        <v>657</v>
      </c>
      <c r="B660" s="3"/>
      <c r="C660" s="3" t="str">
        <f>IFERROR(VLOOKUP(B660,Sessions!A:J,2,FALSE),"")</f>
        <v/>
      </c>
      <c r="D660" s="3"/>
      <c r="E660" s="3" t="str">
        <f>IFERROR(VLOOKUP(D660,Employees!A:L,2,FALSE),"")</f>
        <v/>
      </c>
      <c r="F660" s="6"/>
      <c r="G660" s="6"/>
      <c r="H660" s="6" t="str">
        <f>IF(G660="","",G660)</f>
        <v/>
      </c>
      <c r="I660" s="3" t="str">
        <f>IF(H660="","",IF(H660&gt;=Setup!B7,"ناجح","إعادة تدريب"))</f>
        <v/>
      </c>
      <c r="J660" s="3"/>
      <c r="K660" s="3"/>
      <c r="L660" s="3"/>
      <c r="M660" s="3"/>
    </row>
    <row r="661" spans="1:13" x14ac:dyDescent="0.2">
      <c r="A661" s="3">
        <v>658</v>
      </c>
      <c r="B661" s="3"/>
      <c r="C661" s="3" t="str">
        <f>IFERROR(VLOOKUP(B661,Sessions!A:J,2,FALSE),"")</f>
        <v/>
      </c>
      <c r="D661" s="3"/>
      <c r="E661" s="3" t="str">
        <f>IFERROR(VLOOKUP(D661,Employees!A:L,2,FALSE),"")</f>
        <v/>
      </c>
      <c r="F661" s="6"/>
      <c r="G661" s="6"/>
      <c r="H661" s="6" t="str">
        <f>IF(G661="","",G661)</f>
        <v/>
      </c>
      <c r="I661" s="3" t="str">
        <f>IF(H661="","",IF(H661&gt;=Setup!B7,"ناجح","إعادة تدريب"))</f>
        <v/>
      </c>
      <c r="J661" s="3"/>
      <c r="K661" s="3"/>
      <c r="L661" s="3"/>
      <c r="M661" s="3"/>
    </row>
    <row r="662" spans="1:13" x14ac:dyDescent="0.2">
      <c r="A662" s="3">
        <v>659</v>
      </c>
      <c r="B662" s="3"/>
      <c r="C662" s="3" t="str">
        <f>IFERROR(VLOOKUP(B662,Sessions!A:J,2,FALSE),"")</f>
        <v/>
      </c>
      <c r="D662" s="3"/>
      <c r="E662" s="3" t="str">
        <f>IFERROR(VLOOKUP(D662,Employees!A:L,2,FALSE),"")</f>
        <v/>
      </c>
      <c r="F662" s="6"/>
      <c r="G662" s="6"/>
      <c r="H662" s="6" t="str">
        <f>IF(G662="","",G662)</f>
        <v/>
      </c>
      <c r="I662" s="3" t="str">
        <f>IF(H662="","",IF(H662&gt;=Setup!B7,"ناجح","إعادة تدريب"))</f>
        <v/>
      </c>
      <c r="J662" s="3"/>
      <c r="K662" s="3"/>
      <c r="L662" s="3"/>
      <c r="M662" s="3"/>
    </row>
    <row r="663" spans="1:13" x14ac:dyDescent="0.2">
      <c r="A663" s="3">
        <v>660</v>
      </c>
      <c r="B663" s="3"/>
      <c r="C663" s="3" t="str">
        <f>IFERROR(VLOOKUP(B663,Sessions!A:J,2,FALSE),"")</f>
        <v/>
      </c>
      <c r="D663" s="3"/>
      <c r="E663" s="3" t="str">
        <f>IFERROR(VLOOKUP(D663,Employees!A:L,2,FALSE),"")</f>
        <v/>
      </c>
      <c r="F663" s="6"/>
      <c r="G663" s="6"/>
      <c r="H663" s="6" t="str">
        <f>IF(G663="","",G663)</f>
        <v/>
      </c>
      <c r="I663" s="3" t="str">
        <f>IF(H663="","",IF(H663&gt;=Setup!B7,"ناجح","إعادة تدريب"))</f>
        <v/>
      </c>
      <c r="J663" s="3"/>
      <c r="K663" s="3"/>
      <c r="L663" s="3"/>
      <c r="M663" s="3"/>
    </row>
    <row r="664" spans="1:13" x14ac:dyDescent="0.2">
      <c r="A664" s="3">
        <v>661</v>
      </c>
      <c r="B664" s="3"/>
      <c r="C664" s="3" t="str">
        <f>IFERROR(VLOOKUP(B664,Sessions!A:J,2,FALSE),"")</f>
        <v/>
      </c>
      <c r="D664" s="3"/>
      <c r="E664" s="3" t="str">
        <f>IFERROR(VLOOKUP(D664,Employees!A:L,2,FALSE),"")</f>
        <v/>
      </c>
      <c r="F664" s="6"/>
      <c r="G664" s="6"/>
      <c r="H664" s="6" t="str">
        <f>IF(G664="","",G664)</f>
        <v/>
      </c>
      <c r="I664" s="3" t="str">
        <f>IF(H664="","",IF(H664&gt;=Setup!B7,"ناجح","إعادة تدريب"))</f>
        <v/>
      </c>
      <c r="J664" s="3"/>
      <c r="K664" s="3"/>
      <c r="L664" s="3"/>
      <c r="M664" s="3"/>
    </row>
    <row r="665" spans="1:13" x14ac:dyDescent="0.2">
      <c r="A665" s="3">
        <v>662</v>
      </c>
      <c r="B665" s="3"/>
      <c r="C665" s="3" t="str">
        <f>IFERROR(VLOOKUP(B665,Sessions!A:J,2,FALSE),"")</f>
        <v/>
      </c>
      <c r="D665" s="3"/>
      <c r="E665" s="3" t="str">
        <f>IFERROR(VLOOKUP(D665,Employees!A:L,2,FALSE),"")</f>
        <v/>
      </c>
      <c r="F665" s="6"/>
      <c r="G665" s="6"/>
      <c r="H665" s="6" t="str">
        <f>IF(G665="","",G665)</f>
        <v/>
      </c>
      <c r="I665" s="3" t="str">
        <f>IF(H665="","",IF(H665&gt;=Setup!B7,"ناجح","إعادة تدريب"))</f>
        <v/>
      </c>
      <c r="J665" s="3"/>
      <c r="K665" s="3"/>
      <c r="L665" s="3"/>
      <c r="M665" s="3"/>
    </row>
    <row r="666" spans="1:13" x14ac:dyDescent="0.2">
      <c r="A666" s="3">
        <v>663</v>
      </c>
      <c r="B666" s="3"/>
      <c r="C666" s="3" t="str">
        <f>IFERROR(VLOOKUP(B666,Sessions!A:J,2,FALSE),"")</f>
        <v/>
      </c>
      <c r="D666" s="3"/>
      <c r="E666" s="3" t="str">
        <f>IFERROR(VLOOKUP(D666,Employees!A:L,2,FALSE),"")</f>
        <v/>
      </c>
      <c r="F666" s="6"/>
      <c r="G666" s="6"/>
      <c r="H666" s="6" t="str">
        <f>IF(G666="","",G666)</f>
        <v/>
      </c>
      <c r="I666" s="3" t="str">
        <f>IF(H666="","",IF(H666&gt;=Setup!B7,"ناجح","إعادة تدريب"))</f>
        <v/>
      </c>
      <c r="J666" s="3"/>
      <c r="K666" s="3"/>
      <c r="L666" s="3"/>
      <c r="M666" s="3"/>
    </row>
    <row r="667" spans="1:13" x14ac:dyDescent="0.2">
      <c r="A667" s="3">
        <v>664</v>
      </c>
      <c r="B667" s="3"/>
      <c r="C667" s="3" t="str">
        <f>IFERROR(VLOOKUP(B667,Sessions!A:J,2,FALSE),"")</f>
        <v/>
      </c>
      <c r="D667" s="3"/>
      <c r="E667" s="3" t="str">
        <f>IFERROR(VLOOKUP(D667,Employees!A:L,2,FALSE),"")</f>
        <v/>
      </c>
      <c r="F667" s="6"/>
      <c r="G667" s="6"/>
      <c r="H667" s="6" t="str">
        <f>IF(G667="","",G667)</f>
        <v/>
      </c>
      <c r="I667" s="3" t="str">
        <f>IF(H667="","",IF(H667&gt;=Setup!B7,"ناجح","إعادة تدريب"))</f>
        <v/>
      </c>
      <c r="J667" s="3"/>
      <c r="K667" s="3"/>
      <c r="L667" s="3"/>
      <c r="M667" s="3"/>
    </row>
    <row r="668" spans="1:13" x14ac:dyDescent="0.2">
      <c r="A668" s="3">
        <v>665</v>
      </c>
      <c r="B668" s="3"/>
      <c r="C668" s="3" t="str">
        <f>IFERROR(VLOOKUP(B668,Sessions!A:J,2,FALSE),"")</f>
        <v/>
      </c>
      <c r="D668" s="3"/>
      <c r="E668" s="3" t="str">
        <f>IFERROR(VLOOKUP(D668,Employees!A:L,2,FALSE),"")</f>
        <v/>
      </c>
      <c r="F668" s="6"/>
      <c r="G668" s="6"/>
      <c r="H668" s="6" t="str">
        <f>IF(G668="","",G668)</f>
        <v/>
      </c>
      <c r="I668" s="3" t="str">
        <f>IF(H668="","",IF(H668&gt;=Setup!B7,"ناجح","إعادة تدريب"))</f>
        <v/>
      </c>
      <c r="J668" s="3"/>
      <c r="K668" s="3"/>
      <c r="L668" s="3"/>
      <c r="M668" s="3"/>
    </row>
    <row r="669" spans="1:13" x14ac:dyDescent="0.2">
      <c r="A669" s="3">
        <v>666</v>
      </c>
      <c r="B669" s="3"/>
      <c r="C669" s="3" t="str">
        <f>IFERROR(VLOOKUP(B669,Sessions!A:J,2,FALSE),"")</f>
        <v/>
      </c>
      <c r="D669" s="3"/>
      <c r="E669" s="3" t="str">
        <f>IFERROR(VLOOKUP(D669,Employees!A:L,2,FALSE),"")</f>
        <v/>
      </c>
      <c r="F669" s="6"/>
      <c r="G669" s="6"/>
      <c r="H669" s="6" t="str">
        <f>IF(G669="","",G669)</f>
        <v/>
      </c>
      <c r="I669" s="3" t="str">
        <f>IF(H669="","",IF(H669&gt;=Setup!B7,"ناجح","إعادة تدريب"))</f>
        <v/>
      </c>
      <c r="J669" s="3"/>
      <c r="K669" s="3"/>
      <c r="L669" s="3"/>
      <c r="M669" s="3"/>
    </row>
    <row r="670" spans="1:13" x14ac:dyDescent="0.2">
      <c r="A670" s="3">
        <v>667</v>
      </c>
      <c r="B670" s="3"/>
      <c r="C670" s="3" t="str">
        <f>IFERROR(VLOOKUP(B670,Sessions!A:J,2,FALSE),"")</f>
        <v/>
      </c>
      <c r="D670" s="3"/>
      <c r="E670" s="3" t="str">
        <f>IFERROR(VLOOKUP(D670,Employees!A:L,2,FALSE),"")</f>
        <v/>
      </c>
      <c r="F670" s="6"/>
      <c r="G670" s="6"/>
      <c r="H670" s="6" t="str">
        <f>IF(G670="","",G670)</f>
        <v/>
      </c>
      <c r="I670" s="3" t="str">
        <f>IF(H670="","",IF(H670&gt;=Setup!B7,"ناجح","إعادة تدريب"))</f>
        <v/>
      </c>
      <c r="J670" s="3"/>
      <c r="K670" s="3"/>
      <c r="L670" s="3"/>
      <c r="M670" s="3"/>
    </row>
    <row r="671" spans="1:13" x14ac:dyDescent="0.2">
      <c r="A671" s="3">
        <v>668</v>
      </c>
      <c r="B671" s="3"/>
      <c r="C671" s="3" t="str">
        <f>IFERROR(VLOOKUP(B671,Sessions!A:J,2,FALSE),"")</f>
        <v/>
      </c>
      <c r="D671" s="3"/>
      <c r="E671" s="3" t="str">
        <f>IFERROR(VLOOKUP(D671,Employees!A:L,2,FALSE),"")</f>
        <v/>
      </c>
      <c r="F671" s="6"/>
      <c r="G671" s="6"/>
      <c r="H671" s="6" t="str">
        <f>IF(G671="","",G671)</f>
        <v/>
      </c>
      <c r="I671" s="3" t="str">
        <f>IF(H671="","",IF(H671&gt;=Setup!B7,"ناجح","إعادة تدريب"))</f>
        <v/>
      </c>
      <c r="J671" s="3"/>
      <c r="K671" s="3"/>
      <c r="L671" s="3"/>
      <c r="M671" s="3"/>
    </row>
    <row r="672" spans="1:13" x14ac:dyDescent="0.2">
      <c r="A672" s="3">
        <v>669</v>
      </c>
      <c r="B672" s="3"/>
      <c r="C672" s="3" t="str">
        <f>IFERROR(VLOOKUP(B672,Sessions!A:J,2,FALSE),"")</f>
        <v/>
      </c>
      <c r="D672" s="3"/>
      <c r="E672" s="3" t="str">
        <f>IFERROR(VLOOKUP(D672,Employees!A:L,2,FALSE),"")</f>
        <v/>
      </c>
      <c r="F672" s="6"/>
      <c r="G672" s="6"/>
      <c r="H672" s="6" t="str">
        <f>IF(G672="","",G672)</f>
        <v/>
      </c>
      <c r="I672" s="3" t="str">
        <f>IF(H672="","",IF(H672&gt;=Setup!B7,"ناجح","إعادة تدريب"))</f>
        <v/>
      </c>
      <c r="J672" s="3"/>
      <c r="K672" s="3"/>
      <c r="L672" s="3"/>
      <c r="M672" s="3"/>
    </row>
    <row r="673" spans="1:13" x14ac:dyDescent="0.2">
      <c r="A673" s="3">
        <v>670</v>
      </c>
      <c r="B673" s="3"/>
      <c r="C673" s="3" t="str">
        <f>IFERROR(VLOOKUP(B673,Sessions!A:J,2,FALSE),"")</f>
        <v/>
      </c>
      <c r="D673" s="3"/>
      <c r="E673" s="3" t="str">
        <f>IFERROR(VLOOKUP(D673,Employees!A:L,2,FALSE),"")</f>
        <v/>
      </c>
      <c r="F673" s="6"/>
      <c r="G673" s="6"/>
      <c r="H673" s="6" t="str">
        <f>IF(G673="","",G673)</f>
        <v/>
      </c>
      <c r="I673" s="3" t="str">
        <f>IF(H673="","",IF(H673&gt;=Setup!B7,"ناجح","إعادة تدريب"))</f>
        <v/>
      </c>
      <c r="J673" s="3"/>
      <c r="K673" s="3"/>
      <c r="L673" s="3"/>
      <c r="M673" s="3"/>
    </row>
    <row r="674" spans="1:13" x14ac:dyDescent="0.2">
      <c r="A674" s="3">
        <v>671</v>
      </c>
      <c r="B674" s="3"/>
      <c r="C674" s="3" t="str">
        <f>IFERROR(VLOOKUP(B674,Sessions!A:J,2,FALSE),"")</f>
        <v/>
      </c>
      <c r="D674" s="3"/>
      <c r="E674" s="3" t="str">
        <f>IFERROR(VLOOKUP(D674,Employees!A:L,2,FALSE),"")</f>
        <v/>
      </c>
      <c r="F674" s="6"/>
      <c r="G674" s="6"/>
      <c r="H674" s="6" t="str">
        <f>IF(G674="","",G674)</f>
        <v/>
      </c>
      <c r="I674" s="3" t="str">
        <f>IF(H674="","",IF(H674&gt;=Setup!B7,"ناجح","إعادة تدريب"))</f>
        <v/>
      </c>
      <c r="J674" s="3"/>
      <c r="K674" s="3"/>
      <c r="L674" s="3"/>
      <c r="M674" s="3"/>
    </row>
    <row r="675" spans="1:13" x14ac:dyDescent="0.2">
      <c r="A675" s="3">
        <v>672</v>
      </c>
      <c r="B675" s="3"/>
      <c r="C675" s="3" t="str">
        <f>IFERROR(VLOOKUP(B675,Sessions!A:J,2,FALSE),"")</f>
        <v/>
      </c>
      <c r="D675" s="3"/>
      <c r="E675" s="3" t="str">
        <f>IFERROR(VLOOKUP(D675,Employees!A:L,2,FALSE),"")</f>
        <v/>
      </c>
      <c r="F675" s="6"/>
      <c r="G675" s="6"/>
      <c r="H675" s="6" t="str">
        <f>IF(G675="","",G675)</f>
        <v/>
      </c>
      <c r="I675" s="3" t="str">
        <f>IF(H675="","",IF(H675&gt;=Setup!B7,"ناجح","إعادة تدريب"))</f>
        <v/>
      </c>
      <c r="J675" s="3"/>
      <c r="K675" s="3"/>
      <c r="L675" s="3"/>
      <c r="M675" s="3"/>
    </row>
    <row r="676" spans="1:13" x14ac:dyDescent="0.2">
      <c r="A676" s="3">
        <v>673</v>
      </c>
      <c r="B676" s="3"/>
      <c r="C676" s="3" t="str">
        <f>IFERROR(VLOOKUP(B676,Sessions!A:J,2,FALSE),"")</f>
        <v/>
      </c>
      <c r="D676" s="3"/>
      <c r="E676" s="3" t="str">
        <f>IFERROR(VLOOKUP(D676,Employees!A:L,2,FALSE),"")</f>
        <v/>
      </c>
      <c r="F676" s="6"/>
      <c r="G676" s="6"/>
      <c r="H676" s="6" t="str">
        <f>IF(G676="","",G676)</f>
        <v/>
      </c>
      <c r="I676" s="3" t="str">
        <f>IF(H676="","",IF(H676&gt;=Setup!B7,"ناجح","إعادة تدريب"))</f>
        <v/>
      </c>
      <c r="J676" s="3"/>
      <c r="K676" s="3"/>
      <c r="L676" s="3"/>
      <c r="M676" s="3"/>
    </row>
    <row r="677" spans="1:13" x14ac:dyDescent="0.2">
      <c r="A677" s="3">
        <v>674</v>
      </c>
      <c r="B677" s="3"/>
      <c r="C677" s="3" t="str">
        <f>IFERROR(VLOOKUP(B677,Sessions!A:J,2,FALSE),"")</f>
        <v/>
      </c>
      <c r="D677" s="3"/>
      <c r="E677" s="3" t="str">
        <f>IFERROR(VLOOKUP(D677,Employees!A:L,2,FALSE),"")</f>
        <v/>
      </c>
      <c r="F677" s="6"/>
      <c r="G677" s="6"/>
      <c r="H677" s="6" t="str">
        <f>IF(G677="","",G677)</f>
        <v/>
      </c>
      <c r="I677" s="3" t="str">
        <f>IF(H677="","",IF(H677&gt;=Setup!B7,"ناجح","إعادة تدريب"))</f>
        <v/>
      </c>
      <c r="J677" s="3"/>
      <c r="K677" s="3"/>
      <c r="L677" s="3"/>
      <c r="M677" s="3"/>
    </row>
    <row r="678" spans="1:13" x14ac:dyDescent="0.2">
      <c r="A678" s="3">
        <v>675</v>
      </c>
      <c r="B678" s="3"/>
      <c r="C678" s="3" t="str">
        <f>IFERROR(VLOOKUP(B678,Sessions!A:J,2,FALSE),"")</f>
        <v/>
      </c>
      <c r="D678" s="3"/>
      <c r="E678" s="3" t="str">
        <f>IFERROR(VLOOKUP(D678,Employees!A:L,2,FALSE),"")</f>
        <v/>
      </c>
      <c r="F678" s="6"/>
      <c r="G678" s="6"/>
      <c r="H678" s="6" t="str">
        <f>IF(G678="","",G678)</f>
        <v/>
      </c>
      <c r="I678" s="3" t="str">
        <f>IF(H678="","",IF(H678&gt;=Setup!B7,"ناجح","إعادة تدريب"))</f>
        <v/>
      </c>
      <c r="J678" s="3"/>
      <c r="K678" s="3"/>
      <c r="L678" s="3"/>
      <c r="M678" s="3"/>
    </row>
    <row r="679" spans="1:13" x14ac:dyDescent="0.2">
      <c r="A679" s="3">
        <v>676</v>
      </c>
      <c r="B679" s="3"/>
      <c r="C679" s="3" t="str">
        <f>IFERROR(VLOOKUP(B679,Sessions!A:J,2,FALSE),"")</f>
        <v/>
      </c>
      <c r="D679" s="3"/>
      <c r="E679" s="3" t="str">
        <f>IFERROR(VLOOKUP(D679,Employees!A:L,2,FALSE),"")</f>
        <v/>
      </c>
      <c r="F679" s="6"/>
      <c r="G679" s="6"/>
      <c r="H679" s="6" t="str">
        <f>IF(G679="","",G679)</f>
        <v/>
      </c>
      <c r="I679" s="3" t="str">
        <f>IF(H679="","",IF(H679&gt;=Setup!B7,"ناجح","إعادة تدريب"))</f>
        <v/>
      </c>
      <c r="J679" s="3"/>
      <c r="K679" s="3"/>
      <c r="L679" s="3"/>
      <c r="M679" s="3"/>
    </row>
    <row r="680" spans="1:13" x14ac:dyDescent="0.2">
      <c r="A680" s="3">
        <v>677</v>
      </c>
      <c r="B680" s="3"/>
      <c r="C680" s="3" t="str">
        <f>IFERROR(VLOOKUP(B680,Sessions!A:J,2,FALSE),"")</f>
        <v/>
      </c>
      <c r="D680" s="3"/>
      <c r="E680" s="3" t="str">
        <f>IFERROR(VLOOKUP(D680,Employees!A:L,2,FALSE),"")</f>
        <v/>
      </c>
      <c r="F680" s="6"/>
      <c r="G680" s="6"/>
      <c r="H680" s="6" t="str">
        <f>IF(G680="","",G680)</f>
        <v/>
      </c>
      <c r="I680" s="3" t="str">
        <f>IF(H680="","",IF(H680&gt;=Setup!B7,"ناجح","إعادة تدريب"))</f>
        <v/>
      </c>
      <c r="J680" s="3"/>
      <c r="K680" s="3"/>
      <c r="L680" s="3"/>
      <c r="M680" s="3"/>
    </row>
    <row r="681" spans="1:13" x14ac:dyDescent="0.2">
      <c r="A681" s="3">
        <v>678</v>
      </c>
      <c r="B681" s="3"/>
      <c r="C681" s="3" t="str">
        <f>IFERROR(VLOOKUP(B681,Sessions!A:J,2,FALSE),"")</f>
        <v/>
      </c>
      <c r="D681" s="3"/>
      <c r="E681" s="3" t="str">
        <f>IFERROR(VLOOKUP(D681,Employees!A:L,2,FALSE),"")</f>
        <v/>
      </c>
      <c r="F681" s="6"/>
      <c r="G681" s="6"/>
      <c r="H681" s="6" t="str">
        <f>IF(G681="","",G681)</f>
        <v/>
      </c>
      <c r="I681" s="3" t="str">
        <f>IF(H681="","",IF(H681&gt;=Setup!B7,"ناجح","إعادة تدريب"))</f>
        <v/>
      </c>
      <c r="J681" s="3"/>
      <c r="K681" s="3"/>
      <c r="L681" s="3"/>
      <c r="M681" s="3"/>
    </row>
    <row r="682" spans="1:13" x14ac:dyDescent="0.2">
      <c r="A682" s="3">
        <v>679</v>
      </c>
      <c r="B682" s="3"/>
      <c r="C682" s="3" t="str">
        <f>IFERROR(VLOOKUP(B682,Sessions!A:J,2,FALSE),"")</f>
        <v/>
      </c>
      <c r="D682" s="3"/>
      <c r="E682" s="3" t="str">
        <f>IFERROR(VLOOKUP(D682,Employees!A:L,2,FALSE),"")</f>
        <v/>
      </c>
      <c r="F682" s="6"/>
      <c r="G682" s="6"/>
      <c r="H682" s="6" t="str">
        <f>IF(G682="","",G682)</f>
        <v/>
      </c>
      <c r="I682" s="3" t="str">
        <f>IF(H682="","",IF(H682&gt;=Setup!B7,"ناجح","إعادة تدريب"))</f>
        <v/>
      </c>
      <c r="J682" s="3"/>
      <c r="K682" s="3"/>
      <c r="L682" s="3"/>
      <c r="M682" s="3"/>
    </row>
    <row r="683" spans="1:13" x14ac:dyDescent="0.2">
      <c r="A683" s="3">
        <v>680</v>
      </c>
      <c r="B683" s="3"/>
      <c r="C683" s="3" t="str">
        <f>IFERROR(VLOOKUP(B683,Sessions!A:J,2,FALSE),"")</f>
        <v/>
      </c>
      <c r="D683" s="3"/>
      <c r="E683" s="3" t="str">
        <f>IFERROR(VLOOKUP(D683,Employees!A:L,2,FALSE),"")</f>
        <v/>
      </c>
      <c r="F683" s="6"/>
      <c r="G683" s="6"/>
      <c r="H683" s="6" t="str">
        <f>IF(G683="","",G683)</f>
        <v/>
      </c>
      <c r="I683" s="3" t="str">
        <f>IF(H683="","",IF(H683&gt;=Setup!B7,"ناجح","إعادة تدريب"))</f>
        <v/>
      </c>
      <c r="J683" s="3"/>
      <c r="K683" s="3"/>
      <c r="L683" s="3"/>
      <c r="M683" s="3"/>
    </row>
    <row r="684" spans="1:13" x14ac:dyDescent="0.2">
      <c r="A684" s="3">
        <v>681</v>
      </c>
      <c r="B684" s="3"/>
      <c r="C684" s="3" t="str">
        <f>IFERROR(VLOOKUP(B684,Sessions!A:J,2,FALSE),"")</f>
        <v/>
      </c>
      <c r="D684" s="3"/>
      <c r="E684" s="3" t="str">
        <f>IFERROR(VLOOKUP(D684,Employees!A:L,2,FALSE),"")</f>
        <v/>
      </c>
      <c r="F684" s="6"/>
      <c r="G684" s="6"/>
      <c r="H684" s="6" t="str">
        <f>IF(G684="","",G684)</f>
        <v/>
      </c>
      <c r="I684" s="3" t="str">
        <f>IF(H684="","",IF(H684&gt;=Setup!B7,"ناجح","إعادة تدريب"))</f>
        <v/>
      </c>
      <c r="J684" s="3"/>
      <c r="K684" s="3"/>
      <c r="L684" s="3"/>
      <c r="M684" s="3"/>
    </row>
    <row r="685" spans="1:13" x14ac:dyDescent="0.2">
      <c r="A685" s="3">
        <v>682</v>
      </c>
      <c r="B685" s="3"/>
      <c r="C685" s="3" t="str">
        <f>IFERROR(VLOOKUP(B685,Sessions!A:J,2,FALSE),"")</f>
        <v/>
      </c>
      <c r="D685" s="3"/>
      <c r="E685" s="3" t="str">
        <f>IFERROR(VLOOKUP(D685,Employees!A:L,2,FALSE),"")</f>
        <v/>
      </c>
      <c r="F685" s="6"/>
      <c r="G685" s="6"/>
      <c r="H685" s="6" t="str">
        <f>IF(G685="","",G685)</f>
        <v/>
      </c>
      <c r="I685" s="3" t="str">
        <f>IF(H685="","",IF(H685&gt;=Setup!B7,"ناجح","إعادة تدريب"))</f>
        <v/>
      </c>
      <c r="J685" s="3"/>
      <c r="K685" s="3"/>
      <c r="L685" s="3"/>
      <c r="M685" s="3"/>
    </row>
    <row r="686" spans="1:13" x14ac:dyDescent="0.2">
      <c r="A686" s="3">
        <v>683</v>
      </c>
      <c r="B686" s="3"/>
      <c r="C686" s="3" t="str">
        <f>IFERROR(VLOOKUP(B686,Sessions!A:J,2,FALSE),"")</f>
        <v/>
      </c>
      <c r="D686" s="3"/>
      <c r="E686" s="3" t="str">
        <f>IFERROR(VLOOKUP(D686,Employees!A:L,2,FALSE),"")</f>
        <v/>
      </c>
      <c r="F686" s="6"/>
      <c r="G686" s="6"/>
      <c r="H686" s="6" t="str">
        <f>IF(G686="","",G686)</f>
        <v/>
      </c>
      <c r="I686" s="3" t="str">
        <f>IF(H686="","",IF(H686&gt;=Setup!B7,"ناجح","إعادة تدريب"))</f>
        <v/>
      </c>
      <c r="J686" s="3"/>
      <c r="K686" s="3"/>
      <c r="L686" s="3"/>
      <c r="M686" s="3"/>
    </row>
    <row r="687" spans="1:13" x14ac:dyDescent="0.2">
      <c r="A687" s="3">
        <v>684</v>
      </c>
      <c r="B687" s="3"/>
      <c r="C687" s="3" t="str">
        <f>IFERROR(VLOOKUP(B687,Sessions!A:J,2,FALSE),"")</f>
        <v/>
      </c>
      <c r="D687" s="3"/>
      <c r="E687" s="3" t="str">
        <f>IFERROR(VLOOKUP(D687,Employees!A:L,2,FALSE),"")</f>
        <v/>
      </c>
      <c r="F687" s="6"/>
      <c r="G687" s="6"/>
      <c r="H687" s="6" t="str">
        <f>IF(G687="","",G687)</f>
        <v/>
      </c>
      <c r="I687" s="3" t="str">
        <f>IF(H687="","",IF(H687&gt;=Setup!B7,"ناجح","إعادة تدريب"))</f>
        <v/>
      </c>
      <c r="J687" s="3"/>
      <c r="K687" s="3"/>
      <c r="L687" s="3"/>
      <c r="M687" s="3"/>
    </row>
    <row r="688" spans="1:13" x14ac:dyDescent="0.2">
      <c r="A688" s="3">
        <v>685</v>
      </c>
      <c r="B688" s="3"/>
      <c r="C688" s="3" t="str">
        <f>IFERROR(VLOOKUP(B688,Sessions!A:J,2,FALSE),"")</f>
        <v/>
      </c>
      <c r="D688" s="3"/>
      <c r="E688" s="3" t="str">
        <f>IFERROR(VLOOKUP(D688,Employees!A:L,2,FALSE),"")</f>
        <v/>
      </c>
      <c r="F688" s="6"/>
      <c r="G688" s="6"/>
      <c r="H688" s="6" t="str">
        <f>IF(G688="","",G688)</f>
        <v/>
      </c>
      <c r="I688" s="3" t="str">
        <f>IF(H688="","",IF(H688&gt;=Setup!B7,"ناجح","إعادة تدريب"))</f>
        <v/>
      </c>
      <c r="J688" s="3"/>
      <c r="K688" s="3"/>
      <c r="L688" s="3"/>
      <c r="M688" s="3"/>
    </row>
    <row r="689" spans="1:13" x14ac:dyDescent="0.2">
      <c r="A689" s="3">
        <v>686</v>
      </c>
      <c r="B689" s="3"/>
      <c r="C689" s="3" t="str">
        <f>IFERROR(VLOOKUP(B689,Sessions!A:J,2,FALSE),"")</f>
        <v/>
      </c>
      <c r="D689" s="3"/>
      <c r="E689" s="3" t="str">
        <f>IFERROR(VLOOKUP(D689,Employees!A:L,2,FALSE),"")</f>
        <v/>
      </c>
      <c r="F689" s="6"/>
      <c r="G689" s="6"/>
      <c r="H689" s="6" t="str">
        <f>IF(G689="","",G689)</f>
        <v/>
      </c>
      <c r="I689" s="3" t="str">
        <f>IF(H689="","",IF(H689&gt;=Setup!B7,"ناجح","إعادة تدريب"))</f>
        <v/>
      </c>
      <c r="J689" s="3"/>
      <c r="K689" s="3"/>
      <c r="L689" s="3"/>
      <c r="M689" s="3"/>
    </row>
    <row r="690" spans="1:13" x14ac:dyDescent="0.2">
      <c r="A690" s="3">
        <v>687</v>
      </c>
      <c r="B690" s="3"/>
      <c r="C690" s="3" t="str">
        <f>IFERROR(VLOOKUP(B690,Sessions!A:J,2,FALSE),"")</f>
        <v/>
      </c>
      <c r="D690" s="3"/>
      <c r="E690" s="3" t="str">
        <f>IFERROR(VLOOKUP(D690,Employees!A:L,2,FALSE),"")</f>
        <v/>
      </c>
      <c r="F690" s="6"/>
      <c r="G690" s="6"/>
      <c r="H690" s="6" t="str">
        <f>IF(G690="","",G690)</f>
        <v/>
      </c>
      <c r="I690" s="3" t="str">
        <f>IF(H690="","",IF(H690&gt;=Setup!B7,"ناجح","إعادة تدريب"))</f>
        <v/>
      </c>
      <c r="J690" s="3"/>
      <c r="K690" s="3"/>
      <c r="L690" s="3"/>
      <c r="M690" s="3"/>
    </row>
    <row r="691" spans="1:13" x14ac:dyDescent="0.2">
      <c r="A691" s="3">
        <v>688</v>
      </c>
      <c r="B691" s="3"/>
      <c r="C691" s="3" t="str">
        <f>IFERROR(VLOOKUP(B691,Sessions!A:J,2,FALSE),"")</f>
        <v/>
      </c>
      <c r="D691" s="3"/>
      <c r="E691" s="3" t="str">
        <f>IFERROR(VLOOKUP(D691,Employees!A:L,2,FALSE),"")</f>
        <v/>
      </c>
      <c r="F691" s="6"/>
      <c r="G691" s="6"/>
      <c r="H691" s="6" t="str">
        <f>IF(G691="","",G691)</f>
        <v/>
      </c>
      <c r="I691" s="3" t="str">
        <f>IF(H691="","",IF(H691&gt;=Setup!B7,"ناجح","إعادة تدريب"))</f>
        <v/>
      </c>
      <c r="J691" s="3"/>
      <c r="K691" s="3"/>
      <c r="L691" s="3"/>
      <c r="M691" s="3"/>
    </row>
    <row r="692" spans="1:13" x14ac:dyDescent="0.2">
      <c r="A692" s="3">
        <v>689</v>
      </c>
      <c r="B692" s="3"/>
      <c r="C692" s="3" t="str">
        <f>IFERROR(VLOOKUP(B692,Sessions!A:J,2,FALSE),"")</f>
        <v/>
      </c>
      <c r="D692" s="3"/>
      <c r="E692" s="3" t="str">
        <f>IFERROR(VLOOKUP(D692,Employees!A:L,2,FALSE),"")</f>
        <v/>
      </c>
      <c r="F692" s="6"/>
      <c r="G692" s="6"/>
      <c r="H692" s="6" t="str">
        <f>IF(G692="","",G692)</f>
        <v/>
      </c>
      <c r="I692" s="3" t="str">
        <f>IF(H692="","",IF(H692&gt;=Setup!B7,"ناجح","إعادة تدريب"))</f>
        <v/>
      </c>
      <c r="J692" s="3"/>
      <c r="K692" s="3"/>
      <c r="L692" s="3"/>
      <c r="M692" s="3"/>
    </row>
    <row r="693" spans="1:13" x14ac:dyDescent="0.2">
      <c r="A693" s="3">
        <v>690</v>
      </c>
      <c r="B693" s="3"/>
      <c r="C693" s="3" t="str">
        <f>IFERROR(VLOOKUP(B693,Sessions!A:J,2,FALSE),"")</f>
        <v/>
      </c>
      <c r="D693" s="3"/>
      <c r="E693" s="3" t="str">
        <f>IFERROR(VLOOKUP(D693,Employees!A:L,2,FALSE),"")</f>
        <v/>
      </c>
      <c r="F693" s="6"/>
      <c r="G693" s="6"/>
      <c r="H693" s="6" t="str">
        <f>IF(G693="","",G693)</f>
        <v/>
      </c>
      <c r="I693" s="3" t="str">
        <f>IF(H693="","",IF(H693&gt;=Setup!B7,"ناجح","إعادة تدريب"))</f>
        <v/>
      </c>
      <c r="J693" s="3"/>
      <c r="K693" s="3"/>
      <c r="L693" s="3"/>
      <c r="M693" s="3"/>
    </row>
    <row r="694" spans="1:13" x14ac:dyDescent="0.2">
      <c r="A694" s="3">
        <v>691</v>
      </c>
      <c r="B694" s="3"/>
      <c r="C694" s="3" t="str">
        <f>IFERROR(VLOOKUP(B694,Sessions!A:J,2,FALSE),"")</f>
        <v/>
      </c>
      <c r="D694" s="3"/>
      <c r="E694" s="3" t="str">
        <f>IFERROR(VLOOKUP(D694,Employees!A:L,2,FALSE),"")</f>
        <v/>
      </c>
      <c r="F694" s="6"/>
      <c r="G694" s="6"/>
      <c r="H694" s="6" t="str">
        <f>IF(G694="","",G694)</f>
        <v/>
      </c>
      <c r="I694" s="3" t="str">
        <f>IF(H694="","",IF(H694&gt;=Setup!B7,"ناجح","إعادة تدريب"))</f>
        <v/>
      </c>
      <c r="J694" s="3"/>
      <c r="K694" s="3"/>
      <c r="L694" s="3"/>
      <c r="M694" s="3"/>
    </row>
    <row r="695" spans="1:13" x14ac:dyDescent="0.2">
      <c r="A695" s="3">
        <v>692</v>
      </c>
      <c r="B695" s="3"/>
      <c r="C695" s="3" t="str">
        <f>IFERROR(VLOOKUP(B695,Sessions!A:J,2,FALSE),"")</f>
        <v/>
      </c>
      <c r="D695" s="3"/>
      <c r="E695" s="3" t="str">
        <f>IFERROR(VLOOKUP(D695,Employees!A:L,2,FALSE),"")</f>
        <v/>
      </c>
      <c r="F695" s="6"/>
      <c r="G695" s="6"/>
      <c r="H695" s="6" t="str">
        <f>IF(G695="","",G695)</f>
        <v/>
      </c>
      <c r="I695" s="3" t="str">
        <f>IF(H695="","",IF(H695&gt;=Setup!B7,"ناجح","إعادة تدريب"))</f>
        <v/>
      </c>
      <c r="J695" s="3"/>
      <c r="K695" s="3"/>
      <c r="L695" s="3"/>
      <c r="M695" s="3"/>
    </row>
    <row r="696" spans="1:13" x14ac:dyDescent="0.2">
      <c r="A696" s="3">
        <v>693</v>
      </c>
      <c r="B696" s="3"/>
      <c r="C696" s="3" t="str">
        <f>IFERROR(VLOOKUP(B696,Sessions!A:J,2,FALSE),"")</f>
        <v/>
      </c>
      <c r="D696" s="3"/>
      <c r="E696" s="3" t="str">
        <f>IFERROR(VLOOKUP(D696,Employees!A:L,2,FALSE),"")</f>
        <v/>
      </c>
      <c r="F696" s="6"/>
      <c r="G696" s="6"/>
      <c r="H696" s="6" t="str">
        <f>IF(G696="","",G696)</f>
        <v/>
      </c>
      <c r="I696" s="3" t="str">
        <f>IF(H696="","",IF(H696&gt;=Setup!B7,"ناجح","إعادة تدريب"))</f>
        <v/>
      </c>
      <c r="J696" s="3"/>
      <c r="K696" s="3"/>
      <c r="L696" s="3"/>
      <c r="M696" s="3"/>
    </row>
    <row r="697" spans="1:13" x14ac:dyDescent="0.2">
      <c r="A697" s="3">
        <v>694</v>
      </c>
      <c r="B697" s="3"/>
      <c r="C697" s="3" t="str">
        <f>IFERROR(VLOOKUP(B697,Sessions!A:J,2,FALSE),"")</f>
        <v/>
      </c>
      <c r="D697" s="3"/>
      <c r="E697" s="3" t="str">
        <f>IFERROR(VLOOKUP(D697,Employees!A:L,2,FALSE),"")</f>
        <v/>
      </c>
      <c r="F697" s="6"/>
      <c r="G697" s="6"/>
      <c r="H697" s="6" t="str">
        <f>IF(G697="","",G697)</f>
        <v/>
      </c>
      <c r="I697" s="3" t="str">
        <f>IF(H697="","",IF(H697&gt;=Setup!B7,"ناجح","إعادة تدريب"))</f>
        <v/>
      </c>
      <c r="J697" s="3"/>
      <c r="K697" s="3"/>
      <c r="L697" s="3"/>
      <c r="M697" s="3"/>
    </row>
    <row r="698" spans="1:13" x14ac:dyDescent="0.2">
      <c r="A698" s="3">
        <v>695</v>
      </c>
      <c r="B698" s="3"/>
      <c r="C698" s="3" t="str">
        <f>IFERROR(VLOOKUP(B698,Sessions!A:J,2,FALSE),"")</f>
        <v/>
      </c>
      <c r="D698" s="3"/>
      <c r="E698" s="3" t="str">
        <f>IFERROR(VLOOKUP(D698,Employees!A:L,2,FALSE),"")</f>
        <v/>
      </c>
      <c r="F698" s="6"/>
      <c r="G698" s="6"/>
      <c r="H698" s="6" t="str">
        <f>IF(G698="","",G698)</f>
        <v/>
      </c>
      <c r="I698" s="3" t="str">
        <f>IF(H698="","",IF(H698&gt;=Setup!B7,"ناجح","إعادة تدريب"))</f>
        <v/>
      </c>
      <c r="J698" s="3"/>
      <c r="K698" s="3"/>
      <c r="L698" s="3"/>
      <c r="M698" s="3"/>
    </row>
    <row r="699" spans="1:13" x14ac:dyDescent="0.2">
      <c r="A699" s="3">
        <v>696</v>
      </c>
      <c r="B699" s="3"/>
      <c r="C699" s="3" t="str">
        <f>IFERROR(VLOOKUP(B699,Sessions!A:J,2,FALSE),"")</f>
        <v/>
      </c>
      <c r="D699" s="3"/>
      <c r="E699" s="3" t="str">
        <f>IFERROR(VLOOKUP(D699,Employees!A:L,2,FALSE),"")</f>
        <v/>
      </c>
      <c r="F699" s="6"/>
      <c r="G699" s="6"/>
      <c r="H699" s="6" t="str">
        <f>IF(G699="","",G699)</f>
        <v/>
      </c>
      <c r="I699" s="3" t="str">
        <f>IF(H699="","",IF(H699&gt;=Setup!B7,"ناجح","إعادة تدريب"))</f>
        <v/>
      </c>
      <c r="J699" s="3"/>
      <c r="K699" s="3"/>
      <c r="L699" s="3"/>
      <c r="M699" s="3"/>
    </row>
    <row r="700" spans="1:13" x14ac:dyDescent="0.2">
      <c r="A700" s="3">
        <v>697</v>
      </c>
      <c r="B700" s="3"/>
      <c r="C700" s="3" t="str">
        <f>IFERROR(VLOOKUP(B700,Sessions!A:J,2,FALSE),"")</f>
        <v/>
      </c>
      <c r="D700" s="3"/>
      <c r="E700" s="3" t="str">
        <f>IFERROR(VLOOKUP(D700,Employees!A:L,2,FALSE),"")</f>
        <v/>
      </c>
      <c r="F700" s="6"/>
      <c r="G700" s="6"/>
      <c r="H700" s="6" t="str">
        <f>IF(G700="","",G700)</f>
        <v/>
      </c>
      <c r="I700" s="3" t="str">
        <f>IF(H700="","",IF(H700&gt;=Setup!B7,"ناجح","إعادة تدريب"))</f>
        <v/>
      </c>
      <c r="J700" s="3"/>
      <c r="K700" s="3"/>
      <c r="L700" s="3"/>
      <c r="M700" s="3"/>
    </row>
    <row r="701" spans="1:13" x14ac:dyDescent="0.2">
      <c r="A701" s="3">
        <v>698</v>
      </c>
      <c r="B701" s="3"/>
      <c r="C701" s="3" t="str">
        <f>IFERROR(VLOOKUP(B701,Sessions!A:J,2,FALSE),"")</f>
        <v/>
      </c>
      <c r="D701" s="3"/>
      <c r="E701" s="3" t="str">
        <f>IFERROR(VLOOKUP(D701,Employees!A:L,2,FALSE),"")</f>
        <v/>
      </c>
      <c r="F701" s="6"/>
      <c r="G701" s="6"/>
      <c r="H701" s="6" t="str">
        <f>IF(G701="","",G701)</f>
        <v/>
      </c>
      <c r="I701" s="3" t="str">
        <f>IF(H701="","",IF(H701&gt;=Setup!B7,"ناجح","إعادة تدريب"))</f>
        <v/>
      </c>
      <c r="J701" s="3"/>
      <c r="K701" s="3"/>
      <c r="L701" s="3"/>
      <c r="M701" s="3"/>
    </row>
    <row r="702" spans="1:13" x14ac:dyDescent="0.2">
      <c r="A702" s="3">
        <v>699</v>
      </c>
      <c r="B702" s="3"/>
      <c r="C702" s="3" t="str">
        <f>IFERROR(VLOOKUP(B702,Sessions!A:J,2,FALSE),"")</f>
        <v/>
      </c>
      <c r="D702" s="3"/>
      <c r="E702" s="3" t="str">
        <f>IFERROR(VLOOKUP(D702,Employees!A:L,2,FALSE),"")</f>
        <v/>
      </c>
      <c r="F702" s="6"/>
      <c r="G702" s="6"/>
      <c r="H702" s="6" t="str">
        <f>IF(G702="","",G702)</f>
        <v/>
      </c>
      <c r="I702" s="3" t="str">
        <f>IF(H702="","",IF(H702&gt;=Setup!B7,"ناجح","إعادة تدريب"))</f>
        <v/>
      </c>
      <c r="J702" s="3"/>
      <c r="K702" s="3"/>
      <c r="L702" s="3"/>
      <c r="M702" s="3"/>
    </row>
    <row r="703" spans="1:13" x14ac:dyDescent="0.2">
      <c r="A703" s="3">
        <v>700</v>
      </c>
      <c r="B703" s="3"/>
      <c r="C703" s="3" t="str">
        <f>IFERROR(VLOOKUP(B703,Sessions!A:J,2,FALSE),"")</f>
        <v/>
      </c>
      <c r="D703" s="3"/>
      <c r="E703" s="3" t="str">
        <f>IFERROR(VLOOKUP(D703,Employees!A:L,2,FALSE),"")</f>
        <v/>
      </c>
      <c r="F703" s="6"/>
      <c r="G703" s="6"/>
      <c r="H703" s="6" t="str">
        <f>IF(G703="","",G703)</f>
        <v/>
      </c>
      <c r="I703" s="3" t="str">
        <f>IF(H703="","",IF(H703&gt;=Setup!B7,"ناجح","إعادة تدريب"))</f>
        <v/>
      </c>
      <c r="J703" s="3"/>
      <c r="K703" s="3"/>
      <c r="L703" s="3"/>
      <c r="M703" s="3"/>
    </row>
    <row r="704" spans="1:13" x14ac:dyDescent="0.2">
      <c r="A704" s="3">
        <v>701</v>
      </c>
      <c r="B704" s="3"/>
      <c r="C704" s="3" t="str">
        <f>IFERROR(VLOOKUP(B704,Sessions!A:J,2,FALSE),"")</f>
        <v/>
      </c>
      <c r="D704" s="3"/>
      <c r="E704" s="3" t="str">
        <f>IFERROR(VLOOKUP(D704,Employees!A:L,2,FALSE),"")</f>
        <v/>
      </c>
      <c r="F704" s="6"/>
      <c r="G704" s="6"/>
      <c r="H704" s="6" t="str">
        <f>IF(G704="","",G704)</f>
        <v/>
      </c>
      <c r="I704" s="3" t="str">
        <f>IF(H704="","",IF(H704&gt;=Setup!B7,"ناجح","إعادة تدريب"))</f>
        <v/>
      </c>
      <c r="J704" s="3"/>
      <c r="K704" s="3"/>
      <c r="L704" s="3"/>
      <c r="M704" s="3"/>
    </row>
    <row r="705" spans="1:13" x14ac:dyDescent="0.2">
      <c r="A705" s="3">
        <v>702</v>
      </c>
      <c r="B705" s="3"/>
      <c r="C705" s="3" t="str">
        <f>IFERROR(VLOOKUP(B705,Sessions!A:J,2,FALSE),"")</f>
        <v/>
      </c>
      <c r="D705" s="3"/>
      <c r="E705" s="3" t="str">
        <f>IFERROR(VLOOKUP(D705,Employees!A:L,2,FALSE),"")</f>
        <v/>
      </c>
      <c r="F705" s="6"/>
      <c r="G705" s="6"/>
      <c r="H705" s="6" t="str">
        <f>IF(G705="","",G705)</f>
        <v/>
      </c>
      <c r="I705" s="3" t="str">
        <f>IF(H705="","",IF(H705&gt;=Setup!B7,"ناجح","إعادة تدريب"))</f>
        <v/>
      </c>
      <c r="J705" s="3"/>
      <c r="K705" s="3"/>
      <c r="L705" s="3"/>
      <c r="M705" s="3"/>
    </row>
    <row r="706" spans="1:13" x14ac:dyDescent="0.2">
      <c r="A706" s="3">
        <v>703</v>
      </c>
      <c r="B706" s="3"/>
      <c r="C706" s="3" t="str">
        <f>IFERROR(VLOOKUP(B706,Sessions!A:J,2,FALSE),"")</f>
        <v/>
      </c>
      <c r="D706" s="3"/>
      <c r="E706" s="3" t="str">
        <f>IFERROR(VLOOKUP(D706,Employees!A:L,2,FALSE),"")</f>
        <v/>
      </c>
      <c r="F706" s="6"/>
      <c r="G706" s="6"/>
      <c r="H706" s="6" t="str">
        <f>IF(G706="","",G706)</f>
        <v/>
      </c>
      <c r="I706" s="3" t="str">
        <f>IF(H706="","",IF(H706&gt;=Setup!B7,"ناجح","إعادة تدريب"))</f>
        <v/>
      </c>
      <c r="J706" s="3"/>
      <c r="K706" s="3"/>
      <c r="L706" s="3"/>
      <c r="M706" s="3"/>
    </row>
    <row r="707" spans="1:13" x14ac:dyDescent="0.2">
      <c r="A707" s="3">
        <v>704</v>
      </c>
      <c r="B707" s="3"/>
      <c r="C707" s="3" t="str">
        <f>IFERROR(VLOOKUP(B707,Sessions!A:J,2,FALSE),"")</f>
        <v/>
      </c>
      <c r="D707" s="3"/>
      <c r="E707" s="3" t="str">
        <f>IFERROR(VLOOKUP(D707,Employees!A:L,2,FALSE),"")</f>
        <v/>
      </c>
      <c r="F707" s="6"/>
      <c r="G707" s="6"/>
      <c r="H707" s="6" t="str">
        <f>IF(G707="","",G707)</f>
        <v/>
      </c>
      <c r="I707" s="3" t="str">
        <f>IF(H707="","",IF(H707&gt;=Setup!B7,"ناجح","إعادة تدريب"))</f>
        <v/>
      </c>
      <c r="J707" s="3"/>
      <c r="K707" s="3"/>
      <c r="L707" s="3"/>
      <c r="M707" s="3"/>
    </row>
    <row r="708" spans="1:13" x14ac:dyDescent="0.2">
      <c r="A708" s="3">
        <v>705</v>
      </c>
      <c r="B708" s="3"/>
      <c r="C708" s="3" t="str">
        <f>IFERROR(VLOOKUP(B708,Sessions!A:J,2,FALSE),"")</f>
        <v/>
      </c>
      <c r="D708" s="3"/>
      <c r="E708" s="3" t="str">
        <f>IFERROR(VLOOKUP(D708,Employees!A:L,2,FALSE),"")</f>
        <v/>
      </c>
      <c r="F708" s="6"/>
      <c r="G708" s="6"/>
      <c r="H708" s="6" t="str">
        <f>IF(G708="","",G708)</f>
        <v/>
      </c>
      <c r="I708" s="3" t="str">
        <f>IF(H708="","",IF(H708&gt;=Setup!B7,"ناجح","إعادة تدريب"))</f>
        <v/>
      </c>
      <c r="J708" s="3"/>
      <c r="K708" s="3"/>
      <c r="L708" s="3"/>
      <c r="M708" s="3"/>
    </row>
    <row r="709" spans="1:13" x14ac:dyDescent="0.2">
      <c r="A709" s="3">
        <v>706</v>
      </c>
      <c r="B709" s="3"/>
      <c r="C709" s="3" t="str">
        <f>IFERROR(VLOOKUP(B709,Sessions!A:J,2,FALSE),"")</f>
        <v/>
      </c>
      <c r="D709" s="3"/>
      <c r="E709" s="3" t="str">
        <f>IFERROR(VLOOKUP(D709,Employees!A:L,2,FALSE),"")</f>
        <v/>
      </c>
      <c r="F709" s="6"/>
      <c r="G709" s="6"/>
      <c r="H709" s="6" t="str">
        <f>IF(G709="","",G709)</f>
        <v/>
      </c>
      <c r="I709" s="3" t="str">
        <f>IF(H709="","",IF(H709&gt;=Setup!B7,"ناجح","إعادة تدريب"))</f>
        <v/>
      </c>
      <c r="J709" s="3"/>
      <c r="K709" s="3"/>
      <c r="L709" s="3"/>
      <c r="M709" s="3"/>
    </row>
    <row r="710" spans="1:13" x14ac:dyDescent="0.2">
      <c r="A710" s="3">
        <v>707</v>
      </c>
      <c r="B710" s="3"/>
      <c r="C710" s="3" t="str">
        <f>IFERROR(VLOOKUP(B710,Sessions!A:J,2,FALSE),"")</f>
        <v/>
      </c>
      <c r="D710" s="3"/>
      <c r="E710" s="3" t="str">
        <f>IFERROR(VLOOKUP(D710,Employees!A:L,2,FALSE),"")</f>
        <v/>
      </c>
      <c r="F710" s="6"/>
      <c r="G710" s="6"/>
      <c r="H710" s="6" t="str">
        <f>IF(G710="","",G710)</f>
        <v/>
      </c>
      <c r="I710" s="3" t="str">
        <f>IF(H710="","",IF(H710&gt;=Setup!B7,"ناجح","إعادة تدريب"))</f>
        <v/>
      </c>
      <c r="J710" s="3"/>
      <c r="K710" s="3"/>
      <c r="L710" s="3"/>
      <c r="M710" s="3"/>
    </row>
    <row r="711" spans="1:13" x14ac:dyDescent="0.2">
      <c r="A711" s="3">
        <v>708</v>
      </c>
      <c r="B711" s="3"/>
      <c r="C711" s="3" t="str">
        <f>IFERROR(VLOOKUP(B711,Sessions!A:J,2,FALSE),"")</f>
        <v/>
      </c>
      <c r="D711" s="3"/>
      <c r="E711" s="3" t="str">
        <f>IFERROR(VLOOKUP(D711,Employees!A:L,2,FALSE),"")</f>
        <v/>
      </c>
      <c r="F711" s="6"/>
      <c r="G711" s="6"/>
      <c r="H711" s="6" t="str">
        <f>IF(G711="","",G711)</f>
        <v/>
      </c>
      <c r="I711" s="3" t="str">
        <f>IF(H711="","",IF(H711&gt;=Setup!B7,"ناجح","إعادة تدريب"))</f>
        <v/>
      </c>
      <c r="J711" s="3"/>
      <c r="K711" s="3"/>
      <c r="L711" s="3"/>
      <c r="M711" s="3"/>
    </row>
    <row r="712" spans="1:13" x14ac:dyDescent="0.2">
      <c r="A712" s="3">
        <v>709</v>
      </c>
      <c r="B712" s="3"/>
      <c r="C712" s="3" t="str">
        <f>IFERROR(VLOOKUP(B712,Sessions!A:J,2,FALSE),"")</f>
        <v/>
      </c>
      <c r="D712" s="3"/>
      <c r="E712" s="3" t="str">
        <f>IFERROR(VLOOKUP(D712,Employees!A:L,2,FALSE),"")</f>
        <v/>
      </c>
      <c r="F712" s="6"/>
      <c r="G712" s="6"/>
      <c r="H712" s="6" t="str">
        <f>IF(G712="","",G712)</f>
        <v/>
      </c>
      <c r="I712" s="3" t="str">
        <f>IF(H712="","",IF(H712&gt;=Setup!B7,"ناجح","إعادة تدريب"))</f>
        <v/>
      </c>
      <c r="J712" s="3"/>
      <c r="K712" s="3"/>
      <c r="L712" s="3"/>
      <c r="M712" s="3"/>
    </row>
    <row r="713" spans="1:13" x14ac:dyDescent="0.2">
      <c r="A713" s="3">
        <v>710</v>
      </c>
      <c r="B713" s="3"/>
      <c r="C713" s="3" t="str">
        <f>IFERROR(VLOOKUP(B713,Sessions!A:J,2,FALSE),"")</f>
        <v/>
      </c>
      <c r="D713" s="3"/>
      <c r="E713" s="3" t="str">
        <f>IFERROR(VLOOKUP(D713,Employees!A:L,2,FALSE),"")</f>
        <v/>
      </c>
      <c r="F713" s="6"/>
      <c r="G713" s="6"/>
      <c r="H713" s="6" t="str">
        <f>IF(G713="","",G713)</f>
        <v/>
      </c>
      <c r="I713" s="3" t="str">
        <f>IF(H713="","",IF(H713&gt;=Setup!B7,"ناجح","إعادة تدريب"))</f>
        <v/>
      </c>
      <c r="J713" s="3"/>
      <c r="K713" s="3"/>
      <c r="L713" s="3"/>
      <c r="M713" s="3"/>
    </row>
    <row r="714" spans="1:13" x14ac:dyDescent="0.2">
      <c r="A714" s="3">
        <v>711</v>
      </c>
      <c r="B714" s="3"/>
      <c r="C714" s="3" t="str">
        <f>IFERROR(VLOOKUP(B714,Sessions!A:J,2,FALSE),"")</f>
        <v/>
      </c>
      <c r="D714" s="3"/>
      <c r="E714" s="3" t="str">
        <f>IFERROR(VLOOKUP(D714,Employees!A:L,2,FALSE),"")</f>
        <v/>
      </c>
      <c r="F714" s="6"/>
      <c r="G714" s="6"/>
      <c r="H714" s="6" t="str">
        <f>IF(G714="","",G714)</f>
        <v/>
      </c>
      <c r="I714" s="3" t="str">
        <f>IF(H714="","",IF(H714&gt;=Setup!B7,"ناجح","إعادة تدريب"))</f>
        <v/>
      </c>
      <c r="J714" s="3"/>
      <c r="K714" s="3"/>
      <c r="L714" s="3"/>
      <c r="M714" s="3"/>
    </row>
    <row r="715" spans="1:13" x14ac:dyDescent="0.2">
      <c r="A715" s="3">
        <v>712</v>
      </c>
      <c r="B715" s="3"/>
      <c r="C715" s="3" t="str">
        <f>IFERROR(VLOOKUP(B715,Sessions!A:J,2,FALSE),"")</f>
        <v/>
      </c>
      <c r="D715" s="3"/>
      <c r="E715" s="3" t="str">
        <f>IFERROR(VLOOKUP(D715,Employees!A:L,2,FALSE),"")</f>
        <v/>
      </c>
      <c r="F715" s="6"/>
      <c r="G715" s="6"/>
      <c r="H715" s="6" t="str">
        <f>IF(G715="","",G715)</f>
        <v/>
      </c>
      <c r="I715" s="3" t="str">
        <f>IF(H715="","",IF(H715&gt;=Setup!B7,"ناجح","إعادة تدريب"))</f>
        <v/>
      </c>
      <c r="J715" s="3"/>
      <c r="K715" s="3"/>
      <c r="L715" s="3"/>
      <c r="M715" s="3"/>
    </row>
    <row r="716" spans="1:13" x14ac:dyDescent="0.2">
      <c r="A716" s="3">
        <v>713</v>
      </c>
      <c r="B716" s="3"/>
      <c r="C716" s="3" t="str">
        <f>IFERROR(VLOOKUP(B716,Sessions!A:J,2,FALSE),"")</f>
        <v/>
      </c>
      <c r="D716" s="3"/>
      <c r="E716" s="3" t="str">
        <f>IFERROR(VLOOKUP(D716,Employees!A:L,2,FALSE),"")</f>
        <v/>
      </c>
      <c r="F716" s="6"/>
      <c r="G716" s="6"/>
      <c r="H716" s="6" t="str">
        <f>IF(G716="","",G716)</f>
        <v/>
      </c>
      <c r="I716" s="3" t="str">
        <f>IF(H716="","",IF(H716&gt;=Setup!B7,"ناجح","إعادة تدريب"))</f>
        <v/>
      </c>
      <c r="J716" s="3"/>
      <c r="K716" s="3"/>
      <c r="L716" s="3"/>
      <c r="M716" s="3"/>
    </row>
    <row r="717" spans="1:13" x14ac:dyDescent="0.2">
      <c r="A717" s="3">
        <v>714</v>
      </c>
      <c r="B717" s="3"/>
      <c r="C717" s="3" t="str">
        <f>IFERROR(VLOOKUP(B717,Sessions!A:J,2,FALSE),"")</f>
        <v/>
      </c>
      <c r="D717" s="3"/>
      <c r="E717" s="3" t="str">
        <f>IFERROR(VLOOKUP(D717,Employees!A:L,2,FALSE),"")</f>
        <v/>
      </c>
      <c r="F717" s="6"/>
      <c r="G717" s="6"/>
      <c r="H717" s="6" t="str">
        <f>IF(G717="","",G717)</f>
        <v/>
      </c>
      <c r="I717" s="3" t="str">
        <f>IF(H717="","",IF(H717&gt;=Setup!B7,"ناجح","إعادة تدريب"))</f>
        <v/>
      </c>
      <c r="J717" s="3"/>
      <c r="K717" s="3"/>
      <c r="L717" s="3"/>
      <c r="M717" s="3"/>
    </row>
    <row r="718" spans="1:13" x14ac:dyDescent="0.2">
      <c r="A718" s="3">
        <v>715</v>
      </c>
      <c r="B718" s="3"/>
      <c r="C718" s="3" t="str">
        <f>IFERROR(VLOOKUP(B718,Sessions!A:J,2,FALSE),"")</f>
        <v/>
      </c>
      <c r="D718" s="3"/>
      <c r="E718" s="3" t="str">
        <f>IFERROR(VLOOKUP(D718,Employees!A:L,2,FALSE),"")</f>
        <v/>
      </c>
      <c r="F718" s="6"/>
      <c r="G718" s="6"/>
      <c r="H718" s="6" t="str">
        <f>IF(G718="","",G718)</f>
        <v/>
      </c>
      <c r="I718" s="3" t="str">
        <f>IF(H718="","",IF(H718&gt;=Setup!B7,"ناجح","إعادة تدريب"))</f>
        <v/>
      </c>
      <c r="J718" s="3"/>
      <c r="K718" s="3"/>
      <c r="L718" s="3"/>
      <c r="M718" s="3"/>
    </row>
    <row r="719" spans="1:13" x14ac:dyDescent="0.2">
      <c r="A719" s="3">
        <v>716</v>
      </c>
      <c r="B719" s="3"/>
      <c r="C719" s="3" t="str">
        <f>IFERROR(VLOOKUP(B719,Sessions!A:J,2,FALSE),"")</f>
        <v/>
      </c>
      <c r="D719" s="3"/>
      <c r="E719" s="3" t="str">
        <f>IFERROR(VLOOKUP(D719,Employees!A:L,2,FALSE),"")</f>
        <v/>
      </c>
      <c r="F719" s="6"/>
      <c r="G719" s="6"/>
      <c r="H719" s="6" t="str">
        <f>IF(G719="","",G719)</f>
        <v/>
      </c>
      <c r="I719" s="3" t="str">
        <f>IF(H719="","",IF(H719&gt;=Setup!B7,"ناجح","إعادة تدريب"))</f>
        <v/>
      </c>
      <c r="J719" s="3"/>
      <c r="K719" s="3"/>
      <c r="L719" s="3"/>
      <c r="M719" s="3"/>
    </row>
    <row r="720" spans="1:13" x14ac:dyDescent="0.2">
      <c r="A720" s="3">
        <v>717</v>
      </c>
      <c r="B720" s="3"/>
      <c r="C720" s="3" t="str">
        <f>IFERROR(VLOOKUP(B720,Sessions!A:J,2,FALSE),"")</f>
        <v/>
      </c>
      <c r="D720" s="3"/>
      <c r="E720" s="3" t="str">
        <f>IFERROR(VLOOKUP(D720,Employees!A:L,2,FALSE),"")</f>
        <v/>
      </c>
      <c r="F720" s="6"/>
      <c r="G720" s="6"/>
      <c r="H720" s="6" t="str">
        <f>IF(G720="","",G720)</f>
        <v/>
      </c>
      <c r="I720" s="3" t="str">
        <f>IF(H720="","",IF(H720&gt;=Setup!B7,"ناجح","إعادة تدريب"))</f>
        <v/>
      </c>
      <c r="J720" s="3"/>
      <c r="K720" s="3"/>
      <c r="L720" s="3"/>
      <c r="M720" s="3"/>
    </row>
    <row r="721" spans="1:13" x14ac:dyDescent="0.2">
      <c r="A721" s="3">
        <v>718</v>
      </c>
      <c r="B721" s="3"/>
      <c r="C721" s="3" t="str">
        <f>IFERROR(VLOOKUP(B721,Sessions!A:J,2,FALSE),"")</f>
        <v/>
      </c>
      <c r="D721" s="3"/>
      <c r="E721" s="3" t="str">
        <f>IFERROR(VLOOKUP(D721,Employees!A:L,2,FALSE),"")</f>
        <v/>
      </c>
      <c r="F721" s="6"/>
      <c r="G721" s="6"/>
      <c r="H721" s="6" t="str">
        <f>IF(G721="","",G721)</f>
        <v/>
      </c>
      <c r="I721" s="3" t="str">
        <f>IF(H721="","",IF(H721&gt;=Setup!B7,"ناجح","إعادة تدريب"))</f>
        <v/>
      </c>
      <c r="J721" s="3"/>
      <c r="K721" s="3"/>
      <c r="L721" s="3"/>
      <c r="M721" s="3"/>
    </row>
    <row r="722" spans="1:13" x14ac:dyDescent="0.2">
      <c r="A722" s="3">
        <v>719</v>
      </c>
      <c r="B722" s="3"/>
      <c r="C722" s="3" t="str">
        <f>IFERROR(VLOOKUP(B722,Sessions!A:J,2,FALSE),"")</f>
        <v/>
      </c>
      <c r="D722" s="3"/>
      <c r="E722" s="3" t="str">
        <f>IFERROR(VLOOKUP(D722,Employees!A:L,2,FALSE),"")</f>
        <v/>
      </c>
      <c r="F722" s="6"/>
      <c r="G722" s="6"/>
      <c r="H722" s="6" t="str">
        <f>IF(G722="","",G722)</f>
        <v/>
      </c>
      <c r="I722" s="3" t="str">
        <f>IF(H722="","",IF(H722&gt;=Setup!B7,"ناجح","إعادة تدريب"))</f>
        <v/>
      </c>
      <c r="J722" s="3"/>
      <c r="K722" s="3"/>
      <c r="L722" s="3"/>
      <c r="M722" s="3"/>
    </row>
    <row r="723" spans="1:13" x14ac:dyDescent="0.2">
      <c r="A723" s="3">
        <v>720</v>
      </c>
      <c r="B723" s="3"/>
      <c r="C723" s="3" t="str">
        <f>IFERROR(VLOOKUP(B723,Sessions!A:J,2,FALSE),"")</f>
        <v/>
      </c>
      <c r="D723" s="3"/>
      <c r="E723" s="3" t="str">
        <f>IFERROR(VLOOKUP(D723,Employees!A:L,2,FALSE),"")</f>
        <v/>
      </c>
      <c r="F723" s="6"/>
      <c r="G723" s="6"/>
      <c r="H723" s="6" t="str">
        <f>IF(G723="","",G723)</f>
        <v/>
      </c>
      <c r="I723" s="3" t="str">
        <f>IF(H723="","",IF(H723&gt;=Setup!B7,"ناجح","إعادة تدريب"))</f>
        <v/>
      </c>
      <c r="J723" s="3"/>
      <c r="K723" s="3"/>
      <c r="L723" s="3"/>
      <c r="M723" s="3"/>
    </row>
    <row r="724" spans="1:13" x14ac:dyDescent="0.2">
      <c r="A724" s="3">
        <v>721</v>
      </c>
      <c r="B724" s="3"/>
      <c r="C724" s="3" t="str">
        <f>IFERROR(VLOOKUP(B724,Sessions!A:J,2,FALSE),"")</f>
        <v/>
      </c>
      <c r="D724" s="3"/>
      <c r="E724" s="3" t="str">
        <f>IFERROR(VLOOKUP(D724,Employees!A:L,2,FALSE),"")</f>
        <v/>
      </c>
      <c r="F724" s="6"/>
      <c r="G724" s="6"/>
      <c r="H724" s="6" t="str">
        <f>IF(G724="","",G724)</f>
        <v/>
      </c>
      <c r="I724" s="3" t="str">
        <f>IF(H724="","",IF(H724&gt;=Setup!B7,"ناجح","إعادة تدريب"))</f>
        <v/>
      </c>
      <c r="J724" s="3"/>
      <c r="K724" s="3"/>
      <c r="L724" s="3"/>
      <c r="M724" s="3"/>
    </row>
    <row r="725" spans="1:13" x14ac:dyDescent="0.2">
      <c r="A725" s="3">
        <v>722</v>
      </c>
      <c r="B725" s="3"/>
      <c r="C725" s="3" t="str">
        <f>IFERROR(VLOOKUP(B725,Sessions!A:J,2,FALSE),"")</f>
        <v/>
      </c>
      <c r="D725" s="3"/>
      <c r="E725" s="3" t="str">
        <f>IFERROR(VLOOKUP(D725,Employees!A:L,2,FALSE),"")</f>
        <v/>
      </c>
      <c r="F725" s="6"/>
      <c r="G725" s="6"/>
      <c r="H725" s="6" t="str">
        <f>IF(G725="","",G725)</f>
        <v/>
      </c>
      <c r="I725" s="3" t="str">
        <f>IF(H725="","",IF(H725&gt;=Setup!B7,"ناجح","إعادة تدريب"))</f>
        <v/>
      </c>
      <c r="J725" s="3"/>
      <c r="K725" s="3"/>
      <c r="L725" s="3"/>
      <c r="M725" s="3"/>
    </row>
    <row r="726" spans="1:13" x14ac:dyDescent="0.2">
      <c r="A726" s="3">
        <v>723</v>
      </c>
      <c r="B726" s="3"/>
      <c r="C726" s="3" t="str">
        <f>IFERROR(VLOOKUP(B726,Sessions!A:J,2,FALSE),"")</f>
        <v/>
      </c>
      <c r="D726" s="3"/>
      <c r="E726" s="3" t="str">
        <f>IFERROR(VLOOKUP(D726,Employees!A:L,2,FALSE),"")</f>
        <v/>
      </c>
      <c r="F726" s="6"/>
      <c r="G726" s="6"/>
      <c r="H726" s="6" t="str">
        <f>IF(G726="","",G726)</f>
        <v/>
      </c>
      <c r="I726" s="3" t="str">
        <f>IF(H726="","",IF(H726&gt;=Setup!B7,"ناجح","إعادة تدريب"))</f>
        <v/>
      </c>
      <c r="J726" s="3"/>
      <c r="K726" s="3"/>
      <c r="L726" s="3"/>
      <c r="M726" s="3"/>
    </row>
    <row r="727" spans="1:13" x14ac:dyDescent="0.2">
      <c r="A727" s="3">
        <v>724</v>
      </c>
      <c r="B727" s="3"/>
      <c r="C727" s="3" t="str">
        <f>IFERROR(VLOOKUP(B727,Sessions!A:J,2,FALSE),"")</f>
        <v/>
      </c>
      <c r="D727" s="3"/>
      <c r="E727" s="3" t="str">
        <f>IFERROR(VLOOKUP(D727,Employees!A:L,2,FALSE),"")</f>
        <v/>
      </c>
      <c r="F727" s="6"/>
      <c r="G727" s="6"/>
      <c r="H727" s="6" t="str">
        <f>IF(G727="","",G727)</f>
        <v/>
      </c>
      <c r="I727" s="3" t="str">
        <f>IF(H727="","",IF(H727&gt;=Setup!B7,"ناجح","إعادة تدريب"))</f>
        <v/>
      </c>
      <c r="J727" s="3"/>
      <c r="K727" s="3"/>
      <c r="L727" s="3"/>
      <c r="M727" s="3"/>
    </row>
    <row r="728" spans="1:13" x14ac:dyDescent="0.2">
      <c r="A728" s="3">
        <v>725</v>
      </c>
      <c r="B728" s="3"/>
      <c r="C728" s="3" t="str">
        <f>IFERROR(VLOOKUP(B728,Sessions!A:J,2,FALSE),"")</f>
        <v/>
      </c>
      <c r="D728" s="3"/>
      <c r="E728" s="3" t="str">
        <f>IFERROR(VLOOKUP(D728,Employees!A:L,2,FALSE),"")</f>
        <v/>
      </c>
      <c r="F728" s="6"/>
      <c r="G728" s="6"/>
      <c r="H728" s="6" t="str">
        <f>IF(G728="","",G728)</f>
        <v/>
      </c>
      <c r="I728" s="3" t="str">
        <f>IF(H728="","",IF(H728&gt;=Setup!B7,"ناجح","إعادة تدريب"))</f>
        <v/>
      </c>
      <c r="J728" s="3"/>
      <c r="K728" s="3"/>
      <c r="L728" s="3"/>
      <c r="M728" s="3"/>
    </row>
    <row r="729" spans="1:13" x14ac:dyDescent="0.2">
      <c r="A729" s="3">
        <v>726</v>
      </c>
      <c r="B729" s="3"/>
      <c r="C729" s="3" t="str">
        <f>IFERROR(VLOOKUP(B729,Sessions!A:J,2,FALSE),"")</f>
        <v/>
      </c>
      <c r="D729" s="3"/>
      <c r="E729" s="3" t="str">
        <f>IFERROR(VLOOKUP(D729,Employees!A:L,2,FALSE),"")</f>
        <v/>
      </c>
      <c r="F729" s="6"/>
      <c r="G729" s="6"/>
      <c r="H729" s="6" t="str">
        <f>IF(G729="","",G729)</f>
        <v/>
      </c>
      <c r="I729" s="3" t="str">
        <f>IF(H729="","",IF(H729&gt;=Setup!B7,"ناجح","إعادة تدريب"))</f>
        <v/>
      </c>
      <c r="J729" s="3"/>
      <c r="K729" s="3"/>
      <c r="L729" s="3"/>
      <c r="M729" s="3"/>
    </row>
    <row r="730" spans="1:13" x14ac:dyDescent="0.2">
      <c r="A730" s="3">
        <v>727</v>
      </c>
      <c r="B730" s="3"/>
      <c r="C730" s="3" t="str">
        <f>IFERROR(VLOOKUP(B730,Sessions!A:J,2,FALSE),"")</f>
        <v/>
      </c>
      <c r="D730" s="3"/>
      <c r="E730" s="3" t="str">
        <f>IFERROR(VLOOKUP(D730,Employees!A:L,2,FALSE),"")</f>
        <v/>
      </c>
      <c r="F730" s="6"/>
      <c r="G730" s="6"/>
      <c r="H730" s="6" t="str">
        <f>IF(G730="","",G730)</f>
        <v/>
      </c>
      <c r="I730" s="3" t="str">
        <f>IF(H730="","",IF(H730&gt;=Setup!B7,"ناجح","إعادة تدريب"))</f>
        <v/>
      </c>
      <c r="J730" s="3"/>
      <c r="K730" s="3"/>
      <c r="L730" s="3"/>
      <c r="M730" s="3"/>
    </row>
    <row r="731" spans="1:13" x14ac:dyDescent="0.2">
      <c r="A731" s="3">
        <v>728</v>
      </c>
      <c r="B731" s="3"/>
      <c r="C731" s="3" t="str">
        <f>IFERROR(VLOOKUP(B731,Sessions!A:J,2,FALSE),"")</f>
        <v/>
      </c>
      <c r="D731" s="3"/>
      <c r="E731" s="3" t="str">
        <f>IFERROR(VLOOKUP(D731,Employees!A:L,2,FALSE),"")</f>
        <v/>
      </c>
      <c r="F731" s="6"/>
      <c r="G731" s="6"/>
      <c r="H731" s="6" t="str">
        <f>IF(G731="","",G731)</f>
        <v/>
      </c>
      <c r="I731" s="3" t="str">
        <f>IF(H731="","",IF(H731&gt;=Setup!B7,"ناجح","إعادة تدريب"))</f>
        <v/>
      </c>
      <c r="J731" s="3"/>
      <c r="K731" s="3"/>
      <c r="L731" s="3"/>
      <c r="M731" s="3"/>
    </row>
    <row r="732" spans="1:13" x14ac:dyDescent="0.2">
      <c r="A732" s="3">
        <v>729</v>
      </c>
      <c r="B732" s="3"/>
      <c r="C732" s="3" t="str">
        <f>IFERROR(VLOOKUP(B732,Sessions!A:J,2,FALSE),"")</f>
        <v/>
      </c>
      <c r="D732" s="3"/>
      <c r="E732" s="3" t="str">
        <f>IFERROR(VLOOKUP(D732,Employees!A:L,2,FALSE),"")</f>
        <v/>
      </c>
      <c r="F732" s="6"/>
      <c r="G732" s="6"/>
      <c r="H732" s="6" t="str">
        <f>IF(G732="","",G732)</f>
        <v/>
      </c>
      <c r="I732" s="3" t="str">
        <f>IF(H732="","",IF(H732&gt;=Setup!B7,"ناجح","إعادة تدريب"))</f>
        <v/>
      </c>
      <c r="J732" s="3"/>
      <c r="K732" s="3"/>
      <c r="L732" s="3"/>
      <c r="M732" s="3"/>
    </row>
    <row r="733" spans="1:13" x14ac:dyDescent="0.2">
      <c r="A733" s="3">
        <v>730</v>
      </c>
      <c r="B733" s="3"/>
      <c r="C733" s="3" t="str">
        <f>IFERROR(VLOOKUP(B733,Sessions!A:J,2,FALSE),"")</f>
        <v/>
      </c>
      <c r="D733" s="3"/>
      <c r="E733" s="3" t="str">
        <f>IFERROR(VLOOKUP(D733,Employees!A:L,2,FALSE),"")</f>
        <v/>
      </c>
      <c r="F733" s="6"/>
      <c r="G733" s="6"/>
      <c r="H733" s="6" t="str">
        <f>IF(G733="","",G733)</f>
        <v/>
      </c>
      <c r="I733" s="3" t="str">
        <f>IF(H733="","",IF(H733&gt;=Setup!B7,"ناجح","إعادة تدريب"))</f>
        <v/>
      </c>
      <c r="J733" s="3"/>
      <c r="K733" s="3"/>
      <c r="L733" s="3"/>
      <c r="M733" s="3"/>
    </row>
    <row r="734" spans="1:13" x14ac:dyDescent="0.2">
      <c r="A734" s="3">
        <v>731</v>
      </c>
      <c r="B734" s="3"/>
      <c r="C734" s="3" t="str">
        <f>IFERROR(VLOOKUP(B734,Sessions!A:J,2,FALSE),"")</f>
        <v/>
      </c>
      <c r="D734" s="3"/>
      <c r="E734" s="3" t="str">
        <f>IFERROR(VLOOKUP(D734,Employees!A:L,2,FALSE),"")</f>
        <v/>
      </c>
      <c r="F734" s="6"/>
      <c r="G734" s="6"/>
      <c r="H734" s="6" t="str">
        <f>IF(G734="","",G734)</f>
        <v/>
      </c>
      <c r="I734" s="3" t="str">
        <f>IF(H734="","",IF(H734&gt;=Setup!B7,"ناجح","إعادة تدريب"))</f>
        <v/>
      </c>
      <c r="J734" s="3"/>
      <c r="K734" s="3"/>
      <c r="L734" s="3"/>
      <c r="M734" s="3"/>
    </row>
    <row r="735" spans="1:13" x14ac:dyDescent="0.2">
      <c r="A735" s="3">
        <v>732</v>
      </c>
      <c r="B735" s="3"/>
      <c r="C735" s="3" t="str">
        <f>IFERROR(VLOOKUP(B735,Sessions!A:J,2,FALSE),"")</f>
        <v/>
      </c>
      <c r="D735" s="3"/>
      <c r="E735" s="3" t="str">
        <f>IFERROR(VLOOKUP(D735,Employees!A:L,2,FALSE),"")</f>
        <v/>
      </c>
      <c r="F735" s="6"/>
      <c r="G735" s="6"/>
      <c r="H735" s="6" t="str">
        <f>IF(G735="","",G735)</f>
        <v/>
      </c>
      <c r="I735" s="3" t="str">
        <f>IF(H735="","",IF(H735&gt;=Setup!B7,"ناجح","إعادة تدريب"))</f>
        <v/>
      </c>
      <c r="J735" s="3"/>
      <c r="K735" s="3"/>
      <c r="L735" s="3"/>
      <c r="M735" s="3"/>
    </row>
    <row r="736" spans="1:13" x14ac:dyDescent="0.2">
      <c r="A736" s="3">
        <v>733</v>
      </c>
      <c r="B736" s="3"/>
      <c r="C736" s="3" t="str">
        <f>IFERROR(VLOOKUP(B736,Sessions!A:J,2,FALSE),"")</f>
        <v/>
      </c>
      <c r="D736" s="3"/>
      <c r="E736" s="3" t="str">
        <f>IFERROR(VLOOKUP(D736,Employees!A:L,2,FALSE),"")</f>
        <v/>
      </c>
      <c r="F736" s="6"/>
      <c r="G736" s="6"/>
      <c r="H736" s="6" t="str">
        <f>IF(G736="","",G736)</f>
        <v/>
      </c>
      <c r="I736" s="3" t="str">
        <f>IF(H736="","",IF(H736&gt;=Setup!B7,"ناجح","إعادة تدريب"))</f>
        <v/>
      </c>
      <c r="J736" s="3"/>
      <c r="K736" s="3"/>
      <c r="L736" s="3"/>
      <c r="M736" s="3"/>
    </row>
    <row r="737" spans="1:13" x14ac:dyDescent="0.2">
      <c r="A737" s="3">
        <v>734</v>
      </c>
      <c r="B737" s="3"/>
      <c r="C737" s="3" t="str">
        <f>IFERROR(VLOOKUP(B737,Sessions!A:J,2,FALSE),"")</f>
        <v/>
      </c>
      <c r="D737" s="3"/>
      <c r="E737" s="3" t="str">
        <f>IFERROR(VLOOKUP(D737,Employees!A:L,2,FALSE),"")</f>
        <v/>
      </c>
      <c r="F737" s="6"/>
      <c r="G737" s="6"/>
      <c r="H737" s="6" t="str">
        <f>IF(G737="","",G737)</f>
        <v/>
      </c>
      <c r="I737" s="3" t="str">
        <f>IF(H737="","",IF(H737&gt;=Setup!B7,"ناجح","إعادة تدريب"))</f>
        <v/>
      </c>
      <c r="J737" s="3"/>
      <c r="K737" s="3"/>
      <c r="L737" s="3"/>
      <c r="M737" s="3"/>
    </row>
    <row r="738" spans="1:13" x14ac:dyDescent="0.2">
      <c r="A738" s="3">
        <v>735</v>
      </c>
      <c r="B738" s="3"/>
      <c r="C738" s="3" t="str">
        <f>IFERROR(VLOOKUP(B738,Sessions!A:J,2,FALSE),"")</f>
        <v/>
      </c>
      <c r="D738" s="3"/>
      <c r="E738" s="3" t="str">
        <f>IFERROR(VLOOKUP(D738,Employees!A:L,2,FALSE),"")</f>
        <v/>
      </c>
      <c r="F738" s="6"/>
      <c r="G738" s="6"/>
      <c r="H738" s="6" t="str">
        <f>IF(G738="","",G738)</f>
        <v/>
      </c>
      <c r="I738" s="3" t="str">
        <f>IF(H738="","",IF(H738&gt;=Setup!B7,"ناجح","إعادة تدريب"))</f>
        <v/>
      </c>
      <c r="J738" s="3"/>
      <c r="K738" s="3"/>
      <c r="L738" s="3"/>
      <c r="M738" s="3"/>
    </row>
    <row r="739" spans="1:13" x14ac:dyDescent="0.2">
      <c r="A739" s="3">
        <v>736</v>
      </c>
      <c r="B739" s="3"/>
      <c r="C739" s="3" t="str">
        <f>IFERROR(VLOOKUP(B739,Sessions!A:J,2,FALSE),"")</f>
        <v/>
      </c>
      <c r="D739" s="3"/>
      <c r="E739" s="3" t="str">
        <f>IFERROR(VLOOKUP(D739,Employees!A:L,2,FALSE),"")</f>
        <v/>
      </c>
      <c r="F739" s="6"/>
      <c r="G739" s="6"/>
      <c r="H739" s="6" t="str">
        <f>IF(G739="","",G739)</f>
        <v/>
      </c>
      <c r="I739" s="3" t="str">
        <f>IF(H739="","",IF(H739&gt;=Setup!B7,"ناجح","إعادة تدريب"))</f>
        <v/>
      </c>
      <c r="J739" s="3"/>
      <c r="K739" s="3"/>
      <c r="L739" s="3"/>
      <c r="M739" s="3"/>
    </row>
    <row r="740" spans="1:13" x14ac:dyDescent="0.2">
      <c r="A740" s="3">
        <v>737</v>
      </c>
      <c r="B740" s="3"/>
      <c r="C740" s="3" t="str">
        <f>IFERROR(VLOOKUP(B740,Sessions!A:J,2,FALSE),"")</f>
        <v/>
      </c>
      <c r="D740" s="3"/>
      <c r="E740" s="3" t="str">
        <f>IFERROR(VLOOKUP(D740,Employees!A:L,2,FALSE),"")</f>
        <v/>
      </c>
      <c r="F740" s="6"/>
      <c r="G740" s="6"/>
      <c r="H740" s="6" t="str">
        <f>IF(G740="","",G740)</f>
        <v/>
      </c>
      <c r="I740" s="3" t="str">
        <f>IF(H740="","",IF(H740&gt;=Setup!B7,"ناجح","إعادة تدريب"))</f>
        <v/>
      </c>
      <c r="J740" s="3"/>
      <c r="K740" s="3"/>
      <c r="L740" s="3"/>
      <c r="M740" s="3"/>
    </row>
    <row r="741" spans="1:13" x14ac:dyDescent="0.2">
      <c r="A741" s="3">
        <v>738</v>
      </c>
      <c r="B741" s="3"/>
      <c r="C741" s="3" t="str">
        <f>IFERROR(VLOOKUP(B741,Sessions!A:J,2,FALSE),"")</f>
        <v/>
      </c>
      <c r="D741" s="3"/>
      <c r="E741" s="3" t="str">
        <f>IFERROR(VLOOKUP(D741,Employees!A:L,2,FALSE),"")</f>
        <v/>
      </c>
      <c r="F741" s="6"/>
      <c r="G741" s="6"/>
      <c r="H741" s="6" t="str">
        <f>IF(G741="","",G741)</f>
        <v/>
      </c>
      <c r="I741" s="3" t="str">
        <f>IF(H741="","",IF(H741&gt;=Setup!B7,"ناجح","إعادة تدريب"))</f>
        <v/>
      </c>
      <c r="J741" s="3"/>
      <c r="K741" s="3"/>
      <c r="L741" s="3"/>
      <c r="M741" s="3"/>
    </row>
    <row r="742" spans="1:13" x14ac:dyDescent="0.2">
      <c r="A742" s="3">
        <v>739</v>
      </c>
      <c r="B742" s="3"/>
      <c r="C742" s="3" t="str">
        <f>IFERROR(VLOOKUP(B742,Sessions!A:J,2,FALSE),"")</f>
        <v/>
      </c>
      <c r="D742" s="3"/>
      <c r="E742" s="3" t="str">
        <f>IFERROR(VLOOKUP(D742,Employees!A:L,2,FALSE),"")</f>
        <v/>
      </c>
      <c r="F742" s="6"/>
      <c r="G742" s="6"/>
      <c r="H742" s="6" t="str">
        <f>IF(G742="","",G742)</f>
        <v/>
      </c>
      <c r="I742" s="3" t="str">
        <f>IF(H742="","",IF(H742&gt;=Setup!B7,"ناجح","إعادة تدريب"))</f>
        <v/>
      </c>
      <c r="J742" s="3"/>
      <c r="K742" s="3"/>
      <c r="L742" s="3"/>
      <c r="M742" s="3"/>
    </row>
    <row r="743" spans="1:13" x14ac:dyDescent="0.2">
      <c r="A743" s="3">
        <v>740</v>
      </c>
      <c r="B743" s="3"/>
      <c r="C743" s="3" t="str">
        <f>IFERROR(VLOOKUP(B743,Sessions!A:J,2,FALSE),"")</f>
        <v/>
      </c>
      <c r="D743" s="3"/>
      <c r="E743" s="3" t="str">
        <f>IFERROR(VLOOKUP(D743,Employees!A:L,2,FALSE),"")</f>
        <v/>
      </c>
      <c r="F743" s="6"/>
      <c r="G743" s="6"/>
      <c r="H743" s="6" t="str">
        <f>IF(G743="","",G743)</f>
        <v/>
      </c>
      <c r="I743" s="3" t="str">
        <f>IF(H743="","",IF(H743&gt;=Setup!B7,"ناجح","إعادة تدريب"))</f>
        <v/>
      </c>
      <c r="J743" s="3"/>
      <c r="K743" s="3"/>
      <c r="L743" s="3"/>
      <c r="M743" s="3"/>
    </row>
    <row r="744" spans="1:13" x14ac:dyDescent="0.2">
      <c r="A744" s="3">
        <v>741</v>
      </c>
      <c r="B744" s="3"/>
      <c r="C744" s="3" t="str">
        <f>IFERROR(VLOOKUP(B744,Sessions!A:J,2,FALSE),"")</f>
        <v/>
      </c>
      <c r="D744" s="3"/>
      <c r="E744" s="3" t="str">
        <f>IFERROR(VLOOKUP(D744,Employees!A:L,2,FALSE),"")</f>
        <v/>
      </c>
      <c r="F744" s="6"/>
      <c r="G744" s="6"/>
      <c r="H744" s="6" t="str">
        <f>IF(G744="","",G744)</f>
        <v/>
      </c>
      <c r="I744" s="3" t="str">
        <f>IF(H744="","",IF(H744&gt;=Setup!B7,"ناجح","إعادة تدريب"))</f>
        <v/>
      </c>
      <c r="J744" s="3"/>
      <c r="K744" s="3"/>
      <c r="L744" s="3"/>
      <c r="M744" s="3"/>
    </row>
    <row r="745" spans="1:13" x14ac:dyDescent="0.2">
      <c r="A745" s="3">
        <v>742</v>
      </c>
      <c r="B745" s="3"/>
      <c r="C745" s="3" t="str">
        <f>IFERROR(VLOOKUP(B745,Sessions!A:J,2,FALSE),"")</f>
        <v/>
      </c>
      <c r="D745" s="3"/>
      <c r="E745" s="3" t="str">
        <f>IFERROR(VLOOKUP(D745,Employees!A:L,2,FALSE),"")</f>
        <v/>
      </c>
      <c r="F745" s="6"/>
      <c r="G745" s="6"/>
      <c r="H745" s="6" t="str">
        <f>IF(G745="","",G745)</f>
        <v/>
      </c>
      <c r="I745" s="3" t="str">
        <f>IF(H745="","",IF(H745&gt;=Setup!B7,"ناجح","إعادة تدريب"))</f>
        <v/>
      </c>
      <c r="J745" s="3"/>
      <c r="K745" s="3"/>
      <c r="L745" s="3"/>
      <c r="M745" s="3"/>
    </row>
    <row r="746" spans="1:13" x14ac:dyDescent="0.2">
      <c r="A746" s="3">
        <v>743</v>
      </c>
      <c r="B746" s="3"/>
      <c r="C746" s="3" t="str">
        <f>IFERROR(VLOOKUP(B746,Sessions!A:J,2,FALSE),"")</f>
        <v/>
      </c>
      <c r="D746" s="3"/>
      <c r="E746" s="3" t="str">
        <f>IFERROR(VLOOKUP(D746,Employees!A:L,2,FALSE),"")</f>
        <v/>
      </c>
      <c r="F746" s="6"/>
      <c r="G746" s="6"/>
      <c r="H746" s="6" t="str">
        <f>IF(G746="","",G746)</f>
        <v/>
      </c>
      <c r="I746" s="3" t="str">
        <f>IF(H746="","",IF(H746&gt;=Setup!B7,"ناجح","إعادة تدريب"))</f>
        <v/>
      </c>
      <c r="J746" s="3"/>
      <c r="K746" s="3"/>
      <c r="L746" s="3"/>
      <c r="M746" s="3"/>
    </row>
    <row r="747" spans="1:13" x14ac:dyDescent="0.2">
      <c r="A747" s="3">
        <v>744</v>
      </c>
      <c r="B747" s="3"/>
      <c r="C747" s="3" t="str">
        <f>IFERROR(VLOOKUP(B747,Sessions!A:J,2,FALSE),"")</f>
        <v/>
      </c>
      <c r="D747" s="3"/>
      <c r="E747" s="3" t="str">
        <f>IFERROR(VLOOKUP(D747,Employees!A:L,2,FALSE),"")</f>
        <v/>
      </c>
      <c r="F747" s="6"/>
      <c r="G747" s="6"/>
      <c r="H747" s="6" t="str">
        <f>IF(G747="","",G747)</f>
        <v/>
      </c>
      <c r="I747" s="3" t="str">
        <f>IF(H747="","",IF(H747&gt;=Setup!B7,"ناجح","إعادة تدريب"))</f>
        <v/>
      </c>
      <c r="J747" s="3"/>
      <c r="K747" s="3"/>
      <c r="L747" s="3"/>
      <c r="M747" s="3"/>
    </row>
    <row r="748" spans="1:13" x14ac:dyDescent="0.2">
      <c r="A748" s="3">
        <v>745</v>
      </c>
      <c r="B748" s="3"/>
      <c r="C748" s="3" t="str">
        <f>IFERROR(VLOOKUP(B748,Sessions!A:J,2,FALSE),"")</f>
        <v/>
      </c>
      <c r="D748" s="3"/>
      <c r="E748" s="3" t="str">
        <f>IFERROR(VLOOKUP(D748,Employees!A:L,2,FALSE),"")</f>
        <v/>
      </c>
      <c r="F748" s="6"/>
      <c r="G748" s="6"/>
      <c r="H748" s="6" t="str">
        <f>IF(G748="","",G748)</f>
        <v/>
      </c>
      <c r="I748" s="3" t="str">
        <f>IF(H748="","",IF(H748&gt;=Setup!B7,"ناجح","إعادة تدريب"))</f>
        <v/>
      </c>
      <c r="J748" s="3"/>
      <c r="K748" s="3"/>
      <c r="L748" s="3"/>
      <c r="M748" s="3"/>
    </row>
    <row r="749" spans="1:13" x14ac:dyDescent="0.2">
      <c r="A749" s="3">
        <v>746</v>
      </c>
      <c r="B749" s="3"/>
      <c r="C749" s="3" t="str">
        <f>IFERROR(VLOOKUP(B749,Sessions!A:J,2,FALSE),"")</f>
        <v/>
      </c>
      <c r="D749" s="3"/>
      <c r="E749" s="3" t="str">
        <f>IFERROR(VLOOKUP(D749,Employees!A:L,2,FALSE),"")</f>
        <v/>
      </c>
      <c r="F749" s="6"/>
      <c r="G749" s="6"/>
      <c r="H749" s="6" t="str">
        <f>IF(G749="","",G749)</f>
        <v/>
      </c>
      <c r="I749" s="3" t="str">
        <f>IF(H749="","",IF(H749&gt;=Setup!B7,"ناجح","إعادة تدريب"))</f>
        <v/>
      </c>
      <c r="J749" s="3"/>
      <c r="K749" s="3"/>
      <c r="L749" s="3"/>
      <c r="M749" s="3"/>
    </row>
    <row r="750" spans="1:13" x14ac:dyDescent="0.2">
      <c r="A750" s="3">
        <v>747</v>
      </c>
      <c r="B750" s="3"/>
      <c r="C750" s="3" t="str">
        <f>IFERROR(VLOOKUP(B750,Sessions!A:J,2,FALSE),"")</f>
        <v/>
      </c>
      <c r="D750" s="3"/>
      <c r="E750" s="3" t="str">
        <f>IFERROR(VLOOKUP(D750,Employees!A:L,2,FALSE),"")</f>
        <v/>
      </c>
      <c r="F750" s="6"/>
      <c r="G750" s="6"/>
      <c r="H750" s="6" t="str">
        <f>IF(G750="","",G750)</f>
        <v/>
      </c>
      <c r="I750" s="3" t="str">
        <f>IF(H750="","",IF(H750&gt;=Setup!B7,"ناجح","إعادة تدريب"))</f>
        <v/>
      </c>
      <c r="J750" s="3"/>
      <c r="K750" s="3"/>
      <c r="L750" s="3"/>
      <c r="M750" s="3"/>
    </row>
    <row r="751" spans="1:13" x14ac:dyDescent="0.2">
      <c r="A751" s="3">
        <v>748</v>
      </c>
      <c r="B751" s="3"/>
      <c r="C751" s="3" t="str">
        <f>IFERROR(VLOOKUP(B751,Sessions!A:J,2,FALSE),"")</f>
        <v/>
      </c>
      <c r="D751" s="3"/>
      <c r="E751" s="3" t="str">
        <f>IFERROR(VLOOKUP(D751,Employees!A:L,2,FALSE),"")</f>
        <v/>
      </c>
      <c r="F751" s="6"/>
      <c r="G751" s="6"/>
      <c r="H751" s="6" t="str">
        <f>IF(G751="","",G751)</f>
        <v/>
      </c>
      <c r="I751" s="3" t="str">
        <f>IF(H751="","",IF(H751&gt;=Setup!B7,"ناجح","إعادة تدريب"))</f>
        <v/>
      </c>
      <c r="J751" s="3"/>
      <c r="K751" s="3"/>
      <c r="L751" s="3"/>
      <c r="M751" s="3"/>
    </row>
    <row r="752" spans="1:13" x14ac:dyDescent="0.2">
      <c r="A752" s="3">
        <v>749</v>
      </c>
      <c r="B752" s="3"/>
      <c r="C752" s="3" t="str">
        <f>IFERROR(VLOOKUP(B752,Sessions!A:J,2,FALSE),"")</f>
        <v/>
      </c>
      <c r="D752" s="3"/>
      <c r="E752" s="3" t="str">
        <f>IFERROR(VLOOKUP(D752,Employees!A:L,2,FALSE),"")</f>
        <v/>
      </c>
      <c r="F752" s="6"/>
      <c r="G752" s="6"/>
      <c r="H752" s="6" t="str">
        <f>IF(G752="","",G752)</f>
        <v/>
      </c>
      <c r="I752" s="3" t="str">
        <f>IF(H752="","",IF(H752&gt;=Setup!B7,"ناجح","إعادة تدريب"))</f>
        <v/>
      </c>
      <c r="J752" s="3"/>
      <c r="K752" s="3"/>
      <c r="L752" s="3"/>
      <c r="M752" s="3"/>
    </row>
    <row r="753" spans="1:13" x14ac:dyDescent="0.2">
      <c r="A753" s="3">
        <v>750</v>
      </c>
      <c r="B753" s="3"/>
      <c r="C753" s="3" t="str">
        <f>IFERROR(VLOOKUP(B753,Sessions!A:J,2,FALSE),"")</f>
        <v/>
      </c>
      <c r="D753" s="3"/>
      <c r="E753" s="3" t="str">
        <f>IFERROR(VLOOKUP(D753,Employees!A:L,2,FALSE),"")</f>
        <v/>
      </c>
      <c r="F753" s="6"/>
      <c r="G753" s="6"/>
      <c r="H753" s="6" t="str">
        <f>IF(G753="","",G753)</f>
        <v/>
      </c>
      <c r="I753" s="3" t="str">
        <f>IF(H753="","",IF(H753&gt;=Setup!B7,"ناجح","إعادة تدريب"))</f>
        <v/>
      </c>
      <c r="J753" s="3"/>
      <c r="K753" s="3"/>
      <c r="L753" s="3"/>
      <c r="M753" s="3"/>
    </row>
    <row r="754" spans="1:13" x14ac:dyDescent="0.2">
      <c r="A754" s="3">
        <v>751</v>
      </c>
      <c r="B754" s="3"/>
      <c r="C754" s="3" t="str">
        <f>IFERROR(VLOOKUP(B754,Sessions!A:J,2,FALSE),"")</f>
        <v/>
      </c>
      <c r="D754" s="3"/>
      <c r="E754" s="3" t="str">
        <f>IFERROR(VLOOKUP(D754,Employees!A:L,2,FALSE),"")</f>
        <v/>
      </c>
      <c r="F754" s="6"/>
      <c r="G754" s="6"/>
      <c r="H754" s="6" t="str">
        <f>IF(G754="","",G754)</f>
        <v/>
      </c>
      <c r="I754" s="3" t="str">
        <f>IF(H754="","",IF(H754&gt;=Setup!B7,"ناجح","إعادة تدريب"))</f>
        <v/>
      </c>
      <c r="J754" s="3"/>
      <c r="K754" s="3"/>
      <c r="L754" s="3"/>
      <c r="M754" s="3"/>
    </row>
    <row r="755" spans="1:13" x14ac:dyDescent="0.2">
      <c r="A755" s="3">
        <v>752</v>
      </c>
      <c r="B755" s="3"/>
      <c r="C755" s="3" t="str">
        <f>IFERROR(VLOOKUP(B755,Sessions!A:J,2,FALSE),"")</f>
        <v/>
      </c>
      <c r="D755" s="3"/>
      <c r="E755" s="3" t="str">
        <f>IFERROR(VLOOKUP(D755,Employees!A:L,2,FALSE),"")</f>
        <v/>
      </c>
      <c r="F755" s="6"/>
      <c r="G755" s="6"/>
      <c r="H755" s="6" t="str">
        <f>IF(G755="","",G755)</f>
        <v/>
      </c>
      <c r="I755" s="3" t="str">
        <f>IF(H755="","",IF(H755&gt;=Setup!B7,"ناجح","إعادة تدريب"))</f>
        <v/>
      </c>
      <c r="J755" s="3"/>
      <c r="K755" s="3"/>
      <c r="L755" s="3"/>
      <c r="M755" s="3"/>
    </row>
    <row r="756" spans="1:13" x14ac:dyDescent="0.2">
      <c r="A756" s="3">
        <v>753</v>
      </c>
      <c r="B756" s="3"/>
      <c r="C756" s="3" t="str">
        <f>IFERROR(VLOOKUP(B756,Sessions!A:J,2,FALSE),"")</f>
        <v/>
      </c>
      <c r="D756" s="3"/>
      <c r="E756" s="3" t="str">
        <f>IFERROR(VLOOKUP(D756,Employees!A:L,2,FALSE),"")</f>
        <v/>
      </c>
      <c r="F756" s="6"/>
      <c r="G756" s="6"/>
      <c r="H756" s="6" t="str">
        <f>IF(G756="","",G756)</f>
        <v/>
      </c>
      <c r="I756" s="3" t="str">
        <f>IF(H756="","",IF(H756&gt;=Setup!B7,"ناجح","إعادة تدريب"))</f>
        <v/>
      </c>
      <c r="J756" s="3"/>
      <c r="K756" s="3"/>
      <c r="L756" s="3"/>
      <c r="M756" s="3"/>
    </row>
    <row r="757" spans="1:13" x14ac:dyDescent="0.2">
      <c r="A757" s="3">
        <v>754</v>
      </c>
      <c r="B757" s="3"/>
      <c r="C757" s="3" t="str">
        <f>IFERROR(VLOOKUP(B757,Sessions!A:J,2,FALSE),"")</f>
        <v/>
      </c>
      <c r="D757" s="3"/>
      <c r="E757" s="3" t="str">
        <f>IFERROR(VLOOKUP(D757,Employees!A:L,2,FALSE),"")</f>
        <v/>
      </c>
      <c r="F757" s="6"/>
      <c r="G757" s="6"/>
      <c r="H757" s="6" t="str">
        <f>IF(G757="","",G757)</f>
        <v/>
      </c>
      <c r="I757" s="3" t="str">
        <f>IF(H757="","",IF(H757&gt;=Setup!B7,"ناجح","إعادة تدريب"))</f>
        <v/>
      </c>
      <c r="J757" s="3"/>
      <c r="K757" s="3"/>
      <c r="L757" s="3"/>
      <c r="M757" s="3"/>
    </row>
    <row r="758" spans="1:13" x14ac:dyDescent="0.2">
      <c r="A758" s="3">
        <v>755</v>
      </c>
      <c r="B758" s="3"/>
      <c r="C758" s="3" t="str">
        <f>IFERROR(VLOOKUP(B758,Sessions!A:J,2,FALSE),"")</f>
        <v/>
      </c>
      <c r="D758" s="3"/>
      <c r="E758" s="3" t="str">
        <f>IFERROR(VLOOKUP(D758,Employees!A:L,2,FALSE),"")</f>
        <v/>
      </c>
      <c r="F758" s="6"/>
      <c r="G758" s="6"/>
      <c r="H758" s="6" t="str">
        <f>IF(G758="","",G758)</f>
        <v/>
      </c>
      <c r="I758" s="3" t="str">
        <f>IF(H758="","",IF(H758&gt;=Setup!B7,"ناجح","إعادة تدريب"))</f>
        <v/>
      </c>
      <c r="J758" s="3"/>
      <c r="K758" s="3"/>
      <c r="L758" s="3"/>
      <c r="M758" s="3"/>
    </row>
    <row r="759" spans="1:13" x14ac:dyDescent="0.2">
      <c r="A759" s="3">
        <v>756</v>
      </c>
      <c r="B759" s="3"/>
      <c r="C759" s="3" t="str">
        <f>IFERROR(VLOOKUP(B759,Sessions!A:J,2,FALSE),"")</f>
        <v/>
      </c>
      <c r="D759" s="3"/>
      <c r="E759" s="3" t="str">
        <f>IFERROR(VLOOKUP(D759,Employees!A:L,2,FALSE),"")</f>
        <v/>
      </c>
      <c r="F759" s="6"/>
      <c r="G759" s="6"/>
      <c r="H759" s="6" t="str">
        <f>IF(G759="","",G759)</f>
        <v/>
      </c>
      <c r="I759" s="3" t="str">
        <f>IF(H759="","",IF(H759&gt;=Setup!B7,"ناجح","إعادة تدريب"))</f>
        <v/>
      </c>
      <c r="J759" s="3"/>
      <c r="K759" s="3"/>
      <c r="L759" s="3"/>
      <c r="M759" s="3"/>
    </row>
    <row r="760" spans="1:13" x14ac:dyDescent="0.2">
      <c r="A760" s="3">
        <v>757</v>
      </c>
      <c r="B760" s="3"/>
      <c r="C760" s="3" t="str">
        <f>IFERROR(VLOOKUP(B760,Sessions!A:J,2,FALSE),"")</f>
        <v/>
      </c>
      <c r="D760" s="3"/>
      <c r="E760" s="3" t="str">
        <f>IFERROR(VLOOKUP(D760,Employees!A:L,2,FALSE),"")</f>
        <v/>
      </c>
      <c r="F760" s="6"/>
      <c r="G760" s="6"/>
      <c r="H760" s="6" t="str">
        <f>IF(G760="","",G760)</f>
        <v/>
      </c>
      <c r="I760" s="3" t="str">
        <f>IF(H760="","",IF(H760&gt;=Setup!B7,"ناجح","إعادة تدريب"))</f>
        <v/>
      </c>
      <c r="J760" s="3"/>
      <c r="K760" s="3"/>
      <c r="L760" s="3"/>
      <c r="M760" s="3"/>
    </row>
    <row r="761" spans="1:13" x14ac:dyDescent="0.2">
      <c r="A761" s="3">
        <v>758</v>
      </c>
      <c r="B761" s="3"/>
      <c r="C761" s="3" t="str">
        <f>IFERROR(VLOOKUP(B761,Sessions!A:J,2,FALSE),"")</f>
        <v/>
      </c>
      <c r="D761" s="3"/>
      <c r="E761" s="3" t="str">
        <f>IFERROR(VLOOKUP(D761,Employees!A:L,2,FALSE),"")</f>
        <v/>
      </c>
      <c r="F761" s="6"/>
      <c r="G761" s="6"/>
      <c r="H761" s="6" t="str">
        <f>IF(G761="","",G761)</f>
        <v/>
      </c>
      <c r="I761" s="3" t="str">
        <f>IF(H761="","",IF(H761&gt;=Setup!B7,"ناجح","إعادة تدريب"))</f>
        <v/>
      </c>
      <c r="J761" s="3"/>
      <c r="K761" s="3"/>
      <c r="L761" s="3"/>
      <c r="M761" s="3"/>
    </row>
    <row r="762" spans="1:13" x14ac:dyDescent="0.2">
      <c r="A762" s="3">
        <v>759</v>
      </c>
      <c r="B762" s="3"/>
      <c r="C762" s="3" t="str">
        <f>IFERROR(VLOOKUP(B762,Sessions!A:J,2,FALSE),"")</f>
        <v/>
      </c>
      <c r="D762" s="3"/>
      <c r="E762" s="3" t="str">
        <f>IFERROR(VLOOKUP(D762,Employees!A:L,2,FALSE),"")</f>
        <v/>
      </c>
      <c r="F762" s="6"/>
      <c r="G762" s="6"/>
      <c r="H762" s="6" t="str">
        <f>IF(G762="","",G762)</f>
        <v/>
      </c>
      <c r="I762" s="3" t="str">
        <f>IF(H762="","",IF(H762&gt;=Setup!B7,"ناجح","إعادة تدريب"))</f>
        <v/>
      </c>
      <c r="J762" s="3"/>
      <c r="K762" s="3"/>
      <c r="L762" s="3"/>
      <c r="M762" s="3"/>
    </row>
    <row r="763" spans="1:13" x14ac:dyDescent="0.2">
      <c r="A763" s="3">
        <v>760</v>
      </c>
      <c r="B763" s="3"/>
      <c r="C763" s="3" t="str">
        <f>IFERROR(VLOOKUP(B763,Sessions!A:J,2,FALSE),"")</f>
        <v/>
      </c>
      <c r="D763" s="3"/>
      <c r="E763" s="3" t="str">
        <f>IFERROR(VLOOKUP(D763,Employees!A:L,2,FALSE),"")</f>
        <v/>
      </c>
      <c r="F763" s="6"/>
      <c r="G763" s="6"/>
      <c r="H763" s="6" t="str">
        <f>IF(G763="","",G763)</f>
        <v/>
      </c>
      <c r="I763" s="3" t="str">
        <f>IF(H763="","",IF(H763&gt;=Setup!B7,"ناجح","إعادة تدريب"))</f>
        <v/>
      </c>
      <c r="J763" s="3"/>
      <c r="K763" s="3"/>
      <c r="L763" s="3"/>
      <c r="M763" s="3"/>
    </row>
    <row r="764" spans="1:13" x14ac:dyDescent="0.2">
      <c r="A764" s="3">
        <v>761</v>
      </c>
      <c r="B764" s="3"/>
      <c r="C764" s="3" t="str">
        <f>IFERROR(VLOOKUP(B764,Sessions!A:J,2,FALSE),"")</f>
        <v/>
      </c>
      <c r="D764" s="3"/>
      <c r="E764" s="3" t="str">
        <f>IFERROR(VLOOKUP(D764,Employees!A:L,2,FALSE),"")</f>
        <v/>
      </c>
      <c r="F764" s="6"/>
      <c r="G764" s="6"/>
      <c r="H764" s="6" t="str">
        <f>IF(G764="","",G764)</f>
        <v/>
      </c>
      <c r="I764" s="3" t="str">
        <f>IF(H764="","",IF(H764&gt;=Setup!B7,"ناجح","إعادة تدريب"))</f>
        <v/>
      </c>
      <c r="J764" s="3"/>
      <c r="K764" s="3"/>
      <c r="L764" s="3"/>
      <c r="M764" s="3"/>
    </row>
    <row r="765" spans="1:13" x14ac:dyDescent="0.2">
      <c r="A765" s="3">
        <v>762</v>
      </c>
      <c r="B765" s="3"/>
      <c r="C765" s="3" t="str">
        <f>IFERROR(VLOOKUP(B765,Sessions!A:J,2,FALSE),"")</f>
        <v/>
      </c>
      <c r="D765" s="3"/>
      <c r="E765" s="3" t="str">
        <f>IFERROR(VLOOKUP(D765,Employees!A:L,2,FALSE),"")</f>
        <v/>
      </c>
      <c r="F765" s="6"/>
      <c r="G765" s="6"/>
      <c r="H765" s="6" t="str">
        <f>IF(G765="","",G765)</f>
        <v/>
      </c>
      <c r="I765" s="3" t="str">
        <f>IF(H765="","",IF(H765&gt;=Setup!B7,"ناجح","إعادة تدريب"))</f>
        <v/>
      </c>
      <c r="J765" s="3"/>
      <c r="K765" s="3"/>
      <c r="L765" s="3"/>
      <c r="M765" s="3"/>
    </row>
    <row r="766" spans="1:13" x14ac:dyDescent="0.2">
      <c r="A766" s="3">
        <v>763</v>
      </c>
      <c r="B766" s="3"/>
      <c r="C766" s="3" t="str">
        <f>IFERROR(VLOOKUP(B766,Sessions!A:J,2,FALSE),"")</f>
        <v/>
      </c>
      <c r="D766" s="3"/>
      <c r="E766" s="3" t="str">
        <f>IFERROR(VLOOKUP(D766,Employees!A:L,2,FALSE),"")</f>
        <v/>
      </c>
      <c r="F766" s="6"/>
      <c r="G766" s="6"/>
      <c r="H766" s="6" t="str">
        <f>IF(G766="","",G766)</f>
        <v/>
      </c>
      <c r="I766" s="3" t="str">
        <f>IF(H766="","",IF(H766&gt;=Setup!B7,"ناجح","إعادة تدريب"))</f>
        <v/>
      </c>
      <c r="J766" s="3"/>
      <c r="K766" s="3"/>
      <c r="L766" s="3"/>
      <c r="M766" s="3"/>
    </row>
    <row r="767" spans="1:13" x14ac:dyDescent="0.2">
      <c r="A767" s="3">
        <v>764</v>
      </c>
      <c r="B767" s="3"/>
      <c r="C767" s="3" t="str">
        <f>IFERROR(VLOOKUP(B767,Sessions!A:J,2,FALSE),"")</f>
        <v/>
      </c>
      <c r="D767" s="3"/>
      <c r="E767" s="3" t="str">
        <f>IFERROR(VLOOKUP(D767,Employees!A:L,2,FALSE),"")</f>
        <v/>
      </c>
      <c r="F767" s="6"/>
      <c r="G767" s="6"/>
      <c r="H767" s="6" t="str">
        <f>IF(G767="","",G767)</f>
        <v/>
      </c>
      <c r="I767" s="3" t="str">
        <f>IF(H767="","",IF(H767&gt;=Setup!B7,"ناجح","إعادة تدريب"))</f>
        <v/>
      </c>
      <c r="J767" s="3"/>
      <c r="K767" s="3"/>
      <c r="L767" s="3"/>
      <c r="M767" s="3"/>
    </row>
    <row r="768" spans="1:13" x14ac:dyDescent="0.2">
      <c r="A768" s="3">
        <v>765</v>
      </c>
      <c r="B768" s="3"/>
      <c r="C768" s="3" t="str">
        <f>IFERROR(VLOOKUP(B768,Sessions!A:J,2,FALSE),"")</f>
        <v/>
      </c>
      <c r="D768" s="3"/>
      <c r="E768" s="3" t="str">
        <f>IFERROR(VLOOKUP(D768,Employees!A:L,2,FALSE),"")</f>
        <v/>
      </c>
      <c r="F768" s="6"/>
      <c r="G768" s="6"/>
      <c r="H768" s="6" t="str">
        <f>IF(G768="","",G768)</f>
        <v/>
      </c>
      <c r="I768" s="3" t="str">
        <f>IF(H768="","",IF(H768&gt;=Setup!B7,"ناجح","إعادة تدريب"))</f>
        <v/>
      </c>
      <c r="J768" s="3"/>
      <c r="K768" s="3"/>
      <c r="L768" s="3"/>
      <c r="M768" s="3"/>
    </row>
    <row r="769" spans="1:13" x14ac:dyDescent="0.2">
      <c r="A769" s="3">
        <v>766</v>
      </c>
      <c r="B769" s="3"/>
      <c r="C769" s="3" t="str">
        <f>IFERROR(VLOOKUP(B769,Sessions!A:J,2,FALSE),"")</f>
        <v/>
      </c>
      <c r="D769" s="3"/>
      <c r="E769" s="3" t="str">
        <f>IFERROR(VLOOKUP(D769,Employees!A:L,2,FALSE),"")</f>
        <v/>
      </c>
      <c r="F769" s="6"/>
      <c r="G769" s="6"/>
      <c r="H769" s="6" t="str">
        <f>IF(G769="","",G769)</f>
        <v/>
      </c>
      <c r="I769" s="3" t="str">
        <f>IF(H769="","",IF(H769&gt;=Setup!B7,"ناجح","إعادة تدريب"))</f>
        <v/>
      </c>
      <c r="J769" s="3"/>
      <c r="K769" s="3"/>
      <c r="L769" s="3"/>
      <c r="M769" s="3"/>
    </row>
    <row r="770" spans="1:13" x14ac:dyDescent="0.2">
      <c r="A770" s="3">
        <v>767</v>
      </c>
      <c r="B770" s="3"/>
      <c r="C770" s="3" t="str">
        <f>IFERROR(VLOOKUP(B770,Sessions!A:J,2,FALSE),"")</f>
        <v/>
      </c>
      <c r="D770" s="3"/>
      <c r="E770" s="3" t="str">
        <f>IFERROR(VLOOKUP(D770,Employees!A:L,2,FALSE),"")</f>
        <v/>
      </c>
      <c r="F770" s="6"/>
      <c r="G770" s="6"/>
      <c r="H770" s="6" t="str">
        <f>IF(G770="","",G770)</f>
        <v/>
      </c>
      <c r="I770" s="3" t="str">
        <f>IF(H770="","",IF(H770&gt;=Setup!B7,"ناجح","إعادة تدريب"))</f>
        <v/>
      </c>
      <c r="J770" s="3"/>
      <c r="K770" s="3"/>
      <c r="L770" s="3"/>
      <c r="M770" s="3"/>
    </row>
    <row r="771" spans="1:13" x14ac:dyDescent="0.2">
      <c r="A771" s="3">
        <v>768</v>
      </c>
      <c r="B771" s="3"/>
      <c r="C771" s="3" t="str">
        <f>IFERROR(VLOOKUP(B771,Sessions!A:J,2,FALSE),"")</f>
        <v/>
      </c>
      <c r="D771" s="3"/>
      <c r="E771" s="3" t="str">
        <f>IFERROR(VLOOKUP(D771,Employees!A:L,2,FALSE),"")</f>
        <v/>
      </c>
      <c r="F771" s="6"/>
      <c r="G771" s="6"/>
      <c r="H771" s="6" t="str">
        <f>IF(G771="","",G771)</f>
        <v/>
      </c>
      <c r="I771" s="3" t="str">
        <f>IF(H771="","",IF(H771&gt;=Setup!B7,"ناجح","إعادة تدريب"))</f>
        <v/>
      </c>
      <c r="J771" s="3"/>
      <c r="K771" s="3"/>
      <c r="L771" s="3"/>
      <c r="M771" s="3"/>
    </row>
    <row r="772" spans="1:13" x14ac:dyDescent="0.2">
      <c r="A772" s="3">
        <v>769</v>
      </c>
      <c r="B772" s="3"/>
      <c r="C772" s="3" t="str">
        <f>IFERROR(VLOOKUP(B772,Sessions!A:J,2,FALSE),"")</f>
        <v/>
      </c>
      <c r="D772" s="3"/>
      <c r="E772" s="3" t="str">
        <f>IFERROR(VLOOKUP(D772,Employees!A:L,2,FALSE),"")</f>
        <v/>
      </c>
      <c r="F772" s="6"/>
      <c r="G772" s="6"/>
      <c r="H772" s="6" t="str">
        <f>IF(G772="","",G772)</f>
        <v/>
      </c>
      <c r="I772" s="3" t="str">
        <f>IF(H772="","",IF(H772&gt;=Setup!B7,"ناجح","إعادة تدريب"))</f>
        <v/>
      </c>
      <c r="J772" s="3"/>
      <c r="K772" s="3"/>
      <c r="L772" s="3"/>
      <c r="M772" s="3"/>
    </row>
    <row r="773" spans="1:13" x14ac:dyDescent="0.2">
      <c r="A773" s="3">
        <v>770</v>
      </c>
      <c r="B773" s="3"/>
      <c r="C773" s="3" t="str">
        <f>IFERROR(VLOOKUP(B773,Sessions!A:J,2,FALSE),"")</f>
        <v/>
      </c>
      <c r="D773" s="3"/>
      <c r="E773" s="3" t="str">
        <f>IFERROR(VLOOKUP(D773,Employees!A:L,2,FALSE),"")</f>
        <v/>
      </c>
      <c r="F773" s="6"/>
      <c r="G773" s="6"/>
      <c r="H773" s="6" t="str">
        <f>IF(G773="","",G773)</f>
        <v/>
      </c>
      <c r="I773" s="3" t="str">
        <f>IF(H773="","",IF(H773&gt;=Setup!B7,"ناجح","إعادة تدريب"))</f>
        <v/>
      </c>
      <c r="J773" s="3"/>
      <c r="K773" s="3"/>
      <c r="L773" s="3"/>
      <c r="M773" s="3"/>
    </row>
    <row r="774" spans="1:13" x14ac:dyDescent="0.2">
      <c r="A774" s="3">
        <v>771</v>
      </c>
      <c r="B774" s="3"/>
      <c r="C774" s="3" t="str">
        <f>IFERROR(VLOOKUP(B774,Sessions!A:J,2,FALSE),"")</f>
        <v/>
      </c>
      <c r="D774" s="3"/>
      <c r="E774" s="3" t="str">
        <f>IFERROR(VLOOKUP(D774,Employees!A:L,2,FALSE),"")</f>
        <v/>
      </c>
      <c r="F774" s="6"/>
      <c r="G774" s="6"/>
      <c r="H774" s="6" t="str">
        <f>IF(G774="","",G774)</f>
        <v/>
      </c>
      <c r="I774" s="3" t="str">
        <f>IF(H774="","",IF(H774&gt;=Setup!B7,"ناجح","إعادة تدريب"))</f>
        <v/>
      </c>
      <c r="J774" s="3"/>
      <c r="K774" s="3"/>
      <c r="L774" s="3"/>
      <c r="M774" s="3"/>
    </row>
    <row r="775" spans="1:13" x14ac:dyDescent="0.2">
      <c r="A775" s="3">
        <v>772</v>
      </c>
      <c r="B775" s="3"/>
      <c r="C775" s="3" t="str">
        <f>IFERROR(VLOOKUP(B775,Sessions!A:J,2,FALSE),"")</f>
        <v/>
      </c>
      <c r="D775" s="3"/>
      <c r="E775" s="3" t="str">
        <f>IFERROR(VLOOKUP(D775,Employees!A:L,2,FALSE),"")</f>
        <v/>
      </c>
      <c r="F775" s="6"/>
      <c r="G775" s="6"/>
      <c r="H775" s="6" t="str">
        <f>IF(G775="","",G775)</f>
        <v/>
      </c>
      <c r="I775" s="3" t="str">
        <f>IF(H775="","",IF(H775&gt;=Setup!B7,"ناجح","إعادة تدريب"))</f>
        <v/>
      </c>
      <c r="J775" s="3"/>
      <c r="K775" s="3"/>
      <c r="L775" s="3"/>
      <c r="M775" s="3"/>
    </row>
    <row r="776" spans="1:13" x14ac:dyDescent="0.2">
      <c r="A776" s="3">
        <v>773</v>
      </c>
      <c r="B776" s="3"/>
      <c r="C776" s="3" t="str">
        <f>IFERROR(VLOOKUP(B776,Sessions!A:J,2,FALSE),"")</f>
        <v/>
      </c>
      <c r="D776" s="3"/>
      <c r="E776" s="3" t="str">
        <f>IFERROR(VLOOKUP(D776,Employees!A:L,2,FALSE),"")</f>
        <v/>
      </c>
      <c r="F776" s="6"/>
      <c r="G776" s="6"/>
      <c r="H776" s="6" t="str">
        <f>IF(G776="","",G776)</f>
        <v/>
      </c>
      <c r="I776" s="3" t="str">
        <f>IF(H776="","",IF(H776&gt;=Setup!B7,"ناجح","إعادة تدريب"))</f>
        <v/>
      </c>
      <c r="J776" s="3"/>
      <c r="K776" s="3"/>
      <c r="L776" s="3"/>
      <c r="M776" s="3"/>
    </row>
    <row r="777" spans="1:13" x14ac:dyDescent="0.2">
      <c r="A777" s="3">
        <v>774</v>
      </c>
      <c r="B777" s="3"/>
      <c r="C777" s="3" t="str">
        <f>IFERROR(VLOOKUP(B777,Sessions!A:J,2,FALSE),"")</f>
        <v/>
      </c>
      <c r="D777" s="3"/>
      <c r="E777" s="3" t="str">
        <f>IFERROR(VLOOKUP(D777,Employees!A:L,2,FALSE),"")</f>
        <v/>
      </c>
      <c r="F777" s="6"/>
      <c r="G777" s="6"/>
      <c r="H777" s="6" t="str">
        <f>IF(G777="","",G777)</f>
        <v/>
      </c>
      <c r="I777" s="3" t="str">
        <f>IF(H777="","",IF(H777&gt;=Setup!B7,"ناجح","إعادة تدريب"))</f>
        <v/>
      </c>
      <c r="J777" s="3"/>
      <c r="K777" s="3"/>
      <c r="L777" s="3"/>
      <c r="M777" s="3"/>
    </row>
    <row r="778" spans="1:13" x14ac:dyDescent="0.2">
      <c r="A778" s="3">
        <v>775</v>
      </c>
      <c r="B778" s="3"/>
      <c r="C778" s="3" t="str">
        <f>IFERROR(VLOOKUP(B778,Sessions!A:J,2,FALSE),"")</f>
        <v/>
      </c>
      <c r="D778" s="3"/>
      <c r="E778" s="3" t="str">
        <f>IFERROR(VLOOKUP(D778,Employees!A:L,2,FALSE),"")</f>
        <v/>
      </c>
      <c r="F778" s="6"/>
      <c r="G778" s="6"/>
      <c r="H778" s="6" t="str">
        <f>IF(G778="","",G778)</f>
        <v/>
      </c>
      <c r="I778" s="3" t="str">
        <f>IF(H778="","",IF(H778&gt;=Setup!B7,"ناجح","إعادة تدريب"))</f>
        <v/>
      </c>
      <c r="J778" s="3"/>
      <c r="K778" s="3"/>
      <c r="L778" s="3"/>
      <c r="M778" s="3"/>
    </row>
    <row r="779" spans="1:13" x14ac:dyDescent="0.2">
      <c r="A779" s="3">
        <v>776</v>
      </c>
      <c r="B779" s="3"/>
      <c r="C779" s="3" t="str">
        <f>IFERROR(VLOOKUP(B779,Sessions!A:J,2,FALSE),"")</f>
        <v/>
      </c>
      <c r="D779" s="3"/>
      <c r="E779" s="3" t="str">
        <f>IFERROR(VLOOKUP(D779,Employees!A:L,2,FALSE),"")</f>
        <v/>
      </c>
      <c r="F779" s="6"/>
      <c r="G779" s="6"/>
      <c r="H779" s="6" t="str">
        <f>IF(G779="","",G779)</f>
        <v/>
      </c>
      <c r="I779" s="3" t="str">
        <f>IF(H779="","",IF(H779&gt;=Setup!B7,"ناجح","إعادة تدريب"))</f>
        <v/>
      </c>
      <c r="J779" s="3"/>
      <c r="K779" s="3"/>
      <c r="L779" s="3"/>
      <c r="M779" s="3"/>
    </row>
    <row r="780" spans="1:13" x14ac:dyDescent="0.2">
      <c r="A780" s="3">
        <v>777</v>
      </c>
      <c r="B780" s="3"/>
      <c r="C780" s="3" t="str">
        <f>IFERROR(VLOOKUP(B780,Sessions!A:J,2,FALSE),"")</f>
        <v/>
      </c>
      <c r="D780" s="3"/>
      <c r="E780" s="3" t="str">
        <f>IFERROR(VLOOKUP(D780,Employees!A:L,2,FALSE),"")</f>
        <v/>
      </c>
      <c r="F780" s="6"/>
      <c r="G780" s="6"/>
      <c r="H780" s="6" t="str">
        <f>IF(G780="","",G780)</f>
        <v/>
      </c>
      <c r="I780" s="3" t="str">
        <f>IF(H780="","",IF(H780&gt;=Setup!B7,"ناجح","إعادة تدريب"))</f>
        <v/>
      </c>
      <c r="J780" s="3"/>
      <c r="K780" s="3"/>
      <c r="L780" s="3"/>
      <c r="M780" s="3"/>
    </row>
    <row r="781" spans="1:13" x14ac:dyDescent="0.2">
      <c r="A781" s="3">
        <v>778</v>
      </c>
      <c r="B781" s="3"/>
      <c r="C781" s="3" t="str">
        <f>IFERROR(VLOOKUP(B781,Sessions!A:J,2,FALSE),"")</f>
        <v/>
      </c>
      <c r="D781" s="3"/>
      <c r="E781" s="3" t="str">
        <f>IFERROR(VLOOKUP(D781,Employees!A:L,2,FALSE),"")</f>
        <v/>
      </c>
      <c r="F781" s="6"/>
      <c r="G781" s="6"/>
      <c r="H781" s="6" t="str">
        <f>IF(G781="","",G781)</f>
        <v/>
      </c>
      <c r="I781" s="3" t="str">
        <f>IF(H781="","",IF(H781&gt;=Setup!B7,"ناجح","إعادة تدريب"))</f>
        <v/>
      </c>
      <c r="J781" s="3"/>
      <c r="K781" s="3"/>
      <c r="L781" s="3"/>
      <c r="M781" s="3"/>
    </row>
    <row r="782" spans="1:13" x14ac:dyDescent="0.2">
      <c r="A782" s="3">
        <v>779</v>
      </c>
      <c r="B782" s="3"/>
      <c r="C782" s="3" t="str">
        <f>IFERROR(VLOOKUP(B782,Sessions!A:J,2,FALSE),"")</f>
        <v/>
      </c>
      <c r="D782" s="3"/>
      <c r="E782" s="3" t="str">
        <f>IFERROR(VLOOKUP(D782,Employees!A:L,2,FALSE),"")</f>
        <v/>
      </c>
      <c r="F782" s="6"/>
      <c r="G782" s="6"/>
      <c r="H782" s="6" t="str">
        <f>IF(G782="","",G782)</f>
        <v/>
      </c>
      <c r="I782" s="3" t="str">
        <f>IF(H782="","",IF(H782&gt;=Setup!B7,"ناجح","إعادة تدريب"))</f>
        <v/>
      </c>
      <c r="J782" s="3"/>
      <c r="K782" s="3"/>
      <c r="L782" s="3"/>
      <c r="M782" s="3"/>
    </row>
    <row r="783" spans="1:13" x14ac:dyDescent="0.2">
      <c r="A783" s="3">
        <v>780</v>
      </c>
      <c r="B783" s="3"/>
      <c r="C783" s="3" t="str">
        <f>IFERROR(VLOOKUP(B783,Sessions!A:J,2,FALSE),"")</f>
        <v/>
      </c>
      <c r="D783" s="3"/>
      <c r="E783" s="3" t="str">
        <f>IFERROR(VLOOKUP(D783,Employees!A:L,2,FALSE),"")</f>
        <v/>
      </c>
      <c r="F783" s="6"/>
      <c r="G783" s="6"/>
      <c r="H783" s="6" t="str">
        <f>IF(G783="","",G783)</f>
        <v/>
      </c>
      <c r="I783" s="3" t="str">
        <f>IF(H783="","",IF(H783&gt;=Setup!B7,"ناجح","إعادة تدريب"))</f>
        <v/>
      </c>
      <c r="J783" s="3"/>
      <c r="K783" s="3"/>
      <c r="L783" s="3"/>
      <c r="M783" s="3"/>
    </row>
    <row r="784" spans="1:13" x14ac:dyDescent="0.2">
      <c r="A784" s="3">
        <v>781</v>
      </c>
      <c r="B784" s="3"/>
      <c r="C784" s="3" t="str">
        <f>IFERROR(VLOOKUP(B784,Sessions!A:J,2,FALSE),"")</f>
        <v/>
      </c>
      <c r="D784" s="3"/>
      <c r="E784" s="3" t="str">
        <f>IFERROR(VLOOKUP(D784,Employees!A:L,2,FALSE),"")</f>
        <v/>
      </c>
      <c r="F784" s="6"/>
      <c r="G784" s="6"/>
      <c r="H784" s="6" t="str">
        <f>IF(G784="","",G784)</f>
        <v/>
      </c>
      <c r="I784" s="3" t="str">
        <f>IF(H784="","",IF(H784&gt;=Setup!B7,"ناجح","إعادة تدريب"))</f>
        <v/>
      </c>
      <c r="J784" s="3"/>
      <c r="K784" s="3"/>
      <c r="L784" s="3"/>
      <c r="M784" s="3"/>
    </row>
    <row r="785" spans="1:13" x14ac:dyDescent="0.2">
      <c r="A785" s="3">
        <v>782</v>
      </c>
      <c r="B785" s="3"/>
      <c r="C785" s="3" t="str">
        <f>IFERROR(VLOOKUP(B785,Sessions!A:J,2,FALSE),"")</f>
        <v/>
      </c>
      <c r="D785" s="3"/>
      <c r="E785" s="3" t="str">
        <f>IFERROR(VLOOKUP(D785,Employees!A:L,2,FALSE),"")</f>
        <v/>
      </c>
      <c r="F785" s="6"/>
      <c r="G785" s="6"/>
      <c r="H785" s="6" t="str">
        <f>IF(G785="","",G785)</f>
        <v/>
      </c>
      <c r="I785" s="3" t="str">
        <f>IF(H785="","",IF(H785&gt;=Setup!B7,"ناجح","إعادة تدريب"))</f>
        <v/>
      </c>
      <c r="J785" s="3"/>
      <c r="K785" s="3"/>
      <c r="L785" s="3"/>
      <c r="M785" s="3"/>
    </row>
    <row r="786" spans="1:13" x14ac:dyDescent="0.2">
      <c r="A786" s="3">
        <v>783</v>
      </c>
      <c r="B786" s="3"/>
      <c r="C786" s="3" t="str">
        <f>IFERROR(VLOOKUP(B786,Sessions!A:J,2,FALSE),"")</f>
        <v/>
      </c>
      <c r="D786" s="3"/>
      <c r="E786" s="3" t="str">
        <f>IFERROR(VLOOKUP(D786,Employees!A:L,2,FALSE),"")</f>
        <v/>
      </c>
      <c r="F786" s="6"/>
      <c r="G786" s="6"/>
      <c r="H786" s="6" t="str">
        <f>IF(G786="","",G786)</f>
        <v/>
      </c>
      <c r="I786" s="3" t="str">
        <f>IF(H786="","",IF(H786&gt;=Setup!B7,"ناجح","إعادة تدريب"))</f>
        <v/>
      </c>
      <c r="J786" s="3"/>
      <c r="K786" s="3"/>
      <c r="L786" s="3"/>
      <c r="M786" s="3"/>
    </row>
    <row r="787" spans="1:13" x14ac:dyDescent="0.2">
      <c r="A787" s="3">
        <v>784</v>
      </c>
      <c r="B787" s="3"/>
      <c r="C787" s="3" t="str">
        <f>IFERROR(VLOOKUP(B787,Sessions!A:J,2,FALSE),"")</f>
        <v/>
      </c>
      <c r="D787" s="3"/>
      <c r="E787" s="3" t="str">
        <f>IFERROR(VLOOKUP(D787,Employees!A:L,2,FALSE),"")</f>
        <v/>
      </c>
      <c r="F787" s="6"/>
      <c r="G787" s="6"/>
      <c r="H787" s="6" t="str">
        <f>IF(G787="","",G787)</f>
        <v/>
      </c>
      <c r="I787" s="3" t="str">
        <f>IF(H787="","",IF(H787&gt;=Setup!B7,"ناجح","إعادة تدريب"))</f>
        <v/>
      </c>
      <c r="J787" s="3"/>
      <c r="K787" s="3"/>
      <c r="L787" s="3"/>
      <c r="M787" s="3"/>
    </row>
    <row r="788" spans="1:13" x14ac:dyDescent="0.2">
      <c r="A788" s="3">
        <v>785</v>
      </c>
      <c r="B788" s="3"/>
      <c r="C788" s="3" t="str">
        <f>IFERROR(VLOOKUP(B788,Sessions!A:J,2,FALSE),"")</f>
        <v/>
      </c>
      <c r="D788" s="3"/>
      <c r="E788" s="3" t="str">
        <f>IFERROR(VLOOKUP(D788,Employees!A:L,2,FALSE),"")</f>
        <v/>
      </c>
      <c r="F788" s="6"/>
      <c r="G788" s="6"/>
      <c r="H788" s="6" t="str">
        <f>IF(G788="","",G788)</f>
        <v/>
      </c>
      <c r="I788" s="3" t="str">
        <f>IF(H788="","",IF(H788&gt;=Setup!B7,"ناجح","إعادة تدريب"))</f>
        <v/>
      </c>
      <c r="J788" s="3"/>
      <c r="K788" s="3"/>
      <c r="L788" s="3"/>
      <c r="M788" s="3"/>
    </row>
    <row r="789" spans="1:13" x14ac:dyDescent="0.2">
      <c r="A789" s="3">
        <v>786</v>
      </c>
      <c r="B789" s="3"/>
      <c r="C789" s="3" t="str">
        <f>IFERROR(VLOOKUP(B789,Sessions!A:J,2,FALSE),"")</f>
        <v/>
      </c>
      <c r="D789" s="3"/>
      <c r="E789" s="3" t="str">
        <f>IFERROR(VLOOKUP(D789,Employees!A:L,2,FALSE),"")</f>
        <v/>
      </c>
      <c r="F789" s="6"/>
      <c r="G789" s="6"/>
      <c r="H789" s="6" t="str">
        <f>IF(G789="","",G789)</f>
        <v/>
      </c>
      <c r="I789" s="3" t="str">
        <f>IF(H789="","",IF(H789&gt;=Setup!B7,"ناجح","إعادة تدريب"))</f>
        <v/>
      </c>
      <c r="J789" s="3"/>
      <c r="K789" s="3"/>
      <c r="L789" s="3"/>
      <c r="M789" s="3"/>
    </row>
    <row r="790" spans="1:13" x14ac:dyDescent="0.2">
      <c r="A790" s="3">
        <v>787</v>
      </c>
      <c r="B790" s="3"/>
      <c r="C790" s="3" t="str">
        <f>IFERROR(VLOOKUP(B790,Sessions!A:J,2,FALSE),"")</f>
        <v/>
      </c>
      <c r="D790" s="3"/>
      <c r="E790" s="3" t="str">
        <f>IFERROR(VLOOKUP(D790,Employees!A:L,2,FALSE),"")</f>
        <v/>
      </c>
      <c r="F790" s="6"/>
      <c r="G790" s="6"/>
      <c r="H790" s="6" t="str">
        <f>IF(G790="","",G790)</f>
        <v/>
      </c>
      <c r="I790" s="3" t="str">
        <f>IF(H790="","",IF(H790&gt;=Setup!B7,"ناجح","إعادة تدريب"))</f>
        <v/>
      </c>
      <c r="J790" s="3"/>
      <c r="K790" s="3"/>
      <c r="L790" s="3"/>
      <c r="M790" s="3"/>
    </row>
    <row r="791" spans="1:13" x14ac:dyDescent="0.2">
      <c r="A791" s="3">
        <v>788</v>
      </c>
      <c r="B791" s="3"/>
      <c r="C791" s="3" t="str">
        <f>IFERROR(VLOOKUP(B791,Sessions!A:J,2,FALSE),"")</f>
        <v/>
      </c>
      <c r="D791" s="3"/>
      <c r="E791" s="3" t="str">
        <f>IFERROR(VLOOKUP(D791,Employees!A:L,2,FALSE),"")</f>
        <v/>
      </c>
      <c r="F791" s="6"/>
      <c r="G791" s="6"/>
      <c r="H791" s="6" t="str">
        <f>IF(G791="","",G791)</f>
        <v/>
      </c>
      <c r="I791" s="3" t="str">
        <f>IF(H791="","",IF(H791&gt;=Setup!B7,"ناجح","إعادة تدريب"))</f>
        <v/>
      </c>
      <c r="J791" s="3"/>
      <c r="K791" s="3"/>
      <c r="L791" s="3"/>
      <c r="M791" s="3"/>
    </row>
    <row r="792" spans="1:13" x14ac:dyDescent="0.2">
      <c r="A792" s="3">
        <v>789</v>
      </c>
      <c r="B792" s="3"/>
      <c r="C792" s="3" t="str">
        <f>IFERROR(VLOOKUP(B792,Sessions!A:J,2,FALSE),"")</f>
        <v/>
      </c>
      <c r="D792" s="3"/>
      <c r="E792" s="3" t="str">
        <f>IFERROR(VLOOKUP(D792,Employees!A:L,2,FALSE),"")</f>
        <v/>
      </c>
      <c r="F792" s="6"/>
      <c r="G792" s="6"/>
      <c r="H792" s="6" t="str">
        <f>IF(G792="","",G792)</f>
        <v/>
      </c>
      <c r="I792" s="3" t="str">
        <f>IF(H792="","",IF(H792&gt;=Setup!B7,"ناجح","إعادة تدريب"))</f>
        <v/>
      </c>
      <c r="J792" s="3"/>
      <c r="K792" s="3"/>
      <c r="L792" s="3"/>
      <c r="M792" s="3"/>
    </row>
    <row r="793" spans="1:13" x14ac:dyDescent="0.2">
      <c r="A793" s="3">
        <v>790</v>
      </c>
      <c r="B793" s="3"/>
      <c r="C793" s="3" t="str">
        <f>IFERROR(VLOOKUP(B793,Sessions!A:J,2,FALSE),"")</f>
        <v/>
      </c>
      <c r="D793" s="3"/>
      <c r="E793" s="3" t="str">
        <f>IFERROR(VLOOKUP(D793,Employees!A:L,2,FALSE),"")</f>
        <v/>
      </c>
      <c r="F793" s="6"/>
      <c r="G793" s="6"/>
      <c r="H793" s="6" t="str">
        <f>IF(G793="","",G793)</f>
        <v/>
      </c>
      <c r="I793" s="3" t="str">
        <f>IF(H793="","",IF(H793&gt;=Setup!B7,"ناجح","إعادة تدريب"))</f>
        <v/>
      </c>
      <c r="J793" s="3"/>
      <c r="K793" s="3"/>
      <c r="L793" s="3"/>
      <c r="M793" s="3"/>
    </row>
    <row r="794" spans="1:13" x14ac:dyDescent="0.2">
      <c r="A794" s="3">
        <v>791</v>
      </c>
      <c r="B794" s="3"/>
      <c r="C794" s="3" t="str">
        <f>IFERROR(VLOOKUP(B794,Sessions!A:J,2,FALSE),"")</f>
        <v/>
      </c>
      <c r="D794" s="3"/>
      <c r="E794" s="3" t="str">
        <f>IFERROR(VLOOKUP(D794,Employees!A:L,2,FALSE),"")</f>
        <v/>
      </c>
      <c r="F794" s="6"/>
      <c r="G794" s="6"/>
      <c r="H794" s="6" t="str">
        <f>IF(G794="","",G794)</f>
        <v/>
      </c>
      <c r="I794" s="3" t="str">
        <f>IF(H794="","",IF(H794&gt;=Setup!B7,"ناجح","إعادة تدريب"))</f>
        <v/>
      </c>
      <c r="J794" s="3"/>
      <c r="K794" s="3"/>
      <c r="L794" s="3"/>
      <c r="M794" s="3"/>
    </row>
    <row r="795" spans="1:13" x14ac:dyDescent="0.2">
      <c r="A795" s="3">
        <v>792</v>
      </c>
      <c r="B795" s="3"/>
      <c r="C795" s="3" t="str">
        <f>IFERROR(VLOOKUP(B795,Sessions!A:J,2,FALSE),"")</f>
        <v/>
      </c>
      <c r="D795" s="3"/>
      <c r="E795" s="3" t="str">
        <f>IFERROR(VLOOKUP(D795,Employees!A:L,2,FALSE),"")</f>
        <v/>
      </c>
      <c r="F795" s="6"/>
      <c r="G795" s="6"/>
      <c r="H795" s="6" t="str">
        <f>IF(G795="","",G795)</f>
        <v/>
      </c>
      <c r="I795" s="3" t="str">
        <f>IF(H795="","",IF(H795&gt;=Setup!B7,"ناجح","إعادة تدريب"))</f>
        <v/>
      </c>
      <c r="J795" s="3"/>
      <c r="K795" s="3"/>
      <c r="L795" s="3"/>
      <c r="M795" s="3"/>
    </row>
    <row r="796" spans="1:13" x14ac:dyDescent="0.2">
      <c r="A796" s="3">
        <v>793</v>
      </c>
      <c r="B796" s="3"/>
      <c r="C796" s="3" t="str">
        <f>IFERROR(VLOOKUP(B796,Sessions!A:J,2,FALSE),"")</f>
        <v/>
      </c>
      <c r="D796" s="3"/>
      <c r="E796" s="3" t="str">
        <f>IFERROR(VLOOKUP(D796,Employees!A:L,2,FALSE),"")</f>
        <v/>
      </c>
      <c r="F796" s="6"/>
      <c r="G796" s="6"/>
      <c r="H796" s="6" t="str">
        <f>IF(G796="","",G796)</f>
        <v/>
      </c>
      <c r="I796" s="3" t="str">
        <f>IF(H796="","",IF(H796&gt;=Setup!B7,"ناجح","إعادة تدريب"))</f>
        <v/>
      </c>
      <c r="J796" s="3"/>
      <c r="K796" s="3"/>
      <c r="L796" s="3"/>
      <c r="M796" s="3"/>
    </row>
    <row r="797" spans="1:13" x14ac:dyDescent="0.2">
      <c r="A797" s="3">
        <v>794</v>
      </c>
      <c r="B797" s="3"/>
      <c r="C797" s="3" t="str">
        <f>IFERROR(VLOOKUP(B797,Sessions!A:J,2,FALSE),"")</f>
        <v/>
      </c>
      <c r="D797" s="3"/>
      <c r="E797" s="3" t="str">
        <f>IFERROR(VLOOKUP(D797,Employees!A:L,2,FALSE),"")</f>
        <v/>
      </c>
      <c r="F797" s="6"/>
      <c r="G797" s="6"/>
      <c r="H797" s="6" t="str">
        <f>IF(G797="","",G797)</f>
        <v/>
      </c>
      <c r="I797" s="3" t="str">
        <f>IF(H797="","",IF(H797&gt;=Setup!B7,"ناجح","إعادة تدريب"))</f>
        <v/>
      </c>
      <c r="J797" s="3"/>
      <c r="K797" s="3"/>
      <c r="L797" s="3"/>
      <c r="M797" s="3"/>
    </row>
    <row r="798" spans="1:13" x14ac:dyDescent="0.2">
      <c r="A798" s="3">
        <v>795</v>
      </c>
      <c r="B798" s="3"/>
      <c r="C798" s="3" t="str">
        <f>IFERROR(VLOOKUP(B798,Sessions!A:J,2,FALSE),"")</f>
        <v/>
      </c>
      <c r="D798" s="3"/>
      <c r="E798" s="3" t="str">
        <f>IFERROR(VLOOKUP(D798,Employees!A:L,2,FALSE),"")</f>
        <v/>
      </c>
      <c r="F798" s="6"/>
      <c r="G798" s="6"/>
      <c r="H798" s="6" t="str">
        <f>IF(G798="","",G798)</f>
        <v/>
      </c>
      <c r="I798" s="3" t="str">
        <f>IF(H798="","",IF(H798&gt;=Setup!B7,"ناجح","إعادة تدريب"))</f>
        <v/>
      </c>
      <c r="J798" s="3"/>
      <c r="K798" s="3"/>
      <c r="L798" s="3"/>
      <c r="M798" s="3"/>
    </row>
    <row r="799" spans="1:13" x14ac:dyDescent="0.2">
      <c r="A799" s="3">
        <v>796</v>
      </c>
      <c r="B799" s="3"/>
      <c r="C799" s="3" t="str">
        <f>IFERROR(VLOOKUP(B799,Sessions!A:J,2,FALSE),"")</f>
        <v/>
      </c>
      <c r="D799" s="3"/>
      <c r="E799" s="3" t="str">
        <f>IFERROR(VLOOKUP(D799,Employees!A:L,2,FALSE),"")</f>
        <v/>
      </c>
      <c r="F799" s="6"/>
      <c r="G799" s="6"/>
      <c r="H799" s="6" t="str">
        <f>IF(G799="","",G799)</f>
        <v/>
      </c>
      <c r="I799" s="3" t="str">
        <f>IF(H799="","",IF(H799&gt;=Setup!B7,"ناجح","إعادة تدريب"))</f>
        <v/>
      </c>
      <c r="J799" s="3"/>
      <c r="K799" s="3"/>
      <c r="L799" s="3"/>
      <c r="M799" s="3"/>
    </row>
    <row r="800" spans="1:13" x14ac:dyDescent="0.2">
      <c r="A800" s="3">
        <v>797</v>
      </c>
      <c r="B800" s="3"/>
      <c r="C800" s="3" t="str">
        <f>IFERROR(VLOOKUP(B800,Sessions!A:J,2,FALSE),"")</f>
        <v/>
      </c>
      <c r="D800" s="3"/>
      <c r="E800" s="3" t="str">
        <f>IFERROR(VLOOKUP(D800,Employees!A:L,2,FALSE),"")</f>
        <v/>
      </c>
      <c r="F800" s="6"/>
      <c r="G800" s="6"/>
      <c r="H800" s="6" t="str">
        <f>IF(G800="","",G800)</f>
        <v/>
      </c>
      <c r="I800" s="3" t="str">
        <f>IF(H800="","",IF(H800&gt;=Setup!B7,"ناجح","إعادة تدريب"))</f>
        <v/>
      </c>
      <c r="J800" s="3"/>
      <c r="K800" s="3"/>
      <c r="L800" s="3"/>
      <c r="M800" s="3"/>
    </row>
    <row r="801" spans="1:13" x14ac:dyDescent="0.2">
      <c r="A801" s="3">
        <v>798</v>
      </c>
      <c r="B801" s="3"/>
      <c r="C801" s="3" t="str">
        <f>IFERROR(VLOOKUP(B801,Sessions!A:J,2,FALSE),"")</f>
        <v/>
      </c>
      <c r="D801" s="3"/>
      <c r="E801" s="3" t="str">
        <f>IFERROR(VLOOKUP(D801,Employees!A:L,2,FALSE),"")</f>
        <v/>
      </c>
      <c r="F801" s="6"/>
      <c r="G801" s="6"/>
      <c r="H801" s="6" t="str">
        <f>IF(G801="","",G801)</f>
        <v/>
      </c>
      <c r="I801" s="3" t="str">
        <f>IF(H801="","",IF(H801&gt;=Setup!B7,"ناجح","إعادة تدريب"))</f>
        <v/>
      </c>
      <c r="J801" s="3"/>
      <c r="K801" s="3"/>
      <c r="L801" s="3"/>
      <c r="M801" s="3"/>
    </row>
    <row r="802" spans="1:13" x14ac:dyDescent="0.2">
      <c r="A802" s="3">
        <v>799</v>
      </c>
      <c r="B802" s="3"/>
      <c r="C802" s="3" t="str">
        <f>IFERROR(VLOOKUP(B802,Sessions!A:J,2,FALSE),"")</f>
        <v/>
      </c>
      <c r="D802" s="3"/>
      <c r="E802" s="3" t="str">
        <f>IFERROR(VLOOKUP(D802,Employees!A:L,2,FALSE),"")</f>
        <v/>
      </c>
      <c r="F802" s="6"/>
      <c r="G802" s="6"/>
      <c r="H802" s="6" t="str">
        <f>IF(G802="","",G802)</f>
        <v/>
      </c>
      <c r="I802" s="3" t="str">
        <f>IF(H802="","",IF(H802&gt;=Setup!B7,"ناجح","إعادة تدريب"))</f>
        <v/>
      </c>
      <c r="J802" s="3"/>
      <c r="K802" s="3"/>
      <c r="L802" s="3"/>
      <c r="M802" s="3"/>
    </row>
    <row r="803" spans="1:13" x14ac:dyDescent="0.2">
      <c r="A803" s="3">
        <v>800</v>
      </c>
      <c r="B803" s="3"/>
      <c r="C803" s="3" t="str">
        <f>IFERROR(VLOOKUP(B803,Sessions!A:J,2,FALSE),"")</f>
        <v/>
      </c>
      <c r="D803" s="3"/>
      <c r="E803" s="3" t="str">
        <f>IFERROR(VLOOKUP(D803,Employees!A:L,2,FALSE),"")</f>
        <v/>
      </c>
      <c r="F803" s="6"/>
      <c r="G803" s="6"/>
      <c r="H803" s="6" t="str">
        <f>IF(G803="","",G803)</f>
        <v/>
      </c>
      <c r="I803" s="3" t="str">
        <f>IF(H803="","",IF(H803&gt;=Setup!B7,"ناجح","إعادة تدريب"))</f>
        <v/>
      </c>
      <c r="J803" s="3"/>
      <c r="K803" s="3"/>
      <c r="L803" s="3"/>
      <c r="M803" s="3"/>
    </row>
    <row r="804" spans="1:13" x14ac:dyDescent="0.2">
      <c r="A804" s="3">
        <v>801</v>
      </c>
      <c r="B804" s="3"/>
      <c r="C804" s="3" t="str">
        <f>IFERROR(VLOOKUP(B804,Sessions!A:J,2,FALSE),"")</f>
        <v/>
      </c>
      <c r="D804" s="3"/>
      <c r="E804" s="3" t="str">
        <f>IFERROR(VLOOKUP(D804,Employees!A:L,2,FALSE),"")</f>
        <v/>
      </c>
      <c r="F804" s="6"/>
      <c r="G804" s="6"/>
      <c r="H804" s="6" t="str">
        <f>IF(G804="","",G804)</f>
        <v/>
      </c>
      <c r="I804" s="3" t="str">
        <f>IF(H804="","",IF(H804&gt;=Setup!B7,"ناجح","إعادة تدريب"))</f>
        <v/>
      </c>
      <c r="J804" s="3"/>
      <c r="K804" s="3"/>
      <c r="L804" s="3"/>
      <c r="M804" s="3"/>
    </row>
    <row r="805" spans="1:13" x14ac:dyDescent="0.2">
      <c r="A805" s="3">
        <v>802</v>
      </c>
      <c r="B805" s="3"/>
      <c r="C805" s="3" t="str">
        <f>IFERROR(VLOOKUP(B805,Sessions!A:J,2,FALSE),"")</f>
        <v/>
      </c>
      <c r="D805" s="3"/>
      <c r="E805" s="3" t="str">
        <f>IFERROR(VLOOKUP(D805,Employees!A:L,2,FALSE),"")</f>
        <v/>
      </c>
      <c r="F805" s="6"/>
      <c r="G805" s="6"/>
      <c r="H805" s="6" t="str">
        <f>IF(G805="","",G805)</f>
        <v/>
      </c>
      <c r="I805" s="3" t="str">
        <f>IF(H805="","",IF(H805&gt;=Setup!B7,"ناجح","إعادة تدريب"))</f>
        <v/>
      </c>
      <c r="J805" s="3"/>
      <c r="K805" s="3"/>
      <c r="L805" s="3"/>
      <c r="M805" s="3"/>
    </row>
    <row r="806" spans="1:13" x14ac:dyDescent="0.2">
      <c r="A806" s="3">
        <v>803</v>
      </c>
      <c r="B806" s="3"/>
      <c r="C806" s="3" t="str">
        <f>IFERROR(VLOOKUP(B806,Sessions!A:J,2,FALSE),"")</f>
        <v/>
      </c>
      <c r="D806" s="3"/>
      <c r="E806" s="3" t="str">
        <f>IFERROR(VLOOKUP(D806,Employees!A:L,2,FALSE),"")</f>
        <v/>
      </c>
      <c r="F806" s="6"/>
      <c r="G806" s="6"/>
      <c r="H806" s="6" t="str">
        <f>IF(G806="","",G806)</f>
        <v/>
      </c>
      <c r="I806" s="3" t="str">
        <f>IF(H806="","",IF(H806&gt;=Setup!B7,"ناجح","إعادة تدريب"))</f>
        <v/>
      </c>
      <c r="J806" s="3"/>
      <c r="K806" s="3"/>
      <c r="L806" s="3"/>
      <c r="M806" s="3"/>
    </row>
    <row r="807" spans="1:13" x14ac:dyDescent="0.2">
      <c r="A807" s="3">
        <v>804</v>
      </c>
      <c r="B807" s="3"/>
      <c r="C807" s="3" t="str">
        <f>IFERROR(VLOOKUP(B807,Sessions!A:J,2,FALSE),"")</f>
        <v/>
      </c>
      <c r="D807" s="3"/>
      <c r="E807" s="3" t="str">
        <f>IFERROR(VLOOKUP(D807,Employees!A:L,2,FALSE),"")</f>
        <v/>
      </c>
      <c r="F807" s="6"/>
      <c r="G807" s="6"/>
      <c r="H807" s="6" t="str">
        <f>IF(G807="","",G807)</f>
        <v/>
      </c>
      <c r="I807" s="3" t="str">
        <f>IF(H807="","",IF(H807&gt;=Setup!B7,"ناجح","إعادة تدريب"))</f>
        <v/>
      </c>
      <c r="J807" s="3"/>
      <c r="K807" s="3"/>
      <c r="L807" s="3"/>
      <c r="M807" s="3"/>
    </row>
    <row r="808" spans="1:13" x14ac:dyDescent="0.2">
      <c r="A808" s="3">
        <v>805</v>
      </c>
      <c r="B808" s="3"/>
      <c r="C808" s="3" t="str">
        <f>IFERROR(VLOOKUP(B808,Sessions!A:J,2,FALSE),"")</f>
        <v/>
      </c>
      <c r="D808" s="3"/>
      <c r="E808" s="3" t="str">
        <f>IFERROR(VLOOKUP(D808,Employees!A:L,2,FALSE),"")</f>
        <v/>
      </c>
      <c r="F808" s="6"/>
      <c r="G808" s="6"/>
      <c r="H808" s="6" t="str">
        <f>IF(G808="","",G808)</f>
        <v/>
      </c>
      <c r="I808" s="3" t="str">
        <f>IF(H808="","",IF(H808&gt;=Setup!B7,"ناجح","إعادة تدريب"))</f>
        <v/>
      </c>
      <c r="J808" s="3"/>
      <c r="K808" s="3"/>
      <c r="L808" s="3"/>
      <c r="M808" s="3"/>
    </row>
    <row r="809" spans="1:13" x14ac:dyDescent="0.2">
      <c r="A809" s="3">
        <v>806</v>
      </c>
      <c r="B809" s="3"/>
      <c r="C809" s="3" t="str">
        <f>IFERROR(VLOOKUP(B809,Sessions!A:J,2,FALSE),"")</f>
        <v/>
      </c>
      <c r="D809" s="3"/>
      <c r="E809" s="3" t="str">
        <f>IFERROR(VLOOKUP(D809,Employees!A:L,2,FALSE),"")</f>
        <v/>
      </c>
      <c r="F809" s="6"/>
      <c r="G809" s="6"/>
      <c r="H809" s="6" t="str">
        <f>IF(G809="","",G809)</f>
        <v/>
      </c>
      <c r="I809" s="3" t="str">
        <f>IF(H809="","",IF(H809&gt;=Setup!B7,"ناجح","إعادة تدريب"))</f>
        <v/>
      </c>
      <c r="J809" s="3"/>
      <c r="K809" s="3"/>
      <c r="L809" s="3"/>
      <c r="M809" s="3"/>
    </row>
    <row r="810" spans="1:13" x14ac:dyDescent="0.2">
      <c r="A810" s="3">
        <v>807</v>
      </c>
      <c r="B810" s="3"/>
      <c r="C810" s="3" t="str">
        <f>IFERROR(VLOOKUP(B810,Sessions!A:J,2,FALSE),"")</f>
        <v/>
      </c>
      <c r="D810" s="3"/>
      <c r="E810" s="3" t="str">
        <f>IFERROR(VLOOKUP(D810,Employees!A:L,2,FALSE),"")</f>
        <v/>
      </c>
      <c r="F810" s="6"/>
      <c r="G810" s="6"/>
      <c r="H810" s="6" t="str">
        <f>IF(G810="","",G810)</f>
        <v/>
      </c>
      <c r="I810" s="3" t="str">
        <f>IF(H810="","",IF(H810&gt;=Setup!B7,"ناجح","إعادة تدريب"))</f>
        <v/>
      </c>
      <c r="J810" s="3"/>
      <c r="K810" s="3"/>
      <c r="L810" s="3"/>
      <c r="M810" s="3"/>
    </row>
    <row r="811" spans="1:13" x14ac:dyDescent="0.2">
      <c r="A811" s="3">
        <v>808</v>
      </c>
      <c r="B811" s="3"/>
      <c r="C811" s="3" t="str">
        <f>IFERROR(VLOOKUP(B811,Sessions!A:J,2,FALSE),"")</f>
        <v/>
      </c>
      <c r="D811" s="3"/>
      <c r="E811" s="3" t="str">
        <f>IFERROR(VLOOKUP(D811,Employees!A:L,2,FALSE),"")</f>
        <v/>
      </c>
      <c r="F811" s="6"/>
      <c r="G811" s="6"/>
      <c r="H811" s="6" t="str">
        <f>IF(G811="","",G811)</f>
        <v/>
      </c>
      <c r="I811" s="3" t="str">
        <f>IF(H811="","",IF(H811&gt;=Setup!B7,"ناجح","إعادة تدريب"))</f>
        <v/>
      </c>
      <c r="J811" s="3"/>
      <c r="K811" s="3"/>
      <c r="L811" s="3"/>
      <c r="M811" s="3"/>
    </row>
    <row r="812" spans="1:13" x14ac:dyDescent="0.2">
      <c r="A812" s="3">
        <v>809</v>
      </c>
      <c r="B812" s="3"/>
      <c r="C812" s="3" t="str">
        <f>IFERROR(VLOOKUP(B812,Sessions!A:J,2,FALSE),"")</f>
        <v/>
      </c>
      <c r="D812" s="3"/>
      <c r="E812" s="3" t="str">
        <f>IFERROR(VLOOKUP(D812,Employees!A:L,2,FALSE),"")</f>
        <v/>
      </c>
      <c r="F812" s="6"/>
      <c r="G812" s="6"/>
      <c r="H812" s="6" t="str">
        <f>IF(G812="","",G812)</f>
        <v/>
      </c>
      <c r="I812" s="3" t="str">
        <f>IF(H812="","",IF(H812&gt;=Setup!B7,"ناجح","إعادة تدريب"))</f>
        <v/>
      </c>
      <c r="J812" s="3"/>
      <c r="K812" s="3"/>
      <c r="L812" s="3"/>
      <c r="M812" s="3"/>
    </row>
    <row r="813" spans="1:13" x14ac:dyDescent="0.2">
      <c r="A813" s="3">
        <v>810</v>
      </c>
      <c r="B813" s="3"/>
      <c r="C813" s="3" t="str">
        <f>IFERROR(VLOOKUP(B813,Sessions!A:J,2,FALSE),"")</f>
        <v/>
      </c>
      <c r="D813" s="3"/>
      <c r="E813" s="3" t="str">
        <f>IFERROR(VLOOKUP(D813,Employees!A:L,2,FALSE),"")</f>
        <v/>
      </c>
      <c r="F813" s="6"/>
      <c r="G813" s="6"/>
      <c r="H813" s="6" t="str">
        <f>IF(G813="","",G813)</f>
        <v/>
      </c>
      <c r="I813" s="3" t="str">
        <f>IF(H813="","",IF(H813&gt;=Setup!B7,"ناجح","إعادة تدريب"))</f>
        <v/>
      </c>
      <c r="J813" s="3"/>
      <c r="K813" s="3"/>
      <c r="L813" s="3"/>
      <c r="M813" s="3"/>
    </row>
    <row r="814" spans="1:13" x14ac:dyDescent="0.2">
      <c r="A814" s="3">
        <v>811</v>
      </c>
      <c r="B814" s="3"/>
      <c r="C814" s="3" t="str">
        <f>IFERROR(VLOOKUP(B814,Sessions!A:J,2,FALSE),"")</f>
        <v/>
      </c>
      <c r="D814" s="3"/>
      <c r="E814" s="3" t="str">
        <f>IFERROR(VLOOKUP(D814,Employees!A:L,2,FALSE),"")</f>
        <v/>
      </c>
      <c r="F814" s="6"/>
      <c r="G814" s="6"/>
      <c r="H814" s="6" t="str">
        <f>IF(G814="","",G814)</f>
        <v/>
      </c>
      <c r="I814" s="3" t="str">
        <f>IF(H814="","",IF(H814&gt;=Setup!B7,"ناجح","إعادة تدريب"))</f>
        <v/>
      </c>
      <c r="J814" s="3"/>
      <c r="K814" s="3"/>
      <c r="L814" s="3"/>
      <c r="M814" s="3"/>
    </row>
    <row r="815" spans="1:13" x14ac:dyDescent="0.2">
      <c r="A815" s="3">
        <v>812</v>
      </c>
      <c r="B815" s="3"/>
      <c r="C815" s="3" t="str">
        <f>IFERROR(VLOOKUP(B815,Sessions!A:J,2,FALSE),"")</f>
        <v/>
      </c>
      <c r="D815" s="3"/>
      <c r="E815" s="3" t="str">
        <f>IFERROR(VLOOKUP(D815,Employees!A:L,2,FALSE),"")</f>
        <v/>
      </c>
      <c r="F815" s="6"/>
      <c r="G815" s="6"/>
      <c r="H815" s="6" t="str">
        <f>IF(G815="","",G815)</f>
        <v/>
      </c>
      <c r="I815" s="3" t="str">
        <f>IF(H815="","",IF(H815&gt;=Setup!B7,"ناجح","إعادة تدريب"))</f>
        <v/>
      </c>
      <c r="J815" s="3"/>
      <c r="K815" s="3"/>
      <c r="L815" s="3"/>
      <c r="M815" s="3"/>
    </row>
    <row r="816" spans="1:13" x14ac:dyDescent="0.2">
      <c r="A816" s="3">
        <v>813</v>
      </c>
      <c r="B816" s="3"/>
      <c r="C816" s="3" t="str">
        <f>IFERROR(VLOOKUP(B816,Sessions!A:J,2,FALSE),"")</f>
        <v/>
      </c>
      <c r="D816" s="3"/>
      <c r="E816" s="3" t="str">
        <f>IFERROR(VLOOKUP(D816,Employees!A:L,2,FALSE),"")</f>
        <v/>
      </c>
      <c r="F816" s="6"/>
      <c r="G816" s="6"/>
      <c r="H816" s="6" t="str">
        <f>IF(G816="","",G816)</f>
        <v/>
      </c>
      <c r="I816" s="3" t="str">
        <f>IF(H816="","",IF(H816&gt;=Setup!B7,"ناجح","إعادة تدريب"))</f>
        <v/>
      </c>
      <c r="J816" s="3"/>
      <c r="K816" s="3"/>
      <c r="L816" s="3"/>
      <c r="M816" s="3"/>
    </row>
    <row r="817" spans="1:13" x14ac:dyDescent="0.2">
      <c r="A817" s="3">
        <v>814</v>
      </c>
      <c r="B817" s="3"/>
      <c r="C817" s="3" t="str">
        <f>IFERROR(VLOOKUP(B817,Sessions!A:J,2,FALSE),"")</f>
        <v/>
      </c>
      <c r="D817" s="3"/>
      <c r="E817" s="3" t="str">
        <f>IFERROR(VLOOKUP(D817,Employees!A:L,2,FALSE),"")</f>
        <v/>
      </c>
      <c r="F817" s="6"/>
      <c r="G817" s="6"/>
      <c r="H817" s="6" t="str">
        <f>IF(G817="","",G817)</f>
        <v/>
      </c>
      <c r="I817" s="3" t="str">
        <f>IF(H817="","",IF(H817&gt;=Setup!B7,"ناجح","إعادة تدريب"))</f>
        <v/>
      </c>
      <c r="J817" s="3"/>
      <c r="K817" s="3"/>
      <c r="L817" s="3"/>
      <c r="M817" s="3"/>
    </row>
    <row r="818" spans="1:13" x14ac:dyDescent="0.2">
      <c r="A818" s="3">
        <v>815</v>
      </c>
      <c r="B818" s="3"/>
      <c r="C818" s="3" t="str">
        <f>IFERROR(VLOOKUP(B818,Sessions!A:J,2,FALSE),"")</f>
        <v/>
      </c>
      <c r="D818" s="3"/>
      <c r="E818" s="3" t="str">
        <f>IFERROR(VLOOKUP(D818,Employees!A:L,2,FALSE),"")</f>
        <v/>
      </c>
      <c r="F818" s="6"/>
      <c r="G818" s="6"/>
      <c r="H818" s="6" t="str">
        <f>IF(G818="","",G818)</f>
        <v/>
      </c>
      <c r="I818" s="3" t="str">
        <f>IF(H818="","",IF(H818&gt;=Setup!B7,"ناجح","إعادة تدريب"))</f>
        <v/>
      </c>
      <c r="J818" s="3"/>
      <c r="K818" s="3"/>
      <c r="L818" s="3"/>
      <c r="M818" s="3"/>
    </row>
    <row r="819" spans="1:13" x14ac:dyDescent="0.2">
      <c r="A819" s="3">
        <v>816</v>
      </c>
      <c r="B819" s="3"/>
      <c r="C819" s="3" t="str">
        <f>IFERROR(VLOOKUP(B819,Sessions!A:J,2,FALSE),"")</f>
        <v/>
      </c>
      <c r="D819" s="3"/>
      <c r="E819" s="3" t="str">
        <f>IFERROR(VLOOKUP(D819,Employees!A:L,2,FALSE),"")</f>
        <v/>
      </c>
      <c r="F819" s="6"/>
      <c r="G819" s="6"/>
      <c r="H819" s="6" t="str">
        <f>IF(G819="","",G819)</f>
        <v/>
      </c>
      <c r="I819" s="3" t="str">
        <f>IF(H819="","",IF(H819&gt;=Setup!B7,"ناجح","إعادة تدريب"))</f>
        <v/>
      </c>
      <c r="J819" s="3"/>
      <c r="K819" s="3"/>
      <c r="L819" s="3"/>
      <c r="M819" s="3"/>
    </row>
    <row r="820" spans="1:13" x14ac:dyDescent="0.2">
      <c r="A820" s="3">
        <v>817</v>
      </c>
      <c r="B820" s="3"/>
      <c r="C820" s="3" t="str">
        <f>IFERROR(VLOOKUP(B820,Sessions!A:J,2,FALSE),"")</f>
        <v/>
      </c>
      <c r="D820" s="3"/>
      <c r="E820" s="3" t="str">
        <f>IFERROR(VLOOKUP(D820,Employees!A:L,2,FALSE),"")</f>
        <v/>
      </c>
      <c r="F820" s="6"/>
      <c r="G820" s="6"/>
      <c r="H820" s="6" t="str">
        <f>IF(G820="","",G820)</f>
        <v/>
      </c>
      <c r="I820" s="3" t="str">
        <f>IF(H820="","",IF(H820&gt;=Setup!B7,"ناجح","إعادة تدريب"))</f>
        <v/>
      </c>
      <c r="J820" s="3"/>
      <c r="K820" s="3"/>
      <c r="L820" s="3"/>
      <c r="M820" s="3"/>
    </row>
    <row r="821" spans="1:13" x14ac:dyDescent="0.2">
      <c r="A821" s="3">
        <v>818</v>
      </c>
      <c r="B821" s="3"/>
      <c r="C821" s="3" t="str">
        <f>IFERROR(VLOOKUP(B821,Sessions!A:J,2,FALSE),"")</f>
        <v/>
      </c>
      <c r="D821" s="3"/>
      <c r="E821" s="3" t="str">
        <f>IFERROR(VLOOKUP(D821,Employees!A:L,2,FALSE),"")</f>
        <v/>
      </c>
      <c r="F821" s="6"/>
      <c r="G821" s="6"/>
      <c r="H821" s="6" t="str">
        <f>IF(G821="","",G821)</f>
        <v/>
      </c>
      <c r="I821" s="3" t="str">
        <f>IF(H821="","",IF(H821&gt;=Setup!B7,"ناجح","إعادة تدريب"))</f>
        <v/>
      </c>
      <c r="J821" s="3"/>
      <c r="K821" s="3"/>
      <c r="L821" s="3"/>
      <c r="M821" s="3"/>
    </row>
    <row r="822" spans="1:13" x14ac:dyDescent="0.2">
      <c r="A822" s="3">
        <v>819</v>
      </c>
      <c r="B822" s="3"/>
      <c r="C822" s="3" t="str">
        <f>IFERROR(VLOOKUP(B822,Sessions!A:J,2,FALSE),"")</f>
        <v/>
      </c>
      <c r="D822" s="3"/>
      <c r="E822" s="3" t="str">
        <f>IFERROR(VLOOKUP(D822,Employees!A:L,2,FALSE),"")</f>
        <v/>
      </c>
      <c r="F822" s="6"/>
      <c r="G822" s="6"/>
      <c r="H822" s="6" t="str">
        <f>IF(G822="","",G822)</f>
        <v/>
      </c>
      <c r="I822" s="3" t="str">
        <f>IF(H822="","",IF(H822&gt;=Setup!B7,"ناجح","إعادة تدريب"))</f>
        <v/>
      </c>
      <c r="J822" s="3"/>
      <c r="K822" s="3"/>
      <c r="L822" s="3"/>
      <c r="M822" s="3"/>
    </row>
    <row r="823" spans="1:13" x14ac:dyDescent="0.2">
      <c r="A823" s="3">
        <v>820</v>
      </c>
      <c r="B823" s="3"/>
      <c r="C823" s="3" t="str">
        <f>IFERROR(VLOOKUP(B823,Sessions!A:J,2,FALSE),"")</f>
        <v/>
      </c>
      <c r="D823" s="3"/>
      <c r="E823" s="3" t="str">
        <f>IFERROR(VLOOKUP(D823,Employees!A:L,2,FALSE),"")</f>
        <v/>
      </c>
      <c r="F823" s="6"/>
      <c r="G823" s="6"/>
      <c r="H823" s="6" t="str">
        <f>IF(G823="","",G823)</f>
        <v/>
      </c>
      <c r="I823" s="3" t="str">
        <f>IF(H823="","",IF(H823&gt;=Setup!B7,"ناجح","إعادة تدريب"))</f>
        <v/>
      </c>
      <c r="J823" s="3"/>
      <c r="K823" s="3"/>
      <c r="L823" s="3"/>
      <c r="M823" s="3"/>
    </row>
    <row r="824" spans="1:13" x14ac:dyDescent="0.2">
      <c r="A824" s="3">
        <v>821</v>
      </c>
      <c r="B824" s="3"/>
      <c r="C824" s="3" t="str">
        <f>IFERROR(VLOOKUP(B824,Sessions!A:J,2,FALSE),"")</f>
        <v/>
      </c>
      <c r="D824" s="3"/>
      <c r="E824" s="3" t="str">
        <f>IFERROR(VLOOKUP(D824,Employees!A:L,2,FALSE),"")</f>
        <v/>
      </c>
      <c r="F824" s="6"/>
      <c r="G824" s="6"/>
      <c r="H824" s="6" t="str">
        <f>IF(G824="","",G824)</f>
        <v/>
      </c>
      <c r="I824" s="3" t="str">
        <f>IF(H824="","",IF(H824&gt;=Setup!B7,"ناجح","إعادة تدريب"))</f>
        <v/>
      </c>
      <c r="J824" s="3"/>
      <c r="K824" s="3"/>
      <c r="L824" s="3"/>
      <c r="M824" s="3"/>
    </row>
    <row r="825" spans="1:13" x14ac:dyDescent="0.2">
      <c r="A825" s="3">
        <v>822</v>
      </c>
      <c r="B825" s="3"/>
      <c r="C825" s="3" t="str">
        <f>IFERROR(VLOOKUP(B825,Sessions!A:J,2,FALSE),"")</f>
        <v/>
      </c>
      <c r="D825" s="3"/>
      <c r="E825" s="3" t="str">
        <f>IFERROR(VLOOKUP(D825,Employees!A:L,2,FALSE),"")</f>
        <v/>
      </c>
      <c r="F825" s="6"/>
      <c r="G825" s="6"/>
      <c r="H825" s="6" t="str">
        <f>IF(G825="","",G825)</f>
        <v/>
      </c>
      <c r="I825" s="3" t="str">
        <f>IF(H825="","",IF(H825&gt;=Setup!B7,"ناجح","إعادة تدريب"))</f>
        <v/>
      </c>
      <c r="J825" s="3"/>
      <c r="K825" s="3"/>
      <c r="L825" s="3"/>
      <c r="M825" s="3"/>
    </row>
    <row r="826" spans="1:13" x14ac:dyDescent="0.2">
      <c r="A826" s="3">
        <v>823</v>
      </c>
      <c r="B826" s="3"/>
      <c r="C826" s="3" t="str">
        <f>IFERROR(VLOOKUP(B826,Sessions!A:J,2,FALSE),"")</f>
        <v/>
      </c>
      <c r="D826" s="3"/>
      <c r="E826" s="3" t="str">
        <f>IFERROR(VLOOKUP(D826,Employees!A:L,2,FALSE),"")</f>
        <v/>
      </c>
      <c r="F826" s="6"/>
      <c r="G826" s="6"/>
      <c r="H826" s="6" t="str">
        <f>IF(G826="","",G826)</f>
        <v/>
      </c>
      <c r="I826" s="3" t="str">
        <f>IF(H826="","",IF(H826&gt;=Setup!B7,"ناجح","إعادة تدريب"))</f>
        <v/>
      </c>
      <c r="J826" s="3"/>
      <c r="K826" s="3"/>
      <c r="L826" s="3"/>
      <c r="M826" s="3"/>
    </row>
    <row r="827" spans="1:13" x14ac:dyDescent="0.2">
      <c r="A827" s="3">
        <v>824</v>
      </c>
      <c r="B827" s="3"/>
      <c r="C827" s="3" t="str">
        <f>IFERROR(VLOOKUP(B827,Sessions!A:J,2,FALSE),"")</f>
        <v/>
      </c>
      <c r="D827" s="3"/>
      <c r="E827" s="3" t="str">
        <f>IFERROR(VLOOKUP(D827,Employees!A:L,2,FALSE),"")</f>
        <v/>
      </c>
      <c r="F827" s="6"/>
      <c r="G827" s="6"/>
      <c r="H827" s="6" t="str">
        <f>IF(G827="","",G827)</f>
        <v/>
      </c>
      <c r="I827" s="3" t="str">
        <f>IF(H827="","",IF(H827&gt;=Setup!B7,"ناجح","إعادة تدريب"))</f>
        <v/>
      </c>
      <c r="J827" s="3"/>
      <c r="K827" s="3"/>
      <c r="L827" s="3"/>
      <c r="M827" s="3"/>
    </row>
    <row r="828" spans="1:13" x14ac:dyDescent="0.2">
      <c r="A828" s="3">
        <v>825</v>
      </c>
      <c r="B828" s="3"/>
      <c r="C828" s="3" t="str">
        <f>IFERROR(VLOOKUP(B828,Sessions!A:J,2,FALSE),"")</f>
        <v/>
      </c>
      <c r="D828" s="3"/>
      <c r="E828" s="3" t="str">
        <f>IFERROR(VLOOKUP(D828,Employees!A:L,2,FALSE),"")</f>
        <v/>
      </c>
      <c r="F828" s="6"/>
      <c r="G828" s="6"/>
      <c r="H828" s="6" t="str">
        <f>IF(G828="","",G828)</f>
        <v/>
      </c>
      <c r="I828" s="3" t="str">
        <f>IF(H828="","",IF(H828&gt;=Setup!B7,"ناجح","إعادة تدريب"))</f>
        <v/>
      </c>
      <c r="J828" s="3"/>
      <c r="K828" s="3"/>
      <c r="L828" s="3"/>
      <c r="M828" s="3"/>
    </row>
    <row r="829" spans="1:13" x14ac:dyDescent="0.2">
      <c r="A829" s="3">
        <v>826</v>
      </c>
      <c r="B829" s="3"/>
      <c r="C829" s="3" t="str">
        <f>IFERROR(VLOOKUP(B829,Sessions!A:J,2,FALSE),"")</f>
        <v/>
      </c>
      <c r="D829" s="3"/>
      <c r="E829" s="3" t="str">
        <f>IFERROR(VLOOKUP(D829,Employees!A:L,2,FALSE),"")</f>
        <v/>
      </c>
      <c r="F829" s="6"/>
      <c r="G829" s="6"/>
      <c r="H829" s="6" t="str">
        <f>IF(G829="","",G829)</f>
        <v/>
      </c>
      <c r="I829" s="3" t="str">
        <f>IF(H829="","",IF(H829&gt;=Setup!B7,"ناجح","إعادة تدريب"))</f>
        <v/>
      </c>
      <c r="J829" s="3"/>
      <c r="K829" s="3"/>
      <c r="L829" s="3"/>
      <c r="M829" s="3"/>
    </row>
    <row r="830" spans="1:13" x14ac:dyDescent="0.2">
      <c r="A830" s="3">
        <v>827</v>
      </c>
      <c r="B830" s="3"/>
      <c r="C830" s="3" t="str">
        <f>IFERROR(VLOOKUP(B830,Sessions!A:J,2,FALSE),"")</f>
        <v/>
      </c>
      <c r="D830" s="3"/>
      <c r="E830" s="3" t="str">
        <f>IFERROR(VLOOKUP(D830,Employees!A:L,2,FALSE),"")</f>
        <v/>
      </c>
      <c r="F830" s="6"/>
      <c r="G830" s="6"/>
      <c r="H830" s="6" t="str">
        <f>IF(G830="","",G830)</f>
        <v/>
      </c>
      <c r="I830" s="3" t="str">
        <f>IF(H830="","",IF(H830&gt;=Setup!B7,"ناجح","إعادة تدريب"))</f>
        <v/>
      </c>
      <c r="J830" s="3"/>
      <c r="K830" s="3"/>
      <c r="L830" s="3"/>
      <c r="M830" s="3"/>
    </row>
    <row r="831" spans="1:13" x14ac:dyDescent="0.2">
      <c r="A831" s="3">
        <v>828</v>
      </c>
      <c r="B831" s="3"/>
      <c r="C831" s="3" t="str">
        <f>IFERROR(VLOOKUP(B831,Sessions!A:J,2,FALSE),"")</f>
        <v/>
      </c>
      <c r="D831" s="3"/>
      <c r="E831" s="3" t="str">
        <f>IFERROR(VLOOKUP(D831,Employees!A:L,2,FALSE),"")</f>
        <v/>
      </c>
      <c r="F831" s="6"/>
      <c r="G831" s="6"/>
      <c r="H831" s="6" t="str">
        <f>IF(G831="","",G831)</f>
        <v/>
      </c>
      <c r="I831" s="3" t="str">
        <f>IF(H831="","",IF(H831&gt;=Setup!B7,"ناجح","إعادة تدريب"))</f>
        <v/>
      </c>
      <c r="J831" s="3"/>
      <c r="K831" s="3"/>
      <c r="L831" s="3"/>
      <c r="M831" s="3"/>
    </row>
    <row r="832" spans="1:13" x14ac:dyDescent="0.2">
      <c r="A832" s="3">
        <v>829</v>
      </c>
      <c r="B832" s="3"/>
      <c r="C832" s="3" t="str">
        <f>IFERROR(VLOOKUP(B832,Sessions!A:J,2,FALSE),"")</f>
        <v/>
      </c>
      <c r="D832" s="3"/>
      <c r="E832" s="3" t="str">
        <f>IFERROR(VLOOKUP(D832,Employees!A:L,2,FALSE),"")</f>
        <v/>
      </c>
      <c r="F832" s="6"/>
      <c r="G832" s="6"/>
      <c r="H832" s="6" t="str">
        <f>IF(G832="","",G832)</f>
        <v/>
      </c>
      <c r="I832" s="3" t="str">
        <f>IF(H832="","",IF(H832&gt;=Setup!B7,"ناجح","إعادة تدريب"))</f>
        <v/>
      </c>
      <c r="J832" s="3"/>
      <c r="K832" s="3"/>
      <c r="L832" s="3"/>
      <c r="M832" s="3"/>
    </row>
    <row r="833" spans="1:13" x14ac:dyDescent="0.2">
      <c r="A833" s="3">
        <v>830</v>
      </c>
      <c r="B833" s="3"/>
      <c r="C833" s="3" t="str">
        <f>IFERROR(VLOOKUP(B833,Sessions!A:J,2,FALSE),"")</f>
        <v/>
      </c>
      <c r="D833" s="3"/>
      <c r="E833" s="3" t="str">
        <f>IFERROR(VLOOKUP(D833,Employees!A:L,2,FALSE),"")</f>
        <v/>
      </c>
      <c r="F833" s="6"/>
      <c r="G833" s="6"/>
      <c r="H833" s="6" t="str">
        <f>IF(G833="","",G833)</f>
        <v/>
      </c>
      <c r="I833" s="3" t="str">
        <f>IF(H833="","",IF(H833&gt;=Setup!B7,"ناجح","إعادة تدريب"))</f>
        <v/>
      </c>
      <c r="J833" s="3"/>
      <c r="K833" s="3"/>
      <c r="L833" s="3"/>
      <c r="M833" s="3"/>
    </row>
    <row r="834" spans="1:13" x14ac:dyDescent="0.2">
      <c r="A834" s="3">
        <v>831</v>
      </c>
      <c r="B834" s="3"/>
      <c r="C834" s="3" t="str">
        <f>IFERROR(VLOOKUP(B834,Sessions!A:J,2,FALSE),"")</f>
        <v/>
      </c>
      <c r="D834" s="3"/>
      <c r="E834" s="3" t="str">
        <f>IFERROR(VLOOKUP(D834,Employees!A:L,2,FALSE),"")</f>
        <v/>
      </c>
      <c r="F834" s="6"/>
      <c r="G834" s="6"/>
      <c r="H834" s="6" t="str">
        <f>IF(G834="","",G834)</f>
        <v/>
      </c>
      <c r="I834" s="3" t="str">
        <f>IF(H834="","",IF(H834&gt;=Setup!B7,"ناجح","إعادة تدريب"))</f>
        <v/>
      </c>
      <c r="J834" s="3"/>
      <c r="K834" s="3"/>
      <c r="L834" s="3"/>
      <c r="M834" s="3"/>
    </row>
    <row r="835" spans="1:13" x14ac:dyDescent="0.2">
      <c r="A835" s="3">
        <v>832</v>
      </c>
      <c r="B835" s="3"/>
      <c r="C835" s="3" t="str">
        <f>IFERROR(VLOOKUP(B835,Sessions!A:J,2,FALSE),"")</f>
        <v/>
      </c>
      <c r="D835" s="3"/>
      <c r="E835" s="3" t="str">
        <f>IFERROR(VLOOKUP(D835,Employees!A:L,2,FALSE),"")</f>
        <v/>
      </c>
      <c r="F835" s="6"/>
      <c r="G835" s="6"/>
      <c r="H835" s="6" t="str">
        <f>IF(G835="","",G835)</f>
        <v/>
      </c>
      <c r="I835" s="3" t="str">
        <f>IF(H835="","",IF(H835&gt;=Setup!B7,"ناجح","إعادة تدريب"))</f>
        <v/>
      </c>
      <c r="J835" s="3"/>
      <c r="K835" s="3"/>
      <c r="L835" s="3"/>
      <c r="M835" s="3"/>
    </row>
    <row r="836" spans="1:13" x14ac:dyDescent="0.2">
      <c r="A836" s="3">
        <v>833</v>
      </c>
      <c r="B836" s="3"/>
      <c r="C836" s="3" t="str">
        <f>IFERROR(VLOOKUP(B836,Sessions!A:J,2,FALSE),"")</f>
        <v/>
      </c>
      <c r="D836" s="3"/>
      <c r="E836" s="3" t="str">
        <f>IFERROR(VLOOKUP(D836,Employees!A:L,2,FALSE),"")</f>
        <v/>
      </c>
      <c r="F836" s="6"/>
      <c r="G836" s="6"/>
      <c r="H836" s="6" t="str">
        <f>IF(G836="","",G836)</f>
        <v/>
      </c>
      <c r="I836" s="3" t="str">
        <f>IF(H836="","",IF(H836&gt;=Setup!B7,"ناجح","إعادة تدريب"))</f>
        <v/>
      </c>
      <c r="J836" s="3"/>
      <c r="K836" s="3"/>
      <c r="L836" s="3"/>
      <c r="M836" s="3"/>
    </row>
    <row r="837" spans="1:13" x14ac:dyDescent="0.2">
      <c r="A837" s="3">
        <v>834</v>
      </c>
      <c r="B837" s="3"/>
      <c r="C837" s="3" t="str">
        <f>IFERROR(VLOOKUP(B837,Sessions!A:J,2,FALSE),"")</f>
        <v/>
      </c>
      <c r="D837" s="3"/>
      <c r="E837" s="3" t="str">
        <f>IFERROR(VLOOKUP(D837,Employees!A:L,2,FALSE),"")</f>
        <v/>
      </c>
      <c r="F837" s="6"/>
      <c r="G837" s="6"/>
      <c r="H837" s="6" t="str">
        <f>IF(G837="","",G837)</f>
        <v/>
      </c>
      <c r="I837" s="3" t="str">
        <f>IF(H837="","",IF(H837&gt;=Setup!B7,"ناجح","إعادة تدريب"))</f>
        <v/>
      </c>
      <c r="J837" s="3"/>
      <c r="K837" s="3"/>
      <c r="L837" s="3"/>
      <c r="M837" s="3"/>
    </row>
    <row r="838" spans="1:13" x14ac:dyDescent="0.2">
      <c r="A838" s="3">
        <v>835</v>
      </c>
      <c r="B838" s="3"/>
      <c r="C838" s="3" t="str">
        <f>IFERROR(VLOOKUP(B838,Sessions!A:J,2,FALSE),"")</f>
        <v/>
      </c>
      <c r="D838" s="3"/>
      <c r="E838" s="3" t="str">
        <f>IFERROR(VLOOKUP(D838,Employees!A:L,2,FALSE),"")</f>
        <v/>
      </c>
      <c r="F838" s="6"/>
      <c r="G838" s="6"/>
      <c r="H838" s="6" t="str">
        <f>IF(G838="","",G838)</f>
        <v/>
      </c>
      <c r="I838" s="3" t="str">
        <f>IF(H838="","",IF(H838&gt;=Setup!B7,"ناجح","إعادة تدريب"))</f>
        <v/>
      </c>
      <c r="J838" s="3"/>
      <c r="K838" s="3"/>
      <c r="L838" s="3"/>
      <c r="M838" s="3"/>
    </row>
    <row r="839" spans="1:13" x14ac:dyDescent="0.2">
      <c r="A839" s="3">
        <v>836</v>
      </c>
      <c r="B839" s="3"/>
      <c r="C839" s="3" t="str">
        <f>IFERROR(VLOOKUP(B839,Sessions!A:J,2,FALSE),"")</f>
        <v/>
      </c>
      <c r="D839" s="3"/>
      <c r="E839" s="3" t="str">
        <f>IFERROR(VLOOKUP(D839,Employees!A:L,2,FALSE),"")</f>
        <v/>
      </c>
      <c r="F839" s="6"/>
      <c r="G839" s="6"/>
      <c r="H839" s="6" t="str">
        <f>IF(G839="","",G839)</f>
        <v/>
      </c>
      <c r="I839" s="3" t="str">
        <f>IF(H839="","",IF(H839&gt;=Setup!B7,"ناجح","إعادة تدريب"))</f>
        <v/>
      </c>
      <c r="J839" s="3"/>
      <c r="K839" s="3"/>
      <c r="L839" s="3"/>
      <c r="M839" s="3"/>
    </row>
    <row r="840" spans="1:13" x14ac:dyDescent="0.2">
      <c r="A840" s="3">
        <v>837</v>
      </c>
      <c r="B840" s="3"/>
      <c r="C840" s="3" t="str">
        <f>IFERROR(VLOOKUP(B840,Sessions!A:J,2,FALSE),"")</f>
        <v/>
      </c>
      <c r="D840" s="3"/>
      <c r="E840" s="3" t="str">
        <f>IFERROR(VLOOKUP(D840,Employees!A:L,2,FALSE),"")</f>
        <v/>
      </c>
      <c r="F840" s="6"/>
      <c r="G840" s="6"/>
      <c r="H840" s="6" t="str">
        <f>IF(G840="","",G840)</f>
        <v/>
      </c>
      <c r="I840" s="3" t="str">
        <f>IF(H840="","",IF(H840&gt;=Setup!B7,"ناجح","إعادة تدريب"))</f>
        <v/>
      </c>
      <c r="J840" s="3"/>
      <c r="K840" s="3"/>
      <c r="L840" s="3"/>
      <c r="M840" s="3"/>
    </row>
    <row r="841" spans="1:13" x14ac:dyDescent="0.2">
      <c r="A841" s="3">
        <v>838</v>
      </c>
      <c r="B841" s="3"/>
      <c r="C841" s="3" t="str">
        <f>IFERROR(VLOOKUP(B841,Sessions!A:J,2,FALSE),"")</f>
        <v/>
      </c>
      <c r="D841" s="3"/>
      <c r="E841" s="3" t="str">
        <f>IFERROR(VLOOKUP(D841,Employees!A:L,2,FALSE),"")</f>
        <v/>
      </c>
      <c r="F841" s="6"/>
      <c r="G841" s="6"/>
      <c r="H841" s="6" t="str">
        <f>IF(G841="","",G841)</f>
        <v/>
      </c>
      <c r="I841" s="3" t="str">
        <f>IF(H841="","",IF(H841&gt;=Setup!B7,"ناجح","إعادة تدريب"))</f>
        <v/>
      </c>
      <c r="J841" s="3"/>
      <c r="K841" s="3"/>
      <c r="L841" s="3"/>
      <c r="M841" s="3"/>
    </row>
    <row r="842" spans="1:13" x14ac:dyDescent="0.2">
      <c r="A842" s="3">
        <v>839</v>
      </c>
      <c r="B842" s="3"/>
      <c r="C842" s="3" t="str">
        <f>IFERROR(VLOOKUP(B842,Sessions!A:J,2,FALSE),"")</f>
        <v/>
      </c>
      <c r="D842" s="3"/>
      <c r="E842" s="3" t="str">
        <f>IFERROR(VLOOKUP(D842,Employees!A:L,2,FALSE),"")</f>
        <v/>
      </c>
      <c r="F842" s="6"/>
      <c r="G842" s="6"/>
      <c r="H842" s="6" t="str">
        <f>IF(G842="","",G842)</f>
        <v/>
      </c>
      <c r="I842" s="3" t="str">
        <f>IF(H842="","",IF(H842&gt;=Setup!B7,"ناجح","إعادة تدريب"))</f>
        <v/>
      </c>
      <c r="J842" s="3"/>
      <c r="K842" s="3"/>
      <c r="L842" s="3"/>
      <c r="M842" s="3"/>
    </row>
    <row r="843" spans="1:13" x14ac:dyDescent="0.2">
      <c r="A843" s="3">
        <v>840</v>
      </c>
      <c r="B843" s="3"/>
      <c r="C843" s="3" t="str">
        <f>IFERROR(VLOOKUP(B843,Sessions!A:J,2,FALSE),"")</f>
        <v/>
      </c>
      <c r="D843" s="3"/>
      <c r="E843" s="3" t="str">
        <f>IFERROR(VLOOKUP(D843,Employees!A:L,2,FALSE),"")</f>
        <v/>
      </c>
      <c r="F843" s="6"/>
      <c r="G843" s="6"/>
      <c r="H843" s="6" t="str">
        <f>IF(G843="","",G843)</f>
        <v/>
      </c>
      <c r="I843" s="3" t="str">
        <f>IF(H843="","",IF(H843&gt;=Setup!B7,"ناجح","إعادة تدريب"))</f>
        <v/>
      </c>
      <c r="J843" s="3"/>
      <c r="K843" s="3"/>
      <c r="L843" s="3"/>
      <c r="M843" s="3"/>
    </row>
    <row r="844" spans="1:13" x14ac:dyDescent="0.2">
      <c r="A844" s="3">
        <v>841</v>
      </c>
      <c r="B844" s="3"/>
      <c r="C844" s="3" t="str">
        <f>IFERROR(VLOOKUP(B844,Sessions!A:J,2,FALSE),"")</f>
        <v/>
      </c>
      <c r="D844" s="3"/>
      <c r="E844" s="3" t="str">
        <f>IFERROR(VLOOKUP(D844,Employees!A:L,2,FALSE),"")</f>
        <v/>
      </c>
      <c r="F844" s="6"/>
      <c r="G844" s="6"/>
      <c r="H844" s="6" t="str">
        <f>IF(G844="","",G844)</f>
        <v/>
      </c>
      <c r="I844" s="3" t="str">
        <f>IF(H844="","",IF(H844&gt;=Setup!B7,"ناجح","إعادة تدريب"))</f>
        <v/>
      </c>
      <c r="J844" s="3"/>
      <c r="K844" s="3"/>
      <c r="L844" s="3"/>
      <c r="M844" s="3"/>
    </row>
    <row r="845" spans="1:13" x14ac:dyDescent="0.2">
      <c r="A845" s="3">
        <v>842</v>
      </c>
      <c r="B845" s="3"/>
      <c r="C845" s="3" t="str">
        <f>IFERROR(VLOOKUP(B845,Sessions!A:J,2,FALSE),"")</f>
        <v/>
      </c>
      <c r="D845" s="3"/>
      <c r="E845" s="3" t="str">
        <f>IFERROR(VLOOKUP(D845,Employees!A:L,2,FALSE),"")</f>
        <v/>
      </c>
      <c r="F845" s="6"/>
      <c r="G845" s="6"/>
      <c r="H845" s="6" t="str">
        <f>IF(G845="","",G845)</f>
        <v/>
      </c>
      <c r="I845" s="3" t="str">
        <f>IF(H845="","",IF(H845&gt;=Setup!B7,"ناجح","إعادة تدريب"))</f>
        <v/>
      </c>
      <c r="J845" s="3"/>
      <c r="K845" s="3"/>
      <c r="L845" s="3"/>
      <c r="M845" s="3"/>
    </row>
    <row r="846" spans="1:13" x14ac:dyDescent="0.2">
      <c r="A846" s="3">
        <v>843</v>
      </c>
      <c r="B846" s="3"/>
      <c r="C846" s="3" t="str">
        <f>IFERROR(VLOOKUP(B846,Sessions!A:J,2,FALSE),"")</f>
        <v/>
      </c>
      <c r="D846" s="3"/>
      <c r="E846" s="3" t="str">
        <f>IFERROR(VLOOKUP(D846,Employees!A:L,2,FALSE),"")</f>
        <v/>
      </c>
      <c r="F846" s="6"/>
      <c r="G846" s="6"/>
      <c r="H846" s="6" t="str">
        <f>IF(G846="","",G846)</f>
        <v/>
      </c>
      <c r="I846" s="3" t="str">
        <f>IF(H846="","",IF(H846&gt;=Setup!B7,"ناجح","إعادة تدريب"))</f>
        <v/>
      </c>
      <c r="J846" s="3"/>
      <c r="K846" s="3"/>
      <c r="L846" s="3"/>
      <c r="M846" s="3"/>
    </row>
    <row r="847" spans="1:13" x14ac:dyDescent="0.2">
      <c r="A847" s="3">
        <v>844</v>
      </c>
      <c r="B847" s="3"/>
      <c r="C847" s="3" t="str">
        <f>IFERROR(VLOOKUP(B847,Sessions!A:J,2,FALSE),"")</f>
        <v/>
      </c>
      <c r="D847" s="3"/>
      <c r="E847" s="3" t="str">
        <f>IFERROR(VLOOKUP(D847,Employees!A:L,2,FALSE),"")</f>
        <v/>
      </c>
      <c r="F847" s="6"/>
      <c r="G847" s="6"/>
      <c r="H847" s="6" t="str">
        <f>IF(G847="","",G847)</f>
        <v/>
      </c>
      <c r="I847" s="3" t="str">
        <f>IF(H847="","",IF(H847&gt;=Setup!B7,"ناجح","إعادة تدريب"))</f>
        <v/>
      </c>
      <c r="J847" s="3"/>
      <c r="K847" s="3"/>
      <c r="L847" s="3"/>
      <c r="M847" s="3"/>
    </row>
    <row r="848" spans="1:13" x14ac:dyDescent="0.2">
      <c r="A848" s="3">
        <v>845</v>
      </c>
      <c r="B848" s="3"/>
      <c r="C848" s="3" t="str">
        <f>IFERROR(VLOOKUP(B848,Sessions!A:J,2,FALSE),"")</f>
        <v/>
      </c>
      <c r="D848" s="3"/>
      <c r="E848" s="3" t="str">
        <f>IFERROR(VLOOKUP(D848,Employees!A:L,2,FALSE),"")</f>
        <v/>
      </c>
      <c r="F848" s="6"/>
      <c r="G848" s="6"/>
      <c r="H848" s="6" t="str">
        <f>IF(G848="","",G848)</f>
        <v/>
      </c>
      <c r="I848" s="3" t="str">
        <f>IF(H848="","",IF(H848&gt;=Setup!B7,"ناجح","إعادة تدريب"))</f>
        <v/>
      </c>
      <c r="J848" s="3"/>
      <c r="K848" s="3"/>
      <c r="L848" s="3"/>
      <c r="M848" s="3"/>
    </row>
    <row r="849" spans="1:13" x14ac:dyDescent="0.2">
      <c r="A849" s="3">
        <v>846</v>
      </c>
      <c r="B849" s="3"/>
      <c r="C849" s="3" t="str">
        <f>IFERROR(VLOOKUP(B849,Sessions!A:J,2,FALSE),"")</f>
        <v/>
      </c>
      <c r="D849" s="3"/>
      <c r="E849" s="3" t="str">
        <f>IFERROR(VLOOKUP(D849,Employees!A:L,2,FALSE),"")</f>
        <v/>
      </c>
      <c r="F849" s="6"/>
      <c r="G849" s="6"/>
      <c r="H849" s="6" t="str">
        <f>IF(G849="","",G849)</f>
        <v/>
      </c>
      <c r="I849" s="3" t="str">
        <f>IF(H849="","",IF(H849&gt;=Setup!B7,"ناجح","إعادة تدريب"))</f>
        <v/>
      </c>
      <c r="J849" s="3"/>
      <c r="K849" s="3"/>
      <c r="L849" s="3"/>
      <c r="M849" s="3"/>
    </row>
    <row r="850" spans="1:13" x14ac:dyDescent="0.2">
      <c r="A850" s="3">
        <v>847</v>
      </c>
      <c r="B850" s="3"/>
      <c r="C850" s="3" t="str">
        <f>IFERROR(VLOOKUP(B850,Sessions!A:J,2,FALSE),"")</f>
        <v/>
      </c>
      <c r="D850" s="3"/>
      <c r="E850" s="3" t="str">
        <f>IFERROR(VLOOKUP(D850,Employees!A:L,2,FALSE),"")</f>
        <v/>
      </c>
      <c r="F850" s="6"/>
      <c r="G850" s="6"/>
      <c r="H850" s="6" t="str">
        <f>IF(G850="","",G850)</f>
        <v/>
      </c>
      <c r="I850" s="3" t="str">
        <f>IF(H850="","",IF(H850&gt;=Setup!B7,"ناجح","إعادة تدريب"))</f>
        <v/>
      </c>
      <c r="J850" s="3"/>
      <c r="K850" s="3"/>
      <c r="L850" s="3"/>
      <c r="M850" s="3"/>
    </row>
    <row r="851" spans="1:13" x14ac:dyDescent="0.2">
      <c r="A851" s="3">
        <v>848</v>
      </c>
      <c r="B851" s="3"/>
      <c r="C851" s="3" t="str">
        <f>IFERROR(VLOOKUP(B851,Sessions!A:J,2,FALSE),"")</f>
        <v/>
      </c>
      <c r="D851" s="3"/>
      <c r="E851" s="3" t="str">
        <f>IFERROR(VLOOKUP(D851,Employees!A:L,2,FALSE),"")</f>
        <v/>
      </c>
      <c r="F851" s="6"/>
      <c r="G851" s="6"/>
      <c r="H851" s="6" t="str">
        <f>IF(G851="","",G851)</f>
        <v/>
      </c>
      <c r="I851" s="3" t="str">
        <f>IF(H851="","",IF(H851&gt;=Setup!B7,"ناجح","إعادة تدريب"))</f>
        <v/>
      </c>
      <c r="J851" s="3"/>
      <c r="K851" s="3"/>
      <c r="L851" s="3"/>
      <c r="M851" s="3"/>
    </row>
    <row r="852" spans="1:13" x14ac:dyDescent="0.2">
      <c r="A852" s="3">
        <v>849</v>
      </c>
      <c r="B852" s="3"/>
      <c r="C852" s="3" t="str">
        <f>IFERROR(VLOOKUP(B852,Sessions!A:J,2,FALSE),"")</f>
        <v/>
      </c>
      <c r="D852" s="3"/>
      <c r="E852" s="3" t="str">
        <f>IFERROR(VLOOKUP(D852,Employees!A:L,2,FALSE),"")</f>
        <v/>
      </c>
      <c r="F852" s="6"/>
      <c r="G852" s="6"/>
      <c r="H852" s="6" t="str">
        <f>IF(G852="","",G852)</f>
        <v/>
      </c>
      <c r="I852" s="3" t="str">
        <f>IF(H852="","",IF(H852&gt;=Setup!B7,"ناجح","إعادة تدريب"))</f>
        <v/>
      </c>
      <c r="J852" s="3"/>
      <c r="K852" s="3"/>
      <c r="L852" s="3"/>
      <c r="M852" s="3"/>
    </row>
    <row r="853" spans="1:13" x14ac:dyDescent="0.2">
      <c r="A853" s="3">
        <v>850</v>
      </c>
      <c r="B853" s="3"/>
      <c r="C853" s="3" t="str">
        <f>IFERROR(VLOOKUP(B853,Sessions!A:J,2,FALSE),"")</f>
        <v/>
      </c>
      <c r="D853" s="3"/>
      <c r="E853" s="3" t="str">
        <f>IFERROR(VLOOKUP(D853,Employees!A:L,2,FALSE),"")</f>
        <v/>
      </c>
      <c r="F853" s="6"/>
      <c r="G853" s="6"/>
      <c r="H853" s="6" t="str">
        <f>IF(G853="","",G853)</f>
        <v/>
      </c>
      <c r="I853" s="3" t="str">
        <f>IF(H853="","",IF(H853&gt;=Setup!B7,"ناجح","إعادة تدريب"))</f>
        <v/>
      </c>
      <c r="J853" s="3"/>
      <c r="K853" s="3"/>
      <c r="L853" s="3"/>
      <c r="M853" s="3"/>
    </row>
    <row r="854" spans="1:13" x14ac:dyDescent="0.2">
      <c r="A854" s="3">
        <v>851</v>
      </c>
      <c r="B854" s="3"/>
      <c r="C854" s="3" t="str">
        <f>IFERROR(VLOOKUP(B854,Sessions!A:J,2,FALSE),"")</f>
        <v/>
      </c>
      <c r="D854" s="3"/>
      <c r="E854" s="3" t="str">
        <f>IFERROR(VLOOKUP(D854,Employees!A:L,2,FALSE),"")</f>
        <v/>
      </c>
      <c r="F854" s="6"/>
      <c r="G854" s="6"/>
      <c r="H854" s="6" t="str">
        <f>IF(G854="","",G854)</f>
        <v/>
      </c>
      <c r="I854" s="3" t="str">
        <f>IF(H854="","",IF(H854&gt;=Setup!B7,"ناجح","إعادة تدريب"))</f>
        <v/>
      </c>
      <c r="J854" s="3"/>
      <c r="K854" s="3"/>
      <c r="L854" s="3"/>
      <c r="M854" s="3"/>
    </row>
    <row r="855" spans="1:13" x14ac:dyDescent="0.2">
      <c r="A855" s="3">
        <v>852</v>
      </c>
      <c r="B855" s="3"/>
      <c r="C855" s="3" t="str">
        <f>IFERROR(VLOOKUP(B855,Sessions!A:J,2,FALSE),"")</f>
        <v/>
      </c>
      <c r="D855" s="3"/>
      <c r="E855" s="3" t="str">
        <f>IFERROR(VLOOKUP(D855,Employees!A:L,2,FALSE),"")</f>
        <v/>
      </c>
      <c r="F855" s="6"/>
      <c r="G855" s="6"/>
      <c r="H855" s="6" t="str">
        <f>IF(G855="","",G855)</f>
        <v/>
      </c>
      <c r="I855" s="3" t="str">
        <f>IF(H855="","",IF(H855&gt;=Setup!B7,"ناجح","إعادة تدريب"))</f>
        <v/>
      </c>
      <c r="J855" s="3"/>
      <c r="K855" s="3"/>
      <c r="L855" s="3"/>
      <c r="M855" s="3"/>
    </row>
    <row r="856" spans="1:13" x14ac:dyDescent="0.2">
      <c r="A856" s="3">
        <v>853</v>
      </c>
      <c r="B856" s="3"/>
      <c r="C856" s="3" t="str">
        <f>IFERROR(VLOOKUP(B856,Sessions!A:J,2,FALSE),"")</f>
        <v/>
      </c>
      <c r="D856" s="3"/>
      <c r="E856" s="3" t="str">
        <f>IFERROR(VLOOKUP(D856,Employees!A:L,2,FALSE),"")</f>
        <v/>
      </c>
      <c r="F856" s="6"/>
      <c r="G856" s="6"/>
      <c r="H856" s="6" t="str">
        <f>IF(G856="","",G856)</f>
        <v/>
      </c>
      <c r="I856" s="3" t="str">
        <f>IF(H856="","",IF(H856&gt;=Setup!B7,"ناجح","إعادة تدريب"))</f>
        <v/>
      </c>
      <c r="J856" s="3"/>
      <c r="K856" s="3"/>
      <c r="L856" s="3"/>
      <c r="M856" s="3"/>
    </row>
    <row r="857" spans="1:13" x14ac:dyDescent="0.2">
      <c r="A857" s="3">
        <v>854</v>
      </c>
      <c r="B857" s="3"/>
      <c r="C857" s="3" t="str">
        <f>IFERROR(VLOOKUP(B857,Sessions!A:J,2,FALSE),"")</f>
        <v/>
      </c>
      <c r="D857" s="3"/>
      <c r="E857" s="3" t="str">
        <f>IFERROR(VLOOKUP(D857,Employees!A:L,2,FALSE),"")</f>
        <v/>
      </c>
      <c r="F857" s="6"/>
      <c r="G857" s="6"/>
      <c r="H857" s="6" t="str">
        <f>IF(G857="","",G857)</f>
        <v/>
      </c>
      <c r="I857" s="3" t="str">
        <f>IF(H857="","",IF(H857&gt;=Setup!B7,"ناجح","إعادة تدريب"))</f>
        <v/>
      </c>
      <c r="J857" s="3"/>
      <c r="K857" s="3"/>
      <c r="L857" s="3"/>
      <c r="M857" s="3"/>
    </row>
    <row r="858" spans="1:13" x14ac:dyDescent="0.2">
      <c r="A858" s="3">
        <v>855</v>
      </c>
      <c r="B858" s="3"/>
      <c r="C858" s="3" t="str">
        <f>IFERROR(VLOOKUP(B858,Sessions!A:J,2,FALSE),"")</f>
        <v/>
      </c>
      <c r="D858" s="3"/>
      <c r="E858" s="3" t="str">
        <f>IFERROR(VLOOKUP(D858,Employees!A:L,2,FALSE),"")</f>
        <v/>
      </c>
      <c r="F858" s="6"/>
      <c r="G858" s="6"/>
      <c r="H858" s="6" t="str">
        <f>IF(G858="","",G858)</f>
        <v/>
      </c>
      <c r="I858" s="3" t="str">
        <f>IF(H858="","",IF(H858&gt;=Setup!B7,"ناجح","إعادة تدريب"))</f>
        <v/>
      </c>
      <c r="J858" s="3"/>
      <c r="K858" s="3"/>
      <c r="L858" s="3"/>
      <c r="M858" s="3"/>
    </row>
    <row r="859" spans="1:13" x14ac:dyDescent="0.2">
      <c r="A859" s="3">
        <v>856</v>
      </c>
      <c r="B859" s="3"/>
      <c r="C859" s="3" t="str">
        <f>IFERROR(VLOOKUP(B859,Sessions!A:J,2,FALSE),"")</f>
        <v/>
      </c>
      <c r="D859" s="3"/>
      <c r="E859" s="3" t="str">
        <f>IFERROR(VLOOKUP(D859,Employees!A:L,2,FALSE),"")</f>
        <v/>
      </c>
      <c r="F859" s="6"/>
      <c r="G859" s="6"/>
      <c r="H859" s="6" t="str">
        <f>IF(G859="","",G859)</f>
        <v/>
      </c>
      <c r="I859" s="3" t="str">
        <f>IF(H859="","",IF(H859&gt;=Setup!B7,"ناجح","إعادة تدريب"))</f>
        <v/>
      </c>
      <c r="J859" s="3"/>
      <c r="K859" s="3"/>
      <c r="L859" s="3"/>
      <c r="M859" s="3"/>
    </row>
    <row r="860" spans="1:13" x14ac:dyDescent="0.2">
      <c r="A860" s="3">
        <v>857</v>
      </c>
      <c r="B860" s="3"/>
      <c r="C860" s="3" t="str">
        <f>IFERROR(VLOOKUP(B860,Sessions!A:J,2,FALSE),"")</f>
        <v/>
      </c>
      <c r="D860" s="3"/>
      <c r="E860" s="3" t="str">
        <f>IFERROR(VLOOKUP(D860,Employees!A:L,2,FALSE),"")</f>
        <v/>
      </c>
      <c r="F860" s="6"/>
      <c r="G860" s="6"/>
      <c r="H860" s="6" t="str">
        <f>IF(G860="","",G860)</f>
        <v/>
      </c>
      <c r="I860" s="3" t="str">
        <f>IF(H860="","",IF(H860&gt;=Setup!B7,"ناجح","إعادة تدريب"))</f>
        <v/>
      </c>
      <c r="J860" s="3"/>
      <c r="K860" s="3"/>
      <c r="L860" s="3"/>
      <c r="M860" s="3"/>
    </row>
    <row r="861" spans="1:13" x14ac:dyDescent="0.2">
      <c r="A861" s="3">
        <v>858</v>
      </c>
      <c r="B861" s="3"/>
      <c r="C861" s="3" t="str">
        <f>IFERROR(VLOOKUP(B861,Sessions!A:J,2,FALSE),"")</f>
        <v/>
      </c>
      <c r="D861" s="3"/>
      <c r="E861" s="3" t="str">
        <f>IFERROR(VLOOKUP(D861,Employees!A:L,2,FALSE),"")</f>
        <v/>
      </c>
      <c r="F861" s="6"/>
      <c r="G861" s="6"/>
      <c r="H861" s="6" t="str">
        <f>IF(G861="","",G861)</f>
        <v/>
      </c>
      <c r="I861" s="3" t="str">
        <f>IF(H861="","",IF(H861&gt;=Setup!B7,"ناجح","إعادة تدريب"))</f>
        <v/>
      </c>
      <c r="J861" s="3"/>
      <c r="K861" s="3"/>
      <c r="L861" s="3"/>
      <c r="M861" s="3"/>
    </row>
    <row r="862" spans="1:13" x14ac:dyDescent="0.2">
      <c r="A862" s="3">
        <v>859</v>
      </c>
      <c r="B862" s="3"/>
      <c r="C862" s="3" t="str">
        <f>IFERROR(VLOOKUP(B862,Sessions!A:J,2,FALSE),"")</f>
        <v/>
      </c>
      <c r="D862" s="3"/>
      <c r="E862" s="3" t="str">
        <f>IFERROR(VLOOKUP(D862,Employees!A:L,2,FALSE),"")</f>
        <v/>
      </c>
      <c r="F862" s="6"/>
      <c r="G862" s="6"/>
      <c r="H862" s="6" t="str">
        <f>IF(G862="","",G862)</f>
        <v/>
      </c>
      <c r="I862" s="3" t="str">
        <f>IF(H862="","",IF(H862&gt;=Setup!B7,"ناجح","إعادة تدريب"))</f>
        <v/>
      </c>
      <c r="J862" s="3"/>
      <c r="K862" s="3"/>
      <c r="L862" s="3"/>
      <c r="M862" s="3"/>
    </row>
    <row r="863" spans="1:13" x14ac:dyDescent="0.2">
      <c r="A863" s="3">
        <v>860</v>
      </c>
      <c r="B863" s="3"/>
      <c r="C863" s="3" t="str">
        <f>IFERROR(VLOOKUP(B863,Sessions!A:J,2,FALSE),"")</f>
        <v/>
      </c>
      <c r="D863" s="3"/>
      <c r="E863" s="3" t="str">
        <f>IFERROR(VLOOKUP(D863,Employees!A:L,2,FALSE),"")</f>
        <v/>
      </c>
      <c r="F863" s="6"/>
      <c r="G863" s="6"/>
      <c r="H863" s="6" t="str">
        <f>IF(G863="","",G863)</f>
        <v/>
      </c>
      <c r="I863" s="3" t="str">
        <f>IF(H863="","",IF(H863&gt;=Setup!B7,"ناجح","إعادة تدريب"))</f>
        <v/>
      </c>
      <c r="J863" s="3"/>
      <c r="K863" s="3"/>
      <c r="L863" s="3"/>
      <c r="M863" s="3"/>
    </row>
    <row r="864" spans="1:13" x14ac:dyDescent="0.2">
      <c r="A864" s="3">
        <v>861</v>
      </c>
      <c r="B864" s="3"/>
      <c r="C864" s="3" t="str">
        <f>IFERROR(VLOOKUP(B864,Sessions!A:J,2,FALSE),"")</f>
        <v/>
      </c>
      <c r="D864" s="3"/>
      <c r="E864" s="3" t="str">
        <f>IFERROR(VLOOKUP(D864,Employees!A:L,2,FALSE),"")</f>
        <v/>
      </c>
      <c r="F864" s="6"/>
      <c r="G864" s="6"/>
      <c r="H864" s="6" t="str">
        <f>IF(G864="","",G864)</f>
        <v/>
      </c>
      <c r="I864" s="3" t="str">
        <f>IF(H864="","",IF(H864&gt;=Setup!B7,"ناجح","إعادة تدريب"))</f>
        <v/>
      </c>
      <c r="J864" s="3"/>
      <c r="K864" s="3"/>
      <c r="L864" s="3"/>
      <c r="M864" s="3"/>
    </row>
    <row r="865" spans="1:13" x14ac:dyDescent="0.2">
      <c r="A865" s="3">
        <v>862</v>
      </c>
      <c r="B865" s="3"/>
      <c r="C865" s="3" t="str">
        <f>IFERROR(VLOOKUP(B865,Sessions!A:J,2,FALSE),"")</f>
        <v/>
      </c>
      <c r="D865" s="3"/>
      <c r="E865" s="3" t="str">
        <f>IFERROR(VLOOKUP(D865,Employees!A:L,2,FALSE),"")</f>
        <v/>
      </c>
      <c r="F865" s="6"/>
      <c r="G865" s="6"/>
      <c r="H865" s="6" t="str">
        <f>IF(G865="","",G865)</f>
        <v/>
      </c>
      <c r="I865" s="3" t="str">
        <f>IF(H865="","",IF(H865&gt;=Setup!B7,"ناجح","إعادة تدريب"))</f>
        <v/>
      </c>
      <c r="J865" s="3"/>
      <c r="K865" s="3"/>
      <c r="L865" s="3"/>
      <c r="M865" s="3"/>
    </row>
    <row r="866" spans="1:13" x14ac:dyDescent="0.2">
      <c r="A866" s="3">
        <v>863</v>
      </c>
      <c r="B866" s="3"/>
      <c r="C866" s="3" t="str">
        <f>IFERROR(VLOOKUP(B866,Sessions!A:J,2,FALSE),"")</f>
        <v/>
      </c>
      <c r="D866" s="3"/>
      <c r="E866" s="3" t="str">
        <f>IFERROR(VLOOKUP(D866,Employees!A:L,2,FALSE),"")</f>
        <v/>
      </c>
      <c r="F866" s="6"/>
      <c r="G866" s="6"/>
      <c r="H866" s="6" t="str">
        <f>IF(G866="","",G866)</f>
        <v/>
      </c>
      <c r="I866" s="3" t="str">
        <f>IF(H866="","",IF(H866&gt;=Setup!B7,"ناجح","إعادة تدريب"))</f>
        <v/>
      </c>
      <c r="J866" s="3"/>
      <c r="K866" s="3"/>
      <c r="L866" s="3"/>
      <c r="M866" s="3"/>
    </row>
    <row r="867" spans="1:13" x14ac:dyDescent="0.2">
      <c r="A867" s="3">
        <v>864</v>
      </c>
      <c r="B867" s="3"/>
      <c r="C867" s="3" t="str">
        <f>IFERROR(VLOOKUP(B867,Sessions!A:J,2,FALSE),"")</f>
        <v/>
      </c>
      <c r="D867" s="3"/>
      <c r="E867" s="3" t="str">
        <f>IFERROR(VLOOKUP(D867,Employees!A:L,2,FALSE),"")</f>
        <v/>
      </c>
      <c r="F867" s="6"/>
      <c r="G867" s="6"/>
      <c r="H867" s="6" t="str">
        <f>IF(G867="","",G867)</f>
        <v/>
      </c>
      <c r="I867" s="3" t="str">
        <f>IF(H867="","",IF(H867&gt;=Setup!B7,"ناجح","إعادة تدريب"))</f>
        <v/>
      </c>
      <c r="J867" s="3"/>
      <c r="K867" s="3"/>
      <c r="L867" s="3"/>
      <c r="M867" s="3"/>
    </row>
    <row r="868" spans="1:13" x14ac:dyDescent="0.2">
      <c r="A868" s="3">
        <v>865</v>
      </c>
      <c r="B868" s="3"/>
      <c r="C868" s="3" t="str">
        <f>IFERROR(VLOOKUP(B868,Sessions!A:J,2,FALSE),"")</f>
        <v/>
      </c>
      <c r="D868" s="3"/>
      <c r="E868" s="3" t="str">
        <f>IFERROR(VLOOKUP(D868,Employees!A:L,2,FALSE),"")</f>
        <v/>
      </c>
      <c r="F868" s="6"/>
      <c r="G868" s="6"/>
      <c r="H868" s="6" t="str">
        <f>IF(G868="","",G868)</f>
        <v/>
      </c>
      <c r="I868" s="3" t="str">
        <f>IF(H868="","",IF(H868&gt;=Setup!B7,"ناجح","إعادة تدريب"))</f>
        <v/>
      </c>
      <c r="J868" s="3"/>
      <c r="K868" s="3"/>
      <c r="L868" s="3"/>
      <c r="M868" s="3"/>
    </row>
    <row r="869" spans="1:13" x14ac:dyDescent="0.2">
      <c r="A869" s="3">
        <v>866</v>
      </c>
      <c r="B869" s="3"/>
      <c r="C869" s="3" t="str">
        <f>IFERROR(VLOOKUP(B869,Sessions!A:J,2,FALSE),"")</f>
        <v/>
      </c>
      <c r="D869" s="3"/>
      <c r="E869" s="3" t="str">
        <f>IFERROR(VLOOKUP(D869,Employees!A:L,2,FALSE),"")</f>
        <v/>
      </c>
      <c r="F869" s="6"/>
      <c r="G869" s="6"/>
      <c r="H869" s="6" t="str">
        <f>IF(G869="","",G869)</f>
        <v/>
      </c>
      <c r="I869" s="3" t="str">
        <f>IF(H869="","",IF(H869&gt;=Setup!B7,"ناجح","إعادة تدريب"))</f>
        <v/>
      </c>
      <c r="J869" s="3"/>
      <c r="K869" s="3"/>
      <c r="L869" s="3"/>
      <c r="M869" s="3"/>
    </row>
    <row r="870" spans="1:13" x14ac:dyDescent="0.2">
      <c r="A870" s="3">
        <v>867</v>
      </c>
      <c r="B870" s="3"/>
      <c r="C870" s="3" t="str">
        <f>IFERROR(VLOOKUP(B870,Sessions!A:J,2,FALSE),"")</f>
        <v/>
      </c>
      <c r="D870" s="3"/>
      <c r="E870" s="3" t="str">
        <f>IFERROR(VLOOKUP(D870,Employees!A:L,2,FALSE),"")</f>
        <v/>
      </c>
      <c r="F870" s="6"/>
      <c r="G870" s="6"/>
      <c r="H870" s="6" t="str">
        <f>IF(G870="","",G870)</f>
        <v/>
      </c>
      <c r="I870" s="3" t="str">
        <f>IF(H870="","",IF(H870&gt;=Setup!B7,"ناجح","إعادة تدريب"))</f>
        <v/>
      </c>
      <c r="J870" s="3"/>
      <c r="K870" s="3"/>
      <c r="L870" s="3"/>
      <c r="M870" s="3"/>
    </row>
    <row r="871" spans="1:13" x14ac:dyDescent="0.2">
      <c r="A871" s="3">
        <v>868</v>
      </c>
      <c r="B871" s="3"/>
      <c r="C871" s="3" t="str">
        <f>IFERROR(VLOOKUP(B871,Sessions!A:J,2,FALSE),"")</f>
        <v/>
      </c>
      <c r="D871" s="3"/>
      <c r="E871" s="3" t="str">
        <f>IFERROR(VLOOKUP(D871,Employees!A:L,2,FALSE),"")</f>
        <v/>
      </c>
      <c r="F871" s="6"/>
      <c r="G871" s="6"/>
      <c r="H871" s="6" t="str">
        <f>IF(G871="","",G871)</f>
        <v/>
      </c>
      <c r="I871" s="3" t="str">
        <f>IF(H871="","",IF(H871&gt;=Setup!B7,"ناجح","إعادة تدريب"))</f>
        <v/>
      </c>
      <c r="J871" s="3"/>
      <c r="K871" s="3"/>
      <c r="L871" s="3"/>
      <c r="M871" s="3"/>
    </row>
    <row r="872" spans="1:13" x14ac:dyDescent="0.2">
      <c r="A872" s="3">
        <v>869</v>
      </c>
      <c r="B872" s="3"/>
      <c r="C872" s="3" t="str">
        <f>IFERROR(VLOOKUP(B872,Sessions!A:J,2,FALSE),"")</f>
        <v/>
      </c>
      <c r="D872" s="3"/>
      <c r="E872" s="3" t="str">
        <f>IFERROR(VLOOKUP(D872,Employees!A:L,2,FALSE),"")</f>
        <v/>
      </c>
      <c r="F872" s="6"/>
      <c r="G872" s="6"/>
      <c r="H872" s="6" t="str">
        <f>IF(G872="","",G872)</f>
        <v/>
      </c>
      <c r="I872" s="3" t="str">
        <f>IF(H872="","",IF(H872&gt;=Setup!B7,"ناجح","إعادة تدريب"))</f>
        <v/>
      </c>
      <c r="J872" s="3"/>
      <c r="K872" s="3"/>
      <c r="L872" s="3"/>
      <c r="M872" s="3"/>
    </row>
    <row r="873" spans="1:13" x14ac:dyDescent="0.2">
      <c r="A873" s="3">
        <v>870</v>
      </c>
      <c r="B873" s="3"/>
      <c r="C873" s="3" t="str">
        <f>IFERROR(VLOOKUP(B873,Sessions!A:J,2,FALSE),"")</f>
        <v/>
      </c>
      <c r="D873" s="3"/>
      <c r="E873" s="3" t="str">
        <f>IFERROR(VLOOKUP(D873,Employees!A:L,2,FALSE),"")</f>
        <v/>
      </c>
      <c r="F873" s="6"/>
      <c r="G873" s="6"/>
      <c r="H873" s="6" t="str">
        <f>IF(G873="","",G873)</f>
        <v/>
      </c>
      <c r="I873" s="3" t="str">
        <f>IF(H873="","",IF(H873&gt;=Setup!B7,"ناجح","إعادة تدريب"))</f>
        <v/>
      </c>
      <c r="J873" s="3"/>
      <c r="K873" s="3"/>
      <c r="L873" s="3"/>
      <c r="M873" s="3"/>
    </row>
    <row r="874" spans="1:13" x14ac:dyDescent="0.2">
      <c r="A874" s="3">
        <v>871</v>
      </c>
      <c r="B874" s="3"/>
      <c r="C874" s="3" t="str">
        <f>IFERROR(VLOOKUP(B874,Sessions!A:J,2,FALSE),"")</f>
        <v/>
      </c>
      <c r="D874" s="3"/>
      <c r="E874" s="3" t="str">
        <f>IFERROR(VLOOKUP(D874,Employees!A:L,2,FALSE),"")</f>
        <v/>
      </c>
      <c r="F874" s="6"/>
      <c r="G874" s="6"/>
      <c r="H874" s="6" t="str">
        <f>IF(G874="","",G874)</f>
        <v/>
      </c>
      <c r="I874" s="3" t="str">
        <f>IF(H874="","",IF(H874&gt;=Setup!B7,"ناجح","إعادة تدريب"))</f>
        <v/>
      </c>
      <c r="J874" s="3"/>
      <c r="K874" s="3"/>
      <c r="L874" s="3"/>
      <c r="M874" s="3"/>
    </row>
    <row r="875" spans="1:13" x14ac:dyDescent="0.2">
      <c r="A875" s="3">
        <v>872</v>
      </c>
      <c r="B875" s="3"/>
      <c r="C875" s="3" t="str">
        <f>IFERROR(VLOOKUP(B875,Sessions!A:J,2,FALSE),"")</f>
        <v/>
      </c>
      <c r="D875" s="3"/>
      <c r="E875" s="3" t="str">
        <f>IFERROR(VLOOKUP(D875,Employees!A:L,2,FALSE),"")</f>
        <v/>
      </c>
      <c r="F875" s="6"/>
      <c r="G875" s="6"/>
      <c r="H875" s="6" t="str">
        <f>IF(G875="","",G875)</f>
        <v/>
      </c>
      <c r="I875" s="3" t="str">
        <f>IF(H875="","",IF(H875&gt;=Setup!B7,"ناجح","إعادة تدريب"))</f>
        <v/>
      </c>
      <c r="J875" s="3"/>
      <c r="K875" s="3"/>
      <c r="L875" s="3"/>
      <c r="M875" s="3"/>
    </row>
    <row r="876" spans="1:13" x14ac:dyDescent="0.2">
      <c r="A876" s="3">
        <v>873</v>
      </c>
      <c r="B876" s="3"/>
      <c r="C876" s="3" t="str">
        <f>IFERROR(VLOOKUP(B876,Sessions!A:J,2,FALSE),"")</f>
        <v/>
      </c>
      <c r="D876" s="3"/>
      <c r="E876" s="3" t="str">
        <f>IFERROR(VLOOKUP(D876,Employees!A:L,2,FALSE),"")</f>
        <v/>
      </c>
      <c r="F876" s="6"/>
      <c r="G876" s="6"/>
      <c r="H876" s="6" t="str">
        <f>IF(G876="","",G876)</f>
        <v/>
      </c>
      <c r="I876" s="3" t="str">
        <f>IF(H876="","",IF(H876&gt;=Setup!B7,"ناجح","إعادة تدريب"))</f>
        <v/>
      </c>
      <c r="J876" s="3"/>
      <c r="K876" s="3"/>
      <c r="L876" s="3"/>
      <c r="M876" s="3"/>
    </row>
    <row r="877" spans="1:13" x14ac:dyDescent="0.2">
      <c r="A877" s="3">
        <v>874</v>
      </c>
      <c r="B877" s="3"/>
      <c r="C877" s="3" t="str">
        <f>IFERROR(VLOOKUP(B877,Sessions!A:J,2,FALSE),"")</f>
        <v/>
      </c>
      <c r="D877" s="3"/>
      <c r="E877" s="3" t="str">
        <f>IFERROR(VLOOKUP(D877,Employees!A:L,2,FALSE),"")</f>
        <v/>
      </c>
      <c r="F877" s="6"/>
      <c r="G877" s="6"/>
      <c r="H877" s="6" t="str">
        <f>IF(G877="","",G877)</f>
        <v/>
      </c>
      <c r="I877" s="3" t="str">
        <f>IF(H877="","",IF(H877&gt;=Setup!B7,"ناجح","إعادة تدريب"))</f>
        <v/>
      </c>
      <c r="J877" s="3"/>
      <c r="K877" s="3"/>
      <c r="L877" s="3"/>
      <c r="M877" s="3"/>
    </row>
    <row r="878" spans="1:13" x14ac:dyDescent="0.2">
      <c r="A878" s="3">
        <v>875</v>
      </c>
      <c r="B878" s="3"/>
      <c r="C878" s="3" t="str">
        <f>IFERROR(VLOOKUP(B878,Sessions!A:J,2,FALSE),"")</f>
        <v/>
      </c>
      <c r="D878" s="3"/>
      <c r="E878" s="3" t="str">
        <f>IFERROR(VLOOKUP(D878,Employees!A:L,2,FALSE),"")</f>
        <v/>
      </c>
      <c r="F878" s="6"/>
      <c r="G878" s="6"/>
      <c r="H878" s="6" t="str">
        <f>IF(G878="","",G878)</f>
        <v/>
      </c>
      <c r="I878" s="3" t="str">
        <f>IF(H878="","",IF(H878&gt;=Setup!B7,"ناجح","إعادة تدريب"))</f>
        <v/>
      </c>
      <c r="J878" s="3"/>
      <c r="K878" s="3"/>
      <c r="L878" s="3"/>
      <c r="M878" s="3"/>
    </row>
    <row r="879" spans="1:13" x14ac:dyDescent="0.2">
      <c r="A879" s="3">
        <v>876</v>
      </c>
      <c r="B879" s="3"/>
      <c r="C879" s="3" t="str">
        <f>IFERROR(VLOOKUP(B879,Sessions!A:J,2,FALSE),"")</f>
        <v/>
      </c>
      <c r="D879" s="3"/>
      <c r="E879" s="3" t="str">
        <f>IFERROR(VLOOKUP(D879,Employees!A:L,2,FALSE),"")</f>
        <v/>
      </c>
      <c r="F879" s="6"/>
      <c r="G879" s="6"/>
      <c r="H879" s="6" t="str">
        <f>IF(G879="","",G879)</f>
        <v/>
      </c>
      <c r="I879" s="3" t="str">
        <f>IF(H879="","",IF(H879&gt;=Setup!B7,"ناجح","إعادة تدريب"))</f>
        <v/>
      </c>
      <c r="J879" s="3"/>
      <c r="K879" s="3"/>
      <c r="L879" s="3"/>
      <c r="M879" s="3"/>
    </row>
    <row r="880" spans="1:13" x14ac:dyDescent="0.2">
      <c r="A880" s="3">
        <v>877</v>
      </c>
      <c r="B880" s="3"/>
      <c r="C880" s="3" t="str">
        <f>IFERROR(VLOOKUP(B880,Sessions!A:J,2,FALSE),"")</f>
        <v/>
      </c>
      <c r="D880" s="3"/>
      <c r="E880" s="3" t="str">
        <f>IFERROR(VLOOKUP(D880,Employees!A:L,2,FALSE),"")</f>
        <v/>
      </c>
      <c r="F880" s="6"/>
      <c r="G880" s="6"/>
      <c r="H880" s="6" t="str">
        <f>IF(G880="","",G880)</f>
        <v/>
      </c>
      <c r="I880" s="3" t="str">
        <f>IF(H880="","",IF(H880&gt;=Setup!B7,"ناجح","إعادة تدريب"))</f>
        <v/>
      </c>
      <c r="J880" s="3"/>
      <c r="K880" s="3"/>
      <c r="L880" s="3"/>
      <c r="M880" s="3"/>
    </row>
    <row r="881" spans="1:13" x14ac:dyDescent="0.2">
      <c r="A881" s="3">
        <v>878</v>
      </c>
      <c r="B881" s="3"/>
      <c r="C881" s="3" t="str">
        <f>IFERROR(VLOOKUP(B881,Sessions!A:J,2,FALSE),"")</f>
        <v/>
      </c>
      <c r="D881" s="3"/>
      <c r="E881" s="3" t="str">
        <f>IFERROR(VLOOKUP(D881,Employees!A:L,2,FALSE),"")</f>
        <v/>
      </c>
      <c r="F881" s="6"/>
      <c r="G881" s="6"/>
      <c r="H881" s="6" t="str">
        <f>IF(G881="","",G881)</f>
        <v/>
      </c>
      <c r="I881" s="3" t="str">
        <f>IF(H881="","",IF(H881&gt;=Setup!B7,"ناجح","إعادة تدريب"))</f>
        <v/>
      </c>
      <c r="J881" s="3"/>
      <c r="K881" s="3"/>
      <c r="L881" s="3"/>
      <c r="M881" s="3"/>
    </row>
    <row r="882" spans="1:13" x14ac:dyDescent="0.2">
      <c r="A882" s="3">
        <v>879</v>
      </c>
      <c r="B882" s="3"/>
      <c r="C882" s="3" t="str">
        <f>IFERROR(VLOOKUP(B882,Sessions!A:J,2,FALSE),"")</f>
        <v/>
      </c>
      <c r="D882" s="3"/>
      <c r="E882" s="3" t="str">
        <f>IFERROR(VLOOKUP(D882,Employees!A:L,2,FALSE),"")</f>
        <v/>
      </c>
      <c r="F882" s="6"/>
      <c r="G882" s="6"/>
      <c r="H882" s="6" t="str">
        <f>IF(G882="","",G882)</f>
        <v/>
      </c>
      <c r="I882" s="3" t="str">
        <f>IF(H882="","",IF(H882&gt;=Setup!B7,"ناجح","إعادة تدريب"))</f>
        <v/>
      </c>
      <c r="J882" s="3"/>
      <c r="K882" s="3"/>
      <c r="L882" s="3"/>
      <c r="M882" s="3"/>
    </row>
    <row r="883" spans="1:13" x14ac:dyDescent="0.2">
      <c r="A883" s="3">
        <v>880</v>
      </c>
      <c r="B883" s="3"/>
      <c r="C883" s="3" t="str">
        <f>IFERROR(VLOOKUP(B883,Sessions!A:J,2,FALSE),"")</f>
        <v/>
      </c>
      <c r="D883" s="3"/>
      <c r="E883" s="3" t="str">
        <f>IFERROR(VLOOKUP(D883,Employees!A:L,2,FALSE),"")</f>
        <v/>
      </c>
      <c r="F883" s="6"/>
      <c r="G883" s="6"/>
      <c r="H883" s="6" t="str">
        <f>IF(G883="","",G883)</f>
        <v/>
      </c>
      <c r="I883" s="3" t="str">
        <f>IF(H883="","",IF(H883&gt;=Setup!B7,"ناجح","إعادة تدريب"))</f>
        <v/>
      </c>
      <c r="J883" s="3"/>
      <c r="K883" s="3"/>
      <c r="L883" s="3"/>
      <c r="M883" s="3"/>
    </row>
    <row r="884" spans="1:13" x14ac:dyDescent="0.2">
      <c r="A884" s="3">
        <v>881</v>
      </c>
      <c r="B884" s="3"/>
      <c r="C884" s="3" t="str">
        <f>IFERROR(VLOOKUP(B884,Sessions!A:J,2,FALSE),"")</f>
        <v/>
      </c>
      <c r="D884" s="3"/>
      <c r="E884" s="3" t="str">
        <f>IFERROR(VLOOKUP(D884,Employees!A:L,2,FALSE),"")</f>
        <v/>
      </c>
      <c r="F884" s="6"/>
      <c r="G884" s="6"/>
      <c r="H884" s="6" t="str">
        <f>IF(G884="","",G884)</f>
        <v/>
      </c>
      <c r="I884" s="3" t="str">
        <f>IF(H884="","",IF(H884&gt;=Setup!B7,"ناجح","إعادة تدريب"))</f>
        <v/>
      </c>
      <c r="J884" s="3"/>
      <c r="K884" s="3"/>
      <c r="L884" s="3"/>
      <c r="M884" s="3"/>
    </row>
    <row r="885" spans="1:13" x14ac:dyDescent="0.2">
      <c r="A885" s="3">
        <v>882</v>
      </c>
      <c r="B885" s="3"/>
      <c r="C885" s="3" t="str">
        <f>IFERROR(VLOOKUP(B885,Sessions!A:J,2,FALSE),"")</f>
        <v/>
      </c>
      <c r="D885" s="3"/>
      <c r="E885" s="3" t="str">
        <f>IFERROR(VLOOKUP(D885,Employees!A:L,2,FALSE),"")</f>
        <v/>
      </c>
      <c r="F885" s="6"/>
      <c r="G885" s="6"/>
      <c r="H885" s="6" t="str">
        <f>IF(G885="","",G885)</f>
        <v/>
      </c>
      <c r="I885" s="3" t="str">
        <f>IF(H885="","",IF(H885&gt;=Setup!B7,"ناجح","إعادة تدريب"))</f>
        <v/>
      </c>
      <c r="J885" s="3"/>
      <c r="K885" s="3"/>
      <c r="L885" s="3"/>
      <c r="M885" s="3"/>
    </row>
    <row r="886" spans="1:13" x14ac:dyDescent="0.2">
      <c r="A886" s="3">
        <v>883</v>
      </c>
      <c r="B886" s="3"/>
      <c r="C886" s="3" t="str">
        <f>IFERROR(VLOOKUP(B886,Sessions!A:J,2,FALSE),"")</f>
        <v/>
      </c>
      <c r="D886" s="3"/>
      <c r="E886" s="3" t="str">
        <f>IFERROR(VLOOKUP(D886,Employees!A:L,2,FALSE),"")</f>
        <v/>
      </c>
      <c r="F886" s="6"/>
      <c r="G886" s="6"/>
      <c r="H886" s="6" t="str">
        <f>IF(G886="","",G886)</f>
        <v/>
      </c>
      <c r="I886" s="3" t="str">
        <f>IF(H886="","",IF(H886&gt;=Setup!B7,"ناجح","إعادة تدريب"))</f>
        <v/>
      </c>
      <c r="J886" s="3"/>
      <c r="K886" s="3"/>
      <c r="L886" s="3"/>
      <c r="M886" s="3"/>
    </row>
    <row r="887" spans="1:13" x14ac:dyDescent="0.2">
      <c r="A887" s="3">
        <v>884</v>
      </c>
      <c r="B887" s="3"/>
      <c r="C887" s="3" t="str">
        <f>IFERROR(VLOOKUP(B887,Sessions!A:J,2,FALSE),"")</f>
        <v/>
      </c>
      <c r="D887" s="3"/>
      <c r="E887" s="3" t="str">
        <f>IFERROR(VLOOKUP(D887,Employees!A:L,2,FALSE),"")</f>
        <v/>
      </c>
      <c r="F887" s="6"/>
      <c r="G887" s="6"/>
      <c r="H887" s="6" t="str">
        <f>IF(G887="","",G887)</f>
        <v/>
      </c>
      <c r="I887" s="3" t="str">
        <f>IF(H887="","",IF(H887&gt;=Setup!B7,"ناجح","إعادة تدريب"))</f>
        <v/>
      </c>
      <c r="J887" s="3"/>
      <c r="K887" s="3"/>
      <c r="L887" s="3"/>
      <c r="M887" s="3"/>
    </row>
    <row r="888" spans="1:13" x14ac:dyDescent="0.2">
      <c r="A888" s="3">
        <v>885</v>
      </c>
      <c r="B888" s="3"/>
      <c r="C888" s="3" t="str">
        <f>IFERROR(VLOOKUP(B888,Sessions!A:J,2,FALSE),"")</f>
        <v/>
      </c>
      <c r="D888" s="3"/>
      <c r="E888" s="3" t="str">
        <f>IFERROR(VLOOKUP(D888,Employees!A:L,2,FALSE),"")</f>
        <v/>
      </c>
      <c r="F888" s="6"/>
      <c r="G888" s="6"/>
      <c r="H888" s="6" t="str">
        <f>IF(G888="","",G888)</f>
        <v/>
      </c>
      <c r="I888" s="3" t="str">
        <f>IF(H888="","",IF(H888&gt;=Setup!B7,"ناجح","إعادة تدريب"))</f>
        <v/>
      </c>
      <c r="J888" s="3"/>
      <c r="K888" s="3"/>
      <c r="L888" s="3"/>
      <c r="M888" s="3"/>
    </row>
    <row r="889" spans="1:13" x14ac:dyDescent="0.2">
      <c r="A889" s="3">
        <v>886</v>
      </c>
      <c r="B889" s="3"/>
      <c r="C889" s="3" t="str">
        <f>IFERROR(VLOOKUP(B889,Sessions!A:J,2,FALSE),"")</f>
        <v/>
      </c>
      <c r="D889" s="3"/>
      <c r="E889" s="3" t="str">
        <f>IFERROR(VLOOKUP(D889,Employees!A:L,2,FALSE),"")</f>
        <v/>
      </c>
      <c r="F889" s="6"/>
      <c r="G889" s="6"/>
      <c r="H889" s="6" t="str">
        <f>IF(G889="","",G889)</f>
        <v/>
      </c>
      <c r="I889" s="3" t="str">
        <f>IF(H889="","",IF(H889&gt;=Setup!B7,"ناجح","إعادة تدريب"))</f>
        <v/>
      </c>
      <c r="J889" s="3"/>
      <c r="K889" s="3"/>
      <c r="L889" s="3"/>
      <c r="M889" s="3"/>
    </row>
    <row r="890" spans="1:13" x14ac:dyDescent="0.2">
      <c r="A890" s="3">
        <v>887</v>
      </c>
      <c r="B890" s="3"/>
      <c r="C890" s="3" t="str">
        <f>IFERROR(VLOOKUP(B890,Sessions!A:J,2,FALSE),"")</f>
        <v/>
      </c>
      <c r="D890" s="3"/>
      <c r="E890" s="3" t="str">
        <f>IFERROR(VLOOKUP(D890,Employees!A:L,2,FALSE),"")</f>
        <v/>
      </c>
      <c r="F890" s="6"/>
      <c r="G890" s="6"/>
      <c r="H890" s="6" t="str">
        <f>IF(G890="","",G890)</f>
        <v/>
      </c>
      <c r="I890" s="3" t="str">
        <f>IF(H890="","",IF(H890&gt;=Setup!B7,"ناجح","إعادة تدريب"))</f>
        <v/>
      </c>
      <c r="J890" s="3"/>
      <c r="K890" s="3"/>
      <c r="L890" s="3"/>
      <c r="M890" s="3"/>
    </row>
    <row r="891" spans="1:13" x14ac:dyDescent="0.2">
      <c r="A891" s="3">
        <v>888</v>
      </c>
      <c r="B891" s="3"/>
      <c r="C891" s="3" t="str">
        <f>IFERROR(VLOOKUP(B891,Sessions!A:J,2,FALSE),"")</f>
        <v/>
      </c>
      <c r="D891" s="3"/>
      <c r="E891" s="3" t="str">
        <f>IFERROR(VLOOKUP(D891,Employees!A:L,2,FALSE),"")</f>
        <v/>
      </c>
      <c r="F891" s="6"/>
      <c r="G891" s="6"/>
      <c r="H891" s="6" t="str">
        <f>IF(G891="","",G891)</f>
        <v/>
      </c>
      <c r="I891" s="3" t="str">
        <f>IF(H891="","",IF(H891&gt;=Setup!B7,"ناجح","إعادة تدريب"))</f>
        <v/>
      </c>
      <c r="J891" s="3"/>
      <c r="K891" s="3"/>
      <c r="L891" s="3"/>
      <c r="M891" s="3"/>
    </row>
    <row r="892" spans="1:13" x14ac:dyDescent="0.2">
      <c r="A892" s="3">
        <v>889</v>
      </c>
      <c r="B892" s="3"/>
      <c r="C892" s="3" t="str">
        <f>IFERROR(VLOOKUP(B892,Sessions!A:J,2,FALSE),"")</f>
        <v/>
      </c>
      <c r="D892" s="3"/>
      <c r="E892" s="3" t="str">
        <f>IFERROR(VLOOKUP(D892,Employees!A:L,2,FALSE),"")</f>
        <v/>
      </c>
      <c r="F892" s="6"/>
      <c r="G892" s="6"/>
      <c r="H892" s="6" t="str">
        <f>IF(G892="","",G892)</f>
        <v/>
      </c>
      <c r="I892" s="3" t="str">
        <f>IF(H892="","",IF(H892&gt;=Setup!B7,"ناجح","إعادة تدريب"))</f>
        <v/>
      </c>
      <c r="J892" s="3"/>
      <c r="K892" s="3"/>
      <c r="L892" s="3"/>
      <c r="M892" s="3"/>
    </row>
    <row r="893" spans="1:13" x14ac:dyDescent="0.2">
      <c r="A893" s="3">
        <v>890</v>
      </c>
      <c r="B893" s="3"/>
      <c r="C893" s="3" t="str">
        <f>IFERROR(VLOOKUP(B893,Sessions!A:J,2,FALSE),"")</f>
        <v/>
      </c>
      <c r="D893" s="3"/>
      <c r="E893" s="3" t="str">
        <f>IFERROR(VLOOKUP(D893,Employees!A:L,2,FALSE),"")</f>
        <v/>
      </c>
      <c r="F893" s="6"/>
      <c r="G893" s="6"/>
      <c r="H893" s="6" t="str">
        <f>IF(G893="","",G893)</f>
        <v/>
      </c>
      <c r="I893" s="3" t="str">
        <f>IF(H893="","",IF(H893&gt;=Setup!B7,"ناجح","إعادة تدريب"))</f>
        <v/>
      </c>
      <c r="J893" s="3"/>
      <c r="K893" s="3"/>
      <c r="L893" s="3"/>
      <c r="M893" s="3"/>
    </row>
    <row r="894" spans="1:13" x14ac:dyDescent="0.2">
      <c r="A894" s="3">
        <v>891</v>
      </c>
      <c r="B894" s="3"/>
      <c r="C894" s="3" t="str">
        <f>IFERROR(VLOOKUP(B894,Sessions!A:J,2,FALSE),"")</f>
        <v/>
      </c>
      <c r="D894" s="3"/>
      <c r="E894" s="3" t="str">
        <f>IFERROR(VLOOKUP(D894,Employees!A:L,2,FALSE),"")</f>
        <v/>
      </c>
      <c r="F894" s="6"/>
      <c r="G894" s="6"/>
      <c r="H894" s="6" t="str">
        <f>IF(G894="","",G894)</f>
        <v/>
      </c>
      <c r="I894" s="3" t="str">
        <f>IF(H894="","",IF(H894&gt;=Setup!B7,"ناجح","إعادة تدريب"))</f>
        <v/>
      </c>
      <c r="J894" s="3"/>
      <c r="K894" s="3"/>
      <c r="L894" s="3"/>
      <c r="M894" s="3"/>
    </row>
    <row r="895" spans="1:13" x14ac:dyDescent="0.2">
      <c r="A895" s="3">
        <v>892</v>
      </c>
      <c r="B895" s="3"/>
      <c r="C895" s="3" t="str">
        <f>IFERROR(VLOOKUP(B895,Sessions!A:J,2,FALSE),"")</f>
        <v/>
      </c>
      <c r="D895" s="3"/>
      <c r="E895" s="3" t="str">
        <f>IFERROR(VLOOKUP(D895,Employees!A:L,2,FALSE),"")</f>
        <v/>
      </c>
      <c r="F895" s="6"/>
      <c r="G895" s="6"/>
      <c r="H895" s="6" t="str">
        <f>IF(G895="","",G895)</f>
        <v/>
      </c>
      <c r="I895" s="3" t="str">
        <f>IF(H895="","",IF(H895&gt;=Setup!B7,"ناجح","إعادة تدريب"))</f>
        <v/>
      </c>
      <c r="J895" s="3"/>
      <c r="K895" s="3"/>
      <c r="L895" s="3"/>
      <c r="M895" s="3"/>
    </row>
    <row r="896" spans="1:13" x14ac:dyDescent="0.2">
      <c r="A896" s="3">
        <v>893</v>
      </c>
      <c r="B896" s="3"/>
      <c r="C896" s="3" t="str">
        <f>IFERROR(VLOOKUP(B896,Sessions!A:J,2,FALSE),"")</f>
        <v/>
      </c>
      <c r="D896" s="3"/>
      <c r="E896" s="3" t="str">
        <f>IFERROR(VLOOKUP(D896,Employees!A:L,2,FALSE),"")</f>
        <v/>
      </c>
      <c r="F896" s="6"/>
      <c r="G896" s="6"/>
      <c r="H896" s="6" t="str">
        <f>IF(G896="","",G896)</f>
        <v/>
      </c>
      <c r="I896" s="3" t="str">
        <f>IF(H896="","",IF(H896&gt;=Setup!B7,"ناجح","إعادة تدريب"))</f>
        <v/>
      </c>
      <c r="J896" s="3"/>
      <c r="K896" s="3"/>
      <c r="L896" s="3"/>
      <c r="M896" s="3"/>
    </row>
    <row r="897" spans="1:13" x14ac:dyDescent="0.2">
      <c r="A897" s="3">
        <v>894</v>
      </c>
      <c r="B897" s="3"/>
      <c r="C897" s="3" t="str">
        <f>IFERROR(VLOOKUP(B897,Sessions!A:J,2,FALSE),"")</f>
        <v/>
      </c>
      <c r="D897" s="3"/>
      <c r="E897" s="3" t="str">
        <f>IFERROR(VLOOKUP(D897,Employees!A:L,2,FALSE),"")</f>
        <v/>
      </c>
      <c r="F897" s="6"/>
      <c r="G897" s="6"/>
      <c r="H897" s="6" t="str">
        <f>IF(G897="","",G897)</f>
        <v/>
      </c>
      <c r="I897" s="3" t="str">
        <f>IF(H897="","",IF(H897&gt;=Setup!B7,"ناجح","إعادة تدريب"))</f>
        <v/>
      </c>
      <c r="J897" s="3"/>
      <c r="K897" s="3"/>
      <c r="L897" s="3"/>
      <c r="M897" s="3"/>
    </row>
    <row r="898" spans="1:13" x14ac:dyDescent="0.2">
      <c r="A898" s="3">
        <v>895</v>
      </c>
      <c r="B898" s="3"/>
      <c r="C898" s="3" t="str">
        <f>IFERROR(VLOOKUP(B898,Sessions!A:J,2,FALSE),"")</f>
        <v/>
      </c>
      <c r="D898" s="3"/>
      <c r="E898" s="3" t="str">
        <f>IFERROR(VLOOKUP(D898,Employees!A:L,2,FALSE),"")</f>
        <v/>
      </c>
      <c r="F898" s="6"/>
      <c r="G898" s="6"/>
      <c r="H898" s="6" t="str">
        <f>IF(G898="","",G898)</f>
        <v/>
      </c>
      <c r="I898" s="3" t="str">
        <f>IF(H898="","",IF(H898&gt;=Setup!B7,"ناجح","إعادة تدريب"))</f>
        <v/>
      </c>
      <c r="J898" s="3"/>
      <c r="K898" s="3"/>
      <c r="L898" s="3"/>
      <c r="M898" s="3"/>
    </row>
    <row r="899" spans="1:13" x14ac:dyDescent="0.2">
      <c r="A899" s="3">
        <v>896</v>
      </c>
      <c r="B899" s="3"/>
      <c r="C899" s="3" t="str">
        <f>IFERROR(VLOOKUP(B899,Sessions!A:J,2,FALSE),"")</f>
        <v/>
      </c>
      <c r="D899" s="3"/>
      <c r="E899" s="3" t="str">
        <f>IFERROR(VLOOKUP(D899,Employees!A:L,2,FALSE),"")</f>
        <v/>
      </c>
      <c r="F899" s="6"/>
      <c r="G899" s="6"/>
      <c r="H899" s="6" t="str">
        <f>IF(G899="","",G899)</f>
        <v/>
      </c>
      <c r="I899" s="3" t="str">
        <f>IF(H899="","",IF(H899&gt;=Setup!B7,"ناجح","إعادة تدريب"))</f>
        <v/>
      </c>
      <c r="J899" s="3"/>
      <c r="K899" s="3"/>
      <c r="L899" s="3"/>
      <c r="M899" s="3"/>
    </row>
    <row r="900" spans="1:13" x14ac:dyDescent="0.2">
      <c r="A900" s="3">
        <v>897</v>
      </c>
      <c r="B900" s="3"/>
      <c r="C900" s="3" t="str">
        <f>IFERROR(VLOOKUP(B900,Sessions!A:J,2,FALSE),"")</f>
        <v/>
      </c>
      <c r="D900" s="3"/>
      <c r="E900" s="3" t="str">
        <f>IFERROR(VLOOKUP(D900,Employees!A:L,2,FALSE),"")</f>
        <v/>
      </c>
      <c r="F900" s="6"/>
      <c r="G900" s="6"/>
      <c r="H900" s="6" t="str">
        <f>IF(G900="","",G900)</f>
        <v/>
      </c>
      <c r="I900" s="3" t="str">
        <f>IF(H900="","",IF(H900&gt;=Setup!B7,"ناجح","إعادة تدريب"))</f>
        <v/>
      </c>
      <c r="J900" s="3"/>
      <c r="K900" s="3"/>
      <c r="L900" s="3"/>
      <c r="M900" s="3"/>
    </row>
    <row r="901" spans="1:13" x14ac:dyDescent="0.2">
      <c r="A901" s="3">
        <v>898</v>
      </c>
      <c r="B901" s="3"/>
      <c r="C901" s="3" t="str">
        <f>IFERROR(VLOOKUP(B901,Sessions!A:J,2,FALSE),"")</f>
        <v/>
      </c>
      <c r="D901" s="3"/>
      <c r="E901" s="3" t="str">
        <f>IFERROR(VLOOKUP(D901,Employees!A:L,2,FALSE),"")</f>
        <v/>
      </c>
      <c r="F901" s="6"/>
      <c r="G901" s="6"/>
      <c r="H901" s="6" t="str">
        <f>IF(G901="","",G901)</f>
        <v/>
      </c>
      <c r="I901" s="3" t="str">
        <f>IF(H901="","",IF(H901&gt;=Setup!B7,"ناجح","إعادة تدريب"))</f>
        <v/>
      </c>
      <c r="J901" s="3"/>
      <c r="K901" s="3"/>
      <c r="L901" s="3"/>
      <c r="M901" s="3"/>
    </row>
    <row r="902" spans="1:13" x14ac:dyDescent="0.2">
      <c r="A902" s="3">
        <v>899</v>
      </c>
      <c r="B902" s="3"/>
      <c r="C902" s="3" t="str">
        <f>IFERROR(VLOOKUP(B902,Sessions!A:J,2,FALSE),"")</f>
        <v/>
      </c>
      <c r="D902" s="3"/>
      <c r="E902" s="3" t="str">
        <f>IFERROR(VLOOKUP(D902,Employees!A:L,2,FALSE),"")</f>
        <v/>
      </c>
      <c r="F902" s="6"/>
      <c r="G902" s="6"/>
      <c r="H902" s="6" t="str">
        <f>IF(G902="","",G902)</f>
        <v/>
      </c>
      <c r="I902" s="3" t="str">
        <f>IF(H902="","",IF(H902&gt;=Setup!B7,"ناجح","إعادة تدريب"))</f>
        <v/>
      </c>
      <c r="J902" s="3"/>
      <c r="K902" s="3"/>
      <c r="L902" s="3"/>
      <c r="M902" s="3"/>
    </row>
    <row r="903" spans="1:13" x14ac:dyDescent="0.2">
      <c r="A903" s="3">
        <v>900</v>
      </c>
      <c r="B903" s="3"/>
      <c r="C903" s="3" t="str">
        <f>IFERROR(VLOOKUP(B903,Sessions!A:J,2,FALSE),"")</f>
        <v/>
      </c>
      <c r="D903" s="3"/>
      <c r="E903" s="3" t="str">
        <f>IFERROR(VLOOKUP(D903,Employees!A:L,2,FALSE),"")</f>
        <v/>
      </c>
      <c r="F903" s="6"/>
      <c r="G903" s="6"/>
      <c r="H903" s="6" t="str">
        <f>IF(G903="","",G903)</f>
        <v/>
      </c>
      <c r="I903" s="3" t="str">
        <f>IF(H903="","",IF(H903&gt;=Setup!B7,"ناجح","إعادة تدريب"))</f>
        <v/>
      </c>
      <c r="J903" s="3"/>
      <c r="K903" s="3"/>
      <c r="L903" s="3"/>
      <c r="M903" s="3"/>
    </row>
    <row r="904" spans="1:13" x14ac:dyDescent="0.2">
      <c r="A904" s="3">
        <v>901</v>
      </c>
      <c r="B904" s="3"/>
      <c r="C904" s="3" t="str">
        <f>IFERROR(VLOOKUP(B904,Sessions!A:J,2,FALSE),"")</f>
        <v/>
      </c>
      <c r="D904" s="3"/>
      <c r="E904" s="3" t="str">
        <f>IFERROR(VLOOKUP(D904,Employees!A:L,2,FALSE),"")</f>
        <v/>
      </c>
      <c r="F904" s="6"/>
      <c r="G904" s="6"/>
      <c r="H904" s="6" t="str">
        <f>IF(G904="","",G904)</f>
        <v/>
      </c>
      <c r="I904" s="3" t="str">
        <f>IF(H904="","",IF(H904&gt;=Setup!B7,"ناجح","إعادة تدريب"))</f>
        <v/>
      </c>
      <c r="J904" s="3"/>
      <c r="K904" s="3"/>
      <c r="L904" s="3"/>
      <c r="M904" s="3"/>
    </row>
    <row r="905" spans="1:13" x14ac:dyDescent="0.2">
      <c r="A905" s="3">
        <v>902</v>
      </c>
      <c r="B905" s="3"/>
      <c r="C905" s="3" t="str">
        <f>IFERROR(VLOOKUP(B905,Sessions!A:J,2,FALSE),"")</f>
        <v/>
      </c>
      <c r="D905" s="3"/>
      <c r="E905" s="3" t="str">
        <f>IFERROR(VLOOKUP(D905,Employees!A:L,2,FALSE),"")</f>
        <v/>
      </c>
      <c r="F905" s="6"/>
      <c r="G905" s="6"/>
      <c r="H905" s="6" t="str">
        <f>IF(G905="","",G905)</f>
        <v/>
      </c>
      <c r="I905" s="3" t="str">
        <f>IF(H905="","",IF(H905&gt;=Setup!B7,"ناجح","إعادة تدريب"))</f>
        <v/>
      </c>
      <c r="J905" s="3"/>
      <c r="K905" s="3"/>
      <c r="L905" s="3"/>
      <c r="M905" s="3"/>
    </row>
    <row r="906" spans="1:13" x14ac:dyDescent="0.2">
      <c r="A906" s="3">
        <v>903</v>
      </c>
      <c r="B906" s="3"/>
      <c r="C906" s="3" t="str">
        <f>IFERROR(VLOOKUP(B906,Sessions!A:J,2,FALSE),"")</f>
        <v/>
      </c>
      <c r="D906" s="3"/>
      <c r="E906" s="3" t="str">
        <f>IFERROR(VLOOKUP(D906,Employees!A:L,2,FALSE),"")</f>
        <v/>
      </c>
      <c r="F906" s="6"/>
      <c r="G906" s="6"/>
      <c r="H906" s="6" t="str">
        <f>IF(G906="","",G906)</f>
        <v/>
      </c>
      <c r="I906" s="3" t="str">
        <f>IF(H906="","",IF(H906&gt;=Setup!B7,"ناجح","إعادة تدريب"))</f>
        <v/>
      </c>
      <c r="J906" s="3"/>
      <c r="K906" s="3"/>
      <c r="L906" s="3"/>
      <c r="M906" s="3"/>
    </row>
    <row r="907" spans="1:13" x14ac:dyDescent="0.2">
      <c r="A907" s="3">
        <v>904</v>
      </c>
      <c r="B907" s="3"/>
      <c r="C907" s="3" t="str">
        <f>IFERROR(VLOOKUP(B907,Sessions!A:J,2,FALSE),"")</f>
        <v/>
      </c>
      <c r="D907" s="3"/>
      <c r="E907" s="3" t="str">
        <f>IFERROR(VLOOKUP(D907,Employees!A:L,2,FALSE),"")</f>
        <v/>
      </c>
      <c r="F907" s="6"/>
      <c r="G907" s="6"/>
      <c r="H907" s="6" t="str">
        <f>IF(G907="","",G907)</f>
        <v/>
      </c>
      <c r="I907" s="3" t="str">
        <f>IF(H907="","",IF(H907&gt;=Setup!B7,"ناجح","إعادة تدريب"))</f>
        <v/>
      </c>
      <c r="J907" s="3"/>
      <c r="K907" s="3"/>
      <c r="L907" s="3"/>
      <c r="M907" s="3"/>
    </row>
    <row r="908" spans="1:13" x14ac:dyDescent="0.2">
      <c r="A908" s="3">
        <v>905</v>
      </c>
      <c r="B908" s="3"/>
      <c r="C908" s="3" t="str">
        <f>IFERROR(VLOOKUP(B908,Sessions!A:J,2,FALSE),"")</f>
        <v/>
      </c>
      <c r="D908" s="3"/>
      <c r="E908" s="3" t="str">
        <f>IFERROR(VLOOKUP(D908,Employees!A:L,2,FALSE),"")</f>
        <v/>
      </c>
      <c r="F908" s="6"/>
      <c r="G908" s="6"/>
      <c r="H908" s="6" t="str">
        <f>IF(G908="","",G908)</f>
        <v/>
      </c>
      <c r="I908" s="3" t="str">
        <f>IF(H908="","",IF(H908&gt;=Setup!B7,"ناجح","إعادة تدريب"))</f>
        <v/>
      </c>
      <c r="J908" s="3"/>
      <c r="K908" s="3"/>
      <c r="L908" s="3"/>
      <c r="M908" s="3"/>
    </row>
    <row r="909" spans="1:13" x14ac:dyDescent="0.2">
      <c r="A909" s="3">
        <v>906</v>
      </c>
      <c r="B909" s="3"/>
      <c r="C909" s="3" t="str">
        <f>IFERROR(VLOOKUP(B909,Sessions!A:J,2,FALSE),"")</f>
        <v/>
      </c>
      <c r="D909" s="3"/>
      <c r="E909" s="3" t="str">
        <f>IFERROR(VLOOKUP(D909,Employees!A:L,2,FALSE),"")</f>
        <v/>
      </c>
      <c r="F909" s="6"/>
      <c r="G909" s="6"/>
      <c r="H909" s="6" t="str">
        <f>IF(G909="","",G909)</f>
        <v/>
      </c>
      <c r="I909" s="3" t="str">
        <f>IF(H909="","",IF(H909&gt;=Setup!B7,"ناجح","إعادة تدريب"))</f>
        <v/>
      </c>
      <c r="J909" s="3"/>
      <c r="K909" s="3"/>
      <c r="L909" s="3"/>
      <c r="M909" s="3"/>
    </row>
    <row r="910" spans="1:13" x14ac:dyDescent="0.2">
      <c r="A910" s="3">
        <v>907</v>
      </c>
      <c r="B910" s="3"/>
      <c r="C910" s="3" t="str">
        <f>IFERROR(VLOOKUP(B910,Sessions!A:J,2,FALSE),"")</f>
        <v/>
      </c>
      <c r="D910" s="3"/>
      <c r="E910" s="3" t="str">
        <f>IFERROR(VLOOKUP(D910,Employees!A:L,2,FALSE),"")</f>
        <v/>
      </c>
      <c r="F910" s="6"/>
      <c r="G910" s="6"/>
      <c r="H910" s="6" t="str">
        <f>IF(G910="","",G910)</f>
        <v/>
      </c>
      <c r="I910" s="3" t="str">
        <f>IF(H910="","",IF(H910&gt;=Setup!B7,"ناجح","إعادة تدريب"))</f>
        <v/>
      </c>
      <c r="J910" s="3"/>
      <c r="K910" s="3"/>
      <c r="L910" s="3"/>
      <c r="M910" s="3"/>
    </row>
    <row r="911" spans="1:13" x14ac:dyDescent="0.2">
      <c r="A911" s="3">
        <v>908</v>
      </c>
      <c r="B911" s="3"/>
      <c r="C911" s="3" t="str">
        <f>IFERROR(VLOOKUP(B911,Sessions!A:J,2,FALSE),"")</f>
        <v/>
      </c>
      <c r="D911" s="3"/>
      <c r="E911" s="3" t="str">
        <f>IFERROR(VLOOKUP(D911,Employees!A:L,2,FALSE),"")</f>
        <v/>
      </c>
      <c r="F911" s="6"/>
      <c r="G911" s="6"/>
      <c r="H911" s="6" t="str">
        <f>IF(G911="","",G911)</f>
        <v/>
      </c>
      <c r="I911" s="3" t="str">
        <f>IF(H911="","",IF(H911&gt;=Setup!B7,"ناجح","إعادة تدريب"))</f>
        <v/>
      </c>
      <c r="J911" s="3"/>
      <c r="K911" s="3"/>
      <c r="L911" s="3"/>
      <c r="M911" s="3"/>
    </row>
    <row r="912" spans="1:13" x14ac:dyDescent="0.2">
      <c r="A912" s="3">
        <v>909</v>
      </c>
      <c r="B912" s="3"/>
      <c r="C912" s="3" t="str">
        <f>IFERROR(VLOOKUP(B912,Sessions!A:J,2,FALSE),"")</f>
        <v/>
      </c>
      <c r="D912" s="3"/>
      <c r="E912" s="3" t="str">
        <f>IFERROR(VLOOKUP(D912,Employees!A:L,2,FALSE),"")</f>
        <v/>
      </c>
      <c r="F912" s="6"/>
      <c r="G912" s="6"/>
      <c r="H912" s="6" t="str">
        <f>IF(G912="","",G912)</f>
        <v/>
      </c>
      <c r="I912" s="3" t="str">
        <f>IF(H912="","",IF(H912&gt;=Setup!B7,"ناجح","إعادة تدريب"))</f>
        <v/>
      </c>
      <c r="J912" s="3"/>
      <c r="K912" s="3"/>
      <c r="L912" s="3"/>
      <c r="M912" s="3"/>
    </row>
    <row r="913" spans="1:13" x14ac:dyDescent="0.2">
      <c r="A913" s="3">
        <v>910</v>
      </c>
      <c r="B913" s="3"/>
      <c r="C913" s="3" t="str">
        <f>IFERROR(VLOOKUP(B913,Sessions!A:J,2,FALSE),"")</f>
        <v/>
      </c>
      <c r="D913" s="3"/>
      <c r="E913" s="3" t="str">
        <f>IFERROR(VLOOKUP(D913,Employees!A:L,2,FALSE),"")</f>
        <v/>
      </c>
      <c r="F913" s="6"/>
      <c r="G913" s="6"/>
      <c r="H913" s="6" t="str">
        <f>IF(G913="","",G913)</f>
        <v/>
      </c>
      <c r="I913" s="3" t="str">
        <f>IF(H913="","",IF(H913&gt;=Setup!B7,"ناجح","إعادة تدريب"))</f>
        <v/>
      </c>
      <c r="J913" s="3"/>
      <c r="K913" s="3"/>
      <c r="L913" s="3"/>
      <c r="M913" s="3"/>
    </row>
    <row r="914" spans="1:13" x14ac:dyDescent="0.2">
      <c r="A914" s="3">
        <v>911</v>
      </c>
      <c r="B914" s="3"/>
      <c r="C914" s="3" t="str">
        <f>IFERROR(VLOOKUP(B914,Sessions!A:J,2,FALSE),"")</f>
        <v/>
      </c>
      <c r="D914" s="3"/>
      <c r="E914" s="3" t="str">
        <f>IFERROR(VLOOKUP(D914,Employees!A:L,2,FALSE),"")</f>
        <v/>
      </c>
      <c r="F914" s="6"/>
      <c r="G914" s="6"/>
      <c r="H914" s="6" t="str">
        <f>IF(G914="","",G914)</f>
        <v/>
      </c>
      <c r="I914" s="3" t="str">
        <f>IF(H914="","",IF(H914&gt;=Setup!B7,"ناجح","إعادة تدريب"))</f>
        <v/>
      </c>
      <c r="J914" s="3"/>
      <c r="K914" s="3"/>
      <c r="L914" s="3"/>
      <c r="M914" s="3"/>
    </row>
    <row r="915" spans="1:13" x14ac:dyDescent="0.2">
      <c r="A915" s="3">
        <v>912</v>
      </c>
      <c r="B915" s="3"/>
      <c r="C915" s="3" t="str">
        <f>IFERROR(VLOOKUP(B915,Sessions!A:J,2,FALSE),"")</f>
        <v/>
      </c>
      <c r="D915" s="3"/>
      <c r="E915" s="3" t="str">
        <f>IFERROR(VLOOKUP(D915,Employees!A:L,2,FALSE),"")</f>
        <v/>
      </c>
      <c r="F915" s="6"/>
      <c r="G915" s="6"/>
      <c r="H915" s="6" t="str">
        <f>IF(G915="","",G915)</f>
        <v/>
      </c>
      <c r="I915" s="3" t="str">
        <f>IF(H915="","",IF(H915&gt;=Setup!B7,"ناجح","إعادة تدريب"))</f>
        <v/>
      </c>
      <c r="J915" s="3"/>
      <c r="K915" s="3"/>
      <c r="L915" s="3"/>
      <c r="M915" s="3"/>
    </row>
    <row r="916" spans="1:13" x14ac:dyDescent="0.2">
      <c r="A916" s="3">
        <v>913</v>
      </c>
      <c r="B916" s="3"/>
      <c r="C916" s="3" t="str">
        <f>IFERROR(VLOOKUP(B916,Sessions!A:J,2,FALSE),"")</f>
        <v/>
      </c>
      <c r="D916" s="3"/>
      <c r="E916" s="3" t="str">
        <f>IFERROR(VLOOKUP(D916,Employees!A:L,2,FALSE),"")</f>
        <v/>
      </c>
      <c r="F916" s="6"/>
      <c r="G916" s="6"/>
      <c r="H916" s="6" t="str">
        <f>IF(G916="","",G916)</f>
        <v/>
      </c>
      <c r="I916" s="3" t="str">
        <f>IF(H916="","",IF(H916&gt;=Setup!B7,"ناجح","إعادة تدريب"))</f>
        <v/>
      </c>
      <c r="J916" s="3"/>
      <c r="K916" s="3"/>
      <c r="L916" s="3"/>
      <c r="M916" s="3"/>
    </row>
    <row r="917" spans="1:13" x14ac:dyDescent="0.2">
      <c r="A917" s="3">
        <v>914</v>
      </c>
      <c r="B917" s="3"/>
      <c r="C917" s="3" t="str">
        <f>IFERROR(VLOOKUP(B917,Sessions!A:J,2,FALSE),"")</f>
        <v/>
      </c>
      <c r="D917" s="3"/>
      <c r="E917" s="3" t="str">
        <f>IFERROR(VLOOKUP(D917,Employees!A:L,2,FALSE),"")</f>
        <v/>
      </c>
      <c r="F917" s="6"/>
      <c r="G917" s="6"/>
      <c r="H917" s="6" t="str">
        <f>IF(G917="","",G917)</f>
        <v/>
      </c>
      <c r="I917" s="3" t="str">
        <f>IF(H917="","",IF(H917&gt;=Setup!B7,"ناجح","إعادة تدريب"))</f>
        <v/>
      </c>
      <c r="J917" s="3"/>
      <c r="K917" s="3"/>
      <c r="L917" s="3"/>
      <c r="M917" s="3"/>
    </row>
    <row r="918" spans="1:13" x14ac:dyDescent="0.2">
      <c r="A918" s="3">
        <v>915</v>
      </c>
      <c r="B918" s="3"/>
      <c r="C918" s="3" t="str">
        <f>IFERROR(VLOOKUP(B918,Sessions!A:J,2,FALSE),"")</f>
        <v/>
      </c>
      <c r="D918" s="3"/>
      <c r="E918" s="3" t="str">
        <f>IFERROR(VLOOKUP(D918,Employees!A:L,2,FALSE),"")</f>
        <v/>
      </c>
      <c r="F918" s="6"/>
      <c r="G918" s="6"/>
      <c r="H918" s="6" t="str">
        <f>IF(G918="","",G918)</f>
        <v/>
      </c>
      <c r="I918" s="3" t="str">
        <f>IF(H918="","",IF(H918&gt;=Setup!B7,"ناجح","إعادة تدريب"))</f>
        <v/>
      </c>
      <c r="J918" s="3"/>
      <c r="K918" s="3"/>
      <c r="L918" s="3"/>
      <c r="M918" s="3"/>
    </row>
    <row r="919" spans="1:13" x14ac:dyDescent="0.2">
      <c r="A919" s="3">
        <v>916</v>
      </c>
      <c r="B919" s="3"/>
      <c r="C919" s="3" t="str">
        <f>IFERROR(VLOOKUP(B919,Sessions!A:J,2,FALSE),"")</f>
        <v/>
      </c>
      <c r="D919" s="3"/>
      <c r="E919" s="3" t="str">
        <f>IFERROR(VLOOKUP(D919,Employees!A:L,2,FALSE),"")</f>
        <v/>
      </c>
      <c r="F919" s="6"/>
      <c r="G919" s="6"/>
      <c r="H919" s="6" t="str">
        <f>IF(G919="","",G919)</f>
        <v/>
      </c>
      <c r="I919" s="3" t="str">
        <f>IF(H919="","",IF(H919&gt;=Setup!B7,"ناجح","إعادة تدريب"))</f>
        <v/>
      </c>
      <c r="J919" s="3"/>
      <c r="K919" s="3"/>
      <c r="L919" s="3"/>
      <c r="M919" s="3"/>
    </row>
    <row r="920" spans="1:13" x14ac:dyDescent="0.2">
      <c r="A920" s="3">
        <v>917</v>
      </c>
      <c r="B920" s="3"/>
      <c r="C920" s="3" t="str">
        <f>IFERROR(VLOOKUP(B920,Sessions!A:J,2,FALSE),"")</f>
        <v/>
      </c>
      <c r="D920" s="3"/>
      <c r="E920" s="3" t="str">
        <f>IFERROR(VLOOKUP(D920,Employees!A:L,2,FALSE),"")</f>
        <v/>
      </c>
      <c r="F920" s="6"/>
      <c r="G920" s="6"/>
      <c r="H920" s="6" t="str">
        <f>IF(G920="","",G920)</f>
        <v/>
      </c>
      <c r="I920" s="3" t="str">
        <f>IF(H920="","",IF(H920&gt;=Setup!B7,"ناجح","إعادة تدريب"))</f>
        <v/>
      </c>
      <c r="J920" s="3"/>
      <c r="K920" s="3"/>
      <c r="L920" s="3"/>
      <c r="M920" s="3"/>
    </row>
    <row r="921" spans="1:13" x14ac:dyDescent="0.2">
      <c r="A921" s="3">
        <v>918</v>
      </c>
      <c r="B921" s="3"/>
      <c r="C921" s="3" t="str">
        <f>IFERROR(VLOOKUP(B921,Sessions!A:J,2,FALSE),"")</f>
        <v/>
      </c>
      <c r="D921" s="3"/>
      <c r="E921" s="3" t="str">
        <f>IFERROR(VLOOKUP(D921,Employees!A:L,2,FALSE),"")</f>
        <v/>
      </c>
      <c r="F921" s="6"/>
      <c r="G921" s="6"/>
      <c r="H921" s="6" t="str">
        <f>IF(G921="","",G921)</f>
        <v/>
      </c>
      <c r="I921" s="3" t="str">
        <f>IF(H921="","",IF(H921&gt;=Setup!B7,"ناجح","إعادة تدريب"))</f>
        <v/>
      </c>
      <c r="J921" s="3"/>
      <c r="K921" s="3"/>
      <c r="L921" s="3"/>
      <c r="M921" s="3"/>
    </row>
    <row r="922" spans="1:13" x14ac:dyDescent="0.2">
      <c r="A922" s="3">
        <v>919</v>
      </c>
      <c r="B922" s="3"/>
      <c r="C922" s="3" t="str">
        <f>IFERROR(VLOOKUP(B922,Sessions!A:J,2,FALSE),"")</f>
        <v/>
      </c>
      <c r="D922" s="3"/>
      <c r="E922" s="3" t="str">
        <f>IFERROR(VLOOKUP(D922,Employees!A:L,2,FALSE),"")</f>
        <v/>
      </c>
      <c r="F922" s="6"/>
      <c r="G922" s="6"/>
      <c r="H922" s="6" t="str">
        <f>IF(G922="","",G922)</f>
        <v/>
      </c>
      <c r="I922" s="3" t="str">
        <f>IF(H922="","",IF(H922&gt;=Setup!B7,"ناجح","إعادة تدريب"))</f>
        <v/>
      </c>
      <c r="J922" s="3"/>
      <c r="K922" s="3"/>
      <c r="L922" s="3"/>
      <c r="M922" s="3"/>
    </row>
    <row r="923" spans="1:13" x14ac:dyDescent="0.2">
      <c r="A923" s="3">
        <v>920</v>
      </c>
      <c r="B923" s="3"/>
      <c r="C923" s="3" t="str">
        <f>IFERROR(VLOOKUP(B923,Sessions!A:J,2,FALSE),"")</f>
        <v/>
      </c>
      <c r="D923" s="3"/>
      <c r="E923" s="3" t="str">
        <f>IFERROR(VLOOKUP(D923,Employees!A:L,2,FALSE),"")</f>
        <v/>
      </c>
      <c r="F923" s="6"/>
      <c r="G923" s="6"/>
      <c r="H923" s="6" t="str">
        <f>IF(G923="","",G923)</f>
        <v/>
      </c>
      <c r="I923" s="3" t="str">
        <f>IF(H923="","",IF(H923&gt;=Setup!B7,"ناجح","إعادة تدريب"))</f>
        <v/>
      </c>
      <c r="J923" s="3"/>
      <c r="K923" s="3"/>
      <c r="L923" s="3"/>
      <c r="M923" s="3"/>
    </row>
    <row r="924" spans="1:13" x14ac:dyDescent="0.2">
      <c r="A924" s="3">
        <v>921</v>
      </c>
      <c r="B924" s="3"/>
      <c r="C924" s="3" t="str">
        <f>IFERROR(VLOOKUP(B924,Sessions!A:J,2,FALSE),"")</f>
        <v/>
      </c>
      <c r="D924" s="3"/>
      <c r="E924" s="3" t="str">
        <f>IFERROR(VLOOKUP(D924,Employees!A:L,2,FALSE),"")</f>
        <v/>
      </c>
      <c r="F924" s="6"/>
      <c r="G924" s="6"/>
      <c r="H924" s="6" t="str">
        <f>IF(G924="","",G924)</f>
        <v/>
      </c>
      <c r="I924" s="3" t="str">
        <f>IF(H924="","",IF(H924&gt;=Setup!B7,"ناجح","إعادة تدريب"))</f>
        <v/>
      </c>
      <c r="J924" s="3"/>
      <c r="K924" s="3"/>
      <c r="L924" s="3"/>
      <c r="M924" s="3"/>
    </row>
    <row r="925" spans="1:13" x14ac:dyDescent="0.2">
      <c r="A925" s="3">
        <v>922</v>
      </c>
      <c r="B925" s="3"/>
      <c r="C925" s="3" t="str">
        <f>IFERROR(VLOOKUP(B925,Sessions!A:J,2,FALSE),"")</f>
        <v/>
      </c>
      <c r="D925" s="3"/>
      <c r="E925" s="3" t="str">
        <f>IFERROR(VLOOKUP(D925,Employees!A:L,2,FALSE),"")</f>
        <v/>
      </c>
      <c r="F925" s="6"/>
      <c r="G925" s="6"/>
      <c r="H925" s="6" t="str">
        <f>IF(G925="","",G925)</f>
        <v/>
      </c>
      <c r="I925" s="3" t="str">
        <f>IF(H925="","",IF(H925&gt;=Setup!B7,"ناجح","إعادة تدريب"))</f>
        <v/>
      </c>
      <c r="J925" s="3"/>
      <c r="K925" s="3"/>
      <c r="L925" s="3"/>
      <c r="M925" s="3"/>
    </row>
    <row r="926" spans="1:13" x14ac:dyDescent="0.2">
      <c r="A926" s="3">
        <v>923</v>
      </c>
      <c r="B926" s="3"/>
      <c r="C926" s="3" t="str">
        <f>IFERROR(VLOOKUP(B926,Sessions!A:J,2,FALSE),"")</f>
        <v/>
      </c>
      <c r="D926" s="3"/>
      <c r="E926" s="3" t="str">
        <f>IFERROR(VLOOKUP(D926,Employees!A:L,2,FALSE),"")</f>
        <v/>
      </c>
      <c r="F926" s="6"/>
      <c r="G926" s="6"/>
      <c r="H926" s="6" t="str">
        <f>IF(G926="","",G926)</f>
        <v/>
      </c>
      <c r="I926" s="3" t="str">
        <f>IF(H926="","",IF(H926&gt;=Setup!B7,"ناجح","إعادة تدريب"))</f>
        <v/>
      </c>
      <c r="J926" s="3"/>
      <c r="K926" s="3"/>
      <c r="L926" s="3"/>
      <c r="M926" s="3"/>
    </row>
    <row r="927" spans="1:13" x14ac:dyDescent="0.2">
      <c r="A927" s="3">
        <v>924</v>
      </c>
      <c r="B927" s="3"/>
      <c r="C927" s="3" t="str">
        <f>IFERROR(VLOOKUP(B927,Sessions!A:J,2,FALSE),"")</f>
        <v/>
      </c>
      <c r="D927" s="3"/>
      <c r="E927" s="3" t="str">
        <f>IFERROR(VLOOKUP(D927,Employees!A:L,2,FALSE),"")</f>
        <v/>
      </c>
      <c r="F927" s="6"/>
      <c r="G927" s="6"/>
      <c r="H927" s="6" t="str">
        <f>IF(G927="","",G927)</f>
        <v/>
      </c>
      <c r="I927" s="3" t="str">
        <f>IF(H927="","",IF(H927&gt;=Setup!B7,"ناجح","إعادة تدريب"))</f>
        <v/>
      </c>
      <c r="J927" s="3"/>
      <c r="K927" s="3"/>
      <c r="L927" s="3"/>
      <c r="M927" s="3"/>
    </row>
    <row r="928" spans="1:13" x14ac:dyDescent="0.2">
      <c r="A928" s="3">
        <v>925</v>
      </c>
      <c r="B928" s="3"/>
      <c r="C928" s="3" t="str">
        <f>IFERROR(VLOOKUP(B928,Sessions!A:J,2,FALSE),"")</f>
        <v/>
      </c>
      <c r="D928" s="3"/>
      <c r="E928" s="3" t="str">
        <f>IFERROR(VLOOKUP(D928,Employees!A:L,2,FALSE),"")</f>
        <v/>
      </c>
      <c r="F928" s="6"/>
      <c r="G928" s="6"/>
      <c r="H928" s="6" t="str">
        <f>IF(G928="","",G928)</f>
        <v/>
      </c>
      <c r="I928" s="3" t="str">
        <f>IF(H928="","",IF(H928&gt;=Setup!B7,"ناجح","إعادة تدريب"))</f>
        <v/>
      </c>
      <c r="J928" s="3"/>
      <c r="K928" s="3"/>
      <c r="L928" s="3"/>
      <c r="M928" s="3"/>
    </row>
    <row r="929" spans="1:13" x14ac:dyDescent="0.2">
      <c r="A929" s="3">
        <v>926</v>
      </c>
      <c r="B929" s="3"/>
      <c r="C929" s="3" t="str">
        <f>IFERROR(VLOOKUP(B929,Sessions!A:J,2,FALSE),"")</f>
        <v/>
      </c>
      <c r="D929" s="3"/>
      <c r="E929" s="3" t="str">
        <f>IFERROR(VLOOKUP(D929,Employees!A:L,2,FALSE),"")</f>
        <v/>
      </c>
      <c r="F929" s="6"/>
      <c r="G929" s="6"/>
      <c r="H929" s="6" t="str">
        <f>IF(G929="","",G929)</f>
        <v/>
      </c>
      <c r="I929" s="3" t="str">
        <f>IF(H929="","",IF(H929&gt;=Setup!B7,"ناجح","إعادة تدريب"))</f>
        <v/>
      </c>
      <c r="J929" s="3"/>
      <c r="K929" s="3"/>
      <c r="L929" s="3"/>
      <c r="M929" s="3"/>
    </row>
    <row r="930" spans="1:13" x14ac:dyDescent="0.2">
      <c r="A930" s="3">
        <v>927</v>
      </c>
      <c r="B930" s="3"/>
      <c r="C930" s="3" t="str">
        <f>IFERROR(VLOOKUP(B930,Sessions!A:J,2,FALSE),"")</f>
        <v/>
      </c>
      <c r="D930" s="3"/>
      <c r="E930" s="3" t="str">
        <f>IFERROR(VLOOKUP(D930,Employees!A:L,2,FALSE),"")</f>
        <v/>
      </c>
      <c r="F930" s="6"/>
      <c r="G930" s="6"/>
      <c r="H930" s="6" t="str">
        <f>IF(G930="","",G930)</f>
        <v/>
      </c>
      <c r="I930" s="3" t="str">
        <f>IF(H930="","",IF(H930&gt;=Setup!B7,"ناجح","إعادة تدريب"))</f>
        <v/>
      </c>
      <c r="J930" s="3"/>
      <c r="K930" s="3"/>
      <c r="L930" s="3"/>
      <c r="M930" s="3"/>
    </row>
    <row r="931" spans="1:13" x14ac:dyDescent="0.2">
      <c r="A931" s="3">
        <v>928</v>
      </c>
      <c r="B931" s="3"/>
      <c r="C931" s="3" t="str">
        <f>IFERROR(VLOOKUP(B931,Sessions!A:J,2,FALSE),"")</f>
        <v/>
      </c>
      <c r="D931" s="3"/>
      <c r="E931" s="3" t="str">
        <f>IFERROR(VLOOKUP(D931,Employees!A:L,2,FALSE),"")</f>
        <v/>
      </c>
      <c r="F931" s="6"/>
      <c r="G931" s="6"/>
      <c r="H931" s="6" t="str">
        <f>IF(G931="","",G931)</f>
        <v/>
      </c>
      <c r="I931" s="3" t="str">
        <f>IF(H931="","",IF(H931&gt;=Setup!B7,"ناجح","إعادة تدريب"))</f>
        <v/>
      </c>
      <c r="J931" s="3"/>
      <c r="K931" s="3"/>
      <c r="L931" s="3"/>
      <c r="M931" s="3"/>
    </row>
    <row r="932" spans="1:13" x14ac:dyDescent="0.2">
      <c r="A932" s="3">
        <v>929</v>
      </c>
      <c r="B932" s="3"/>
      <c r="C932" s="3" t="str">
        <f>IFERROR(VLOOKUP(B932,Sessions!A:J,2,FALSE),"")</f>
        <v/>
      </c>
      <c r="D932" s="3"/>
      <c r="E932" s="3" t="str">
        <f>IFERROR(VLOOKUP(D932,Employees!A:L,2,FALSE),"")</f>
        <v/>
      </c>
      <c r="F932" s="6"/>
      <c r="G932" s="6"/>
      <c r="H932" s="6" t="str">
        <f>IF(G932="","",G932)</f>
        <v/>
      </c>
      <c r="I932" s="3" t="str">
        <f>IF(H932="","",IF(H932&gt;=Setup!B7,"ناجح","إعادة تدريب"))</f>
        <v/>
      </c>
      <c r="J932" s="3"/>
      <c r="K932" s="3"/>
      <c r="L932" s="3"/>
      <c r="M932" s="3"/>
    </row>
    <row r="933" spans="1:13" x14ac:dyDescent="0.2">
      <c r="A933" s="3">
        <v>930</v>
      </c>
      <c r="B933" s="3"/>
      <c r="C933" s="3" t="str">
        <f>IFERROR(VLOOKUP(B933,Sessions!A:J,2,FALSE),"")</f>
        <v/>
      </c>
      <c r="D933" s="3"/>
      <c r="E933" s="3" t="str">
        <f>IFERROR(VLOOKUP(D933,Employees!A:L,2,FALSE),"")</f>
        <v/>
      </c>
      <c r="F933" s="6"/>
      <c r="G933" s="6"/>
      <c r="H933" s="6" t="str">
        <f>IF(G933="","",G933)</f>
        <v/>
      </c>
      <c r="I933" s="3" t="str">
        <f>IF(H933="","",IF(H933&gt;=Setup!B7,"ناجح","إعادة تدريب"))</f>
        <v/>
      </c>
      <c r="J933" s="3"/>
      <c r="K933" s="3"/>
      <c r="L933" s="3"/>
      <c r="M933" s="3"/>
    </row>
    <row r="934" spans="1:13" x14ac:dyDescent="0.2">
      <c r="A934" s="3">
        <v>931</v>
      </c>
      <c r="B934" s="3"/>
      <c r="C934" s="3" t="str">
        <f>IFERROR(VLOOKUP(B934,Sessions!A:J,2,FALSE),"")</f>
        <v/>
      </c>
      <c r="D934" s="3"/>
      <c r="E934" s="3" t="str">
        <f>IFERROR(VLOOKUP(D934,Employees!A:L,2,FALSE),"")</f>
        <v/>
      </c>
      <c r="F934" s="6"/>
      <c r="G934" s="6"/>
      <c r="H934" s="6" t="str">
        <f>IF(G934="","",G934)</f>
        <v/>
      </c>
      <c r="I934" s="3" t="str">
        <f>IF(H934="","",IF(H934&gt;=Setup!B7,"ناجح","إعادة تدريب"))</f>
        <v/>
      </c>
      <c r="J934" s="3"/>
      <c r="K934" s="3"/>
      <c r="L934" s="3"/>
      <c r="M934" s="3"/>
    </row>
    <row r="935" spans="1:13" x14ac:dyDescent="0.2">
      <c r="A935" s="3">
        <v>932</v>
      </c>
      <c r="B935" s="3"/>
      <c r="C935" s="3" t="str">
        <f>IFERROR(VLOOKUP(B935,Sessions!A:J,2,FALSE),"")</f>
        <v/>
      </c>
      <c r="D935" s="3"/>
      <c r="E935" s="3" t="str">
        <f>IFERROR(VLOOKUP(D935,Employees!A:L,2,FALSE),"")</f>
        <v/>
      </c>
      <c r="F935" s="6"/>
      <c r="G935" s="6"/>
      <c r="H935" s="6" t="str">
        <f>IF(G935="","",G935)</f>
        <v/>
      </c>
      <c r="I935" s="3" t="str">
        <f>IF(H935="","",IF(H935&gt;=Setup!B7,"ناجح","إعادة تدريب"))</f>
        <v/>
      </c>
      <c r="J935" s="3"/>
      <c r="K935" s="3"/>
      <c r="L935" s="3"/>
      <c r="M935" s="3"/>
    </row>
    <row r="936" spans="1:13" x14ac:dyDescent="0.2">
      <c r="A936" s="3">
        <v>933</v>
      </c>
      <c r="B936" s="3"/>
      <c r="C936" s="3" t="str">
        <f>IFERROR(VLOOKUP(B936,Sessions!A:J,2,FALSE),"")</f>
        <v/>
      </c>
      <c r="D936" s="3"/>
      <c r="E936" s="3" t="str">
        <f>IFERROR(VLOOKUP(D936,Employees!A:L,2,FALSE),"")</f>
        <v/>
      </c>
      <c r="F936" s="6"/>
      <c r="G936" s="6"/>
      <c r="H936" s="6" t="str">
        <f>IF(G936="","",G936)</f>
        <v/>
      </c>
      <c r="I936" s="3" t="str">
        <f>IF(H936="","",IF(H936&gt;=Setup!B7,"ناجح","إعادة تدريب"))</f>
        <v/>
      </c>
      <c r="J936" s="3"/>
      <c r="K936" s="3"/>
      <c r="L936" s="3"/>
      <c r="M936" s="3"/>
    </row>
    <row r="937" spans="1:13" x14ac:dyDescent="0.2">
      <c r="A937" s="3">
        <v>934</v>
      </c>
      <c r="B937" s="3"/>
      <c r="C937" s="3" t="str">
        <f>IFERROR(VLOOKUP(B937,Sessions!A:J,2,FALSE),"")</f>
        <v/>
      </c>
      <c r="D937" s="3"/>
      <c r="E937" s="3" t="str">
        <f>IFERROR(VLOOKUP(D937,Employees!A:L,2,FALSE),"")</f>
        <v/>
      </c>
      <c r="F937" s="6"/>
      <c r="G937" s="6"/>
      <c r="H937" s="6" t="str">
        <f>IF(G937="","",G937)</f>
        <v/>
      </c>
      <c r="I937" s="3" t="str">
        <f>IF(H937="","",IF(H937&gt;=Setup!B7,"ناجح","إعادة تدريب"))</f>
        <v/>
      </c>
      <c r="J937" s="3"/>
      <c r="K937" s="3"/>
      <c r="L937" s="3"/>
      <c r="M937" s="3"/>
    </row>
    <row r="938" spans="1:13" x14ac:dyDescent="0.2">
      <c r="A938" s="3">
        <v>935</v>
      </c>
      <c r="B938" s="3"/>
      <c r="C938" s="3" t="str">
        <f>IFERROR(VLOOKUP(B938,Sessions!A:J,2,FALSE),"")</f>
        <v/>
      </c>
      <c r="D938" s="3"/>
      <c r="E938" s="3" t="str">
        <f>IFERROR(VLOOKUP(D938,Employees!A:L,2,FALSE),"")</f>
        <v/>
      </c>
      <c r="F938" s="6"/>
      <c r="G938" s="6"/>
      <c r="H938" s="6" t="str">
        <f>IF(G938="","",G938)</f>
        <v/>
      </c>
      <c r="I938" s="3" t="str">
        <f>IF(H938="","",IF(H938&gt;=Setup!B7,"ناجح","إعادة تدريب"))</f>
        <v/>
      </c>
      <c r="J938" s="3"/>
      <c r="K938" s="3"/>
      <c r="L938" s="3"/>
      <c r="M938" s="3"/>
    </row>
    <row r="939" spans="1:13" x14ac:dyDescent="0.2">
      <c r="A939" s="3">
        <v>936</v>
      </c>
      <c r="B939" s="3"/>
      <c r="C939" s="3" t="str">
        <f>IFERROR(VLOOKUP(B939,Sessions!A:J,2,FALSE),"")</f>
        <v/>
      </c>
      <c r="D939" s="3"/>
      <c r="E939" s="3" t="str">
        <f>IFERROR(VLOOKUP(D939,Employees!A:L,2,FALSE),"")</f>
        <v/>
      </c>
      <c r="F939" s="6"/>
      <c r="G939" s="6"/>
      <c r="H939" s="6" t="str">
        <f>IF(G939="","",G939)</f>
        <v/>
      </c>
      <c r="I939" s="3" t="str">
        <f>IF(H939="","",IF(H939&gt;=Setup!B7,"ناجح","إعادة تدريب"))</f>
        <v/>
      </c>
      <c r="J939" s="3"/>
      <c r="K939" s="3"/>
      <c r="L939" s="3"/>
      <c r="M939" s="3"/>
    </row>
    <row r="940" spans="1:13" x14ac:dyDescent="0.2">
      <c r="A940" s="3">
        <v>937</v>
      </c>
      <c r="B940" s="3"/>
      <c r="C940" s="3" t="str">
        <f>IFERROR(VLOOKUP(B940,Sessions!A:J,2,FALSE),"")</f>
        <v/>
      </c>
      <c r="D940" s="3"/>
      <c r="E940" s="3" t="str">
        <f>IFERROR(VLOOKUP(D940,Employees!A:L,2,FALSE),"")</f>
        <v/>
      </c>
      <c r="F940" s="6"/>
      <c r="G940" s="6"/>
      <c r="H940" s="6" t="str">
        <f>IF(G940="","",G940)</f>
        <v/>
      </c>
      <c r="I940" s="3" t="str">
        <f>IF(H940="","",IF(H940&gt;=Setup!B7,"ناجح","إعادة تدريب"))</f>
        <v/>
      </c>
      <c r="J940" s="3"/>
      <c r="K940" s="3"/>
      <c r="L940" s="3"/>
      <c r="M940" s="3"/>
    </row>
    <row r="941" spans="1:13" x14ac:dyDescent="0.2">
      <c r="A941" s="3">
        <v>938</v>
      </c>
      <c r="B941" s="3"/>
      <c r="C941" s="3" t="str">
        <f>IFERROR(VLOOKUP(B941,Sessions!A:J,2,FALSE),"")</f>
        <v/>
      </c>
      <c r="D941" s="3"/>
      <c r="E941" s="3" t="str">
        <f>IFERROR(VLOOKUP(D941,Employees!A:L,2,FALSE),"")</f>
        <v/>
      </c>
      <c r="F941" s="6"/>
      <c r="G941" s="6"/>
      <c r="H941" s="6" t="str">
        <f>IF(G941="","",G941)</f>
        <v/>
      </c>
      <c r="I941" s="3" t="str">
        <f>IF(H941="","",IF(H941&gt;=Setup!B7,"ناجح","إعادة تدريب"))</f>
        <v/>
      </c>
      <c r="J941" s="3"/>
      <c r="K941" s="3"/>
      <c r="L941" s="3"/>
      <c r="M941" s="3"/>
    </row>
    <row r="942" spans="1:13" x14ac:dyDescent="0.2">
      <c r="A942" s="3">
        <v>939</v>
      </c>
      <c r="B942" s="3"/>
      <c r="C942" s="3" t="str">
        <f>IFERROR(VLOOKUP(B942,Sessions!A:J,2,FALSE),"")</f>
        <v/>
      </c>
      <c r="D942" s="3"/>
      <c r="E942" s="3" t="str">
        <f>IFERROR(VLOOKUP(D942,Employees!A:L,2,FALSE),"")</f>
        <v/>
      </c>
      <c r="F942" s="6"/>
      <c r="G942" s="6"/>
      <c r="H942" s="6" t="str">
        <f>IF(G942="","",G942)</f>
        <v/>
      </c>
      <c r="I942" s="3" t="str">
        <f>IF(H942="","",IF(H942&gt;=Setup!B7,"ناجح","إعادة تدريب"))</f>
        <v/>
      </c>
      <c r="J942" s="3"/>
      <c r="K942" s="3"/>
      <c r="L942" s="3"/>
      <c r="M942" s="3"/>
    </row>
    <row r="943" spans="1:13" x14ac:dyDescent="0.2">
      <c r="A943" s="3">
        <v>940</v>
      </c>
      <c r="B943" s="3"/>
      <c r="C943" s="3" t="str">
        <f>IFERROR(VLOOKUP(B943,Sessions!A:J,2,FALSE),"")</f>
        <v/>
      </c>
      <c r="D943" s="3"/>
      <c r="E943" s="3" t="str">
        <f>IFERROR(VLOOKUP(D943,Employees!A:L,2,FALSE),"")</f>
        <v/>
      </c>
      <c r="F943" s="6"/>
      <c r="G943" s="6"/>
      <c r="H943" s="6" t="str">
        <f>IF(G943="","",G943)</f>
        <v/>
      </c>
      <c r="I943" s="3" t="str">
        <f>IF(H943="","",IF(H943&gt;=Setup!B7,"ناجح","إعادة تدريب"))</f>
        <v/>
      </c>
      <c r="J943" s="3"/>
      <c r="K943" s="3"/>
      <c r="L943" s="3"/>
      <c r="M943" s="3"/>
    </row>
    <row r="944" spans="1:13" x14ac:dyDescent="0.2">
      <c r="A944" s="3">
        <v>941</v>
      </c>
      <c r="B944" s="3"/>
      <c r="C944" s="3" t="str">
        <f>IFERROR(VLOOKUP(B944,Sessions!A:J,2,FALSE),"")</f>
        <v/>
      </c>
      <c r="D944" s="3"/>
      <c r="E944" s="3" t="str">
        <f>IFERROR(VLOOKUP(D944,Employees!A:L,2,FALSE),"")</f>
        <v/>
      </c>
      <c r="F944" s="6"/>
      <c r="G944" s="6"/>
      <c r="H944" s="6" t="str">
        <f>IF(G944="","",G944)</f>
        <v/>
      </c>
      <c r="I944" s="3" t="str">
        <f>IF(H944="","",IF(H944&gt;=Setup!B7,"ناجح","إعادة تدريب"))</f>
        <v/>
      </c>
      <c r="J944" s="3"/>
      <c r="K944" s="3"/>
      <c r="L944" s="3"/>
      <c r="M944" s="3"/>
    </row>
    <row r="945" spans="1:13" x14ac:dyDescent="0.2">
      <c r="A945" s="3">
        <v>942</v>
      </c>
      <c r="B945" s="3"/>
      <c r="C945" s="3" t="str">
        <f>IFERROR(VLOOKUP(B945,Sessions!A:J,2,FALSE),"")</f>
        <v/>
      </c>
      <c r="D945" s="3"/>
      <c r="E945" s="3" t="str">
        <f>IFERROR(VLOOKUP(D945,Employees!A:L,2,FALSE),"")</f>
        <v/>
      </c>
      <c r="F945" s="6"/>
      <c r="G945" s="6"/>
      <c r="H945" s="6" t="str">
        <f>IF(G945="","",G945)</f>
        <v/>
      </c>
      <c r="I945" s="3" t="str">
        <f>IF(H945="","",IF(H945&gt;=Setup!B7,"ناجح","إعادة تدريب"))</f>
        <v/>
      </c>
      <c r="J945" s="3"/>
      <c r="K945" s="3"/>
      <c r="L945" s="3"/>
      <c r="M945" s="3"/>
    </row>
    <row r="946" spans="1:13" x14ac:dyDescent="0.2">
      <c r="A946" s="3">
        <v>943</v>
      </c>
      <c r="B946" s="3"/>
      <c r="C946" s="3" t="str">
        <f>IFERROR(VLOOKUP(B946,Sessions!A:J,2,FALSE),"")</f>
        <v/>
      </c>
      <c r="D946" s="3"/>
      <c r="E946" s="3" t="str">
        <f>IFERROR(VLOOKUP(D946,Employees!A:L,2,FALSE),"")</f>
        <v/>
      </c>
      <c r="F946" s="6"/>
      <c r="G946" s="6"/>
      <c r="H946" s="6" t="str">
        <f>IF(G946="","",G946)</f>
        <v/>
      </c>
      <c r="I946" s="3" t="str">
        <f>IF(H946="","",IF(H946&gt;=Setup!B7,"ناجح","إعادة تدريب"))</f>
        <v/>
      </c>
      <c r="J946" s="3"/>
      <c r="K946" s="3"/>
      <c r="L946" s="3"/>
      <c r="M946" s="3"/>
    </row>
    <row r="947" spans="1:13" x14ac:dyDescent="0.2">
      <c r="A947" s="3">
        <v>944</v>
      </c>
      <c r="B947" s="3"/>
      <c r="C947" s="3" t="str">
        <f>IFERROR(VLOOKUP(B947,Sessions!A:J,2,FALSE),"")</f>
        <v/>
      </c>
      <c r="D947" s="3"/>
      <c r="E947" s="3" t="str">
        <f>IFERROR(VLOOKUP(D947,Employees!A:L,2,FALSE),"")</f>
        <v/>
      </c>
      <c r="F947" s="6"/>
      <c r="G947" s="6"/>
      <c r="H947" s="6" t="str">
        <f>IF(G947="","",G947)</f>
        <v/>
      </c>
      <c r="I947" s="3" t="str">
        <f>IF(H947="","",IF(H947&gt;=Setup!B7,"ناجح","إعادة تدريب"))</f>
        <v/>
      </c>
      <c r="J947" s="3"/>
      <c r="K947" s="3"/>
      <c r="L947" s="3"/>
      <c r="M947" s="3"/>
    </row>
    <row r="948" spans="1:13" x14ac:dyDescent="0.2">
      <c r="A948" s="3">
        <v>945</v>
      </c>
      <c r="B948" s="3"/>
      <c r="C948" s="3" t="str">
        <f>IFERROR(VLOOKUP(B948,Sessions!A:J,2,FALSE),"")</f>
        <v/>
      </c>
      <c r="D948" s="3"/>
      <c r="E948" s="3" t="str">
        <f>IFERROR(VLOOKUP(D948,Employees!A:L,2,FALSE),"")</f>
        <v/>
      </c>
      <c r="F948" s="6"/>
      <c r="G948" s="6"/>
      <c r="H948" s="6" t="str">
        <f>IF(G948="","",G948)</f>
        <v/>
      </c>
      <c r="I948" s="3" t="str">
        <f>IF(H948="","",IF(H948&gt;=Setup!B7,"ناجح","إعادة تدريب"))</f>
        <v/>
      </c>
      <c r="J948" s="3"/>
      <c r="K948" s="3"/>
      <c r="L948" s="3"/>
      <c r="M948" s="3"/>
    </row>
    <row r="949" spans="1:13" x14ac:dyDescent="0.2">
      <c r="A949" s="3">
        <v>946</v>
      </c>
      <c r="B949" s="3"/>
      <c r="C949" s="3" t="str">
        <f>IFERROR(VLOOKUP(B949,Sessions!A:J,2,FALSE),"")</f>
        <v/>
      </c>
      <c r="D949" s="3"/>
      <c r="E949" s="3" t="str">
        <f>IFERROR(VLOOKUP(D949,Employees!A:L,2,FALSE),"")</f>
        <v/>
      </c>
      <c r="F949" s="6"/>
      <c r="G949" s="6"/>
      <c r="H949" s="6" t="str">
        <f>IF(G949="","",G949)</f>
        <v/>
      </c>
      <c r="I949" s="3" t="str">
        <f>IF(H949="","",IF(H949&gt;=Setup!B7,"ناجح","إعادة تدريب"))</f>
        <v/>
      </c>
      <c r="J949" s="3"/>
      <c r="K949" s="3"/>
      <c r="L949" s="3"/>
      <c r="M949" s="3"/>
    </row>
    <row r="950" spans="1:13" x14ac:dyDescent="0.2">
      <c r="A950" s="3">
        <v>947</v>
      </c>
      <c r="B950" s="3"/>
      <c r="C950" s="3" t="str">
        <f>IFERROR(VLOOKUP(B950,Sessions!A:J,2,FALSE),"")</f>
        <v/>
      </c>
      <c r="D950" s="3"/>
      <c r="E950" s="3" t="str">
        <f>IFERROR(VLOOKUP(D950,Employees!A:L,2,FALSE),"")</f>
        <v/>
      </c>
      <c r="F950" s="6"/>
      <c r="G950" s="6"/>
      <c r="H950" s="6" t="str">
        <f>IF(G950="","",G950)</f>
        <v/>
      </c>
      <c r="I950" s="3" t="str">
        <f>IF(H950="","",IF(H950&gt;=Setup!B7,"ناجح","إعادة تدريب"))</f>
        <v/>
      </c>
      <c r="J950" s="3"/>
      <c r="K950" s="3"/>
      <c r="L950" s="3"/>
      <c r="M950" s="3"/>
    </row>
    <row r="951" spans="1:13" x14ac:dyDescent="0.2">
      <c r="A951" s="3">
        <v>948</v>
      </c>
      <c r="B951" s="3"/>
      <c r="C951" s="3" t="str">
        <f>IFERROR(VLOOKUP(B951,Sessions!A:J,2,FALSE),"")</f>
        <v/>
      </c>
      <c r="D951" s="3"/>
      <c r="E951" s="3" t="str">
        <f>IFERROR(VLOOKUP(D951,Employees!A:L,2,FALSE),"")</f>
        <v/>
      </c>
      <c r="F951" s="6"/>
      <c r="G951" s="6"/>
      <c r="H951" s="6" t="str">
        <f>IF(G951="","",G951)</f>
        <v/>
      </c>
      <c r="I951" s="3" t="str">
        <f>IF(H951="","",IF(H951&gt;=Setup!B7,"ناجح","إعادة تدريب"))</f>
        <v/>
      </c>
      <c r="J951" s="3"/>
      <c r="K951" s="3"/>
      <c r="L951" s="3"/>
      <c r="M951" s="3"/>
    </row>
    <row r="952" spans="1:13" x14ac:dyDescent="0.2">
      <c r="A952" s="3">
        <v>949</v>
      </c>
      <c r="B952" s="3"/>
      <c r="C952" s="3" t="str">
        <f>IFERROR(VLOOKUP(B952,Sessions!A:J,2,FALSE),"")</f>
        <v/>
      </c>
      <c r="D952" s="3"/>
      <c r="E952" s="3" t="str">
        <f>IFERROR(VLOOKUP(D952,Employees!A:L,2,FALSE),"")</f>
        <v/>
      </c>
      <c r="F952" s="6"/>
      <c r="G952" s="6"/>
      <c r="H952" s="6" t="str">
        <f>IF(G952="","",G952)</f>
        <v/>
      </c>
      <c r="I952" s="3" t="str">
        <f>IF(H952="","",IF(H952&gt;=Setup!B7,"ناجح","إعادة تدريب"))</f>
        <v/>
      </c>
      <c r="J952" s="3"/>
      <c r="K952" s="3"/>
      <c r="L952" s="3"/>
      <c r="M952" s="3"/>
    </row>
    <row r="953" spans="1:13" x14ac:dyDescent="0.2">
      <c r="A953" s="3">
        <v>950</v>
      </c>
      <c r="B953" s="3"/>
      <c r="C953" s="3" t="str">
        <f>IFERROR(VLOOKUP(B953,Sessions!A:J,2,FALSE),"")</f>
        <v/>
      </c>
      <c r="D953" s="3"/>
      <c r="E953" s="3" t="str">
        <f>IFERROR(VLOOKUP(D953,Employees!A:L,2,FALSE),"")</f>
        <v/>
      </c>
      <c r="F953" s="6"/>
      <c r="G953" s="6"/>
      <c r="H953" s="6" t="str">
        <f>IF(G953="","",G953)</f>
        <v/>
      </c>
      <c r="I953" s="3" t="str">
        <f>IF(H953="","",IF(H953&gt;=Setup!B7,"ناجح","إعادة تدريب"))</f>
        <v/>
      </c>
      <c r="J953" s="3"/>
      <c r="K953" s="3"/>
      <c r="L953" s="3"/>
      <c r="M953" s="3"/>
    </row>
    <row r="954" spans="1:13" x14ac:dyDescent="0.2">
      <c r="A954" s="3">
        <v>951</v>
      </c>
      <c r="B954" s="3"/>
      <c r="C954" s="3" t="str">
        <f>IFERROR(VLOOKUP(B954,Sessions!A:J,2,FALSE),"")</f>
        <v/>
      </c>
      <c r="D954" s="3"/>
      <c r="E954" s="3" t="str">
        <f>IFERROR(VLOOKUP(D954,Employees!A:L,2,FALSE),"")</f>
        <v/>
      </c>
      <c r="F954" s="6"/>
      <c r="G954" s="6"/>
      <c r="H954" s="6" t="str">
        <f>IF(G954="","",G954)</f>
        <v/>
      </c>
      <c r="I954" s="3" t="str">
        <f>IF(H954="","",IF(H954&gt;=Setup!B7,"ناجح","إعادة تدريب"))</f>
        <v/>
      </c>
      <c r="J954" s="3"/>
      <c r="K954" s="3"/>
      <c r="L954" s="3"/>
      <c r="M954" s="3"/>
    </row>
    <row r="955" spans="1:13" x14ac:dyDescent="0.2">
      <c r="A955" s="3">
        <v>952</v>
      </c>
      <c r="B955" s="3"/>
      <c r="C955" s="3" t="str">
        <f>IFERROR(VLOOKUP(B955,Sessions!A:J,2,FALSE),"")</f>
        <v/>
      </c>
      <c r="D955" s="3"/>
      <c r="E955" s="3" t="str">
        <f>IFERROR(VLOOKUP(D955,Employees!A:L,2,FALSE),"")</f>
        <v/>
      </c>
      <c r="F955" s="6"/>
      <c r="G955" s="6"/>
      <c r="H955" s="6" t="str">
        <f>IF(G955="","",G955)</f>
        <v/>
      </c>
      <c r="I955" s="3" t="str">
        <f>IF(H955="","",IF(H955&gt;=Setup!B7,"ناجح","إعادة تدريب"))</f>
        <v/>
      </c>
      <c r="J955" s="3"/>
      <c r="K955" s="3"/>
      <c r="L955" s="3"/>
      <c r="M955" s="3"/>
    </row>
    <row r="956" spans="1:13" x14ac:dyDescent="0.2">
      <c r="A956" s="3">
        <v>953</v>
      </c>
      <c r="B956" s="3"/>
      <c r="C956" s="3" t="str">
        <f>IFERROR(VLOOKUP(B956,Sessions!A:J,2,FALSE),"")</f>
        <v/>
      </c>
      <c r="D956" s="3"/>
      <c r="E956" s="3" t="str">
        <f>IFERROR(VLOOKUP(D956,Employees!A:L,2,FALSE),"")</f>
        <v/>
      </c>
      <c r="F956" s="6"/>
      <c r="G956" s="6"/>
      <c r="H956" s="6" t="str">
        <f>IF(G956="","",G956)</f>
        <v/>
      </c>
      <c r="I956" s="3" t="str">
        <f>IF(H956="","",IF(H956&gt;=Setup!B7,"ناجح","إعادة تدريب"))</f>
        <v/>
      </c>
      <c r="J956" s="3"/>
      <c r="K956" s="3"/>
      <c r="L956" s="3"/>
      <c r="M956" s="3"/>
    </row>
    <row r="957" spans="1:13" x14ac:dyDescent="0.2">
      <c r="A957" s="3">
        <v>954</v>
      </c>
      <c r="B957" s="3"/>
      <c r="C957" s="3" t="str">
        <f>IFERROR(VLOOKUP(B957,Sessions!A:J,2,FALSE),"")</f>
        <v/>
      </c>
      <c r="D957" s="3"/>
      <c r="E957" s="3" t="str">
        <f>IFERROR(VLOOKUP(D957,Employees!A:L,2,FALSE),"")</f>
        <v/>
      </c>
      <c r="F957" s="6"/>
      <c r="G957" s="6"/>
      <c r="H957" s="6" t="str">
        <f>IF(G957="","",G957)</f>
        <v/>
      </c>
      <c r="I957" s="3" t="str">
        <f>IF(H957="","",IF(H957&gt;=Setup!B7,"ناجح","إعادة تدريب"))</f>
        <v/>
      </c>
      <c r="J957" s="3"/>
      <c r="K957" s="3"/>
      <c r="L957" s="3"/>
      <c r="M957" s="3"/>
    </row>
    <row r="958" spans="1:13" x14ac:dyDescent="0.2">
      <c r="A958" s="3">
        <v>955</v>
      </c>
      <c r="B958" s="3"/>
      <c r="C958" s="3" t="str">
        <f>IFERROR(VLOOKUP(B958,Sessions!A:J,2,FALSE),"")</f>
        <v/>
      </c>
      <c r="D958" s="3"/>
      <c r="E958" s="3" t="str">
        <f>IFERROR(VLOOKUP(D958,Employees!A:L,2,FALSE),"")</f>
        <v/>
      </c>
      <c r="F958" s="6"/>
      <c r="G958" s="6"/>
      <c r="H958" s="6" t="str">
        <f>IF(G958="","",G958)</f>
        <v/>
      </c>
      <c r="I958" s="3" t="str">
        <f>IF(H958="","",IF(H958&gt;=Setup!B7,"ناجح","إعادة تدريب"))</f>
        <v/>
      </c>
      <c r="J958" s="3"/>
      <c r="K958" s="3"/>
      <c r="L958" s="3"/>
      <c r="M958" s="3"/>
    </row>
    <row r="959" spans="1:13" x14ac:dyDescent="0.2">
      <c r="A959" s="3">
        <v>956</v>
      </c>
      <c r="B959" s="3"/>
      <c r="C959" s="3" t="str">
        <f>IFERROR(VLOOKUP(B959,Sessions!A:J,2,FALSE),"")</f>
        <v/>
      </c>
      <c r="D959" s="3"/>
      <c r="E959" s="3" t="str">
        <f>IFERROR(VLOOKUP(D959,Employees!A:L,2,FALSE),"")</f>
        <v/>
      </c>
      <c r="F959" s="6"/>
      <c r="G959" s="6"/>
      <c r="H959" s="6" t="str">
        <f>IF(G959="","",G959)</f>
        <v/>
      </c>
      <c r="I959" s="3" t="str">
        <f>IF(H959="","",IF(H959&gt;=Setup!B7,"ناجح","إعادة تدريب"))</f>
        <v/>
      </c>
      <c r="J959" s="3"/>
      <c r="K959" s="3"/>
      <c r="L959" s="3"/>
      <c r="M959" s="3"/>
    </row>
    <row r="960" spans="1:13" x14ac:dyDescent="0.2">
      <c r="A960" s="3">
        <v>957</v>
      </c>
      <c r="B960" s="3"/>
      <c r="C960" s="3" t="str">
        <f>IFERROR(VLOOKUP(B960,Sessions!A:J,2,FALSE),"")</f>
        <v/>
      </c>
      <c r="D960" s="3"/>
      <c r="E960" s="3" t="str">
        <f>IFERROR(VLOOKUP(D960,Employees!A:L,2,FALSE),"")</f>
        <v/>
      </c>
      <c r="F960" s="6"/>
      <c r="G960" s="6"/>
      <c r="H960" s="6" t="str">
        <f>IF(G960="","",G960)</f>
        <v/>
      </c>
      <c r="I960" s="3" t="str">
        <f>IF(H960="","",IF(H960&gt;=Setup!B7,"ناجح","إعادة تدريب"))</f>
        <v/>
      </c>
      <c r="J960" s="3"/>
      <c r="K960" s="3"/>
      <c r="L960" s="3"/>
      <c r="M960" s="3"/>
    </row>
    <row r="961" spans="1:13" x14ac:dyDescent="0.2">
      <c r="A961" s="3">
        <v>958</v>
      </c>
      <c r="B961" s="3"/>
      <c r="C961" s="3" t="str">
        <f>IFERROR(VLOOKUP(B961,Sessions!A:J,2,FALSE),"")</f>
        <v/>
      </c>
      <c r="D961" s="3"/>
      <c r="E961" s="3" t="str">
        <f>IFERROR(VLOOKUP(D961,Employees!A:L,2,FALSE),"")</f>
        <v/>
      </c>
      <c r="F961" s="6"/>
      <c r="G961" s="6"/>
      <c r="H961" s="6" t="str">
        <f>IF(G961="","",G961)</f>
        <v/>
      </c>
      <c r="I961" s="3" t="str">
        <f>IF(H961="","",IF(H961&gt;=Setup!B7,"ناجح","إعادة تدريب"))</f>
        <v/>
      </c>
      <c r="J961" s="3"/>
      <c r="K961" s="3"/>
      <c r="L961" s="3"/>
      <c r="M961" s="3"/>
    </row>
    <row r="962" spans="1:13" x14ac:dyDescent="0.2">
      <c r="A962" s="3">
        <v>959</v>
      </c>
      <c r="B962" s="3"/>
      <c r="C962" s="3" t="str">
        <f>IFERROR(VLOOKUP(B962,Sessions!A:J,2,FALSE),"")</f>
        <v/>
      </c>
      <c r="D962" s="3"/>
      <c r="E962" s="3" t="str">
        <f>IFERROR(VLOOKUP(D962,Employees!A:L,2,FALSE),"")</f>
        <v/>
      </c>
      <c r="F962" s="6"/>
      <c r="G962" s="6"/>
      <c r="H962" s="6" t="str">
        <f>IF(G962="","",G962)</f>
        <v/>
      </c>
      <c r="I962" s="3" t="str">
        <f>IF(H962="","",IF(H962&gt;=Setup!B7,"ناجح","إعادة تدريب"))</f>
        <v/>
      </c>
      <c r="J962" s="3"/>
      <c r="K962" s="3"/>
      <c r="L962" s="3"/>
      <c r="M962" s="3"/>
    </row>
    <row r="963" spans="1:13" x14ac:dyDescent="0.2">
      <c r="A963" s="3">
        <v>960</v>
      </c>
      <c r="B963" s="3"/>
      <c r="C963" s="3" t="str">
        <f>IFERROR(VLOOKUP(B963,Sessions!A:J,2,FALSE),"")</f>
        <v/>
      </c>
      <c r="D963" s="3"/>
      <c r="E963" s="3" t="str">
        <f>IFERROR(VLOOKUP(D963,Employees!A:L,2,FALSE),"")</f>
        <v/>
      </c>
      <c r="F963" s="6"/>
      <c r="G963" s="6"/>
      <c r="H963" s="6" t="str">
        <f>IF(G963="","",G963)</f>
        <v/>
      </c>
      <c r="I963" s="3" t="str">
        <f>IF(H963="","",IF(H963&gt;=Setup!B7,"ناجح","إعادة تدريب"))</f>
        <v/>
      </c>
      <c r="J963" s="3"/>
      <c r="K963" s="3"/>
      <c r="L963" s="3"/>
      <c r="M963" s="3"/>
    </row>
    <row r="964" spans="1:13" x14ac:dyDescent="0.2">
      <c r="A964" s="3">
        <v>961</v>
      </c>
      <c r="B964" s="3"/>
      <c r="C964" s="3" t="str">
        <f>IFERROR(VLOOKUP(B964,Sessions!A:J,2,FALSE),"")</f>
        <v/>
      </c>
      <c r="D964" s="3"/>
      <c r="E964" s="3" t="str">
        <f>IFERROR(VLOOKUP(D964,Employees!A:L,2,FALSE),"")</f>
        <v/>
      </c>
      <c r="F964" s="6"/>
      <c r="G964" s="6"/>
      <c r="H964" s="6" t="str">
        <f>IF(G964="","",G964)</f>
        <v/>
      </c>
      <c r="I964" s="3" t="str">
        <f>IF(H964="","",IF(H964&gt;=Setup!B7,"ناجح","إعادة تدريب"))</f>
        <v/>
      </c>
      <c r="J964" s="3"/>
      <c r="K964" s="3"/>
      <c r="L964" s="3"/>
      <c r="M964" s="3"/>
    </row>
    <row r="965" spans="1:13" x14ac:dyDescent="0.2">
      <c r="A965" s="3">
        <v>962</v>
      </c>
      <c r="B965" s="3"/>
      <c r="C965" s="3" t="str">
        <f>IFERROR(VLOOKUP(B965,Sessions!A:J,2,FALSE),"")</f>
        <v/>
      </c>
      <c r="D965" s="3"/>
      <c r="E965" s="3" t="str">
        <f>IFERROR(VLOOKUP(D965,Employees!A:L,2,FALSE),"")</f>
        <v/>
      </c>
      <c r="F965" s="6"/>
      <c r="G965" s="6"/>
      <c r="H965" s="6" t="str">
        <f>IF(G965="","",G965)</f>
        <v/>
      </c>
      <c r="I965" s="3" t="str">
        <f>IF(H965="","",IF(H965&gt;=Setup!B7,"ناجح","إعادة تدريب"))</f>
        <v/>
      </c>
      <c r="J965" s="3"/>
      <c r="K965" s="3"/>
      <c r="L965" s="3"/>
      <c r="M965" s="3"/>
    </row>
    <row r="966" spans="1:13" x14ac:dyDescent="0.2">
      <c r="A966" s="3">
        <v>963</v>
      </c>
      <c r="B966" s="3"/>
      <c r="C966" s="3" t="str">
        <f>IFERROR(VLOOKUP(B966,Sessions!A:J,2,FALSE),"")</f>
        <v/>
      </c>
      <c r="D966" s="3"/>
      <c r="E966" s="3" t="str">
        <f>IFERROR(VLOOKUP(D966,Employees!A:L,2,FALSE),"")</f>
        <v/>
      </c>
      <c r="F966" s="6"/>
      <c r="G966" s="6"/>
      <c r="H966" s="6" t="str">
        <f>IF(G966="","",G966)</f>
        <v/>
      </c>
      <c r="I966" s="3" t="str">
        <f>IF(H966="","",IF(H966&gt;=Setup!B7,"ناجح","إعادة تدريب"))</f>
        <v/>
      </c>
      <c r="J966" s="3"/>
      <c r="K966" s="3"/>
      <c r="L966" s="3"/>
      <c r="M966" s="3"/>
    </row>
    <row r="967" spans="1:13" x14ac:dyDescent="0.2">
      <c r="A967" s="3">
        <v>964</v>
      </c>
      <c r="B967" s="3"/>
      <c r="C967" s="3" t="str">
        <f>IFERROR(VLOOKUP(B967,Sessions!A:J,2,FALSE),"")</f>
        <v/>
      </c>
      <c r="D967" s="3"/>
      <c r="E967" s="3" t="str">
        <f>IFERROR(VLOOKUP(D967,Employees!A:L,2,FALSE),"")</f>
        <v/>
      </c>
      <c r="F967" s="6"/>
      <c r="G967" s="6"/>
      <c r="H967" s="6" t="str">
        <f>IF(G967="","",G967)</f>
        <v/>
      </c>
      <c r="I967" s="3" t="str">
        <f>IF(H967="","",IF(H967&gt;=Setup!B7,"ناجح","إعادة تدريب"))</f>
        <v/>
      </c>
      <c r="J967" s="3"/>
      <c r="K967" s="3"/>
      <c r="L967" s="3"/>
      <c r="M967" s="3"/>
    </row>
    <row r="968" spans="1:13" x14ac:dyDescent="0.2">
      <c r="A968" s="3">
        <v>965</v>
      </c>
      <c r="B968" s="3"/>
      <c r="C968" s="3" t="str">
        <f>IFERROR(VLOOKUP(B968,Sessions!A:J,2,FALSE),"")</f>
        <v/>
      </c>
      <c r="D968" s="3"/>
      <c r="E968" s="3" t="str">
        <f>IFERROR(VLOOKUP(D968,Employees!A:L,2,FALSE),"")</f>
        <v/>
      </c>
      <c r="F968" s="6"/>
      <c r="G968" s="6"/>
      <c r="H968" s="6" t="str">
        <f>IF(G968="","",G968)</f>
        <v/>
      </c>
      <c r="I968" s="3" t="str">
        <f>IF(H968="","",IF(H968&gt;=Setup!B7,"ناجح","إعادة تدريب"))</f>
        <v/>
      </c>
      <c r="J968" s="3"/>
      <c r="K968" s="3"/>
      <c r="L968" s="3"/>
      <c r="M968" s="3"/>
    </row>
    <row r="969" spans="1:13" x14ac:dyDescent="0.2">
      <c r="A969" s="3">
        <v>966</v>
      </c>
      <c r="B969" s="3"/>
      <c r="C969" s="3" t="str">
        <f>IFERROR(VLOOKUP(B969,Sessions!A:J,2,FALSE),"")</f>
        <v/>
      </c>
      <c r="D969" s="3"/>
      <c r="E969" s="3" t="str">
        <f>IFERROR(VLOOKUP(D969,Employees!A:L,2,FALSE),"")</f>
        <v/>
      </c>
      <c r="F969" s="6"/>
      <c r="G969" s="6"/>
      <c r="H969" s="6" t="str">
        <f>IF(G969="","",G969)</f>
        <v/>
      </c>
      <c r="I969" s="3" t="str">
        <f>IF(H969="","",IF(H969&gt;=Setup!B7,"ناجح","إعادة تدريب"))</f>
        <v/>
      </c>
      <c r="J969" s="3"/>
      <c r="K969" s="3"/>
      <c r="L969" s="3"/>
      <c r="M969" s="3"/>
    </row>
    <row r="970" spans="1:13" x14ac:dyDescent="0.2">
      <c r="A970" s="3">
        <v>967</v>
      </c>
      <c r="B970" s="3"/>
      <c r="C970" s="3" t="str">
        <f>IFERROR(VLOOKUP(B970,Sessions!A:J,2,FALSE),"")</f>
        <v/>
      </c>
      <c r="D970" s="3"/>
      <c r="E970" s="3" t="str">
        <f>IFERROR(VLOOKUP(D970,Employees!A:L,2,FALSE),"")</f>
        <v/>
      </c>
      <c r="F970" s="6"/>
      <c r="G970" s="6"/>
      <c r="H970" s="6" t="str">
        <f>IF(G970="","",G970)</f>
        <v/>
      </c>
      <c r="I970" s="3" t="str">
        <f>IF(H970="","",IF(H970&gt;=Setup!B7,"ناجح","إعادة تدريب"))</f>
        <v/>
      </c>
      <c r="J970" s="3"/>
      <c r="K970" s="3"/>
      <c r="L970" s="3"/>
      <c r="M970" s="3"/>
    </row>
    <row r="971" spans="1:13" x14ac:dyDescent="0.2">
      <c r="A971" s="3">
        <v>968</v>
      </c>
      <c r="B971" s="3"/>
      <c r="C971" s="3" t="str">
        <f>IFERROR(VLOOKUP(B971,Sessions!A:J,2,FALSE),"")</f>
        <v/>
      </c>
      <c r="D971" s="3"/>
      <c r="E971" s="3" t="str">
        <f>IFERROR(VLOOKUP(D971,Employees!A:L,2,FALSE),"")</f>
        <v/>
      </c>
      <c r="F971" s="6"/>
      <c r="G971" s="6"/>
      <c r="H971" s="6" t="str">
        <f>IF(G971="","",G971)</f>
        <v/>
      </c>
      <c r="I971" s="3" t="str">
        <f>IF(H971="","",IF(H971&gt;=Setup!B7,"ناجح","إعادة تدريب"))</f>
        <v/>
      </c>
      <c r="J971" s="3"/>
      <c r="K971" s="3"/>
      <c r="L971" s="3"/>
      <c r="M971" s="3"/>
    </row>
    <row r="972" spans="1:13" x14ac:dyDescent="0.2">
      <c r="A972" s="3">
        <v>969</v>
      </c>
      <c r="B972" s="3"/>
      <c r="C972" s="3" t="str">
        <f>IFERROR(VLOOKUP(B972,Sessions!A:J,2,FALSE),"")</f>
        <v/>
      </c>
      <c r="D972" s="3"/>
      <c r="E972" s="3" t="str">
        <f>IFERROR(VLOOKUP(D972,Employees!A:L,2,FALSE),"")</f>
        <v/>
      </c>
      <c r="F972" s="6"/>
      <c r="G972" s="6"/>
      <c r="H972" s="6" t="str">
        <f>IF(G972="","",G972)</f>
        <v/>
      </c>
      <c r="I972" s="3" t="str">
        <f>IF(H972="","",IF(H972&gt;=Setup!B7,"ناجح","إعادة تدريب"))</f>
        <v/>
      </c>
      <c r="J972" s="3"/>
      <c r="K972" s="3"/>
      <c r="L972" s="3"/>
      <c r="M972" s="3"/>
    </row>
    <row r="973" spans="1:13" x14ac:dyDescent="0.2">
      <c r="A973" s="3">
        <v>970</v>
      </c>
      <c r="B973" s="3"/>
      <c r="C973" s="3" t="str">
        <f>IFERROR(VLOOKUP(B973,Sessions!A:J,2,FALSE),"")</f>
        <v/>
      </c>
      <c r="D973" s="3"/>
      <c r="E973" s="3" t="str">
        <f>IFERROR(VLOOKUP(D973,Employees!A:L,2,FALSE),"")</f>
        <v/>
      </c>
      <c r="F973" s="6"/>
      <c r="G973" s="6"/>
      <c r="H973" s="6" t="str">
        <f>IF(G973="","",G973)</f>
        <v/>
      </c>
      <c r="I973" s="3" t="str">
        <f>IF(H973="","",IF(H973&gt;=Setup!B7,"ناجح","إعادة تدريب"))</f>
        <v/>
      </c>
      <c r="J973" s="3"/>
      <c r="K973" s="3"/>
      <c r="L973" s="3"/>
      <c r="M973" s="3"/>
    </row>
    <row r="974" spans="1:13" x14ac:dyDescent="0.2">
      <c r="A974" s="3">
        <v>971</v>
      </c>
      <c r="B974" s="3"/>
      <c r="C974" s="3" t="str">
        <f>IFERROR(VLOOKUP(B974,Sessions!A:J,2,FALSE),"")</f>
        <v/>
      </c>
      <c r="D974" s="3"/>
      <c r="E974" s="3" t="str">
        <f>IFERROR(VLOOKUP(D974,Employees!A:L,2,FALSE),"")</f>
        <v/>
      </c>
      <c r="F974" s="6"/>
      <c r="G974" s="6"/>
      <c r="H974" s="6" t="str">
        <f>IF(G974="","",G974)</f>
        <v/>
      </c>
      <c r="I974" s="3" t="str">
        <f>IF(H974="","",IF(H974&gt;=Setup!B7,"ناجح","إعادة تدريب"))</f>
        <v/>
      </c>
      <c r="J974" s="3"/>
      <c r="K974" s="3"/>
      <c r="L974" s="3"/>
      <c r="M974" s="3"/>
    </row>
    <row r="975" spans="1:13" x14ac:dyDescent="0.2">
      <c r="A975" s="3">
        <v>972</v>
      </c>
      <c r="B975" s="3"/>
      <c r="C975" s="3" t="str">
        <f>IFERROR(VLOOKUP(B975,Sessions!A:J,2,FALSE),"")</f>
        <v/>
      </c>
      <c r="D975" s="3"/>
      <c r="E975" s="3" t="str">
        <f>IFERROR(VLOOKUP(D975,Employees!A:L,2,FALSE),"")</f>
        <v/>
      </c>
      <c r="F975" s="6"/>
      <c r="G975" s="6"/>
      <c r="H975" s="6" t="str">
        <f>IF(G975="","",G975)</f>
        <v/>
      </c>
      <c r="I975" s="3" t="str">
        <f>IF(H975="","",IF(H975&gt;=Setup!B7,"ناجح","إعادة تدريب"))</f>
        <v/>
      </c>
      <c r="J975" s="3"/>
      <c r="K975" s="3"/>
      <c r="L975" s="3"/>
      <c r="M975" s="3"/>
    </row>
    <row r="976" spans="1:13" x14ac:dyDescent="0.2">
      <c r="A976" s="3">
        <v>973</v>
      </c>
      <c r="B976" s="3"/>
      <c r="C976" s="3" t="str">
        <f>IFERROR(VLOOKUP(B976,Sessions!A:J,2,FALSE),"")</f>
        <v/>
      </c>
      <c r="D976" s="3"/>
      <c r="E976" s="3" t="str">
        <f>IFERROR(VLOOKUP(D976,Employees!A:L,2,FALSE),"")</f>
        <v/>
      </c>
      <c r="F976" s="6"/>
      <c r="G976" s="6"/>
      <c r="H976" s="6" t="str">
        <f>IF(G976="","",G976)</f>
        <v/>
      </c>
      <c r="I976" s="3" t="str">
        <f>IF(H976="","",IF(H976&gt;=Setup!B7,"ناجح","إعادة تدريب"))</f>
        <v/>
      </c>
      <c r="J976" s="3"/>
      <c r="K976" s="3"/>
      <c r="L976" s="3"/>
      <c r="M976" s="3"/>
    </row>
    <row r="977" spans="1:13" x14ac:dyDescent="0.2">
      <c r="A977" s="3">
        <v>974</v>
      </c>
      <c r="B977" s="3"/>
      <c r="C977" s="3" t="str">
        <f>IFERROR(VLOOKUP(B977,Sessions!A:J,2,FALSE),"")</f>
        <v/>
      </c>
      <c r="D977" s="3"/>
      <c r="E977" s="3" t="str">
        <f>IFERROR(VLOOKUP(D977,Employees!A:L,2,FALSE),"")</f>
        <v/>
      </c>
      <c r="F977" s="6"/>
      <c r="G977" s="6"/>
      <c r="H977" s="6" t="str">
        <f>IF(G977="","",G977)</f>
        <v/>
      </c>
      <c r="I977" s="3" t="str">
        <f>IF(H977="","",IF(H977&gt;=Setup!B7,"ناجح","إعادة تدريب"))</f>
        <v/>
      </c>
      <c r="J977" s="3"/>
      <c r="K977" s="3"/>
      <c r="L977" s="3"/>
      <c r="M977" s="3"/>
    </row>
    <row r="978" spans="1:13" x14ac:dyDescent="0.2">
      <c r="A978" s="3">
        <v>975</v>
      </c>
      <c r="B978" s="3"/>
      <c r="C978" s="3" t="str">
        <f>IFERROR(VLOOKUP(B978,Sessions!A:J,2,FALSE),"")</f>
        <v/>
      </c>
      <c r="D978" s="3"/>
      <c r="E978" s="3" t="str">
        <f>IFERROR(VLOOKUP(D978,Employees!A:L,2,FALSE),"")</f>
        <v/>
      </c>
      <c r="F978" s="6"/>
      <c r="G978" s="6"/>
      <c r="H978" s="6" t="str">
        <f>IF(G978="","",G978)</f>
        <v/>
      </c>
      <c r="I978" s="3" t="str">
        <f>IF(H978="","",IF(H978&gt;=Setup!B7,"ناجح","إعادة تدريب"))</f>
        <v/>
      </c>
      <c r="J978" s="3"/>
      <c r="K978" s="3"/>
      <c r="L978" s="3"/>
      <c r="M978" s="3"/>
    </row>
    <row r="979" spans="1:13" x14ac:dyDescent="0.2">
      <c r="A979" s="3">
        <v>976</v>
      </c>
      <c r="B979" s="3"/>
      <c r="C979" s="3" t="str">
        <f>IFERROR(VLOOKUP(B979,Sessions!A:J,2,FALSE),"")</f>
        <v/>
      </c>
      <c r="D979" s="3"/>
      <c r="E979" s="3" t="str">
        <f>IFERROR(VLOOKUP(D979,Employees!A:L,2,FALSE),"")</f>
        <v/>
      </c>
      <c r="F979" s="6"/>
      <c r="G979" s="6"/>
      <c r="H979" s="6" t="str">
        <f>IF(G979="","",G979)</f>
        <v/>
      </c>
      <c r="I979" s="3" t="str">
        <f>IF(H979="","",IF(H979&gt;=Setup!B7,"ناجح","إعادة تدريب"))</f>
        <v/>
      </c>
      <c r="J979" s="3"/>
      <c r="K979" s="3"/>
      <c r="L979" s="3"/>
      <c r="M979" s="3"/>
    </row>
    <row r="980" spans="1:13" x14ac:dyDescent="0.2">
      <c r="A980" s="3">
        <v>977</v>
      </c>
      <c r="B980" s="3"/>
      <c r="C980" s="3" t="str">
        <f>IFERROR(VLOOKUP(B980,Sessions!A:J,2,FALSE),"")</f>
        <v/>
      </c>
      <c r="D980" s="3"/>
      <c r="E980" s="3" t="str">
        <f>IFERROR(VLOOKUP(D980,Employees!A:L,2,FALSE),"")</f>
        <v/>
      </c>
      <c r="F980" s="6"/>
      <c r="G980" s="6"/>
      <c r="H980" s="6" t="str">
        <f>IF(G980="","",G980)</f>
        <v/>
      </c>
      <c r="I980" s="3" t="str">
        <f>IF(H980="","",IF(H980&gt;=Setup!B7,"ناجح","إعادة تدريب"))</f>
        <v/>
      </c>
      <c r="J980" s="3"/>
      <c r="K980" s="3"/>
      <c r="L980" s="3"/>
      <c r="M980" s="3"/>
    </row>
    <row r="981" spans="1:13" x14ac:dyDescent="0.2">
      <c r="A981" s="3">
        <v>978</v>
      </c>
      <c r="B981" s="3"/>
      <c r="C981" s="3" t="str">
        <f>IFERROR(VLOOKUP(B981,Sessions!A:J,2,FALSE),"")</f>
        <v/>
      </c>
      <c r="D981" s="3"/>
      <c r="E981" s="3" t="str">
        <f>IFERROR(VLOOKUP(D981,Employees!A:L,2,FALSE),"")</f>
        <v/>
      </c>
      <c r="F981" s="6"/>
      <c r="G981" s="6"/>
      <c r="H981" s="6" t="str">
        <f>IF(G981="","",G981)</f>
        <v/>
      </c>
      <c r="I981" s="3" t="str">
        <f>IF(H981="","",IF(H981&gt;=Setup!B7,"ناجح","إعادة تدريب"))</f>
        <v/>
      </c>
      <c r="J981" s="3"/>
      <c r="K981" s="3"/>
      <c r="L981" s="3"/>
      <c r="M981" s="3"/>
    </row>
    <row r="982" spans="1:13" x14ac:dyDescent="0.2">
      <c r="A982" s="3">
        <v>979</v>
      </c>
      <c r="B982" s="3"/>
      <c r="C982" s="3" t="str">
        <f>IFERROR(VLOOKUP(B982,Sessions!A:J,2,FALSE),"")</f>
        <v/>
      </c>
      <c r="D982" s="3"/>
      <c r="E982" s="3" t="str">
        <f>IFERROR(VLOOKUP(D982,Employees!A:L,2,FALSE),"")</f>
        <v/>
      </c>
      <c r="F982" s="6"/>
      <c r="G982" s="6"/>
      <c r="H982" s="6" t="str">
        <f>IF(G982="","",G982)</f>
        <v/>
      </c>
      <c r="I982" s="3" t="str">
        <f>IF(H982="","",IF(H982&gt;=Setup!B7,"ناجح","إعادة تدريب"))</f>
        <v/>
      </c>
      <c r="J982" s="3"/>
      <c r="K982" s="3"/>
      <c r="L982" s="3"/>
      <c r="M982" s="3"/>
    </row>
    <row r="983" spans="1:13" x14ac:dyDescent="0.2">
      <c r="A983" s="3">
        <v>980</v>
      </c>
      <c r="B983" s="3"/>
      <c r="C983" s="3" t="str">
        <f>IFERROR(VLOOKUP(B983,Sessions!A:J,2,FALSE),"")</f>
        <v/>
      </c>
      <c r="D983" s="3"/>
      <c r="E983" s="3" t="str">
        <f>IFERROR(VLOOKUP(D983,Employees!A:L,2,FALSE),"")</f>
        <v/>
      </c>
      <c r="F983" s="6"/>
      <c r="G983" s="6"/>
      <c r="H983" s="6" t="str">
        <f>IF(G983="","",G983)</f>
        <v/>
      </c>
      <c r="I983" s="3" t="str">
        <f>IF(H983="","",IF(H983&gt;=Setup!B7,"ناجح","إعادة تدريب"))</f>
        <v/>
      </c>
      <c r="J983" s="3"/>
      <c r="K983" s="3"/>
      <c r="L983" s="3"/>
      <c r="M983" s="3"/>
    </row>
    <row r="984" spans="1:13" x14ac:dyDescent="0.2">
      <c r="A984" s="3">
        <v>981</v>
      </c>
      <c r="B984" s="3"/>
      <c r="C984" s="3" t="str">
        <f>IFERROR(VLOOKUP(B984,Sessions!A:J,2,FALSE),"")</f>
        <v/>
      </c>
      <c r="D984" s="3"/>
      <c r="E984" s="3" t="str">
        <f>IFERROR(VLOOKUP(D984,Employees!A:L,2,FALSE),"")</f>
        <v/>
      </c>
      <c r="F984" s="6"/>
      <c r="G984" s="6"/>
      <c r="H984" s="6" t="str">
        <f>IF(G984="","",G984)</f>
        <v/>
      </c>
      <c r="I984" s="3" t="str">
        <f>IF(H984="","",IF(H984&gt;=Setup!B7,"ناجح","إعادة تدريب"))</f>
        <v/>
      </c>
      <c r="J984" s="3"/>
      <c r="K984" s="3"/>
      <c r="L984" s="3"/>
      <c r="M984" s="3"/>
    </row>
    <row r="985" spans="1:13" x14ac:dyDescent="0.2">
      <c r="A985" s="3">
        <v>982</v>
      </c>
      <c r="B985" s="3"/>
      <c r="C985" s="3" t="str">
        <f>IFERROR(VLOOKUP(B985,Sessions!A:J,2,FALSE),"")</f>
        <v/>
      </c>
      <c r="D985" s="3"/>
      <c r="E985" s="3" t="str">
        <f>IFERROR(VLOOKUP(D985,Employees!A:L,2,FALSE),"")</f>
        <v/>
      </c>
      <c r="F985" s="6"/>
      <c r="G985" s="6"/>
      <c r="H985" s="6" t="str">
        <f>IF(G985="","",G985)</f>
        <v/>
      </c>
      <c r="I985" s="3" t="str">
        <f>IF(H985="","",IF(H985&gt;=Setup!B7,"ناجح","إعادة تدريب"))</f>
        <v/>
      </c>
      <c r="J985" s="3"/>
      <c r="K985" s="3"/>
      <c r="L985" s="3"/>
      <c r="M985" s="3"/>
    </row>
    <row r="986" spans="1:13" x14ac:dyDescent="0.2">
      <c r="A986" s="3">
        <v>983</v>
      </c>
      <c r="B986" s="3"/>
      <c r="C986" s="3" t="str">
        <f>IFERROR(VLOOKUP(B986,Sessions!A:J,2,FALSE),"")</f>
        <v/>
      </c>
      <c r="D986" s="3"/>
      <c r="E986" s="3" t="str">
        <f>IFERROR(VLOOKUP(D986,Employees!A:L,2,FALSE),"")</f>
        <v/>
      </c>
      <c r="F986" s="6"/>
      <c r="G986" s="6"/>
      <c r="H986" s="6" t="str">
        <f>IF(G986="","",G986)</f>
        <v/>
      </c>
      <c r="I986" s="3" t="str">
        <f>IF(H986="","",IF(H986&gt;=Setup!B7,"ناجح","إعادة تدريب"))</f>
        <v/>
      </c>
      <c r="J986" s="3"/>
      <c r="K986" s="3"/>
      <c r="L986" s="3"/>
      <c r="M986" s="3"/>
    </row>
    <row r="987" spans="1:13" x14ac:dyDescent="0.2">
      <c r="A987" s="3">
        <v>984</v>
      </c>
      <c r="B987" s="3"/>
      <c r="C987" s="3" t="str">
        <f>IFERROR(VLOOKUP(B987,Sessions!A:J,2,FALSE),"")</f>
        <v/>
      </c>
      <c r="D987" s="3"/>
      <c r="E987" s="3" t="str">
        <f>IFERROR(VLOOKUP(D987,Employees!A:L,2,FALSE),"")</f>
        <v/>
      </c>
      <c r="F987" s="6"/>
      <c r="G987" s="6"/>
      <c r="H987" s="6" t="str">
        <f>IF(G987="","",G987)</f>
        <v/>
      </c>
      <c r="I987" s="3" t="str">
        <f>IF(H987="","",IF(H987&gt;=Setup!B7,"ناجح","إعادة تدريب"))</f>
        <v/>
      </c>
      <c r="J987" s="3"/>
      <c r="K987" s="3"/>
      <c r="L987" s="3"/>
      <c r="M987" s="3"/>
    </row>
    <row r="988" spans="1:13" x14ac:dyDescent="0.2">
      <c r="A988" s="3">
        <v>985</v>
      </c>
      <c r="B988" s="3"/>
      <c r="C988" s="3" t="str">
        <f>IFERROR(VLOOKUP(B988,Sessions!A:J,2,FALSE),"")</f>
        <v/>
      </c>
      <c r="D988" s="3"/>
      <c r="E988" s="3" t="str">
        <f>IFERROR(VLOOKUP(D988,Employees!A:L,2,FALSE),"")</f>
        <v/>
      </c>
      <c r="F988" s="6"/>
      <c r="G988" s="6"/>
      <c r="H988" s="6" t="str">
        <f>IF(G988="","",G988)</f>
        <v/>
      </c>
      <c r="I988" s="3" t="str">
        <f>IF(H988="","",IF(H988&gt;=Setup!B7,"ناجح","إعادة تدريب"))</f>
        <v/>
      </c>
      <c r="J988" s="3"/>
      <c r="K988" s="3"/>
      <c r="L988" s="3"/>
      <c r="M988" s="3"/>
    </row>
    <row r="989" spans="1:13" x14ac:dyDescent="0.2">
      <c r="A989" s="3">
        <v>986</v>
      </c>
      <c r="B989" s="3"/>
      <c r="C989" s="3" t="str">
        <f>IFERROR(VLOOKUP(B989,Sessions!A:J,2,FALSE),"")</f>
        <v/>
      </c>
      <c r="D989" s="3"/>
      <c r="E989" s="3" t="str">
        <f>IFERROR(VLOOKUP(D989,Employees!A:L,2,FALSE),"")</f>
        <v/>
      </c>
      <c r="F989" s="6"/>
      <c r="G989" s="6"/>
      <c r="H989" s="6" t="str">
        <f>IF(G989="","",G989)</f>
        <v/>
      </c>
      <c r="I989" s="3" t="str">
        <f>IF(H989="","",IF(H989&gt;=Setup!B7,"ناجح","إعادة تدريب"))</f>
        <v/>
      </c>
      <c r="J989" s="3"/>
      <c r="K989" s="3"/>
      <c r="L989" s="3"/>
      <c r="M989" s="3"/>
    </row>
    <row r="990" spans="1:13" x14ac:dyDescent="0.2">
      <c r="A990" s="3">
        <v>987</v>
      </c>
      <c r="B990" s="3"/>
      <c r="C990" s="3" t="str">
        <f>IFERROR(VLOOKUP(B990,Sessions!A:J,2,FALSE),"")</f>
        <v/>
      </c>
      <c r="D990" s="3"/>
      <c r="E990" s="3" t="str">
        <f>IFERROR(VLOOKUP(D990,Employees!A:L,2,FALSE),"")</f>
        <v/>
      </c>
      <c r="F990" s="6"/>
      <c r="G990" s="6"/>
      <c r="H990" s="6" t="str">
        <f>IF(G990="","",G990)</f>
        <v/>
      </c>
      <c r="I990" s="3" t="str">
        <f>IF(H990="","",IF(H990&gt;=Setup!B7,"ناجح","إعادة تدريب"))</f>
        <v/>
      </c>
      <c r="J990" s="3"/>
      <c r="K990" s="3"/>
      <c r="L990" s="3"/>
      <c r="M990" s="3"/>
    </row>
    <row r="991" spans="1:13" x14ac:dyDescent="0.2">
      <c r="A991" s="3">
        <v>988</v>
      </c>
      <c r="B991" s="3"/>
      <c r="C991" s="3" t="str">
        <f>IFERROR(VLOOKUP(B991,Sessions!A:J,2,FALSE),"")</f>
        <v/>
      </c>
      <c r="D991" s="3"/>
      <c r="E991" s="3" t="str">
        <f>IFERROR(VLOOKUP(D991,Employees!A:L,2,FALSE),"")</f>
        <v/>
      </c>
      <c r="F991" s="6"/>
      <c r="G991" s="6"/>
      <c r="H991" s="6" t="str">
        <f>IF(G991="","",G991)</f>
        <v/>
      </c>
      <c r="I991" s="3" t="str">
        <f>IF(H991="","",IF(H991&gt;=Setup!B7,"ناجح","إعادة تدريب"))</f>
        <v/>
      </c>
      <c r="J991" s="3"/>
      <c r="K991" s="3"/>
      <c r="L991" s="3"/>
      <c r="M991" s="3"/>
    </row>
    <row r="992" spans="1:13" x14ac:dyDescent="0.2">
      <c r="A992" s="3">
        <v>989</v>
      </c>
      <c r="B992" s="3"/>
      <c r="C992" s="3" t="str">
        <f>IFERROR(VLOOKUP(B992,Sessions!A:J,2,FALSE),"")</f>
        <v/>
      </c>
      <c r="D992" s="3"/>
      <c r="E992" s="3" t="str">
        <f>IFERROR(VLOOKUP(D992,Employees!A:L,2,FALSE),"")</f>
        <v/>
      </c>
      <c r="F992" s="6"/>
      <c r="G992" s="6"/>
      <c r="H992" s="6" t="str">
        <f>IF(G992="","",G992)</f>
        <v/>
      </c>
      <c r="I992" s="3" t="str">
        <f>IF(H992="","",IF(H992&gt;=Setup!B7,"ناجح","إعادة تدريب"))</f>
        <v/>
      </c>
      <c r="J992" s="3"/>
      <c r="K992" s="3"/>
      <c r="L992" s="3"/>
      <c r="M992" s="3"/>
    </row>
    <row r="993" spans="1:13" x14ac:dyDescent="0.2">
      <c r="A993" s="3">
        <v>990</v>
      </c>
      <c r="B993" s="3"/>
      <c r="C993" s="3" t="str">
        <f>IFERROR(VLOOKUP(B993,Sessions!A:J,2,FALSE),"")</f>
        <v/>
      </c>
      <c r="D993" s="3"/>
      <c r="E993" s="3" t="str">
        <f>IFERROR(VLOOKUP(D993,Employees!A:L,2,FALSE),"")</f>
        <v/>
      </c>
      <c r="F993" s="6"/>
      <c r="G993" s="6"/>
      <c r="H993" s="6" t="str">
        <f>IF(G993="","",G993)</f>
        <v/>
      </c>
      <c r="I993" s="3" t="str">
        <f>IF(H993="","",IF(H993&gt;=Setup!B7,"ناجح","إعادة تدريب"))</f>
        <v/>
      </c>
      <c r="J993" s="3"/>
      <c r="K993" s="3"/>
      <c r="L993" s="3"/>
      <c r="M993" s="3"/>
    </row>
    <row r="994" spans="1:13" x14ac:dyDescent="0.2">
      <c r="A994" s="3">
        <v>991</v>
      </c>
      <c r="B994" s="3"/>
      <c r="C994" s="3" t="str">
        <f>IFERROR(VLOOKUP(B994,Sessions!A:J,2,FALSE),"")</f>
        <v/>
      </c>
      <c r="D994" s="3"/>
      <c r="E994" s="3" t="str">
        <f>IFERROR(VLOOKUP(D994,Employees!A:L,2,FALSE),"")</f>
        <v/>
      </c>
      <c r="F994" s="6"/>
      <c r="G994" s="6"/>
      <c r="H994" s="6" t="str">
        <f>IF(G994="","",G994)</f>
        <v/>
      </c>
      <c r="I994" s="3" t="str">
        <f>IF(H994="","",IF(H994&gt;=Setup!B7,"ناجح","إعادة تدريب"))</f>
        <v/>
      </c>
      <c r="J994" s="3"/>
      <c r="K994" s="3"/>
      <c r="L994" s="3"/>
      <c r="M994" s="3"/>
    </row>
    <row r="995" spans="1:13" x14ac:dyDescent="0.2">
      <c r="A995" s="3">
        <v>992</v>
      </c>
      <c r="B995" s="3"/>
      <c r="C995" s="3" t="str">
        <f>IFERROR(VLOOKUP(B995,Sessions!A:J,2,FALSE),"")</f>
        <v/>
      </c>
      <c r="D995" s="3"/>
      <c r="E995" s="3" t="str">
        <f>IFERROR(VLOOKUP(D995,Employees!A:L,2,FALSE),"")</f>
        <v/>
      </c>
      <c r="F995" s="6"/>
      <c r="G995" s="6"/>
      <c r="H995" s="6" t="str">
        <f>IF(G995="","",G995)</f>
        <v/>
      </c>
      <c r="I995" s="3" t="str">
        <f>IF(H995="","",IF(H995&gt;=Setup!B7,"ناجح","إعادة تدريب"))</f>
        <v/>
      </c>
      <c r="J995" s="3"/>
      <c r="K995" s="3"/>
      <c r="L995" s="3"/>
      <c r="M995" s="3"/>
    </row>
    <row r="996" spans="1:13" x14ac:dyDescent="0.2">
      <c r="A996" s="3">
        <v>993</v>
      </c>
      <c r="B996" s="3"/>
      <c r="C996" s="3" t="str">
        <f>IFERROR(VLOOKUP(B996,Sessions!A:J,2,FALSE),"")</f>
        <v/>
      </c>
      <c r="D996" s="3"/>
      <c r="E996" s="3" t="str">
        <f>IFERROR(VLOOKUP(D996,Employees!A:L,2,FALSE),"")</f>
        <v/>
      </c>
      <c r="F996" s="6"/>
      <c r="G996" s="6"/>
      <c r="H996" s="6" t="str">
        <f>IF(G996="","",G996)</f>
        <v/>
      </c>
      <c r="I996" s="3" t="str">
        <f>IF(H996="","",IF(H996&gt;=Setup!B7,"ناجح","إعادة تدريب"))</f>
        <v/>
      </c>
      <c r="J996" s="3"/>
      <c r="K996" s="3"/>
      <c r="L996" s="3"/>
      <c r="M996" s="3"/>
    </row>
    <row r="997" spans="1:13" x14ac:dyDescent="0.2">
      <c r="A997" s="3">
        <v>994</v>
      </c>
      <c r="B997" s="3"/>
      <c r="C997" s="3" t="str">
        <f>IFERROR(VLOOKUP(B997,Sessions!A:J,2,FALSE),"")</f>
        <v/>
      </c>
      <c r="D997" s="3"/>
      <c r="E997" s="3" t="str">
        <f>IFERROR(VLOOKUP(D997,Employees!A:L,2,FALSE),"")</f>
        <v/>
      </c>
      <c r="F997" s="6"/>
      <c r="G997" s="6"/>
      <c r="H997" s="6" t="str">
        <f>IF(G997="","",G997)</f>
        <v/>
      </c>
      <c r="I997" s="3" t="str">
        <f>IF(H997="","",IF(H997&gt;=Setup!B7,"ناجح","إعادة تدريب"))</f>
        <v/>
      </c>
      <c r="J997" s="3"/>
      <c r="K997" s="3"/>
      <c r="L997" s="3"/>
      <c r="M997" s="3"/>
    </row>
    <row r="998" spans="1:13" x14ac:dyDescent="0.2">
      <c r="A998" s="3">
        <v>995</v>
      </c>
      <c r="B998" s="3"/>
      <c r="C998" s="3" t="str">
        <f>IFERROR(VLOOKUP(B998,Sessions!A:J,2,FALSE),"")</f>
        <v/>
      </c>
      <c r="D998" s="3"/>
      <c r="E998" s="3" t="str">
        <f>IFERROR(VLOOKUP(D998,Employees!A:L,2,FALSE),"")</f>
        <v/>
      </c>
      <c r="F998" s="6"/>
      <c r="G998" s="6"/>
      <c r="H998" s="6" t="str">
        <f>IF(G998="","",G998)</f>
        <v/>
      </c>
      <c r="I998" s="3" t="str">
        <f>IF(H998="","",IF(H998&gt;=Setup!B7,"ناجح","إعادة تدريب"))</f>
        <v/>
      </c>
      <c r="J998" s="3"/>
      <c r="K998" s="3"/>
      <c r="L998" s="3"/>
      <c r="M998" s="3"/>
    </row>
    <row r="999" spans="1:13" x14ac:dyDescent="0.2">
      <c r="A999" s="3">
        <v>996</v>
      </c>
      <c r="B999" s="3"/>
      <c r="C999" s="3" t="str">
        <f>IFERROR(VLOOKUP(B999,Sessions!A:J,2,FALSE),"")</f>
        <v/>
      </c>
      <c r="D999" s="3"/>
      <c r="E999" s="3" t="str">
        <f>IFERROR(VLOOKUP(D999,Employees!A:L,2,FALSE),"")</f>
        <v/>
      </c>
      <c r="F999" s="6"/>
      <c r="G999" s="6"/>
      <c r="H999" s="6" t="str">
        <f>IF(G999="","",G999)</f>
        <v/>
      </c>
      <c r="I999" s="3" t="str">
        <f>IF(H999="","",IF(H999&gt;=Setup!B7,"ناجح","إعادة تدريب"))</f>
        <v/>
      </c>
      <c r="J999" s="3"/>
      <c r="K999" s="3"/>
      <c r="L999" s="3"/>
      <c r="M999" s="3"/>
    </row>
    <row r="1000" spans="1:13" x14ac:dyDescent="0.2">
      <c r="A1000" s="3">
        <v>997</v>
      </c>
      <c r="B1000" s="3"/>
      <c r="C1000" s="3" t="str">
        <f>IFERROR(VLOOKUP(B1000,Sessions!A:J,2,FALSE),"")</f>
        <v/>
      </c>
      <c r="D1000" s="3"/>
      <c r="E1000" s="3" t="str">
        <f>IFERROR(VLOOKUP(D1000,Employees!A:L,2,FALSE),"")</f>
        <v/>
      </c>
      <c r="F1000" s="6"/>
      <c r="G1000" s="6"/>
      <c r="H1000" s="6" t="str">
        <f>IF(G1000="","",G1000)</f>
        <v/>
      </c>
      <c r="I1000" s="3" t="str">
        <f>IF(H1000="","",IF(H1000&gt;=Setup!B7,"ناجح","إعادة تدريب"))</f>
        <v/>
      </c>
      <c r="J1000" s="3"/>
      <c r="K1000" s="3"/>
      <c r="L1000" s="3"/>
      <c r="M1000" s="3"/>
    </row>
    <row r="1001" spans="1:13" x14ac:dyDescent="0.2">
      <c r="A1001" s="3">
        <v>998</v>
      </c>
      <c r="B1001" s="3"/>
      <c r="C1001" s="3" t="str">
        <f>IFERROR(VLOOKUP(B1001,Sessions!A:J,2,FALSE),"")</f>
        <v/>
      </c>
      <c r="D1001" s="3"/>
      <c r="E1001" s="3" t="str">
        <f>IFERROR(VLOOKUP(D1001,Employees!A:L,2,FALSE),"")</f>
        <v/>
      </c>
      <c r="F1001" s="6"/>
      <c r="G1001" s="6"/>
      <c r="H1001" s="6" t="str">
        <f>IF(G1001="","",G1001)</f>
        <v/>
      </c>
      <c r="I1001" s="3" t="str">
        <f>IF(H1001="","",IF(H1001&gt;=Setup!B7,"ناجح","إعادة تدريب"))</f>
        <v/>
      </c>
      <c r="J1001" s="3"/>
      <c r="K1001" s="3"/>
      <c r="L1001" s="3"/>
      <c r="M1001" s="3"/>
    </row>
    <row r="1002" spans="1:13" x14ac:dyDescent="0.2">
      <c r="A1002" s="3">
        <v>999</v>
      </c>
      <c r="B1002" s="3"/>
      <c r="C1002" s="3" t="str">
        <f>IFERROR(VLOOKUP(B1002,Sessions!A:J,2,FALSE),"")</f>
        <v/>
      </c>
      <c r="D1002" s="3"/>
      <c r="E1002" s="3" t="str">
        <f>IFERROR(VLOOKUP(D1002,Employees!A:L,2,FALSE),"")</f>
        <v/>
      </c>
      <c r="F1002" s="6"/>
      <c r="G1002" s="6"/>
      <c r="H1002" s="6" t="str">
        <f>IF(G1002="","",G1002)</f>
        <v/>
      </c>
      <c r="I1002" s="3" t="str">
        <f>IF(H1002="","",IF(H1002&gt;=Setup!B7,"ناجح","إعادة تدريب"))</f>
        <v/>
      </c>
      <c r="J1002" s="3"/>
      <c r="K1002" s="3"/>
      <c r="L1002" s="3"/>
      <c r="M1002" s="3"/>
    </row>
    <row r="1003" spans="1:13" x14ac:dyDescent="0.2">
      <c r="A1003" s="3">
        <v>1000</v>
      </c>
      <c r="B1003" s="3"/>
      <c r="C1003" s="3" t="str">
        <f>IFERROR(VLOOKUP(B1003,Sessions!A:J,2,FALSE),"")</f>
        <v/>
      </c>
      <c r="D1003" s="3"/>
      <c r="E1003" s="3" t="str">
        <f>IFERROR(VLOOKUP(D1003,Employees!A:L,2,FALSE),"")</f>
        <v/>
      </c>
      <c r="F1003" s="6"/>
      <c r="G1003" s="6"/>
      <c r="H1003" s="6" t="str">
        <f>IF(G1003="","",G1003)</f>
        <v/>
      </c>
      <c r="I1003" s="3" t="str">
        <f>IF(H1003="","",IF(H1003&gt;=Setup!B7,"ناجح","إعادة تدريب"))</f>
        <v/>
      </c>
      <c r="J1003" s="3"/>
      <c r="K1003" s="3"/>
      <c r="L1003" s="3"/>
      <c r="M1003" s="3"/>
    </row>
  </sheetData>
  <mergeCells count="1">
    <mergeCell ref="A1:M1"/>
  </mergeCells>
  <dataValidations count="2">
    <dataValidation type="list" allowBlank="1" showInputMessage="1" showErrorMessage="1" sqref="B4:B1003" xr:uid="{513C163B-CD64-4981-BA4A-109F18E12EA8}">
      <formula1>"SES-001,SES-002"</formula1>
    </dataValidation>
    <dataValidation type="list" allowBlank="1" showInputMessage="1" showErrorMessage="1" sqref="D4:D1003" xr:uid="{566B716F-D9C8-4514-8614-3B2D1F0E6EF8}">
      <formula1>"EMP-001,EMP-002,EMP-003"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4983-D3D2-4266-9C00-12C9323A11E9}">
  <dimension ref="A1:L1003"/>
  <sheetViews>
    <sheetView rightToLeft="1" workbookViewId="0">
      <pane ySplit="3" topLeftCell="A4" activePane="bottomLeft" state="frozenSplit"/>
      <selection pane="bottomLeft" sqref="A1:L1"/>
    </sheetView>
  </sheetViews>
  <sheetFormatPr defaultRowHeight="12.75" x14ac:dyDescent="0.2"/>
  <cols>
    <col min="1" max="1" width="7.7109375" style="1" bestFit="1" customWidth="1"/>
    <col min="2" max="2" width="12.42578125" style="1" bestFit="1" customWidth="1"/>
    <col min="3" max="3" width="12.28515625" style="1" bestFit="1" customWidth="1"/>
    <col min="4" max="4" width="9.85546875" style="1" bestFit="1" customWidth="1"/>
    <col min="5" max="5" width="13.140625" style="1" bestFit="1" customWidth="1"/>
    <col min="6" max="6" width="13.28515625" style="1" bestFit="1" customWidth="1"/>
    <col min="7" max="7" width="8.85546875" style="1" bestFit="1" customWidth="1"/>
    <col min="8" max="8" width="9.5703125" style="1" bestFit="1" customWidth="1"/>
    <col min="9" max="9" width="12.85546875" style="1" bestFit="1" customWidth="1"/>
    <col min="10" max="10" width="12.7109375" style="1" bestFit="1" customWidth="1"/>
    <col min="11" max="11" width="12.5703125" style="1" bestFit="1" customWidth="1"/>
    <col min="12" max="12" width="10.85546875" style="1" bestFit="1" customWidth="1"/>
    <col min="13" max="16384" width="9.140625" style="1"/>
  </cols>
  <sheetData>
    <row r="1" spans="1:12" x14ac:dyDescent="0.2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 t="s">
        <v>257</v>
      </c>
      <c r="B3" s="4" t="s">
        <v>247</v>
      </c>
      <c r="C3" s="4" t="s">
        <v>146</v>
      </c>
      <c r="D3" s="4" t="s">
        <v>258</v>
      </c>
      <c r="E3" s="4" t="s">
        <v>86</v>
      </c>
      <c r="F3" s="4" t="s">
        <v>259</v>
      </c>
      <c r="G3" s="4" t="s">
        <v>88</v>
      </c>
      <c r="H3" s="4" t="s">
        <v>260</v>
      </c>
      <c r="I3" s="4" t="s">
        <v>261</v>
      </c>
      <c r="J3" s="4" t="s">
        <v>262</v>
      </c>
      <c r="K3" s="4" t="s">
        <v>263</v>
      </c>
      <c r="L3" s="4" t="s">
        <v>264</v>
      </c>
    </row>
    <row r="4" spans="1:12" x14ac:dyDescent="0.2">
      <c r="A4" s="3">
        <v>1</v>
      </c>
      <c r="B4" s="3"/>
      <c r="C4" s="3" t="str">
        <f>IFERROR(VLOOKUP(B4,Sessions!A:J,2,FALSE),"")</f>
        <v/>
      </c>
      <c r="D4" s="3" t="str">
        <f>IFERROR(VLOOKUP(B4,Sessions!A:J,3,FALSE),"")</f>
        <v/>
      </c>
      <c r="E4" s="3"/>
      <c r="F4" s="3" t="str">
        <f>IFERROR(VLOOKUP(E4,Employees!A:L,2,FALSE),"")</f>
        <v/>
      </c>
      <c r="G4" s="3" t="str">
        <f>IFERROR(VLOOKUP(E4,Employees!A:L,3,FALSE),"")</f>
        <v/>
      </c>
      <c r="H4" s="3"/>
      <c r="I4" s="3"/>
      <c r="J4" s="3"/>
      <c r="K4" s="3" t="str">
        <f>IF(B4="","",IF(OR(E4="",H4=""),"ناقص",IF(H4="نعم","مكتمل","غائب")))</f>
        <v/>
      </c>
      <c r="L4" s="3"/>
    </row>
    <row r="5" spans="1:12" x14ac:dyDescent="0.2">
      <c r="A5" s="3">
        <v>2</v>
      </c>
      <c r="B5" s="3"/>
      <c r="C5" s="3" t="str">
        <f>IFERROR(VLOOKUP(B5,Sessions!A:J,2,FALSE),"")</f>
        <v/>
      </c>
      <c r="D5" s="3" t="str">
        <f>IFERROR(VLOOKUP(B5,Sessions!A:J,3,FALSE),"")</f>
        <v/>
      </c>
      <c r="E5" s="3"/>
      <c r="F5" s="3" t="str">
        <f>IFERROR(VLOOKUP(E5,Employees!A:L,2,FALSE),"")</f>
        <v/>
      </c>
      <c r="G5" s="3" t="str">
        <f>IFERROR(VLOOKUP(E5,Employees!A:L,3,FALSE),"")</f>
        <v/>
      </c>
      <c r="H5" s="3"/>
      <c r="I5" s="3"/>
      <c r="J5" s="3"/>
      <c r="K5" s="3" t="str">
        <f>IF(B5="","",IF(OR(E5="",H5=""),"ناقص",IF(H5="نعم","مكتمل","غائب")))</f>
        <v/>
      </c>
      <c r="L5" s="3"/>
    </row>
    <row r="6" spans="1:12" x14ac:dyDescent="0.2">
      <c r="A6" s="3">
        <v>3</v>
      </c>
      <c r="B6" s="3"/>
      <c r="C6" s="3" t="str">
        <f>IFERROR(VLOOKUP(B6,Sessions!A:J,2,FALSE),"")</f>
        <v/>
      </c>
      <c r="D6" s="3" t="str">
        <f>IFERROR(VLOOKUP(B6,Sessions!A:J,3,FALSE),"")</f>
        <v/>
      </c>
      <c r="E6" s="3"/>
      <c r="F6" s="3" t="str">
        <f>IFERROR(VLOOKUP(E6,Employees!A:L,2,FALSE),"")</f>
        <v/>
      </c>
      <c r="G6" s="3" t="str">
        <f>IFERROR(VLOOKUP(E6,Employees!A:L,3,FALSE),"")</f>
        <v/>
      </c>
      <c r="H6" s="3"/>
      <c r="I6" s="3"/>
      <c r="J6" s="3"/>
      <c r="K6" s="3" t="str">
        <f>IF(B6="","",IF(OR(E6="",H6=""),"ناقص",IF(H6="نعم","مكتمل","غائب")))</f>
        <v/>
      </c>
      <c r="L6" s="3"/>
    </row>
    <row r="7" spans="1:12" x14ac:dyDescent="0.2">
      <c r="A7" s="3">
        <v>4</v>
      </c>
      <c r="B7" s="3"/>
      <c r="C7" s="3" t="str">
        <f>IFERROR(VLOOKUP(B7,Sessions!A:J,2,FALSE),"")</f>
        <v/>
      </c>
      <c r="D7" s="3" t="str">
        <f>IFERROR(VLOOKUP(B7,Sessions!A:J,3,FALSE),"")</f>
        <v/>
      </c>
      <c r="E7" s="3"/>
      <c r="F7" s="3" t="str">
        <f>IFERROR(VLOOKUP(E7,Employees!A:L,2,FALSE),"")</f>
        <v/>
      </c>
      <c r="G7" s="3" t="str">
        <f>IFERROR(VLOOKUP(E7,Employees!A:L,3,FALSE),"")</f>
        <v/>
      </c>
      <c r="H7" s="3"/>
      <c r="I7" s="3"/>
      <c r="J7" s="3"/>
      <c r="K7" s="3" t="str">
        <f>IF(B7="","",IF(OR(E7="",H7=""),"ناقص",IF(H7="نعم","مكتمل","غائب")))</f>
        <v/>
      </c>
      <c r="L7" s="3"/>
    </row>
    <row r="8" spans="1:12" x14ac:dyDescent="0.2">
      <c r="A8" s="3">
        <v>5</v>
      </c>
      <c r="B8" s="3"/>
      <c r="C8" s="3" t="str">
        <f>IFERROR(VLOOKUP(B8,Sessions!A:J,2,FALSE),"")</f>
        <v/>
      </c>
      <c r="D8" s="3" t="str">
        <f>IFERROR(VLOOKUP(B8,Sessions!A:J,3,FALSE),"")</f>
        <v/>
      </c>
      <c r="E8" s="3"/>
      <c r="F8" s="3" t="str">
        <f>IFERROR(VLOOKUP(E8,Employees!A:L,2,FALSE),"")</f>
        <v/>
      </c>
      <c r="G8" s="3" t="str">
        <f>IFERROR(VLOOKUP(E8,Employees!A:L,3,FALSE),"")</f>
        <v/>
      </c>
      <c r="H8" s="3"/>
      <c r="I8" s="3"/>
      <c r="J8" s="3"/>
      <c r="K8" s="3" t="str">
        <f>IF(B8="","",IF(OR(E8="",H8=""),"ناقص",IF(H8="نعم","مكتمل","غائب")))</f>
        <v/>
      </c>
      <c r="L8" s="3"/>
    </row>
    <row r="9" spans="1:12" x14ac:dyDescent="0.2">
      <c r="A9" s="3">
        <v>6</v>
      </c>
      <c r="B9" s="3"/>
      <c r="C9" s="3" t="str">
        <f>IFERROR(VLOOKUP(B9,Sessions!A:J,2,FALSE),"")</f>
        <v/>
      </c>
      <c r="D9" s="3" t="str">
        <f>IFERROR(VLOOKUP(B9,Sessions!A:J,3,FALSE),"")</f>
        <v/>
      </c>
      <c r="E9" s="3"/>
      <c r="F9" s="3" t="str">
        <f>IFERROR(VLOOKUP(E9,Employees!A:L,2,FALSE),"")</f>
        <v/>
      </c>
      <c r="G9" s="3" t="str">
        <f>IFERROR(VLOOKUP(E9,Employees!A:L,3,FALSE),"")</f>
        <v/>
      </c>
      <c r="H9" s="3"/>
      <c r="I9" s="3"/>
      <c r="J9" s="3"/>
      <c r="K9" s="3" t="str">
        <f>IF(B9="","",IF(OR(E9="",H9=""),"ناقص",IF(H9="نعم","مكتمل","غائب")))</f>
        <v/>
      </c>
      <c r="L9" s="3"/>
    </row>
    <row r="10" spans="1:12" x14ac:dyDescent="0.2">
      <c r="A10" s="3">
        <v>7</v>
      </c>
      <c r="B10" s="3"/>
      <c r="C10" s="3" t="str">
        <f>IFERROR(VLOOKUP(B10,Sessions!A:J,2,FALSE),"")</f>
        <v/>
      </c>
      <c r="D10" s="3" t="str">
        <f>IFERROR(VLOOKUP(B10,Sessions!A:J,3,FALSE),"")</f>
        <v/>
      </c>
      <c r="E10" s="3"/>
      <c r="F10" s="3" t="str">
        <f>IFERROR(VLOOKUP(E10,Employees!A:L,2,FALSE),"")</f>
        <v/>
      </c>
      <c r="G10" s="3" t="str">
        <f>IFERROR(VLOOKUP(E10,Employees!A:L,3,FALSE),"")</f>
        <v/>
      </c>
      <c r="H10" s="3"/>
      <c r="I10" s="3"/>
      <c r="J10" s="3"/>
      <c r="K10" s="3" t="str">
        <f>IF(B10="","",IF(OR(E10="",H10=""),"ناقص",IF(H10="نعم","مكتمل","غائب")))</f>
        <v/>
      </c>
      <c r="L10" s="3"/>
    </row>
    <row r="11" spans="1:12" x14ac:dyDescent="0.2">
      <c r="A11" s="3">
        <v>8</v>
      </c>
      <c r="B11" s="3"/>
      <c r="C11" s="3" t="str">
        <f>IFERROR(VLOOKUP(B11,Sessions!A:J,2,FALSE),"")</f>
        <v/>
      </c>
      <c r="D11" s="3" t="str">
        <f>IFERROR(VLOOKUP(B11,Sessions!A:J,3,FALSE),"")</f>
        <v/>
      </c>
      <c r="E11" s="3"/>
      <c r="F11" s="3" t="str">
        <f>IFERROR(VLOOKUP(E11,Employees!A:L,2,FALSE),"")</f>
        <v/>
      </c>
      <c r="G11" s="3" t="str">
        <f>IFERROR(VLOOKUP(E11,Employees!A:L,3,FALSE),"")</f>
        <v/>
      </c>
      <c r="H11" s="3"/>
      <c r="I11" s="3"/>
      <c r="J11" s="3"/>
      <c r="K11" s="3" t="str">
        <f>IF(B11="","",IF(OR(E11="",H11=""),"ناقص",IF(H11="نعم","مكتمل","غائب")))</f>
        <v/>
      </c>
      <c r="L11" s="3"/>
    </row>
    <row r="12" spans="1:12" x14ac:dyDescent="0.2">
      <c r="A12" s="3">
        <v>9</v>
      </c>
      <c r="B12" s="3"/>
      <c r="C12" s="3" t="str">
        <f>IFERROR(VLOOKUP(B12,Sessions!A:J,2,FALSE),"")</f>
        <v/>
      </c>
      <c r="D12" s="3" t="str">
        <f>IFERROR(VLOOKUP(B12,Sessions!A:J,3,FALSE),"")</f>
        <v/>
      </c>
      <c r="E12" s="3"/>
      <c r="F12" s="3" t="str">
        <f>IFERROR(VLOOKUP(E12,Employees!A:L,2,FALSE),"")</f>
        <v/>
      </c>
      <c r="G12" s="3" t="str">
        <f>IFERROR(VLOOKUP(E12,Employees!A:L,3,FALSE),"")</f>
        <v/>
      </c>
      <c r="H12" s="3"/>
      <c r="I12" s="3"/>
      <c r="J12" s="3"/>
      <c r="K12" s="3" t="str">
        <f>IF(B12="","",IF(OR(E12="",H12=""),"ناقص",IF(H12="نعم","مكتمل","غائب")))</f>
        <v/>
      </c>
      <c r="L12" s="3"/>
    </row>
    <row r="13" spans="1:12" x14ac:dyDescent="0.2">
      <c r="A13" s="3">
        <v>10</v>
      </c>
      <c r="B13" s="3"/>
      <c r="C13" s="3" t="str">
        <f>IFERROR(VLOOKUP(B13,Sessions!A:J,2,FALSE),"")</f>
        <v/>
      </c>
      <c r="D13" s="3" t="str">
        <f>IFERROR(VLOOKUP(B13,Sessions!A:J,3,FALSE),"")</f>
        <v/>
      </c>
      <c r="E13" s="3"/>
      <c r="F13" s="3" t="str">
        <f>IFERROR(VLOOKUP(E13,Employees!A:L,2,FALSE),"")</f>
        <v/>
      </c>
      <c r="G13" s="3" t="str">
        <f>IFERROR(VLOOKUP(E13,Employees!A:L,3,FALSE),"")</f>
        <v/>
      </c>
      <c r="H13" s="3"/>
      <c r="I13" s="3"/>
      <c r="J13" s="3"/>
      <c r="K13" s="3" t="str">
        <f>IF(B13="","",IF(OR(E13="",H13=""),"ناقص",IF(H13="نعم","مكتمل","غائب")))</f>
        <v/>
      </c>
      <c r="L13" s="3"/>
    </row>
    <row r="14" spans="1:12" x14ac:dyDescent="0.2">
      <c r="A14" s="3">
        <v>11</v>
      </c>
      <c r="B14" s="3"/>
      <c r="C14" s="3" t="str">
        <f>IFERROR(VLOOKUP(B14,Sessions!A:J,2,FALSE),"")</f>
        <v/>
      </c>
      <c r="D14" s="3" t="str">
        <f>IFERROR(VLOOKUP(B14,Sessions!A:J,3,FALSE),"")</f>
        <v/>
      </c>
      <c r="E14" s="3"/>
      <c r="F14" s="3" t="str">
        <f>IFERROR(VLOOKUP(E14,Employees!A:L,2,FALSE),"")</f>
        <v/>
      </c>
      <c r="G14" s="3" t="str">
        <f>IFERROR(VLOOKUP(E14,Employees!A:L,3,FALSE),"")</f>
        <v/>
      </c>
      <c r="H14" s="3"/>
      <c r="I14" s="3"/>
      <c r="J14" s="3"/>
      <c r="K14" s="3" t="str">
        <f>IF(B14="","",IF(OR(E14="",H14=""),"ناقص",IF(H14="نعم","مكتمل","غائب")))</f>
        <v/>
      </c>
      <c r="L14" s="3"/>
    </row>
    <row r="15" spans="1:12" x14ac:dyDescent="0.2">
      <c r="A15" s="3">
        <v>12</v>
      </c>
      <c r="B15" s="3"/>
      <c r="C15" s="3" t="str">
        <f>IFERROR(VLOOKUP(B15,Sessions!A:J,2,FALSE),"")</f>
        <v/>
      </c>
      <c r="D15" s="3" t="str">
        <f>IFERROR(VLOOKUP(B15,Sessions!A:J,3,FALSE),"")</f>
        <v/>
      </c>
      <c r="E15" s="3"/>
      <c r="F15" s="3" t="str">
        <f>IFERROR(VLOOKUP(E15,Employees!A:L,2,FALSE),"")</f>
        <v/>
      </c>
      <c r="G15" s="3" t="str">
        <f>IFERROR(VLOOKUP(E15,Employees!A:L,3,FALSE),"")</f>
        <v/>
      </c>
      <c r="H15" s="3"/>
      <c r="I15" s="3"/>
      <c r="J15" s="3"/>
      <c r="K15" s="3" t="str">
        <f>IF(B15="","",IF(OR(E15="",H15=""),"ناقص",IF(H15="نعم","مكتمل","غائب")))</f>
        <v/>
      </c>
      <c r="L15" s="3"/>
    </row>
    <row r="16" spans="1:12" x14ac:dyDescent="0.2">
      <c r="A16" s="3">
        <v>13</v>
      </c>
      <c r="B16" s="3"/>
      <c r="C16" s="3" t="str">
        <f>IFERROR(VLOOKUP(B16,Sessions!A:J,2,FALSE),"")</f>
        <v/>
      </c>
      <c r="D16" s="3" t="str">
        <f>IFERROR(VLOOKUP(B16,Sessions!A:J,3,FALSE),"")</f>
        <v/>
      </c>
      <c r="E16" s="3"/>
      <c r="F16" s="3" t="str">
        <f>IFERROR(VLOOKUP(E16,Employees!A:L,2,FALSE),"")</f>
        <v/>
      </c>
      <c r="G16" s="3" t="str">
        <f>IFERROR(VLOOKUP(E16,Employees!A:L,3,FALSE),"")</f>
        <v/>
      </c>
      <c r="H16" s="3"/>
      <c r="I16" s="3"/>
      <c r="J16" s="3"/>
      <c r="K16" s="3" t="str">
        <f>IF(B16="","",IF(OR(E16="",H16=""),"ناقص",IF(H16="نعم","مكتمل","غائب")))</f>
        <v/>
      </c>
      <c r="L16" s="3"/>
    </row>
    <row r="17" spans="1:12" x14ac:dyDescent="0.2">
      <c r="A17" s="3">
        <v>14</v>
      </c>
      <c r="B17" s="3"/>
      <c r="C17" s="3" t="str">
        <f>IFERROR(VLOOKUP(B17,Sessions!A:J,2,FALSE),"")</f>
        <v/>
      </c>
      <c r="D17" s="3" t="str">
        <f>IFERROR(VLOOKUP(B17,Sessions!A:J,3,FALSE),"")</f>
        <v/>
      </c>
      <c r="E17" s="3"/>
      <c r="F17" s="3" t="str">
        <f>IFERROR(VLOOKUP(E17,Employees!A:L,2,FALSE),"")</f>
        <v/>
      </c>
      <c r="G17" s="3" t="str">
        <f>IFERROR(VLOOKUP(E17,Employees!A:L,3,FALSE),"")</f>
        <v/>
      </c>
      <c r="H17" s="3"/>
      <c r="I17" s="3"/>
      <c r="J17" s="3"/>
      <c r="K17" s="3" t="str">
        <f>IF(B17="","",IF(OR(E17="",H17=""),"ناقص",IF(H17="نعم","مكتمل","غائب")))</f>
        <v/>
      </c>
      <c r="L17" s="3"/>
    </row>
    <row r="18" spans="1:12" x14ac:dyDescent="0.2">
      <c r="A18" s="3">
        <v>15</v>
      </c>
      <c r="B18" s="3"/>
      <c r="C18" s="3" t="str">
        <f>IFERROR(VLOOKUP(B18,Sessions!A:J,2,FALSE),"")</f>
        <v/>
      </c>
      <c r="D18" s="3" t="str">
        <f>IFERROR(VLOOKUP(B18,Sessions!A:J,3,FALSE),"")</f>
        <v/>
      </c>
      <c r="E18" s="3"/>
      <c r="F18" s="3" t="str">
        <f>IFERROR(VLOOKUP(E18,Employees!A:L,2,FALSE),"")</f>
        <v/>
      </c>
      <c r="G18" s="3" t="str">
        <f>IFERROR(VLOOKUP(E18,Employees!A:L,3,FALSE),"")</f>
        <v/>
      </c>
      <c r="H18" s="3"/>
      <c r="I18" s="3"/>
      <c r="J18" s="3"/>
      <c r="K18" s="3" t="str">
        <f>IF(B18="","",IF(OR(E18="",H18=""),"ناقص",IF(H18="نعم","مكتمل","غائب")))</f>
        <v/>
      </c>
      <c r="L18" s="3"/>
    </row>
    <row r="19" spans="1:12" x14ac:dyDescent="0.2">
      <c r="A19" s="3">
        <v>16</v>
      </c>
      <c r="B19" s="3"/>
      <c r="C19" s="3" t="str">
        <f>IFERROR(VLOOKUP(B19,Sessions!A:J,2,FALSE),"")</f>
        <v/>
      </c>
      <c r="D19" s="3" t="str">
        <f>IFERROR(VLOOKUP(B19,Sessions!A:J,3,FALSE),"")</f>
        <v/>
      </c>
      <c r="E19" s="3"/>
      <c r="F19" s="3" t="str">
        <f>IFERROR(VLOOKUP(E19,Employees!A:L,2,FALSE),"")</f>
        <v/>
      </c>
      <c r="G19" s="3" t="str">
        <f>IFERROR(VLOOKUP(E19,Employees!A:L,3,FALSE),"")</f>
        <v/>
      </c>
      <c r="H19" s="3"/>
      <c r="I19" s="3"/>
      <c r="J19" s="3"/>
      <c r="K19" s="3" t="str">
        <f>IF(B19="","",IF(OR(E19="",H19=""),"ناقص",IF(H19="نعم","مكتمل","غائب")))</f>
        <v/>
      </c>
      <c r="L19" s="3"/>
    </row>
    <row r="20" spans="1:12" x14ac:dyDescent="0.2">
      <c r="A20" s="3">
        <v>17</v>
      </c>
      <c r="B20" s="3"/>
      <c r="C20" s="3" t="str">
        <f>IFERROR(VLOOKUP(B20,Sessions!A:J,2,FALSE),"")</f>
        <v/>
      </c>
      <c r="D20" s="3" t="str">
        <f>IFERROR(VLOOKUP(B20,Sessions!A:J,3,FALSE),"")</f>
        <v/>
      </c>
      <c r="E20" s="3"/>
      <c r="F20" s="3" t="str">
        <f>IFERROR(VLOOKUP(E20,Employees!A:L,2,FALSE),"")</f>
        <v/>
      </c>
      <c r="G20" s="3" t="str">
        <f>IFERROR(VLOOKUP(E20,Employees!A:L,3,FALSE),"")</f>
        <v/>
      </c>
      <c r="H20" s="3"/>
      <c r="I20" s="3"/>
      <c r="J20" s="3"/>
      <c r="K20" s="3" t="str">
        <f>IF(B20="","",IF(OR(E20="",H20=""),"ناقص",IF(H20="نعم","مكتمل","غائب")))</f>
        <v/>
      </c>
      <c r="L20" s="3"/>
    </row>
    <row r="21" spans="1:12" x14ac:dyDescent="0.2">
      <c r="A21" s="3">
        <v>18</v>
      </c>
      <c r="B21" s="3"/>
      <c r="C21" s="3" t="str">
        <f>IFERROR(VLOOKUP(B21,Sessions!A:J,2,FALSE),"")</f>
        <v/>
      </c>
      <c r="D21" s="3" t="str">
        <f>IFERROR(VLOOKUP(B21,Sessions!A:J,3,FALSE),"")</f>
        <v/>
      </c>
      <c r="E21" s="3"/>
      <c r="F21" s="3" t="str">
        <f>IFERROR(VLOOKUP(E21,Employees!A:L,2,FALSE),"")</f>
        <v/>
      </c>
      <c r="G21" s="3" t="str">
        <f>IFERROR(VLOOKUP(E21,Employees!A:L,3,FALSE),"")</f>
        <v/>
      </c>
      <c r="H21" s="3"/>
      <c r="I21" s="3"/>
      <c r="J21" s="3"/>
      <c r="K21" s="3" t="str">
        <f>IF(B21="","",IF(OR(E21="",H21=""),"ناقص",IF(H21="نعم","مكتمل","غائب")))</f>
        <v/>
      </c>
      <c r="L21" s="3"/>
    </row>
    <row r="22" spans="1:12" x14ac:dyDescent="0.2">
      <c r="A22" s="3">
        <v>19</v>
      </c>
      <c r="B22" s="3"/>
      <c r="C22" s="3" t="str">
        <f>IFERROR(VLOOKUP(B22,Sessions!A:J,2,FALSE),"")</f>
        <v/>
      </c>
      <c r="D22" s="3" t="str">
        <f>IFERROR(VLOOKUP(B22,Sessions!A:J,3,FALSE),"")</f>
        <v/>
      </c>
      <c r="E22" s="3"/>
      <c r="F22" s="3" t="str">
        <f>IFERROR(VLOOKUP(E22,Employees!A:L,2,FALSE),"")</f>
        <v/>
      </c>
      <c r="G22" s="3" t="str">
        <f>IFERROR(VLOOKUP(E22,Employees!A:L,3,FALSE),"")</f>
        <v/>
      </c>
      <c r="H22" s="3"/>
      <c r="I22" s="3"/>
      <c r="J22" s="3"/>
      <c r="K22" s="3" t="str">
        <f>IF(B22="","",IF(OR(E22="",H22=""),"ناقص",IF(H22="نعم","مكتمل","غائب")))</f>
        <v/>
      </c>
      <c r="L22" s="3"/>
    </row>
    <row r="23" spans="1:12" x14ac:dyDescent="0.2">
      <c r="A23" s="3">
        <v>20</v>
      </c>
      <c r="B23" s="3"/>
      <c r="C23" s="3" t="str">
        <f>IFERROR(VLOOKUP(B23,Sessions!A:J,2,FALSE),"")</f>
        <v/>
      </c>
      <c r="D23" s="3" t="str">
        <f>IFERROR(VLOOKUP(B23,Sessions!A:J,3,FALSE),"")</f>
        <v/>
      </c>
      <c r="E23" s="3"/>
      <c r="F23" s="3" t="str">
        <f>IFERROR(VLOOKUP(E23,Employees!A:L,2,FALSE),"")</f>
        <v/>
      </c>
      <c r="G23" s="3" t="str">
        <f>IFERROR(VLOOKUP(E23,Employees!A:L,3,FALSE),"")</f>
        <v/>
      </c>
      <c r="H23" s="3"/>
      <c r="I23" s="3"/>
      <c r="J23" s="3"/>
      <c r="K23" s="3" t="str">
        <f>IF(B23="","",IF(OR(E23="",H23=""),"ناقص",IF(H23="نعم","مكتمل","غائب")))</f>
        <v/>
      </c>
      <c r="L23" s="3"/>
    </row>
    <row r="24" spans="1:12" x14ac:dyDescent="0.2">
      <c r="A24" s="3">
        <v>21</v>
      </c>
      <c r="B24" s="3"/>
      <c r="C24" s="3" t="str">
        <f>IFERROR(VLOOKUP(B24,Sessions!A:J,2,FALSE),"")</f>
        <v/>
      </c>
      <c r="D24" s="3" t="str">
        <f>IFERROR(VLOOKUP(B24,Sessions!A:J,3,FALSE),"")</f>
        <v/>
      </c>
      <c r="E24" s="3"/>
      <c r="F24" s="3" t="str">
        <f>IFERROR(VLOOKUP(E24,Employees!A:L,2,FALSE),"")</f>
        <v/>
      </c>
      <c r="G24" s="3" t="str">
        <f>IFERROR(VLOOKUP(E24,Employees!A:L,3,FALSE),"")</f>
        <v/>
      </c>
      <c r="H24" s="3"/>
      <c r="I24" s="3"/>
      <c r="J24" s="3"/>
      <c r="K24" s="3" t="str">
        <f>IF(B24="","",IF(OR(E24="",H24=""),"ناقص",IF(H24="نعم","مكتمل","غائب")))</f>
        <v/>
      </c>
      <c r="L24" s="3"/>
    </row>
    <row r="25" spans="1:12" x14ac:dyDescent="0.2">
      <c r="A25" s="3">
        <v>22</v>
      </c>
      <c r="B25" s="3"/>
      <c r="C25" s="3" t="str">
        <f>IFERROR(VLOOKUP(B25,Sessions!A:J,2,FALSE),"")</f>
        <v/>
      </c>
      <c r="D25" s="3" t="str">
        <f>IFERROR(VLOOKUP(B25,Sessions!A:J,3,FALSE),"")</f>
        <v/>
      </c>
      <c r="E25" s="3"/>
      <c r="F25" s="3" t="str">
        <f>IFERROR(VLOOKUP(E25,Employees!A:L,2,FALSE),"")</f>
        <v/>
      </c>
      <c r="G25" s="3" t="str">
        <f>IFERROR(VLOOKUP(E25,Employees!A:L,3,FALSE),"")</f>
        <v/>
      </c>
      <c r="H25" s="3"/>
      <c r="I25" s="3"/>
      <c r="J25" s="3"/>
      <c r="K25" s="3" t="str">
        <f>IF(B25="","",IF(OR(E25="",H25=""),"ناقص",IF(H25="نعم","مكتمل","غائب")))</f>
        <v/>
      </c>
      <c r="L25" s="3"/>
    </row>
    <row r="26" spans="1:12" x14ac:dyDescent="0.2">
      <c r="A26" s="3">
        <v>23</v>
      </c>
      <c r="B26" s="3"/>
      <c r="C26" s="3" t="str">
        <f>IFERROR(VLOOKUP(B26,Sessions!A:J,2,FALSE),"")</f>
        <v/>
      </c>
      <c r="D26" s="3" t="str">
        <f>IFERROR(VLOOKUP(B26,Sessions!A:J,3,FALSE),"")</f>
        <v/>
      </c>
      <c r="E26" s="3"/>
      <c r="F26" s="3" t="str">
        <f>IFERROR(VLOOKUP(E26,Employees!A:L,2,FALSE),"")</f>
        <v/>
      </c>
      <c r="G26" s="3" t="str">
        <f>IFERROR(VLOOKUP(E26,Employees!A:L,3,FALSE),"")</f>
        <v/>
      </c>
      <c r="H26" s="3"/>
      <c r="I26" s="3"/>
      <c r="J26" s="3"/>
      <c r="K26" s="3" t="str">
        <f>IF(B26="","",IF(OR(E26="",H26=""),"ناقص",IF(H26="نعم","مكتمل","غائب")))</f>
        <v/>
      </c>
      <c r="L26" s="3"/>
    </row>
    <row r="27" spans="1:12" x14ac:dyDescent="0.2">
      <c r="A27" s="3">
        <v>24</v>
      </c>
      <c r="B27" s="3"/>
      <c r="C27" s="3" t="str">
        <f>IFERROR(VLOOKUP(B27,Sessions!A:J,2,FALSE),"")</f>
        <v/>
      </c>
      <c r="D27" s="3" t="str">
        <f>IFERROR(VLOOKUP(B27,Sessions!A:J,3,FALSE),"")</f>
        <v/>
      </c>
      <c r="E27" s="3"/>
      <c r="F27" s="3" t="str">
        <f>IFERROR(VLOOKUP(E27,Employees!A:L,2,FALSE),"")</f>
        <v/>
      </c>
      <c r="G27" s="3" t="str">
        <f>IFERROR(VLOOKUP(E27,Employees!A:L,3,FALSE),"")</f>
        <v/>
      </c>
      <c r="H27" s="3"/>
      <c r="I27" s="3"/>
      <c r="J27" s="3"/>
      <c r="K27" s="3" t="str">
        <f>IF(B27="","",IF(OR(E27="",H27=""),"ناقص",IF(H27="نعم","مكتمل","غائب")))</f>
        <v/>
      </c>
      <c r="L27" s="3"/>
    </row>
    <row r="28" spans="1:12" x14ac:dyDescent="0.2">
      <c r="A28" s="3">
        <v>25</v>
      </c>
      <c r="B28" s="3"/>
      <c r="C28" s="3" t="str">
        <f>IFERROR(VLOOKUP(B28,Sessions!A:J,2,FALSE),"")</f>
        <v/>
      </c>
      <c r="D28" s="3" t="str">
        <f>IFERROR(VLOOKUP(B28,Sessions!A:J,3,FALSE),"")</f>
        <v/>
      </c>
      <c r="E28" s="3"/>
      <c r="F28" s="3" t="str">
        <f>IFERROR(VLOOKUP(E28,Employees!A:L,2,FALSE),"")</f>
        <v/>
      </c>
      <c r="G28" s="3" t="str">
        <f>IFERROR(VLOOKUP(E28,Employees!A:L,3,FALSE),"")</f>
        <v/>
      </c>
      <c r="H28" s="3"/>
      <c r="I28" s="3"/>
      <c r="J28" s="3"/>
      <c r="K28" s="3" t="str">
        <f>IF(B28="","",IF(OR(E28="",H28=""),"ناقص",IF(H28="نعم","مكتمل","غائب")))</f>
        <v/>
      </c>
      <c r="L28" s="3"/>
    </row>
    <row r="29" spans="1:12" x14ac:dyDescent="0.2">
      <c r="A29" s="3">
        <v>26</v>
      </c>
      <c r="B29" s="3"/>
      <c r="C29" s="3" t="str">
        <f>IFERROR(VLOOKUP(B29,Sessions!A:J,2,FALSE),"")</f>
        <v/>
      </c>
      <c r="D29" s="3" t="str">
        <f>IFERROR(VLOOKUP(B29,Sessions!A:J,3,FALSE),"")</f>
        <v/>
      </c>
      <c r="E29" s="3"/>
      <c r="F29" s="3" t="str">
        <f>IFERROR(VLOOKUP(E29,Employees!A:L,2,FALSE),"")</f>
        <v/>
      </c>
      <c r="G29" s="3" t="str">
        <f>IFERROR(VLOOKUP(E29,Employees!A:L,3,FALSE),"")</f>
        <v/>
      </c>
      <c r="H29" s="3"/>
      <c r="I29" s="3"/>
      <c r="J29" s="3"/>
      <c r="K29" s="3" t="str">
        <f>IF(B29="","",IF(OR(E29="",H29=""),"ناقص",IF(H29="نعم","مكتمل","غائب")))</f>
        <v/>
      </c>
      <c r="L29" s="3"/>
    </row>
    <row r="30" spans="1:12" x14ac:dyDescent="0.2">
      <c r="A30" s="3">
        <v>27</v>
      </c>
      <c r="B30" s="3"/>
      <c r="C30" s="3" t="str">
        <f>IFERROR(VLOOKUP(B30,Sessions!A:J,2,FALSE),"")</f>
        <v/>
      </c>
      <c r="D30" s="3" t="str">
        <f>IFERROR(VLOOKUP(B30,Sessions!A:J,3,FALSE),"")</f>
        <v/>
      </c>
      <c r="E30" s="3"/>
      <c r="F30" s="3" t="str">
        <f>IFERROR(VLOOKUP(E30,Employees!A:L,2,FALSE),"")</f>
        <v/>
      </c>
      <c r="G30" s="3" t="str">
        <f>IFERROR(VLOOKUP(E30,Employees!A:L,3,FALSE),"")</f>
        <v/>
      </c>
      <c r="H30" s="3"/>
      <c r="I30" s="3"/>
      <c r="J30" s="3"/>
      <c r="K30" s="3" t="str">
        <f>IF(B30="","",IF(OR(E30="",H30=""),"ناقص",IF(H30="نعم","مكتمل","غائب")))</f>
        <v/>
      </c>
      <c r="L30" s="3"/>
    </row>
    <row r="31" spans="1:12" x14ac:dyDescent="0.2">
      <c r="A31" s="3">
        <v>28</v>
      </c>
      <c r="B31" s="3"/>
      <c r="C31" s="3" t="str">
        <f>IFERROR(VLOOKUP(B31,Sessions!A:J,2,FALSE),"")</f>
        <v/>
      </c>
      <c r="D31" s="3" t="str">
        <f>IFERROR(VLOOKUP(B31,Sessions!A:J,3,FALSE),"")</f>
        <v/>
      </c>
      <c r="E31" s="3"/>
      <c r="F31" s="3" t="str">
        <f>IFERROR(VLOOKUP(E31,Employees!A:L,2,FALSE),"")</f>
        <v/>
      </c>
      <c r="G31" s="3" t="str">
        <f>IFERROR(VLOOKUP(E31,Employees!A:L,3,FALSE),"")</f>
        <v/>
      </c>
      <c r="H31" s="3"/>
      <c r="I31" s="3"/>
      <c r="J31" s="3"/>
      <c r="K31" s="3" t="str">
        <f>IF(B31="","",IF(OR(E31="",H31=""),"ناقص",IF(H31="نعم","مكتمل","غائب")))</f>
        <v/>
      </c>
      <c r="L31" s="3"/>
    </row>
    <row r="32" spans="1:12" x14ac:dyDescent="0.2">
      <c r="A32" s="3">
        <v>29</v>
      </c>
      <c r="B32" s="3"/>
      <c r="C32" s="3" t="str">
        <f>IFERROR(VLOOKUP(B32,Sessions!A:J,2,FALSE),"")</f>
        <v/>
      </c>
      <c r="D32" s="3" t="str">
        <f>IFERROR(VLOOKUP(B32,Sessions!A:J,3,FALSE),"")</f>
        <v/>
      </c>
      <c r="E32" s="3"/>
      <c r="F32" s="3" t="str">
        <f>IFERROR(VLOOKUP(E32,Employees!A:L,2,FALSE),"")</f>
        <v/>
      </c>
      <c r="G32" s="3" t="str">
        <f>IFERROR(VLOOKUP(E32,Employees!A:L,3,FALSE),"")</f>
        <v/>
      </c>
      <c r="H32" s="3"/>
      <c r="I32" s="3"/>
      <c r="J32" s="3"/>
      <c r="K32" s="3" t="str">
        <f>IF(B32="","",IF(OR(E32="",H32=""),"ناقص",IF(H32="نعم","مكتمل","غائب")))</f>
        <v/>
      </c>
      <c r="L32" s="3"/>
    </row>
    <row r="33" spans="1:12" x14ac:dyDescent="0.2">
      <c r="A33" s="3">
        <v>30</v>
      </c>
      <c r="B33" s="3"/>
      <c r="C33" s="3" t="str">
        <f>IFERROR(VLOOKUP(B33,Sessions!A:J,2,FALSE),"")</f>
        <v/>
      </c>
      <c r="D33" s="3" t="str">
        <f>IFERROR(VLOOKUP(B33,Sessions!A:J,3,FALSE),"")</f>
        <v/>
      </c>
      <c r="E33" s="3"/>
      <c r="F33" s="3" t="str">
        <f>IFERROR(VLOOKUP(E33,Employees!A:L,2,FALSE),"")</f>
        <v/>
      </c>
      <c r="G33" s="3" t="str">
        <f>IFERROR(VLOOKUP(E33,Employees!A:L,3,FALSE),"")</f>
        <v/>
      </c>
      <c r="H33" s="3"/>
      <c r="I33" s="3"/>
      <c r="J33" s="3"/>
      <c r="K33" s="3" t="str">
        <f>IF(B33="","",IF(OR(E33="",H33=""),"ناقص",IF(H33="نعم","مكتمل","غائب")))</f>
        <v/>
      </c>
      <c r="L33" s="3"/>
    </row>
    <row r="34" spans="1:12" x14ac:dyDescent="0.2">
      <c r="A34" s="3">
        <v>31</v>
      </c>
      <c r="B34" s="3"/>
      <c r="C34" s="3" t="str">
        <f>IFERROR(VLOOKUP(B34,Sessions!A:J,2,FALSE),"")</f>
        <v/>
      </c>
      <c r="D34" s="3" t="str">
        <f>IFERROR(VLOOKUP(B34,Sessions!A:J,3,FALSE),"")</f>
        <v/>
      </c>
      <c r="E34" s="3"/>
      <c r="F34" s="3" t="str">
        <f>IFERROR(VLOOKUP(E34,Employees!A:L,2,FALSE),"")</f>
        <v/>
      </c>
      <c r="G34" s="3" t="str">
        <f>IFERROR(VLOOKUP(E34,Employees!A:L,3,FALSE),"")</f>
        <v/>
      </c>
      <c r="H34" s="3"/>
      <c r="I34" s="3"/>
      <c r="J34" s="3"/>
      <c r="K34" s="3" t="str">
        <f>IF(B34="","",IF(OR(E34="",H34=""),"ناقص",IF(H34="نعم","مكتمل","غائب")))</f>
        <v/>
      </c>
      <c r="L34" s="3"/>
    </row>
    <row r="35" spans="1:12" x14ac:dyDescent="0.2">
      <c r="A35" s="3">
        <v>32</v>
      </c>
      <c r="B35" s="3"/>
      <c r="C35" s="3" t="str">
        <f>IFERROR(VLOOKUP(B35,Sessions!A:J,2,FALSE),"")</f>
        <v/>
      </c>
      <c r="D35" s="3" t="str">
        <f>IFERROR(VLOOKUP(B35,Sessions!A:J,3,FALSE),"")</f>
        <v/>
      </c>
      <c r="E35" s="3"/>
      <c r="F35" s="3" t="str">
        <f>IFERROR(VLOOKUP(E35,Employees!A:L,2,FALSE),"")</f>
        <v/>
      </c>
      <c r="G35" s="3" t="str">
        <f>IFERROR(VLOOKUP(E35,Employees!A:L,3,FALSE),"")</f>
        <v/>
      </c>
      <c r="H35" s="3"/>
      <c r="I35" s="3"/>
      <c r="J35" s="3"/>
      <c r="K35" s="3" t="str">
        <f>IF(B35="","",IF(OR(E35="",H35=""),"ناقص",IF(H35="نعم","مكتمل","غائب")))</f>
        <v/>
      </c>
      <c r="L35" s="3"/>
    </row>
    <row r="36" spans="1:12" x14ac:dyDescent="0.2">
      <c r="A36" s="3">
        <v>33</v>
      </c>
      <c r="B36" s="3"/>
      <c r="C36" s="3" t="str">
        <f>IFERROR(VLOOKUP(B36,Sessions!A:J,2,FALSE),"")</f>
        <v/>
      </c>
      <c r="D36" s="3" t="str">
        <f>IFERROR(VLOOKUP(B36,Sessions!A:J,3,FALSE),"")</f>
        <v/>
      </c>
      <c r="E36" s="3"/>
      <c r="F36" s="3" t="str">
        <f>IFERROR(VLOOKUP(E36,Employees!A:L,2,FALSE),"")</f>
        <v/>
      </c>
      <c r="G36" s="3" t="str">
        <f>IFERROR(VLOOKUP(E36,Employees!A:L,3,FALSE),"")</f>
        <v/>
      </c>
      <c r="H36" s="3"/>
      <c r="I36" s="3"/>
      <c r="J36" s="3"/>
      <c r="K36" s="3" t="str">
        <f>IF(B36="","",IF(OR(E36="",H36=""),"ناقص",IF(H36="نعم","مكتمل","غائب")))</f>
        <v/>
      </c>
      <c r="L36" s="3"/>
    </row>
    <row r="37" spans="1:12" x14ac:dyDescent="0.2">
      <c r="A37" s="3">
        <v>34</v>
      </c>
      <c r="B37" s="3"/>
      <c r="C37" s="3" t="str">
        <f>IFERROR(VLOOKUP(B37,Sessions!A:J,2,FALSE),"")</f>
        <v/>
      </c>
      <c r="D37" s="3" t="str">
        <f>IFERROR(VLOOKUP(B37,Sessions!A:J,3,FALSE),"")</f>
        <v/>
      </c>
      <c r="E37" s="3"/>
      <c r="F37" s="3" t="str">
        <f>IFERROR(VLOOKUP(E37,Employees!A:L,2,FALSE),"")</f>
        <v/>
      </c>
      <c r="G37" s="3" t="str">
        <f>IFERROR(VLOOKUP(E37,Employees!A:L,3,FALSE),"")</f>
        <v/>
      </c>
      <c r="H37" s="3"/>
      <c r="I37" s="3"/>
      <c r="J37" s="3"/>
      <c r="K37" s="3" t="str">
        <f>IF(B37="","",IF(OR(E37="",H37=""),"ناقص",IF(H37="نعم","مكتمل","غائب")))</f>
        <v/>
      </c>
      <c r="L37" s="3"/>
    </row>
    <row r="38" spans="1:12" x14ac:dyDescent="0.2">
      <c r="A38" s="3">
        <v>35</v>
      </c>
      <c r="B38" s="3"/>
      <c r="C38" s="3" t="str">
        <f>IFERROR(VLOOKUP(B38,Sessions!A:J,2,FALSE),"")</f>
        <v/>
      </c>
      <c r="D38" s="3" t="str">
        <f>IFERROR(VLOOKUP(B38,Sessions!A:J,3,FALSE),"")</f>
        <v/>
      </c>
      <c r="E38" s="3"/>
      <c r="F38" s="3" t="str">
        <f>IFERROR(VLOOKUP(E38,Employees!A:L,2,FALSE),"")</f>
        <v/>
      </c>
      <c r="G38" s="3" t="str">
        <f>IFERROR(VLOOKUP(E38,Employees!A:L,3,FALSE),"")</f>
        <v/>
      </c>
      <c r="H38" s="3"/>
      <c r="I38" s="3"/>
      <c r="J38" s="3"/>
      <c r="K38" s="3" t="str">
        <f>IF(B38="","",IF(OR(E38="",H38=""),"ناقص",IF(H38="نعم","مكتمل","غائب")))</f>
        <v/>
      </c>
      <c r="L38" s="3"/>
    </row>
    <row r="39" spans="1:12" x14ac:dyDescent="0.2">
      <c r="A39" s="3">
        <v>36</v>
      </c>
      <c r="B39" s="3"/>
      <c r="C39" s="3" t="str">
        <f>IFERROR(VLOOKUP(B39,Sessions!A:J,2,FALSE),"")</f>
        <v/>
      </c>
      <c r="D39" s="3" t="str">
        <f>IFERROR(VLOOKUP(B39,Sessions!A:J,3,FALSE),"")</f>
        <v/>
      </c>
      <c r="E39" s="3"/>
      <c r="F39" s="3" t="str">
        <f>IFERROR(VLOOKUP(E39,Employees!A:L,2,FALSE),"")</f>
        <v/>
      </c>
      <c r="G39" s="3" t="str">
        <f>IFERROR(VLOOKUP(E39,Employees!A:L,3,FALSE),"")</f>
        <v/>
      </c>
      <c r="H39" s="3"/>
      <c r="I39" s="3"/>
      <c r="J39" s="3"/>
      <c r="K39" s="3" t="str">
        <f>IF(B39="","",IF(OR(E39="",H39=""),"ناقص",IF(H39="نعم","مكتمل","غائب")))</f>
        <v/>
      </c>
      <c r="L39" s="3"/>
    </row>
    <row r="40" spans="1:12" x14ac:dyDescent="0.2">
      <c r="A40" s="3">
        <v>37</v>
      </c>
      <c r="B40" s="3"/>
      <c r="C40" s="3" t="str">
        <f>IFERROR(VLOOKUP(B40,Sessions!A:J,2,FALSE),"")</f>
        <v/>
      </c>
      <c r="D40" s="3" t="str">
        <f>IFERROR(VLOOKUP(B40,Sessions!A:J,3,FALSE),"")</f>
        <v/>
      </c>
      <c r="E40" s="3"/>
      <c r="F40" s="3" t="str">
        <f>IFERROR(VLOOKUP(E40,Employees!A:L,2,FALSE),"")</f>
        <v/>
      </c>
      <c r="G40" s="3" t="str">
        <f>IFERROR(VLOOKUP(E40,Employees!A:L,3,FALSE),"")</f>
        <v/>
      </c>
      <c r="H40" s="3"/>
      <c r="I40" s="3"/>
      <c r="J40" s="3"/>
      <c r="K40" s="3" t="str">
        <f>IF(B40="","",IF(OR(E40="",H40=""),"ناقص",IF(H40="نعم","مكتمل","غائب")))</f>
        <v/>
      </c>
      <c r="L40" s="3"/>
    </row>
    <row r="41" spans="1:12" x14ac:dyDescent="0.2">
      <c r="A41" s="3">
        <v>38</v>
      </c>
      <c r="B41" s="3"/>
      <c r="C41" s="3" t="str">
        <f>IFERROR(VLOOKUP(B41,Sessions!A:J,2,FALSE),"")</f>
        <v/>
      </c>
      <c r="D41" s="3" t="str">
        <f>IFERROR(VLOOKUP(B41,Sessions!A:J,3,FALSE),"")</f>
        <v/>
      </c>
      <c r="E41" s="3"/>
      <c r="F41" s="3" t="str">
        <f>IFERROR(VLOOKUP(E41,Employees!A:L,2,FALSE),"")</f>
        <v/>
      </c>
      <c r="G41" s="3" t="str">
        <f>IFERROR(VLOOKUP(E41,Employees!A:L,3,FALSE),"")</f>
        <v/>
      </c>
      <c r="H41" s="3"/>
      <c r="I41" s="3"/>
      <c r="J41" s="3"/>
      <c r="K41" s="3" t="str">
        <f>IF(B41="","",IF(OR(E41="",H41=""),"ناقص",IF(H41="نعم","مكتمل","غائب")))</f>
        <v/>
      </c>
      <c r="L41" s="3"/>
    </row>
    <row r="42" spans="1:12" x14ac:dyDescent="0.2">
      <c r="A42" s="3">
        <v>39</v>
      </c>
      <c r="B42" s="3"/>
      <c r="C42" s="3" t="str">
        <f>IFERROR(VLOOKUP(B42,Sessions!A:J,2,FALSE),"")</f>
        <v/>
      </c>
      <c r="D42" s="3" t="str">
        <f>IFERROR(VLOOKUP(B42,Sessions!A:J,3,FALSE),"")</f>
        <v/>
      </c>
      <c r="E42" s="3"/>
      <c r="F42" s="3" t="str">
        <f>IFERROR(VLOOKUP(E42,Employees!A:L,2,FALSE),"")</f>
        <v/>
      </c>
      <c r="G42" s="3" t="str">
        <f>IFERROR(VLOOKUP(E42,Employees!A:L,3,FALSE),"")</f>
        <v/>
      </c>
      <c r="H42" s="3"/>
      <c r="I42" s="3"/>
      <c r="J42" s="3"/>
      <c r="K42" s="3" t="str">
        <f>IF(B42="","",IF(OR(E42="",H42=""),"ناقص",IF(H42="نعم","مكتمل","غائب")))</f>
        <v/>
      </c>
      <c r="L42" s="3"/>
    </row>
    <row r="43" spans="1:12" x14ac:dyDescent="0.2">
      <c r="A43" s="3">
        <v>40</v>
      </c>
      <c r="B43" s="3"/>
      <c r="C43" s="3" t="str">
        <f>IFERROR(VLOOKUP(B43,Sessions!A:J,2,FALSE),"")</f>
        <v/>
      </c>
      <c r="D43" s="3" t="str">
        <f>IFERROR(VLOOKUP(B43,Sessions!A:J,3,FALSE),"")</f>
        <v/>
      </c>
      <c r="E43" s="3"/>
      <c r="F43" s="3" t="str">
        <f>IFERROR(VLOOKUP(E43,Employees!A:L,2,FALSE),"")</f>
        <v/>
      </c>
      <c r="G43" s="3" t="str">
        <f>IFERROR(VLOOKUP(E43,Employees!A:L,3,FALSE),"")</f>
        <v/>
      </c>
      <c r="H43" s="3"/>
      <c r="I43" s="3"/>
      <c r="J43" s="3"/>
      <c r="K43" s="3" t="str">
        <f>IF(B43="","",IF(OR(E43="",H43=""),"ناقص",IF(H43="نعم","مكتمل","غائب")))</f>
        <v/>
      </c>
      <c r="L43" s="3"/>
    </row>
    <row r="44" spans="1:12" x14ac:dyDescent="0.2">
      <c r="A44" s="3">
        <v>41</v>
      </c>
      <c r="B44" s="3"/>
      <c r="C44" s="3" t="str">
        <f>IFERROR(VLOOKUP(B44,Sessions!A:J,2,FALSE),"")</f>
        <v/>
      </c>
      <c r="D44" s="3" t="str">
        <f>IFERROR(VLOOKUP(B44,Sessions!A:J,3,FALSE),"")</f>
        <v/>
      </c>
      <c r="E44" s="3"/>
      <c r="F44" s="3" t="str">
        <f>IFERROR(VLOOKUP(E44,Employees!A:L,2,FALSE),"")</f>
        <v/>
      </c>
      <c r="G44" s="3" t="str">
        <f>IFERROR(VLOOKUP(E44,Employees!A:L,3,FALSE),"")</f>
        <v/>
      </c>
      <c r="H44" s="3"/>
      <c r="I44" s="3"/>
      <c r="J44" s="3"/>
      <c r="K44" s="3" t="str">
        <f>IF(B44="","",IF(OR(E44="",H44=""),"ناقص",IF(H44="نعم","مكتمل","غائب")))</f>
        <v/>
      </c>
      <c r="L44" s="3"/>
    </row>
    <row r="45" spans="1:12" x14ac:dyDescent="0.2">
      <c r="A45" s="3">
        <v>42</v>
      </c>
      <c r="B45" s="3"/>
      <c r="C45" s="3" t="str">
        <f>IFERROR(VLOOKUP(B45,Sessions!A:J,2,FALSE),"")</f>
        <v/>
      </c>
      <c r="D45" s="3" t="str">
        <f>IFERROR(VLOOKUP(B45,Sessions!A:J,3,FALSE),"")</f>
        <v/>
      </c>
      <c r="E45" s="3"/>
      <c r="F45" s="3" t="str">
        <f>IFERROR(VLOOKUP(E45,Employees!A:L,2,FALSE),"")</f>
        <v/>
      </c>
      <c r="G45" s="3" t="str">
        <f>IFERROR(VLOOKUP(E45,Employees!A:L,3,FALSE),"")</f>
        <v/>
      </c>
      <c r="H45" s="3"/>
      <c r="I45" s="3"/>
      <c r="J45" s="3"/>
      <c r="K45" s="3" t="str">
        <f>IF(B45="","",IF(OR(E45="",H45=""),"ناقص",IF(H45="نعم","مكتمل","غائب")))</f>
        <v/>
      </c>
      <c r="L45" s="3"/>
    </row>
    <row r="46" spans="1:12" x14ac:dyDescent="0.2">
      <c r="A46" s="3">
        <v>43</v>
      </c>
      <c r="B46" s="3"/>
      <c r="C46" s="3" t="str">
        <f>IFERROR(VLOOKUP(B46,Sessions!A:J,2,FALSE),"")</f>
        <v/>
      </c>
      <c r="D46" s="3" t="str">
        <f>IFERROR(VLOOKUP(B46,Sessions!A:J,3,FALSE),"")</f>
        <v/>
      </c>
      <c r="E46" s="3"/>
      <c r="F46" s="3" t="str">
        <f>IFERROR(VLOOKUP(E46,Employees!A:L,2,FALSE),"")</f>
        <v/>
      </c>
      <c r="G46" s="3" t="str">
        <f>IFERROR(VLOOKUP(E46,Employees!A:L,3,FALSE),"")</f>
        <v/>
      </c>
      <c r="H46" s="3"/>
      <c r="I46" s="3"/>
      <c r="J46" s="3"/>
      <c r="K46" s="3" t="str">
        <f>IF(B46="","",IF(OR(E46="",H46=""),"ناقص",IF(H46="نعم","مكتمل","غائب")))</f>
        <v/>
      </c>
      <c r="L46" s="3"/>
    </row>
    <row r="47" spans="1:12" x14ac:dyDescent="0.2">
      <c r="A47" s="3">
        <v>44</v>
      </c>
      <c r="B47" s="3"/>
      <c r="C47" s="3" t="str">
        <f>IFERROR(VLOOKUP(B47,Sessions!A:J,2,FALSE),"")</f>
        <v/>
      </c>
      <c r="D47" s="3" t="str">
        <f>IFERROR(VLOOKUP(B47,Sessions!A:J,3,FALSE),"")</f>
        <v/>
      </c>
      <c r="E47" s="3"/>
      <c r="F47" s="3" t="str">
        <f>IFERROR(VLOOKUP(E47,Employees!A:L,2,FALSE),"")</f>
        <v/>
      </c>
      <c r="G47" s="3" t="str">
        <f>IFERROR(VLOOKUP(E47,Employees!A:L,3,FALSE),"")</f>
        <v/>
      </c>
      <c r="H47" s="3"/>
      <c r="I47" s="3"/>
      <c r="J47" s="3"/>
      <c r="K47" s="3" t="str">
        <f>IF(B47="","",IF(OR(E47="",H47=""),"ناقص",IF(H47="نعم","مكتمل","غائب")))</f>
        <v/>
      </c>
      <c r="L47" s="3"/>
    </row>
    <row r="48" spans="1:12" x14ac:dyDescent="0.2">
      <c r="A48" s="3">
        <v>45</v>
      </c>
      <c r="B48" s="3"/>
      <c r="C48" s="3" t="str">
        <f>IFERROR(VLOOKUP(B48,Sessions!A:J,2,FALSE),"")</f>
        <v/>
      </c>
      <c r="D48" s="3" t="str">
        <f>IFERROR(VLOOKUP(B48,Sessions!A:J,3,FALSE),"")</f>
        <v/>
      </c>
      <c r="E48" s="3"/>
      <c r="F48" s="3" t="str">
        <f>IFERROR(VLOOKUP(E48,Employees!A:L,2,FALSE),"")</f>
        <v/>
      </c>
      <c r="G48" s="3" t="str">
        <f>IFERROR(VLOOKUP(E48,Employees!A:L,3,FALSE),"")</f>
        <v/>
      </c>
      <c r="H48" s="3"/>
      <c r="I48" s="3"/>
      <c r="J48" s="3"/>
      <c r="K48" s="3" t="str">
        <f>IF(B48="","",IF(OR(E48="",H48=""),"ناقص",IF(H48="نعم","مكتمل","غائب")))</f>
        <v/>
      </c>
      <c r="L48" s="3"/>
    </row>
    <row r="49" spans="1:12" x14ac:dyDescent="0.2">
      <c r="A49" s="3">
        <v>46</v>
      </c>
      <c r="B49" s="3"/>
      <c r="C49" s="3" t="str">
        <f>IFERROR(VLOOKUP(B49,Sessions!A:J,2,FALSE),"")</f>
        <v/>
      </c>
      <c r="D49" s="3" t="str">
        <f>IFERROR(VLOOKUP(B49,Sessions!A:J,3,FALSE),"")</f>
        <v/>
      </c>
      <c r="E49" s="3"/>
      <c r="F49" s="3" t="str">
        <f>IFERROR(VLOOKUP(E49,Employees!A:L,2,FALSE),"")</f>
        <v/>
      </c>
      <c r="G49" s="3" t="str">
        <f>IFERROR(VLOOKUP(E49,Employees!A:L,3,FALSE),"")</f>
        <v/>
      </c>
      <c r="H49" s="3"/>
      <c r="I49" s="3"/>
      <c r="J49" s="3"/>
      <c r="K49" s="3" t="str">
        <f>IF(B49="","",IF(OR(E49="",H49=""),"ناقص",IF(H49="نعم","مكتمل","غائب")))</f>
        <v/>
      </c>
      <c r="L49" s="3"/>
    </row>
    <row r="50" spans="1:12" x14ac:dyDescent="0.2">
      <c r="A50" s="3">
        <v>47</v>
      </c>
      <c r="B50" s="3"/>
      <c r="C50" s="3" t="str">
        <f>IFERROR(VLOOKUP(B50,Sessions!A:J,2,FALSE),"")</f>
        <v/>
      </c>
      <c r="D50" s="3" t="str">
        <f>IFERROR(VLOOKUP(B50,Sessions!A:J,3,FALSE),"")</f>
        <v/>
      </c>
      <c r="E50" s="3"/>
      <c r="F50" s="3" t="str">
        <f>IFERROR(VLOOKUP(E50,Employees!A:L,2,FALSE),"")</f>
        <v/>
      </c>
      <c r="G50" s="3" t="str">
        <f>IFERROR(VLOOKUP(E50,Employees!A:L,3,FALSE),"")</f>
        <v/>
      </c>
      <c r="H50" s="3"/>
      <c r="I50" s="3"/>
      <c r="J50" s="3"/>
      <c r="K50" s="3" t="str">
        <f>IF(B50="","",IF(OR(E50="",H50=""),"ناقص",IF(H50="نعم","مكتمل","غائب")))</f>
        <v/>
      </c>
      <c r="L50" s="3"/>
    </row>
    <row r="51" spans="1:12" x14ac:dyDescent="0.2">
      <c r="A51" s="3">
        <v>48</v>
      </c>
      <c r="B51" s="3"/>
      <c r="C51" s="3" t="str">
        <f>IFERROR(VLOOKUP(B51,Sessions!A:J,2,FALSE),"")</f>
        <v/>
      </c>
      <c r="D51" s="3" t="str">
        <f>IFERROR(VLOOKUP(B51,Sessions!A:J,3,FALSE),"")</f>
        <v/>
      </c>
      <c r="E51" s="3"/>
      <c r="F51" s="3" t="str">
        <f>IFERROR(VLOOKUP(E51,Employees!A:L,2,FALSE),"")</f>
        <v/>
      </c>
      <c r="G51" s="3" t="str">
        <f>IFERROR(VLOOKUP(E51,Employees!A:L,3,FALSE),"")</f>
        <v/>
      </c>
      <c r="H51" s="3"/>
      <c r="I51" s="3"/>
      <c r="J51" s="3"/>
      <c r="K51" s="3" t="str">
        <f>IF(B51="","",IF(OR(E51="",H51=""),"ناقص",IF(H51="نعم","مكتمل","غائب")))</f>
        <v/>
      </c>
      <c r="L51" s="3"/>
    </row>
    <row r="52" spans="1:12" x14ac:dyDescent="0.2">
      <c r="A52" s="3">
        <v>49</v>
      </c>
      <c r="B52" s="3"/>
      <c r="C52" s="3" t="str">
        <f>IFERROR(VLOOKUP(B52,Sessions!A:J,2,FALSE),"")</f>
        <v/>
      </c>
      <c r="D52" s="3" t="str">
        <f>IFERROR(VLOOKUP(B52,Sessions!A:J,3,FALSE),"")</f>
        <v/>
      </c>
      <c r="E52" s="3"/>
      <c r="F52" s="3" t="str">
        <f>IFERROR(VLOOKUP(E52,Employees!A:L,2,FALSE),"")</f>
        <v/>
      </c>
      <c r="G52" s="3" t="str">
        <f>IFERROR(VLOOKUP(E52,Employees!A:L,3,FALSE),"")</f>
        <v/>
      </c>
      <c r="H52" s="3"/>
      <c r="I52" s="3"/>
      <c r="J52" s="3"/>
      <c r="K52" s="3" t="str">
        <f>IF(B52="","",IF(OR(E52="",H52=""),"ناقص",IF(H52="نعم","مكتمل","غائب")))</f>
        <v/>
      </c>
      <c r="L52" s="3"/>
    </row>
    <row r="53" spans="1:12" x14ac:dyDescent="0.2">
      <c r="A53" s="3">
        <v>50</v>
      </c>
      <c r="B53" s="3"/>
      <c r="C53" s="3" t="str">
        <f>IFERROR(VLOOKUP(B53,Sessions!A:J,2,FALSE),"")</f>
        <v/>
      </c>
      <c r="D53" s="3" t="str">
        <f>IFERROR(VLOOKUP(B53,Sessions!A:J,3,FALSE),"")</f>
        <v/>
      </c>
      <c r="E53" s="3"/>
      <c r="F53" s="3" t="str">
        <f>IFERROR(VLOOKUP(E53,Employees!A:L,2,FALSE),"")</f>
        <v/>
      </c>
      <c r="G53" s="3" t="str">
        <f>IFERROR(VLOOKUP(E53,Employees!A:L,3,FALSE),"")</f>
        <v/>
      </c>
      <c r="H53" s="3"/>
      <c r="I53" s="3"/>
      <c r="J53" s="3"/>
      <c r="K53" s="3" t="str">
        <f>IF(B53="","",IF(OR(E53="",H53=""),"ناقص",IF(H53="نعم","مكتمل","غائب")))</f>
        <v/>
      </c>
      <c r="L53" s="3"/>
    </row>
    <row r="54" spans="1:12" x14ac:dyDescent="0.2">
      <c r="A54" s="3">
        <v>51</v>
      </c>
      <c r="B54" s="3"/>
      <c r="C54" s="3" t="str">
        <f>IFERROR(VLOOKUP(B54,Sessions!A:J,2,FALSE),"")</f>
        <v/>
      </c>
      <c r="D54" s="3" t="str">
        <f>IFERROR(VLOOKUP(B54,Sessions!A:J,3,FALSE),"")</f>
        <v/>
      </c>
      <c r="E54" s="3"/>
      <c r="F54" s="3" t="str">
        <f>IFERROR(VLOOKUP(E54,Employees!A:L,2,FALSE),"")</f>
        <v/>
      </c>
      <c r="G54" s="3" t="str">
        <f>IFERROR(VLOOKUP(E54,Employees!A:L,3,FALSE),"")</f>
        <v/>
      </c>
      <c r="H54" s="3"/>
      <c r="I54" s="3"/>
      <c r="J54" s="3"/>
      <c r="K54" s="3" t="str">
        <f>IF(B54="","",IF(OR(E54="",H54=""),"ناقص",IF(H54="نعم","مكتمل","غائب")))</f>
        <v/>
      </c>
      <c r="L54" s="3"/>
    </row>
    <row r="55" spans="1:12" x14ac:dyDescent="0.2">
      <c r="A55" s="3">
        <v>52</v>
      </c>
      <c r="B55" s="3"/>
      <c r="C55" s="3" t="str">
        <f>IFERROR(VLOOKUP(B55,Sessions!A:J,2,FALSE),"")</f>
        <v/>
      </c>
      <c r="D55" s="3" t="str">
        <f>IFERROR(VLOOKUP(B55,Sessions!A:J,3,FALSE),"")</f>
        <v/>
      </c>
      <c r="E55" s="3"/>
      <c r="F55" s="3" t="str">
        <f>IFERROR(VLOOKUP(E55,Employees!A:L,2,FALSE),"")</f>
        <v/>
      </c>
      <c r="G55" s="3" t="str">
        <f>IFERROR(VLOOKUP(E55,Employees!A:L,3,FALSE),"")</f>
        <v/>
      </c>
      <c r="H55" s="3"/>
      <c r="I55" s="3"/>
      <c r="J55" s="3"/>
      <c r="K55" s="3" t="str">
        <f>IF(B55="","",IF(OR(E55="",H55=""),"ناقص",IF(H55="نعم","مكتمل","غائب")))</f>
        <v/>
      </c>
      <c r="L55" s="3"/>
    </row>
    <row r="56" spans="1:12" x14ac:dyDescent="0.2">
      <c r="A56" s="3">
        <v>53</v>
      </c>
      <c r="B56" s="3"/>
      <c r="C56" s="3" t="str">
        <f>IFERROR(VLOOKUP(B56,Sessions!A:J,2,FALSE),"")</f>
        <v/>
      </c>
      <c r="D56" s="3" t="str">
        <f>IFERROR(VLOOKUP(B56,Sessions!A:J,3,FALSE),"")</f>
        <v/>
      </c>
      <c r="E56" s="3"/>
      <c r="F56" s="3" t="str">
        <f>IFERROR(VLOOKUP(E56,Employees!A:L,2,FALSE),"")</f>
        <v/>
      </c>
      <c r="G56" s="3" t="str">
        <f>IFERROR(VLOOKUP(E56,Employees!A:L,3,FALSE),"")</f>
        <v/>
      </c>
      <c r="H56" s="3"/>
      <c r="I56" s="3"/>
      <c r="J56" s="3"/>
      <c r="K56" s="3" t="str">
        <f>IF(B56="","",IF(OR(E56="",H56=""),"ناقص",IF(H56="نعم","مكتمل","غائب")))</f>
        <v/>
      </c>
      <c r="L56" s="3"/>
    </row>
    <row r="57" spans="1:12" x14ac:dyDescent="0.2">
      <c r="A57" s="3">
        <v>54</v>
      </c>
      <c r="B57" s="3"/>
      <c r="C57" s="3" t="str">
        <f>IFERROR(VLOOKUP(B57,Sessions!A:J,2,FALSE),"")</f>
        <v/>
      </c>
      <c r="D57" s="3" t="str">
        <f>IFERROR(VLOOKUP(B57,Sessions!A:J,3,FALSE),"")</f>
        <v/>
      </c>
      <c r="E57" s="3"/>
      <c r="F57" s="3" t="str">
        <f>IFERROR(VLOOKUP(E57,Employees!A:L,2,FALSE),"")</f>
        <v/>
      </c>
      <c r="G57" s="3" t="str">
        <f>IFERROR(VLOOKUP(E57,Employees!A:L,3,FALSE),"")</f>
        <v/>
      </c>
      <c r="H57" s="3"/>
      <c r="I57" s="3"/>
      <c r="J57" s="3"/>
      <c r="K57" s="3" t="str">
        <f>IF(B57="","",IF(OR(E57="",H57=""),"ناقص",IF(H57="نعم","مكتمل","غائب")))</f>
        <v/>
      </c>
      <c r="L57" s="3"/>
    </row>
    <row r="58" spans="1:12" x14ac:dyDescent="0.2">
      <c r="A58" s="3">
        <v>55</v>
      </c>
      <c r="B58" s="3"/>
      <c r="C58" s="3" t="str">
        <f>IFERROR(VLOOKUP(B58,Sessions!A:J,2,FALSE),"")</f>
        <v/>
      </c>
      <c r="D58" s="3" t="str">
        <f>IFERROR(VLOOKUP(B58,Sessions!A:J,3,FALSE),"")</f>
        <v/>
      </c>
      <c r="E58" s="3"/>
      <c r="F58" s="3" t="str">
        <f>IFERROR(VLOOKUP(E58,Employees!A:L,2,FALSE),"")</f>
        <v/>
      </c>
      <c r="G58" s="3" t="str">
        <f>IFERROR(VLOOKUP(E58,Employees!A:L,3,FALSE),"")</f>
        <v/>
      </c>
      <c r="H58" s="3"/>
      <c r="I58" s="3"/>
      <c r="J58" s="3"/>
      <c r="K58" s="3" t="str">
        <f>IF(B58="","",IF(OR(E58="",H58=""),"ناقص",IF(H58="نعم","مكتمل","غائب")))</f>
        <v/>
      </c>
      <c r="L58" s="3"/>
    </row>
    <row r="59" spans="1:12" x14ac:dyDescent="0.2">
      <c r="A59" s="3">
        <v>56</v>
      </c>
      <c r="B59" s="3"/>
      <c r="C59" s="3" t="str">
        <f>IFERROR(VLOOKUP(B59,Sessions!A:J,2,FALSE),"")</f>
        <v/>
      </c>
      <c r="D59" s="3" t="str">
        <f>IFERROR(VLOOKUP(B59,Sessions!A:J,3,FALSE),"")</f>
        <v/>
      </c>
      <c r="E59" s="3"/>
      <c r="F59" s="3" t="str">
        <f>IFERROR(VLOOKUP(E59,Employees!A:L,2,FALSE),"")</f>
        <v/>
      </c>
      <c r="G59" s="3" t="str">
        <f>IFERROR(VLOOKUP(E59,Employees!A:L,3,FALSE),"")</f>
        <v/>
      </c>
      <c r="H59" s="3"/>
      <c r="I59" s="3"/>
      <c r="J59" s="3"/>
      <c r="K59" s="3" t="str">
        <f>IF(B59="","",IF(OR(E59="",H59=""),"ناقص",IF(H59="نعم","مكتمل","غائب")))</f>
        <v/>
      </c>
      <c r="L59" s="3"/>
    </row>
    <row r="60" spans="1:12" x14ac:dyDescent="0.2">
      <c r="A60" s="3">
        <v>57</v>
      </c>
      <c r="B60" s="3"/>
      <c r="C60" s="3" t="str">
        <f>IFERROR(VLOOKUP(B60,Sessions!A:J,2,FALSE),"")</f>
        <v/>
      </c>
      <c r="D60" s="3" t="str">
        <f>IFERROR(VLOOKUP(B60,Sessions!A:J,3,FALSE),"")</f>
        <v/>
      </c>
      <c r="E60" s="3"/>
      <c r="F60" s="3" t="str">
        <f>IFERROR(VLOOKUP(E60,Employees!A:L,2,FALSE),"")</f>
        <v/>
      </c>
      <c r="G60" s="3" t="str">
        <f>IFERROR(VLOOKUP(E60,Employees!A:L,3,FALSE),"")</f>
        <v/>
      </c>
      <c r="H60" s="3"/>
      <c r="I60" s="3"/>
      <c r="J60" s="3"/>
      <c r="K60" s="3" t="str">
        <f>IF(B60="","",IF(OR(E60="",H60=""),"ناقص",IF(H60="نعم","مكتمل","غائب")))</f>
        <v/>
      </c>
      <c r="L60" s="3"/>
    </row>
    <row r="61" spans="1:12" x14ac:dyDescent="0.2">
      <c r="A61" s="3">
        <v>58</v>
      </c>
      <c r="B61" s="3"/>
      <c r="C61" s="3" t="str">
        <f>IFERROR(VLOOKUP(B61,Sessions!A:J,2,FALSE),"")</f>
        <v/>
      </c>
      <c r="D61" s="3" t="str">
        <f>IFERROR(VLOOKUP(B61,Sessions!A:J,3,FALSE),"")</f>
        <v/>
      </c>
      <c r="E61" s="3"/>
      <c r="F61" s="3" t="str">
        <f>IFERROR(VLOOKUP(E61,Employees!A:L,2,FALSE),"")</f>
        <v/>
      </c>
      <c r="G61" s="3" t="str">
        <f>IFERROR(VLOOKUP(E61,Employees!A:L,3,FALSE),"")</f>
        <v/>
      </c>
      <c r="H61" s="3"/>
      <c r="I61" s="3"/>
      <c r="J61" s="3"/>
      <c r="K61" s="3" t="str">
        <f>IF(B61="","",IF(OR(E61="",H61=""),"ناقص",IF(H61="نعم","مكتمل","غائب")))</f>
        <v/>
      </c>
      <c r="L61" s="3"/>
    </row>
    <row r="62" spans="1:12" x14ac:dyDescent="0.2">
      <c r="A62" s="3">
        <v>59</v>
      </c>
      <c r="B62" s="3"/>
      <c r="C62" s="3" t="str">
        <f>IFERROR(VLOOKUP(B62,Sessions!A:J,2,FALSE),"")</f>
        <v/>
      </c>
      <c r="D62" s="3" t="str">
        <f>IFERROR(VLOOKUP(B62,Sessions!A:J,3,FALSE),"")</f>
        <v/>
      </c>
      <c r="E62" s="3"/>
      <c r="F62" s="3" t="str">
        <f>IFERROR(VLOOKUP(E62,Employees!A:L,2,FALSE),"")</f>
        <v/>
      </c>
      <c r="G62" s="3" t="str">
        <f>IFERROR(VLOOKUP(E62,Employees!A:L,3,FALSE),"")</f>
        <v/>
      </c>
      <c r="H62" s="3"/>
      <c r="I62" s="3"/>
      <c r="J62" s="3"/>
      <c r="K62" s="3" t="str">
        <f>IF(B62="","",IF(OR(E62="",H62=""),"ناقص",IF(H62="نعم","مكتمل","غائب")))</f>
        <v/>
      </c>
      <c r="L62" s="3"/>
    </row>
    <row r="63" spans="1:12" x14ac:dyDescent="0.2">
      <c r="A63" s="3">
        <v>60</v>
      </c>
      <c r="B63" s="3"/>
      <c r="C63" s="3" t="str">
        <f>IFERROR(VLOOKUP(B63,Sessions!A:J,2,FALSE),"")</f>
        <v/>
      </c>
      <c r="D63" s="3" t="str">
        <f>IFERROR(VLOOKUP(B63,Sessions!A:J,3,FALSE),"")</f>
        <v/>
      </c>
      <c r="E63" s="3"/>
      <c r="F63" s="3" t="str">
        <f>IFERROR(VLOOKUP(E63,Employees!A:L,2,FALSE),"")</f>
        <v/>
      </c>
      <c r="G63" s="3" t="str">
        <f>IFERROR(VLOOKUP(E63,Employees!A:L,3,FALSE),"")</f>
        <v/>
      </c>
      <c r="H63" s="3"/>
      <c r="I63" s="3"/>
      <c r="J63" s="3"/>
      <c r="K63" s="3" t="str">
        <f>IF(B63="","",IF(OR(E63="",H63=""),"ناقص",IF(H63="نعم","مكتمل","غائب")))</f>
        <v/>
      </c>
      <c r="L63" s="3"/>
    </row>
    <row r="64" spans="1:12" x14ac:dyDescent="0.2">
      <c r="A64" s="3">
        <v>61</v>
      </c>
      <c r="B64" s="3"/>
      <c r="C64" s="3" t="str">
        <f>IFERROR(VLOOKUP(B64,Sessions!A:J,2,FALSE),"")</f>
        <v/>
      </c>
      <c r="D64" s="3" t="str">
        <f>IFERROR(VLOOKUP(B64,Sessions!A:J,3,FALSE),"")</f>
        <v/>
      </c>
      <c r="E64" s="3"/>
      <c r="F64" s="3" t="str">
        <f>IFERROR(VLOOKUP(E64,Employees!A:L,2,FALSE),"")</f>
        <v/>
      </c>
      <c r="G64" s="3" t="str">
        <f>IFERROR(VLOOKUP(E64,Employees!A:L,3,FALSE),"")</f>
        <v/>
      </c>
      <c r="H64" s="3"/>
      <c r="I64" s="3"/>
      <c r="J64" s="3"/>
      <c r="K64" s="3" t="str">
        <f>IF(B64="","",IF(OR(E64="",H64=""),"ناقص",IF(H64="نعم","مكتمل","غائب")))</f>
        <v/>
      </c>
      <c r="L64" s="3"/>
    </row>
    <row r="65" spans="1:12" x14ac:dyDescent="0.2">
      <c r="A65" s="3">
        <v>62</v>
      </c>
      <c r="B65" s="3"/>
      <c r="C65" s="3" t="str">
        <f>IFERROR(VLOOKUP(B65,Sessions!A:J,2,FALSE),"")</f>
        <v/>
      </c>
      <c r="D65" s="3" t="str">
        <f>IFERROR(VLOOKUP(B65,Sessions!A:J,3,FALSE),"")</f>
        <v/>
      </c>
      <c r="E65" s="3"/>
      <c r="F65" s="3" t="str">
        <f>IFERROR(VLOOKUP(E65,Employees!A:L,2,FALSE),"")</f>
        <v/>
      </c>
      <c r="G65" s="3" t="str">
        <f>IFERROR(VLOOKUP(E65,Employees!A:L,3,FALSE),"")</f>
        <v/>
      </c>
      <c r="H65" s="3"/>
      <c r="I65" s="3"/>
      <c r="J65" s="3"/>
      <c r="K65" s="3" t="str">
        <f>IF(B65="","",IF(OR(E65="",H65=""),"ناقص",IF(H65="نعم","مكتمل","غائب")))</f>
        <v/>
      </c>
      <c r="L65" s="3"/>
    </row>
    <row r="66" spans="1:12" x14ac:dyDescent="0.2">
      <c r="A66" s="3">
        <v>63</v>
      </c>
      <c r="B66" s="3"/>
      <c r="C66" s="3" t="str">
        <f>IFERROR(VLOOKUP(B66,Sessions!A:J,2,FALSE),"")</f>
        <v/>
      </c>
      <c r="D66" s="3" t="str">
        <f>IFERROR(VLOOKUP(B66,Sessions!A:J,3,FALSE),"")</f>
        <v/>
      </c>
      <c r="E66" s="3"/>
      <c r="F66" s="3" t="str">
        <f>IFERROR(VLOOKUP(E66,Employees!A:L,2,FALSE),"")</f>
        <v/>
      </c>
      <c r="G66" s="3" t="str">
        <f>IFERROR(VLOOKUP(E66,Employees!A:L,3,FALSE),"")</f>
        <v/>
      </c>
      <c r="H66" s="3"/>
      <c r="I66" s="3"/>
      <c r="J66" s="3"/>
      <c r="K66" s="3" t="str">
        <f>IF(B66="","",IF(OR(E66="",H66=""),"ناقص",IF(H66="نعم","مكتمل","غائب")))</f>
        <v/>
      </c>
      <c r="L66" s="3"/>
    </row>
    <row r="67" spans="1:12" x14ac:dyDescent="0.2">
      <c r="A67" s="3">
        <v>64</v>
      </c>
      <c r="B67" s="3"/>
      <c r="C67" s="3" t="str">
        <f>IFERROR(VLOOKUP(B67,Sessions!A:J,2,FALSE),"")</f>
        <v/>
      </c>
      <c r="D67" s="3" t="str">
        <f>IFERROR(VLOOKUP(B67,Sessions!A:J,3,FALSE),"")</f>
        <v/>
      </c>
      <c r="E67" s="3"/>
      <c r="F67" s="3" t="str">
        <f>IFERROR(VLOOKUP(E67,Employees!A:L,2,FALSE),"")</f>
        <v/>
      </c>
      <c r="G67" s="3" t="str">
        <f>IFERROR(VLOOKUP(E67,Employees!A:L,3,FALSE),"")</f>
        <v/>
      </c>
      <c r="H67" s="3"/>
      <c r="I67" s="3"/>
      <c r="J67" s="3"/>
      <c r="K67" s="3" t="str">
        <f>IF(B67="","",IF(OR(E67="",H67=""),"ناقص",IF(H67="نعم","مكتمل","غائب")))</f>
        <v/>
      </c>
      <c r="L67" s="3"/>
    </row>
    <row r="68" spans="1:12" x14ac:dyDescent="0.2">
      <c r="A68" s="3">
        <v>65</v>
      </c>
      <c r="B68" s="3"/>
      <c r="C68" s="3" t="str">
        <f>IFERROR(VLOOKUP(B68,Sessions!A:J,2,FALSE),"")</f>
        <v/>
      </c>
      <c r="D68" s="3" t="str">
        <f>IFERROR(VLOOKUP(B68,Sessions!A:J,3,FALSE),"")</f>
        <v/>
      </c>
      <c r="E68" s="3"/>
      <c r="F68" s="3" t="str">
        <f>IFERROR(VLOOKUP(E68,Employees!A:L,2,FALSE),"")</f>
        <v/>
      </c>
      <c r="G68" s="3" t="str">
        <f>IFERROR(VLOOKUP(E68,Employees!A:L,3,FALSE),"")</f>
        <v/>
      </c>
      <c r="H68" s="3"/>
      <c r="I68" s="3"/>
      <c r="J68" s="3"/>
      <c r="K68" s="3" t="str">
        <f>IF(B68="","",IF(OR(E68="",H68=""),"ناقص",IF(H68="نعم","مكتمل","غائب")))</f>
        <v/>
      </c>
      <c r="L68" s="3"/>
    </row>
    <row r="69" spans="1:12" x14ac:dyDescent="0.2">
      <c r="A69" s="3">
        <v>66</v>
      </c>
      <c r="B69" s="3"/>
      <c r="C69" s="3" t="str">
        <f>IFERROR(VLOOKUP(B69,Sessions!A:J,2,FALSE),"")</f>
        <v/>
      </c>
      <c r="D69" s="3" t="str">
        <f>IFERROR(VLOOKUP(B69,Sessions!A:J,3,FALSE),"")</f>
        <v/>
      </c>
      <c r="E69" s="3"/>
      <c r="F69" s="3" t="str">
        <f>IFERROR(VLOOKUP(E69,Employees!A:L,2,FALSE),"")</f>
        <v/>
      </c>
      <c r="G69" s="3" t="str">
        <f>IFERROR(VLOOKUP(E69,Employees!A:L,3,FALSE),"")</f>
        <v/>
      </c>
      <c r="H69" s="3"/>
      <c r="I69" s="3"/>
      <c r="J69" s="3"/>
      <c r="K69" s="3" t="str">
        <f>IF(B69="","",IF(OR(E69="",H69=""),"ناقص",IF(H69="نعم","مكتمل","غائب")))</f>
        <v/>
      </c>
      <c r="L69" s="3"/>
    </row>
    <row r="70" spans="1:12" x14ac:dyDescent="0.2">
      <c r="A70" s="3">
        <v>67</v>
      </c>
      <c r="B70" s="3"/>
      <c r="C70" s="3" t="str">
        <f>IFERROR(VLOOKUP(B70,Sessions!A:J,2,FALSE),"")</f>
        <v/>
      </c>
      <c r="D70" s="3" t="str">
        <f>IFERROR(VLOOKUP(B70,Sessions!A:J,3,FALSE),"")</f>
        <v/>
      </c>
      <c r="E70" s="3"/>
      <c r="F70" s="3" t="str">
        <f>IFERROR(VLOOKUP(E70,Employees!A:L,2,FALSE),"")</f>
        <v/>
      </c>
      <c r="G70" s="3" t="str">
        <f>IFERROR(VLOOKUP(E70,Employees!A:L,3,FALSE),"")</f>
        <v/>
      </c>
      <c r="H70" s="3"/>
      <c r="I70" s="3"/>
      <c r="J70" s="3"/>
      <c r="K70" s="3" t="str">
        <f>IF(B70="","",IF(OR(E70="",H70=""),"ناقص",IF(H70="نعم","مكتمل","غائب")))</f>
        <v/>
      </c>
      <c r="L70" s="3"/>
    </row>
    <row r="71" spans="1:12" x14ac:dyDescent="0.2">
      <c r="A71" s="3">
        <v>68</v>
      </c>
      <c r="B71" s="3"/>
      <c r="C71" s="3" t="str">
        <f>IFERROR(VLOOKUP(B71,Sessions!A:J,2,FALSE),"")</f>
        <v/>
      </c>
      <c r="D71" s="3" t="str">
        <f>IFERROR(VLOOKUP(B71,Sessions!A:J,3,FALSE),"")</f>
        <v/>
      </c>
      <c r="E71" s="3"/>
      <c r="F71" s="3" t="str">
        <f>IFERROR(VLOOKUP(E71,Employees!A:L,2,FALSE),"")</f>
        <v/>
      </c>
      <c r="G71" s="3" t="str">
        <f>IFERROR(VLOOKUP(E71,Employees!A:L,3,FALSE),"")</f>
        <v/>
      </c>
      <c r="H71" s="3"/>
      <c r="I71" s="3"/>
      <c r="J71" s="3"/>
      <c r="K71" s="3" t="str">
        <f>IF(B71="","",IF(OR(E71="",H71=""),"ناقص",IF(H71="نعم","مكتمل","غائب")))</f>
        <v/>
      </c>
      <c r="L71" s="3"/>
    </row>
    <row r="72" spans="1:12" x14ac:dyDescent="0.2">
      <c r="A72" s="3">
        <v>69</v>
      </c>
      <c r="B72" s="3"/>
      <c r="C72" s="3" t="str">
        <f>IFERROR(VLOOKUP(B72,Sessions!A:J,2,FALSE),"")</f>
        <v/>
      </c>
      <c r="D72" s="3" t="str">
        <f>IFERROR(VLOOKUP(B72,Sessions!A:J,3,FALSE),"")</f>
        <v/>
      </c>
      <c r="E72" s="3"/>
      <c r="F72" s="3" t="str">
        <f>IFERROR(VLOOKUP(E72,Employees!A:L,2,FALSE),"")</f>
        <v/>
      </c>
      <c r="G72" s="3" t="str">
        <f>IFERROR(VLOOKUP(E72,Employees!A:L,3,FALSE),"")</f>
        <v/>
      </c>
      <c r="H72" s="3"/>
      <c r="I72" s="3"/>
      <c r="J72" s="3"/>
      <c r="K72" s="3" t="str">
        <f>IF(B72="","",IF(OR(E72="",H72=""),"ناقص",IF(H72="نعم","مكتمل","غائب")))</f>
        <v/>
      </c>
      <c r="L72" s="3"/>
    </row>
    <row r="73" spans="1:12" x14ac:dyDescent="0.2">
      <c r="A73" s="3">
        <v>70</v>
      </c>
      <c r="B73" s="3"/>
      <c r="C73" s="3" t="str">
        <f>IFERROR(VLOOKUP(B73,Sessions!A:J,2,FALSE),"")</f>
        <v/>
      </c>
      <c r="D73" s="3" t="str">
        <f>IFERROR(VLOOKUP(B73,Sessions!A:J,3,FALSE),"")</f>
        <v/>
      </c>
      <c r="E73" s="3"/>
      <c r="F73" s="3" t="str">
        <f>IFERROR(VLOOKUP(E73,Employees!A:L,2,FALSE),"")</f>
        <v/>
      </c>
      <c r="G73" s="3" t="str">
        <f>IFERROR(VLOOKUP(E73,Employees!A:L,3,FALSE),"")</f>
        <v/>
      </c>
      <c r="H73" s="3"/>
      <c r="I73" s="3"/>
      <c r="J73" s="3"/>
      <c r="K73" s="3" t="str">
        <f>IF(B73="","",IF(OR(E73="",H73=""),"ناقص",IF(H73="نعم","مكتمل","غائب")))</f>
        <v/>
      </c>
      <c r="L73" s="3"/>
    </row>
    <row r="74" spans="1:12" x14ac:dyDescent="0.2">
      <c r="A74" s="3">
        <v>71</v>
      </c>
      <c r="B74" s="3"/>
      <c r="C74" s="3" t="str">
        <f>IFERROR(VLOOKUP(B74,Sessions!A:J,2,FALSE),"")</f>
        <v/>
      </c>
      <c r="D74" s="3" t="str">
        <f>IFERROR(VLOOKUP(B74,Sessions!A:J,3,FALSE),"")</f>
        <v/>
      </c>
      <c r="E74" s="3"/>
      <c r="F74" s="3" t="str">
        <f>IFERROR(VLOOKUP(E74,Employees!A:L,2,FALSE),"")</f>
        <v/>
      </c>
      <c r="G74" s="3" t="str">
        <f>IFERROR(VLOOKUP(E74,Employees!A:L,3,FALSE),"")</f>
        <v/>
      </c>
      <c r="H74" s="3"/>
      <c r="I74" s="3"/>
      <c r="J74" s="3"/>
      <c r="K74" s="3" t="str">
        <f>IF(B74="","",IF(OR(E74="",H74=""),"ناقص",IF(H74="نعم","مكتمل","غائب")))</f>
        <v/>
      </c>
      <c r="L74" s="3"/>
    </row>
    <row r="75" spans="1:12" x14ac:dyDescent="0.2">
      <c r="A75" s="3">
        <v>72</v>
      </c>
      <c r="B75" s="3"/>
      <c r="C75" s="3" t="str">
        <f>IFERROR(VLOOKUP(B75,Sessions!A:J,2,FALSE),"")</f>
        <v/>
      </c>
      <c r="D75" s="3" t="str">
        <f>IFERROR(VLOOKUP(B75,Sessions!A:J,3,FALSE),"")</f>
        <v/>
      </c>
      <c r="E75" s="3"/>
      <c r="F75" s="3" t="str">
        <f>IFERROR(VLOOKUP(E75,Employees!A:L,2,FALSE),"")</f>
        <v/>
      </c>
      <c r="G75" s="3" t="str">
        <f>IFERROR(VLOOKUP(E75,Employees!A:L,3,FALSE),"")</f>
        <v/>
      </c>
      <c r="H75" s="3"/>
      <c r="I75" s="3"/>
      <c r="J75" s="3"/>
      <c r="K75" s="3" t="str">
        <f>IF(B75="","",IF(OR(E75="",H75=""),"ناقص",IF(H75="نعم","مكتمل","غائب")))</f>
        <v/>
      </c>
      <c r="L75" s="3"/>
    </row>
    <row r="76" spans="1:12" x14ac:dyDescent="0.2">
      <c r="A76" s="3">
        <v>73</v>
      </c>
      <c r="B76" s="3"/>
      <c r="C76" s="3" t="str">
        <f>IFERROR(VLOOKUP(B76,Sessions!A:J,2,FALSE),"")</f>
        <v/>
      </c>
      <c r="D76" s="3" t="str">
        <f>IFERROR(VLOOKUP(B76,Sessions!A:J,3,FALSE),"")</f>
        <v/>
      </c>
      <c r="E76" s="3"/>
      <c r="F76" s="3" t="str">
        <f>IFERROR(VLOOKUP(E76,Employees!A:L,2,FALSE),"")</f>
        <v/>
      </c>
      <c r="G76" s="3" t="str">
        <f>IFERROR(VLOOKUP(E76,Employees!A:L,3,FALSE),"")</f>
        <v/>
      </c>
      <c r="H76" s="3"/>
      <c r="I76" s="3"/>
      <c r="J76" s="3"/>
      <c r="K76" s="3" t="str">
        <f>IF(B76="","",IF(OR(E76="",H76=""),"ناقص",IF(H76="نعم","مكتمل","غائب")))</f>
        <v/>
      </c>
      <c r="L76" s="3"/>
    </row>
    <row r="77" spans="1:12" x14ac:dyDescent="0.2">
      <c r="A77" s="3">
        <v>74</v>
      </c>
      <c r="B77" s="3"/>
      <c r="C77" s="3" t="str">
        <f>IFERROR(VLOOKUP(B77,Sessions!A:J,2,FALSE),"")</f>
        <v/>
      </c>
      <c r="D77" s="3" t="str">
        <f>IFERROR(VLOOKUP(B77,Sessions!A:J,3,FALSE),"")</f>
        <v/>
      </c>
      <c r="E77" s="3"/>
      <c r="F77" s="3" t="str">
        <f>IFERROR(VLOOKUP(E77,Employees!A:L,2,FALSE),"")</f>
        <v/>
      </c>
      <c r="G77" s="3" t="str">
        <f>IFERROR(VLOOKUP(E77,Employees!A:L,3,FALSE),"")</f>
        <v/>
      </c>
      <c r="H77" s="3"/>
      <c r="I77" s="3"/>
      <c r="J77" s="3"/>
      <c r="K77" s="3" t="str">
        <f>IF(B77="","",IF(OR(E77="",H77=""),"ناقص",IF(H77="نعم","مكتمل","غائب")))</f>
        <v/>
      </c>
      <c r="L77" s="3"/>
    </row>
    <row r="78" spans="1:12" x14ac:dyDescent="0.2">
      <c r="A78" s="3">
        <v>75</v>
      </c>
      <c r="B78" s="3"/>
      <c r="C78" s="3" t="str">
        <f>IFERROR(VLOOKUP(B78,Sessions!A:J,2,FALSE),"")</f>
        <v/>
      </c>
      <c r="D78" s="3" t="str">
        <f>IFERROR(VLOOKUP(B78,Sessions!A:J,3,FALSE),"")</f>
        <v/>
      </c>
      <c r="E78" s="3"/>
      <c r="F78" s="3" t="str">
        <f>IFERROR(VLOOKUP(E78,Employees!A:L,2,FALSE),"")</f>
        <v/>
      </c>
      <c r="G78" s="3" t="str">
        <f>IFERROR(VLOOKUP(E78,Employees!A:L,3,FALSE),"")</f>
        <v/>
      </c>
      <c r="H78" s="3"/>
      <c r="I78" s="3"/>
      <c r="J78" s="3"/>
      <c r="K78" s="3" t="str">
        <f>IF(B78="","",IF(OR(E78="",H78=""),"ناقص",IF(H78="نعم","مكتمل","غائب")))</f>
        <v/>
      </c>
      <c r="L78" s="3"/>
    </row>
    <row r="79" spans="1:12" x14ac:dyDescent="0.2">
      <c r="A79" s="3">
        <v>76</v>
      </c>
      <c r="B79" s="3"/>
      <c r="C79" s="3" t="str">
        <f>IFERROR(VLOOKUP(B79,Sessions!A:J,2,FALSE),"")</f>
        <v/>
      </c>
      <c r="D79" s="3" t="str">
        <f>IFERROR(VLOOKUP(B79,Sessions!A:J,3,FALSE),"")</f>
        <v/>
      </c>
      <c r="E79" s="3"/>
      <c r="F79" s="3" t="str">
        <f>IFERROR(VLOOKUP(E79,Employees!A:L,2,FALSE),"")</f>
        <v/>
      </c>
      <c r="G79" s="3" t="str">
        <f>IFERROR(VLOOKUP(E79,Employees!A:L,3,FALSE),"")</f>
        <v/>
      </c>
      <c r="H79" s="3"/>
      <c r="I79" s="3"/>
      <c r="J79" s="3"/>
      <c r="K79" s="3" t="str">
        <f>IF(B79="","",IF(OR(E79="",H79=""),"ناقص",IF(H79="نعم","مكتمل","غائب")))</f>
        <v/>
      </c>
      <c r="L79" s="3"/>
    </row>
    <row r="80" spans="1:12" x14ac:dyDescent="0.2">
      <c r="A80" s="3">
        <v>77</v>
      </c>
      <c r="B80" s="3"/>
      <c r="C80" s="3" t="str">
        <f>IFERROR(VLOOKUP(B80,Sessions!A:J,2,FALSE),"")</f>
        <v/>
      </c>
      <c r="D80" s="3" t="str">
        <f>IFERROR(VLOOKUP(B80,Sessions!A:J,3,FALSE),"")</f>
        <v/>
      </c>
      <c r="E80" s="3"/>
      <c r="F80" s="3" t="str">
        <f>IFERROR(VLOOKUP(E80,Employees!A:L,2,FALSE),"")</f>
        <v/>
      </c>
      <c r="G80" s="3" t="str">
        <f>IFERROR(VLOOKUP(E80,Employees!A:L,3,FALSE),"")</f>
        <v/>
      </c>
      <c r="H80" s="3"/>
      <c r="I80" s="3"/>
      <c r="J80" s="3"/>
      <c r="K80" s="3" t="str">
        <f>IF(B80="","",IF(OR(E80="",H80=""),"ناقص",IF(H80="نعم","مكتمل","غائب")))</f>
        <v/>
      </c>
      <c r="L80" s="3"/>
    </row>
    <row r="81" spans="1:12" x14ac:dyDescent="0.2">
      <c r="A81" s="3">
        <v>78</v>
      </c>
      <c r="B81" s="3"/>
      <c r="C81" s="3" t="str">
        <f>IFERROR(VLOOKUP(B81,Sessions!A:J,2,FALSE),"")</f>
        <v/>
      </c>
      <c r="D81" s="3" t="str">
        <f>IFERROR(VLOOKUP(B81,Sessions!A:J,3,FALSE),"")</f>
        <v/>
      </c>
      <c r="E81" s="3"/>
      <c r="F81" s="3" t="str">
        <f>IFERROR(VLOOKUP(E81,Employees!A:L,2,FALSE),"")</f>
        <v/>
      </c>
      <c r="G81" s="3" t="str">
        <f>IFERROR(VLOOKUP(E81,Employees!A:L,3,FALSE),"")</f>
        <v/>
      </c>
      <c r="H81" s="3"/>
      <c r="I81" s="3"/>
      <c r="J81" s="3"/>
      <c r="K81" s="3" t="str">
        <f>IF(B81="","",IF(OR(E81="",H81=""),"ناقص",IF(H81="نعم","مكتمل","غائب")))</f>
        <v/>
      </c>
      <c r="L81" s="3"/>
    </row>
    <row r="82" spans="1:12" x14ac:dyDescent="0.2">
      <c r="A82" s="3">
        <v>79</v>
      </c>
      <c r="B82" s="3"/>
      <c r="C82" s="3" t="str">
        <f>IFERROR(VLOOKUP(B82,Sessions!A:J,2,FALSE),"")</f>
        <v/>
      </c>
      <c r="D82" s="3" t="str">
        <f>IFERROR(VLOOKUP(B82,Sessions!A:J,3,FALSE),"")</f>
        <v/>
      </c>
      <c r="E82" s="3"/>
      <c r="F82" s="3" t="str">
        <f>IFERROR(VLOOKUP(E82,Employees!A:L,2,FALSE),"")</f>
        <v/>
      </c>
      <c r="G82" s="3" t="str">
        <f>IFERROR(VLOOKUP(E82,Employees!A:L,3,FALSE),"")</f>
        <v/>
      </c>
      <c r="H82" s="3"/>
      <c r="I82" s="3"/>
      <c r="J82" s="3"/>
      <c r="K82" s="3" t="str">
        <f>IF(B82="","",IF(OR(E82="",H82=""),"ناقص",IF(H82="نعم","مكتمل","غائب")))</f>
        <v/>
      </c>
      <c r="L82" s="3"/>
    </row>
    <row r="83" spans="1:12" x14ac:dyDescent="0.2">
      <c r="A83" s="3">
        <v>80</v>
      </c>
      <c r="B83" s="3"/>
      <c r="C83" s="3" t="str">
        <f>IFERROR(VLOOKUP(B83,Sessions!A:J,2,FALSE),"")</f>
        <v/>
      </c>
      <c r="D83" s="3" t="str">
        <f>IFERROR(VLOOKUP(B83,Sessions!A:J,3,FALSE),"")</f>
        <v/>
      </c>
      <c r="E83" s="3"/>
      <c r="F83" s="3" t="str">
        <f>IFERROR(VLOOKUP(E83,Employees!A:L,2,FALSE),"")</f>
        <v/>
      </c>
      <c r="G83" s="3" t="str">
        <f>IFERROR(VLOOKUP(E83,Employees!A:L,3,FALSE),"")</f>
        <v/>
      </c>
      <c r="H83" s="3"/>
      <c r="I83" s="3"/>
      <c r="J83" s="3"/>
      <c r="K83" s="3" t="str">
        <f>IF(B83="","",IF(OR(E83="",H83=""),"ناقص",IF(H83="نعم","مكتمل","غائب")))</f>
        <v/>
      </c>
      <c r="L83" s="3"/>
    </row>
    <row r="84" spans="1:12" x14ac:dyDescent="0.2">
      <c r="A84" s="3">
        <v>81</v>
      </c>
      <c r="B84" s="3"/>
      <c r="C84" s="3" t="str">
        <f>IFERROR(VLOOKUP(B84,Sessions!A:J,2,FALSE),"")</f>
        <v/>
      </c>
      <c r="D84" s="3" t="str">
        <f>IFERROR(VLOOKUP(B84,Sessions!A:J,3,FALSE),"")</f>
        <v/>
      </c>
      <c r="E84" s="3"/>
      <c r="F84" s="3" t="str">
        <f>IFERROR(VLOOKUP(E84,Employees!A:L,2,FALSE),"")</f>
        <v/>
      </c>
      <c r="G84" s="3" t="str">
        <f>IFERROR(VLOOKUP(E84,Employees!A:L,3,FALSE),"")</f>
        <v/>
      </c>
      <c r="H84" s="3"/>
      <c r="I84" s="3"/>
      <c r="J84" s="3"/>
      <c r="K84" s="3" t="str">
        <f>IF(B84="","",IF(OR(E84="",H84=""),"ناقص",IF(H84="نعم","مكتمل","غائب")))</f>
        <v/>
      </c>
      <c r="L84" s="3"/>
    </row>
    <row r="85" spans="1:12" x14ac:dyDescent="0.2">
      <c r="A85" s="3">
        <v>82</v>
      </c>
      <c r="B85" s="3"/>
      <c r="C85" s="3" t="str">
        <f>IFERROR(VLOOKUP(B85,Sessions!A:J,2,FALSE),"")</f>
        <v/>
      </c>
      <c r="D85" s="3" t="str">
        <f>IFERROR(VLOOKUP(B85,Sessions!A:J,3,FALSE),"")</f>
        <v/>
      </c>
      <c r="E85" s="3"/>
      <c r="F85" s="3" t="str">
        <f>IFERROR(VLOOKUP(E85,Employees!A:L,2,FALSE),"")</f>
        <v/>
      </c>
      <c r="G85" s="3" t="str">
        <f>IFERROR(VLOOKUP(E85,Employees!A:L,3,FALSE),"")</f>
        <v/>
      </c>
      <c r="H85" s="3"/>
      <c r="I85" s="3"/>
      <c r="J85" s="3"/>
      <c r="K85" s="3" t="str">
        <f>IF(B85="","",IF(OR(E85="",H85=""),"ناقص",IF(H85="نعم","مكتمل","غائب")))</f>
        <v/>
      </c>
      <c r="L85" s="3"/>
    </row>
    <row r="86" spans="1:12" x14ac:dyDescent="0.2">
      <c r="A86" s="3">
        <v>83</v>
      </c>
      <c r="B86" s="3"/>
      <c r="C86" s="3" t="str">
        <f>IFERROR(VLOOKUP(B86,Sessions!A:J,2,FALSE),"")</f>
        <v/>
      </c>
      <c r="D86" s="3" t="str">
        <f>IFERROR(VLOOKUP(B86,Sessions!A:J,3,FALSE),"")</f>
        <v/>
      </c>
      <c r="E86" s="3"/>
      <c r="F86" s="3" t="str">
        <f>IFERROR(VLOOKUP(E86,Employees!A:L,2,FALSE),"")</f>
        <v/>
      </c>
      <c r="G86" s="3" t="str">
        <f>IFERROR(VLOOKUP(E86,Employees!A:L,3,FALSE),"")</f>
        <v/>
      </c>
      <c r="H86" s="3"/>
      <c r="I86" s="3"/>
      <c r="J86" s="3"/>
      <c r="K86" s="3" t="str">
        <f>IF(B86="","",IF(OR(E86="",H86=""),"ناقص",IF(H86="نعم","مكتمل","غائب")))</f>
        <v/>
      </c>
      <c r="L86" s="3"/>
    </row>
    <row r="87" spans="1:12" x14ac:dyDescent="0.2">
      <c r="A87" s="3">
        <v>84</v>
      </c>
      <c r="B87" s="3"/>
      <c r="C87" s="3" t="str">
        <f>IFERROR(VLOOKUP(B87,Sessions!A:J,2,FALSE),"")</f>
        <v/>
      </c>
      <c r="D87" s="3" t="str">
        <f>IFERROR(VLOOKUP(B87,Sessions!A:J,3,FALSE),"")</f>
        <v/>
      </c>
      <c r="E87" s="3"/>
      <c r="F87" s="3" t="str">
        <f>IFERROR(VLOOKUP(E87,Employees!A:L,2,FALSE),"")</f>
        <v/>
      </c>
      <c r="G87" s="3" t="str">
        <f>IFERROR(VLOOKUP(E87,Employees!A:L,3,FALSE),"")</f>
        <v/>
      </c>
      <c r="H87" s="3"/>
      <c r="I87" s="3"/>
      <c r="J87" s="3"/>
      <c r="K87" s="3" t="str">
        <f>IF(B87="","",IF(OR(E87="",H87=""),"ناقص",IF(H87="نعم","مكتمل","غائب")))</f>
        <v/>
      </c>
      <c r="L87" s="3"/>
    </row>
    <row r="88" spans="1:12" x14ac:dyDescent="0.2">
      <c r="A88" s="3">
        <v>85</v>
      </c>
      <c r="B88" s="3"/>
      <c r="C88" s="3" t="str">
        <f>IFERROR(VLOOKUP(B88,Sessions!A:J,2,FALSE),"")</f>
        <v/>
      </c>
      <c r="D88" s="3" t="str">
        <f>IFERROR(VLOOKUP(B88,Sessions!A:J,3,FALSE),"")</f>
        <v/>
      </c>
      <c r="E88" s="3"/>
      <c r="F88" s="3" t="str">
        <f>IFERROR(VLOOKUP(E88,Employees!A:L,2,FALSE),"")</f>
        <v/>
      </c>
      <c r="G88" s="3" t="str">
        <f>IFERROR(VLOOKUP(E88,Employees!A:L,3,FALSE),"")</f>
        <v/>
      </c>
      <c r="H88" s="3"/>
      <c r="I88" s="3"/>
      <c r="J88" s="3"/>
      <c r="K88" s="3" t="str">
        <f>IF(B88="","",IF(OR(E88="",H88=""),"ناقص",IF(H88="نعم","مكتمل","غائب")))</f>
        <v/>
      </c>
      <c r="L88" s="3"/>
    </row>
    <row r="89" spans="1:12" x14ac:dyDescent="0.2">
      <c r="A89" s="3">
        <v>86</v>
      </c>
      <c r="B89" s="3"/>
      <c r="C89" s="3" t="str">
        <f>IFERROR(VLOOKUP(B89,Sessions!A:J,2,FALSE),"")</f>
        <v/>
      </c>
      <c r="D89" s="3" t="str">
        <f>IFERROR(VLOOKUP(B89,Sessions!A:J,3,FALSE),"")</f>
        <v/>
      </c>
      <c r="E89" s="3"/>
      <c r="F89" s="3" t="str">
        <f>IFERROR(VLOOKUP(E89,Employees!A:L,2,FALSE),"")</f>
        <v/>
      </c>
      <c r="G89" s="3" t="str">
        <f>IFERROR(VLOOKUP(E89,Employees!A:L,3,FALSE),"")</f>
        <v/>
      </c>
      <c r="H89" s="3"/>
      <c r="I89" s="3"/>
      <c r="J89" s="3"/>
      <c r="K89" s="3" t="str">
        <f>IF(B89="","",IF(OR(E89="",H89=""),"ناقص",IF(H89="نعم","مكتمل","غائب")))</f>
        <v/>
      </c>
      <c r="L89" s="3"/>
    </row>
    <row r="90" spans="1:12" x14ac:dyDescent="0.2">
      <c r="A90" s="3">
        <v>87</v>
      </c>
      <c r="B90" s="3"/>
      <c r="C90" s="3" t="str">
        <f>IFERROR(VLOOKUP(B90,Sessions!A:J,2,FALSE),"")</f>
        <v/>
      </c>
      <c r="D90" s="3" t="str">
        <f>IFERROR(VLOOKUP(B90,Sessions!A:J,3,FALSE),"")</f>
        <v/>
      </c>
      <c r="E90" s="3"/>
      <c r="F90" s="3" t="str">
        <f>IFERROR(VLOOKUP(E90,Employees!A:L,2,FALSE),"")</f>
        <v/>
      </c>
      <c r="G90" s="3" t="str">
        <f>IFERROR(VLOOKUP(E90,Employees!A:L,3,FALSE),"")</f>
        <v/>
      </c>
      <c r="H90" s="3"/>
      <c r="I90" s="3"/>
      <c r="J90" s="3"/>
      <c r="K90" s="3" t="str">
        <f>IF(B90="","",IF(OR(E90="",H90=""),"ناقص",IF(H90="نعم","مكتمل","غائب")))</f>
        <v/>
      </c>
      <c r="L90" s="3"/>
    </row>
    <row r="91" spans="1:12" x14ac:dyDescent="0.2">
      <c r="A91" s="3">
        <v>88</v>
      </c>
      <c r="B91" s="3"/>
      <c r="C91" s="3" t="str">
        <f>IFERROR(VLOOKUP(B91,Sessions!A:J,2,FALSE),"")</f>
        <v/>
      </c>
      <c r="D91" s="3" t="str">
        <f>IFERROR(VLOOKUP(B91,Sessions!A:J,3,FALSE),"")</f>
        <v/>
      </c>
      <c r="E91" s="3"/>
      <c r="F91" s="3" t="str">
        <f>IFERROR(VLOOKUP(E91,Employees!A:L,2,FALSE),"")</f>
        <v/>
      </c>
      <c r="G91" s="3" t="str">
        <f>IFERROR(VLOOKUP(E91,Employees!A:L,3,FALSE),"")</f>
        <v/>
      </c>
      <c r="H91" s="3"/>
      <c r="I91" s="3"/>
      <c r="J91" s="3"/>
      <c r="K91" s="3" t="str">
        <f>IF(B91="","",IF(OR(E91="",H91=""),"ناقص",IF(H91="نعم","مكتمل","غائب")))</f>
        <v/>
      </c>
      <c r="L91" s="3"/>
    </row>
    <row r="92" spans="1:12" x14ac:dyDescent="0.2">
      <c r="A92" s="3">
        <v>89</v>
      </c>
      <c r="B92" s="3"/>
      <c r="C92" s="3" t="str">
        <f>IFERROR(VLOOKUP(B92,Sessions!A:J,2,FALSE),"")</f>
        <v/>
      </c>
      <c r="D92" s="3" t="str">
        <f>IFERROR(VLOOKUP(B92,Sessions!A:J,3,FALSE),"")</f>
        <v/>
      </c>
      <c r="E92" s="3"/>
      <c r="F92" s="3" t="str">
        <f>IFERROR(VLOOKUP(E92,Employees!A:L,2,FALSE),"")</f>
        <v/>
      </c>
      <c r="G92" s="3" t="str">
        <f>IFERROR(VLOOKUP(E92,Employees!A:L,3,FALSE),"")</f>
        <v/>
      </c>
      <c r="H92" s="3"/>
      <c r="I92" s="3"/>
      <c r="J92" s="3"/>
      <c r="K92" s="3" t="str">
        <f>IF(B92="","",IF(OR(E92="",H92=""),"ناقص",IF(H92="نعم","مكتمل","غائب")))</f>
        <v/>
      </c>
      <c r="L92" s="3"/>
    </row>
    <row r="93" spans="1:12" x14ac:dyDescent="0.2">
      <c r="A93" s="3">
        <v>90</v>
      </c>
      <c r="B93" s="3"/>
      <c r="C93" s="3" t="str">
        <f>IFERROR(VLOOKUP(B93,Sessions!A:J,2,FALSE),"")</f>
        <v/>
      </c>
      <c r="D93" s="3" t="str">
        <f>IFERROR(VLOOKUP(B93,Sessions!A:J,3,FALSE),"")</f>
        <v/>
      </c>
      <c r="E93" s="3"/>
      <c r="F93" s="3" t="str">
        <f>IFERROR(VLOOKUP(E93,Employees!A:L,2,FALSE),"")</f>
        <v/>
      </c>
      <c r="G93" s="3" t="str">
        <f>IFERROR(VLOOKUP(E93,Employees!A:L,3,FALSE),"")</f>
        <v/>
      </c>
      <c r="H93" s="3"/>
      <c r="I93" s="3"/>
      <c r="J93" s="3"/>
      <c r="K93" s="3" t="str">
        <f>IF(B93="","",IF(OR(E93="",H93=""),"ناقص",IF(H93="نعم","مكتمل","غائب")))</f>
        <v/>
      </c>
      <c r="L93" s="3"/>
    </row>
    <row r="94" spans="1:12" x14ac:dyDescent="0.2">
      <c r="A94" s="3">
        <v>91</v>
      </c>
      <c r="B94" s="3"/>
      <c r="C94" s="3" t="str">
        <f>IFERROR(VLOOKUP(B94,Sessions!A:J,2,FALSE),"")</f>
        <v/>
      </c>
      <c r="D94" s="3" t="str">
        <f>IFERROR(VLOOKUP(B94,Sessions!A:J,3,FALSE),"")</f>
        <v/>
      </c>
      <c r="E94" s="3"/>
      <c r="F94" s="3" t="str">
        <f>IFERROR(VLOOKUP(E94,Employees!A:L,2,FALSE),"")</f>
        <v/>
      </c>
      <c r="G94" s="3" t="str">
        <f>IFERROR(VLOOKUP(E94,Employees!A:L,3,FALSE),"")</f>
        <v/>
      </c>
      <c r="H94" s="3"/>
      <c r="I94" s="3"/>
      <c r="J94" s="3"/>
      <c r="K94" s="3" t="str">
        <f>IF(B94="","",IF(OR(E94="",H94=""),"ناقص",IF(H94="نعم","مكتمل","غائب")))</f>
        <v/>
      </c>
      <c r="L94" s="3"/>
    </row>
    <row r="95" spans="1:12" x14ac:dyDescent="0.2">
      <c r="A95" s="3">
        <v>92</v>
      </c>
      <c r="B95" s="3"/>
      <c r="C95" s="3" t="str">
        <f>IFERROR(VLOOKUP(B95,Sessions!A:J,2,FALSE),"")</f>
        <v/>
      </c>
      <c r="D95" s="3" t="str">
        <f>IFERROR(VLOOKUP(B95,Sessions!A:J,3,FALSE),"")</f>
        <v/>
      </c>
      <c r="E95" s="3"/>
      <c r="F95" s="3" t="str">
        <f>IFERROR(VLOOKUP(E95,Employees!A:L,2,FALSE),"")</f>
        <v/>
      </c>
      <c r="G95" s="3" t="str">
        <f>IFERROR(VLOOKUP(E95,Employees!A:L,3,FALSE),"")</f>
        <v/>
      </c>
      <c r="H95" s="3"/>
      <c r="I95" s="3"/>
      <c r="J95" s="3"/>
      <c r="K95" s="3" t="str">
        <f>IF(B95="","",IF(OR(E95="",H95=""),"ناقص",IF(H95="نعم","مكتمل","غائب")))</f>
        <v/>
      </c>
      <c r="L95" s="3"/>
    </row>
    <row r="96" spans="1:12" x14ac:dyDescent="0.2">
      <c r="A96" s="3">
        <v>93</v>
      </c>
      <c r="B96" s="3"/>
      <c r="C96" s="3" t="str">
        <f>IFERROR(VLOOKUP(B96,Sessions!A:J,2,FALSE),"")</f>
        <v/>
      </c>
      <c r="D96" s="3" t="str">
        <f>IFERROR(VLOOKUP(B96,Sessions!A:J,3,FALSE),"")</f>
        <v/>
      </c>
      <c r="E96" s="3"/>
      <c r="F96" s="3" t="str">
        <f>IFERROR(VLOOKUP(E96,Employees!A:L,2,FALSE),"")</f>
        <v/>
      </c>
      <c r="G96" s="3" t="str">
        <f>IFERROR(VLOOKUP(E96,Employees!A:L,3,FALSE),"")</f>
        <v/>
      </c>
      <c r="H96" s="3"/>
      <c r="I96" s="3"/>
      <c r="J96" s="3"/>
      <c r="K96" s="3" t="str">
        <f>IF(B96="","",IF(OR(E96="",H96=""),"ناقص",IF(H96="نعم","مكتمل","غائب")))</f>
        <v/>
      </c>
      <c r="L96" s="3"/>
    </row>
    <row r="97" spans="1:12" x14ac:dyDescent="0.2">
      <c r="A97" s="3">
        <v>94</v>
      </c>
      <c r="B97" s="3"/>
      <c r="C97" s="3" t="str">
        <f>IFERROR(VLOOKUP(B97,Sessions!A:J,2,FALSE),"")</f>
        <v/>
      </c>
      <c r="D97" s="3" t="str">
        <f>IFERROR(VLOOKUP(B97,Sessions!A:J,3,FALSE),"")</f>
        <v/>
      </c>
      <c r="E97" s="3"/>
      <c r="F97" s="3" t="str">
        <f>IFERROR(VLOOKUP(E97,Employees!A:L,2,FALSE),"")</f>
        <v/>
      </c>
      <c r="G97" s="3" t="str">
        <f>IFERROR(VLOOKUP(E97,Employees!A:L,3,FALSE),"")</f>
        <v/>
      </c>
      <c r="H97" s="3"/>
      <c r="I97" s="3"/>
      <c r="J97" s="3"/>
      <c r="K97" s="3" t="str">
        <f>IF(B97="","",IF(OR(E97="",H97=""),"ناقص",IF(H97="نعم","مكتمل","غائب")))</f>
        <v/>
      </c>
      <c r="L97" s="3"/>
    </row>
    <row r="98" spans="1:12" x14ac:dyDescent="0.2">
      <c r="A98" s="3">
        <v>95</v>
      </c>
      <c r="B98" s="3"/>
      <c r="C98" s="3" t="str">
        <f>IFERROR(VLOOKUP(B98,Sessions!A:J,2,FALSE),"")</f>
        <v/>
      </c>
      <c r="D98" s="3" t="str">
        <f>IFERROR(VLOOKUP(B98,Sessions!A:J,3,FALSE),"")</f>
        <v/>
      </c>
      <c r="E98" s="3"/>
      <c r="F98" s="3" t="str">
        <f>IFERROR(VLOOKUP(E98,Employees!A:L,2,FALSE),"")</f>
        <v/>
      </c>
      <c r="G98" s="3" t="str">
        <f>IFERROR(VLOOKUP(E98,Employees!A:L,3,FALSE),"")</f>
        <v/>
      </c>
      <c r="H98" s="3"/>
      <c r="I98" s="3"/>
      <c r="J98" s="3"/>
      <c r="K98" s="3" t="str">
        <f>IF(B98="","",IF(OR(E98="",H98=""),"ناقص",IF(H98="نعم","مكتمل","غائب")))</f>
        <v/>
      </c>
      <c r="L98" s="3"/>
    </row>
    <row r="99" spans="1:12" x14ac:dyDescent="0.2">
      <c r="A99" s="3">
        <v>96</v>
      </c>
      <c r="B99" s="3"/>
      <c r="C99" s="3" t="str">
        <f>IFERROR(VLOOKUP(B99,Sessions!A:J,2,FALSE),"")</f>
        <v/>
      </c>
      <c r="D99" s="3" t="str">
        <f>IFERROR(VLOOKUP(B99,Sessions!A:J,3,FALSE),"")</f>
        <v/>
      </c>
      <c r="E99" s="3"/>
      <c r="F99" s="3" t="str">
        <f>IFERROR(VLOOKUP(E99,Employees!A:L,2,FALSE),"")</f>
        <v/>
      </c>
      <c r="G99" s="3" t="str">
        <f>IFERROR(VLOOKUP(E99,Employees!A:L,3,FALSE),"")</f>
        <v/>
      </c>
      <c r="H99" s="3"/>
      <c r="I99" s="3"/>
      <c r="J99" s="3"/>
      <c r="K99" s="3" t="str">
        <f>IF(B99="","",IF(OR(E99="",H99=""),"ناقص",IF(H99="نعم","مكتمل","غائب")))</f>
        <v/>
      </c>
      <c r="L99" s="3"/>
    </row>
    <row r="100" spans="1:12" x14ac:dyDescent="0.2">
      <c r="A100" s="3">
        <v>97</v>
      </c>
      <c r="B100" s="3"/>
      <c r="C100" s="3" t="str">
        <f>IFERROR(VLOOKUP(B100,Sessions!A:J,2,FALSE),"")</f>
        <v/>
      </c>
      <c r="D100" s="3" t="str">
        <f>IFERROR(VLOOKUP(B100,Sessions!A:J,3,FALSE),"")</f>
        <v/>
      </c>
      <c r="E100" s="3"/>
      <c r="F100" s="3" t="str">
        <f>IFERROR(VLOOKUP(E100,Employees!A:L,2,FALSE),"")</f>
        <v/>
      </c>
      <c r="G100" s="3" t="str">
        <f>IFERROR(VLOOKUP(E100,Employees!A:L,3,FALSE),"")</f>
        <v/>
      </c>
      <c r="H100" s="3"/>
      <c r="I100" s="3"/>
      <c r="J100" s="3"/>
      <c r="K100" s="3" t="str">
        <f>IF(B100="","",IF(OR(E100="",H100=""),"ناقص",IF(H100="نعم","مكتمل","غائب")))</f>
        <v/>
      </c>
      <c r="L100" s="3"/>
    </row>
    <row r="101" spans="1:12" x14ac:dyDescent="0.2">
      <c r="A101" s="3">
        <v>98</v>
      </c>
      <c r="B101" s="3"/>
      <c r="C101" s="3" t="str">
        <f>IFERROR(VLOOKUP(B101,Sessions!A:J,2,FALSE),"")</f>
        <v/>
      </c>
      <c r="D101" s="3" t="str">
        <f>IFERROR(VLOOKUP(B101,Sessions!A:J,3,FALSE),"")</f>
        <v/>
      </c>
      <c r="E101" s="3"/>
      <c r="F101" s="3" t="str">
        <f>IFERROR(VLOOKUP(E101,Employees!A:L,2,FALSE),"")</f>
        <v/>
      </c>
      <c r="G101" s="3" t="str">
        <f>IFERROR(VLOOKUP(E101,Employees!A:L,3,FALSE),"")</f>
        <v/>
      </c>
      <c r="H101" s="3"/>
      <c r="I101" s="3"/>
      <c r="J101" s="3"/>
      <c r="K101" s="3" t="str">
        <f>IF(B101="","",IF(OR(E101="",H101=""),"ناقص",IF(H101="نعم","مكتمل","غائب")))</f>
        <v/>
      </c>
      <c r="L101" s="3"/>
    </row>
    <row r="102" spans="1:12" x14ac:dyDescent="0.2">
      <c r="A102" s="3">
        <v>99</v>
      </c>
      <c r="B102" s="3"/>
      <c r="C102" s="3" t="str">
        <f>IFERROR(VLOOKUP(B102,Sessions!A:J,2,FALSE),"")</f>
        <v/>
      </c>
      <c r="D102" s="3" t="str">
        <f>IFERROR(VLOOKUP(B102,Sessions!A:J,3,FALSE),"")</f>
        <v/>
      </c>
      <c r="E102" s="3"/>
      <c r="F102" s="3" t="str">
        <f>IFERROR(VLOOKUP(E102,Employees!A:L,2,FALSE),"")</f>
        <v/>
      </c>
      <c r="G102" s="3" t="str">
        <f>IFERROR(VLOOKUP(E102,Employees!A:L,3,FALSE),"")</f>
        <v/>
      </c>
      <c r="H102" s="3"/>
      <c r="I102" s="3"/>
      <c r="J102" s="3"/>
      <c r="K102" s="3" t="str">
        <f>IF(B102="","",IF(OR(E102="",H102=""),"ناقص",IF(H102="نعم","مكتمل","غائب")))</f>
        <v/>
      </c>
      <c r="L102" s="3"/>
    </row>
    <row r="103" spans="1:12" x14ac:dyDescent="0.2">
      <c r="A103" s="3">
        <v>100</v>
      </c>
      <c r="B103" s="3"/>
      <c r="C103" s="3" t="str">
        <f>IFERROR(VLOOKUP(B103,Sessions!A:J,2,FALSE),"")</f>
        <v/>
      </c>
      <c r="D103" s="3" t="str">
        <f>IFERROR(VLOOKUP(B103,Sessions!A:J,3,FALSE),"")</f>
        <v/>
      </c>
      <c r="E103" s="3"/>
      <c r="F103" s="3" t="str">
        <f>IFERROR(VLOOKUP(E103,Employees!A:L,2,FALSE),"")</f>
        <v/>
      </c>
      <c r="G103" s="3" t="str">
        <f>IFERROR(VLOOKUP(E103,Employees!A:L,3,FALSE),"")</f>
        <v/>
      </c>
      <c r="H103" s="3"/>
      <c r="I103" s="3"/>
      <c r="J103" s="3"/>
      <c r="K103" s="3" t="str">
        <f>IF(B103="","",IF(OR(E103="",H103=""),"ناقص",IF(H103="نعم","مكتمل","غائب")))</f>
        <v/>
      </c>
      <c r="L103" s="3"/>
    </row>
    <row r="104" spans="1:12" x14ac:dyDescent="0.2">
      <c r="A104" s="3">
        <v>101</v>
      </c>
      <c r="B104" s="3"/>
      <c r="C104" s="3" t="str">
        <f>IFERROR(VLOOKUP(B104,Sessions!A:J,2,FALSE),"")</f>
        <v/>
      </c>
      <c r="D104" s="3" t="str">
        <f>IFERROR(VLOOKUP(B104,Sessions!A:J,3,FALSE),"")</f>
        <v/>
      </c>
      <c r="E104" s="3"/>
      <c r="F104" s="3" t="str">
        <f>IFERROR(VLOOKUP(E104,Employees!A:L,2,FALSE),"")</f>
        <v/>
      </c>
      <c r="G104" s="3" t="str">
        <f>IFERROR(VLOOKUP(E104,Employees!A:L,3,FALSE),"")</f>
        <v/>
      </c>
      <c r="H104" s="3"/>
      <c r="I104" s="3"/>
      <c r="J104" s="3"/>
      <c r="K104" s="3" t="str">
        <f>IF(B104="","",IF(OR(E104="",H104=""),"ناقص",IF(H104="نعم","مكتمل","غائب")))</f>
        <v/>
      </c>
      <c r="L104" s="3"/>
    </row>
    <row r="105" spans="1:12" x14ac:dyDescent="0.2">
      <c r="A105" s="3">
        <v>102</v>
      </c>
      <c r="B105" s="3"/>
      <c r="C105" s="3" t="str">
        <f>IFERROR(VLOOKUP(B105,Sessions!A:J,2,FALSE),"")</f>
        <v/>
      </c>
      <c r="D105" s="3" t="str">
        <f>IFERROR(VLOOKUP(B105,Sessions!A:J,3,FALSE),"")</f>
        <v/>
      </c>
      <c r="E105" s="3"/>
      <c r="F105" s="3" t="str">
        <f>IFERROR(VLOOKUP(E105,Employees!A:L,2,FALSE),"")</f>
        <v/>
      </c>
      <c r="G105" s="3" t="str">
        <f>IFERROR(VLOOKUP(E105,Employees!A:L,3,FALSE),"")</f>
        <v/>
      </c>
      <c r="H105" s="3"/>
      <c r="I105" s="3"/>
      <c r="J105" s="3"/>
      <c r="K105" s="3" t="str">
        <f>IF(B105="","",IF(OR(E105="",H105=""),"ناقص",IF(H105="نعم","مكتمل","غائب")))</f>
        <v/>
      </c>
      <c r="L105" s="3"/>
    </row>
    <row r="106" spans="1:12" x14ac:dyDescent="0.2">
      <c r="A106" s="3">
        <v>103</v>
      </c>
      <c r="B106" s="3"/>
      <c r="C106" s="3" t="str">
        <f>IFERROR(VLOOKUP(B106,Sessions!A:J,2,FALSE),"")</f>
        <v/>
      </c>
      <c r="D106" s="3" t="str">
        <f>IFERROR(VLOOKUP(B106,Sessions!A:J,3,FALSE),"")</f>
        <v/>
      </c>
      <c r="E106" s="3"/>
      <c r="F106" s="3" t="str">
        <f>IFERROR(VLOOKUP(E106,Employees!A:L,2,FALSE),"")</f>
        <v/>
      </c>
      <c r="G106" s="3" t="str">
        <f>IFERROR(VLOOKUP(E106,Employees!A:L,3,FALSE),"")</f>
        <v/>
      </c>
      <c r="H106" s="3"/>
      <c r="I106" s="3"/>
      <c r="J106" s="3"/>
      <c r="K106" s="3" t="str">
        <f>IF(B106="","",IF(OR(E106="",H106=""),"ناقص",IF(H106="نعم","مكتمل","غائب")))</f>
        <v/>
      </c>
      <c r="L106" s="3"/>
    </row>
    <row r="107" spans="1:12" x14ac:dyDescent="0.2">
      <c r="A107" s="3">
        <v>104</v>
      </c>
      <c r="B107" s="3"/>
      <c r="C107" s="3" t="str">
        <f>IFERROR(VLOOKUP(B107,Sessions!A:J,2,FALSE),"")</f>
        <v/>
      </c>
      <c r="D107" s="3" t="str">
        <f>IFERROR(VLOOKUP(B107,Sessions!A:J,3,FALSE),"")</f>
        <v/>
      </c>
      <c r="E107" s="3"/>
      <c r="F107" s="3" t="str">
        <f>IFERROR(VLOOKUP(E107,Employees!A:L,2,FALSE),"")</f>
        <v/>
      </c>
      <c r="G107" s="3" t="str">
        <f>IFERROR(VLOOKUP(E107,Employees!A:L,3,FALSE),"")</f>
        <v/>
      </c>
      <c r="H107" s="3"/>
      <c r="I107" s="3"/>
      <c r="J107" s="3"/>
      <c r="K107" s="3" t="str">
        <f>IF(B107="","",IF(OR(E107="",H107=""),"ناقص",IF(H107="نعم","مكتمل","غائب")))</f>
        <v/>
      </c>
      <c r="L107" s="3"/>
    </row>
    <row r="108" spans="1:12" x14ac:dyDescent="0.2">
      <c r="A108" s="3">
        <v>105</v>
      </c>
      <c r="B108" s="3"/>
      <c r="C108" s="3" t="str">
        <f>IFERROR(VLOOKUP(B108,Sessions!A:J,2,FALSE),"")</f>
        <v/>
      </c>
      <c r="D108" s="3" t="str">
        <f>IFERROR(VLOOKUP(B108,Sessions!A:J,3,FALSE),"")</f>
        <v/>
      </c>
      <c r="E108" s="3"/>
      <c r="F108" s="3" t="str">
        <f>IFERROR(VLOOKUP(E108,Employees!A:L,2,FALSE),"")</f>
        <v/>
      </c>
      <c r="G108" s="3" t="str">
        <f>IFERROR(VLOOKUP(E108,Employees!A:L,3,FALSE),"")</f>
        <v/>
      </c>
      <c r="H108" s="3"/>
      <c r="I108" s="3"/>
      <c r="J108" s="3"/>
      <c r="K108" s="3" t="str">
        <f>IF(B108="","",IF(OR(E108="",H108=""),"ناقص",IF(H108="نعم","مكتمل","غائب")))</f>
        <v/>
      </c>
      <c r="L108" s="3"/>
    </row>
    <row r="109" spans="1:12" x14ac:dyDescent="0.2">
      <c r="A109" s="3">
        <v>106</v>
      </c>
      <c r="B109" s="3"/>
      <c r="C109" s="3" t="str">
        <f>IFERROR(VLOOKUP(B109,Sessions!A:J,2,FALSE),"")</f>
        <v/>
      </c>
      <c r="D109" s="3" t="str">
        <f>IFERROR(VLOOKUP(B109,Sessions!A:J,3,FALSE),"")</f>
        <v/>
      </c>
      <c r="E109" s="3"/>
      <c r="F109" s="3" t="str">
        <f>IFERROR(VLOOKUP(E109,Employees!A:L,2,FALSE),"")</f>
        <v/>
      </c>
      <c r="G109" s="3" t="str">
        <f>IFERROR(VLOOKUP(E109,Employees!A:L,3,FALSE),"")</f>
        <v/>
      </c>
      <c r="H109" s="3"/>
      <c r="I109" s="3"/>
      <c r="J109" s="3"/>
      <c r="K109" s="3" t="str">
        <f>IF(B109="","",IF(OR(E109="",H109=""),"ناقص",IF(H109="نعم","مكتمل","غائب")))</f>
        <v/>
      </c>
      <c r="L109" s="3"/>
    </row>
    <row r="110" spans="1:12" x14ac:dyDescent="0.2">
      <c r="A110" s="3">
        <v>107</v>
      </c>
      <c r="B110" s="3"/>
      <c r="C110" s="3" t="str">
        <f>IFERROR(VLOOKUP(B110,Sessions!A:J,2,FALSE),"")</f>
        <v/>
      </c>
      <c r="D110" s="3" t="str">
        <f>IFERROR(VLOOKUP(B110,Sessions!A:J,3,FALSE),"")</f>
        <v/>
      </c>
      <c r="E110" s="3"/>
      <c r="F110" s="3" t="str">
        <f>IFERROR(VLOOKUP(E110,Employees!A:L,2,FALSE),"")</f>
        <v/>
      </c>
      <c r="G110" s="3" t="str">
        <f>IFERROR(VLOOKUP(E110,Employees!A:L,3,FALSE),"")</f>
        <v/>
      </c>
      <c r="H110" s="3"/>
      <c r="I110" s="3"/>
      <c r="J110" s="3"/>
      <c r="K110" s="3" t="str">
        <f>IF(B110="","",IF(OR(E110="",H110=""),"ناقص",IF(H110="نعم","مكتمل","غائب")))</f>
        <v/>
      </c>
      <c r="L110" s="3"/>
    </row>
    <row r="111" spans="1:12" x14ac:dyDescent="0.2">
      <c r="A111" s="3">
        <v>108</v>
      </c>
      <c r="B111" s="3"/>
      <c r="C111" s="3" t="str">
        <f>IFERROR(VLOOKUP(B111,Sessions!A:J,2,FALSE),"")</f>
        <v/>
      </c>
      <c r="D111" s="3" t="str">
        <f>IFERROR(VLOOKUP(B111,Sessions!A:J,3,FALSE),"")</f>
        <v/>
      </c>
      <c r="E111" s="3"/>
      <c r="F111" s="3" t="str">
        <f>IFERROR(VLOOKUP(E111,Employees!A:L,2,FALSE),"")</f>
        <v/>
      </c>
      <c r="G111" s="3" t="str">
        <f>IFERROR(VLOOKUP(E111,Employees!A:L,3,FALSE),"")</f>
        <v/>
      </c>
      <c r="H111" s="3"/>
      <c r="I111" s="3"/>
      <c r="J111" s="3"/>
      <c r="K111" s="3" t="str">
        <f>IF(B111="","",IF(OR(E111="",H111=""),"ناقص",IF(H111="نعم","مكتمل","غائب")))</f>
        <v/>
      </c>
      <c r="L111" s="3"/>
    </row>
    <row r="112" spans="1:12" x14ac:dyDescent="0.2">
      <c r="A112" s="3">
        <v>109</v>
      </c>
      <c r="B112" s="3"/>
      <c r="C112" s="3" t="str">
        <f>IFERROR(VLOOKUP(B112,Sessions!A:J,2,FALSE),"")</f>
        <v/>
      </c>
      <c r="D112" s="3" t="str">
        <f>IFERROR(VLOOKUP(B112,Sessions!A:J,3,FALSE),"")</f>
        <v/>
      </c>
      <c r="E112" s="3"/>
      <c r="F112" s="3" t="str">
        <f>IFERROR(VLOOKUP(E112,Employees!A:L,2,FALSE),"")</f>
        <v/>
      </c>
      <c r="G112" s="3" t="str">
        <f>IFERROR(VLOOKUP(E112,Employees!A:L,3,FALSE),"")</f>
        <v/>
      </c>
      <c r="H112" s="3"/>
      <c r="I112" s="3"/>
      <c r="J112" s="3"/>
      <c r="K112" s="3" t="str">
        <f>IF(B112="","",IF(OR(E112="",H112=""),"ناقص",IF(H112="نعم","مكتمل","غائب")))</f>
        <v/>
      </c>
      <c r="L112" s="3"/>
    </row>
    <row r="113" spans="1:12" x14ac:dyDescent="0.2">
      <c r="A113" s="3">
        <v>110</v>
      </c>
      <c r="B113" s="3"/>
      <c r="C113" s="3" t="str">
        <f>IFERROR(VLOOKUP(B113,Sessions!A:J,2,FALSE),"")</f>
        <v/>
      </c>
      <c r="D113" s="3" t="str">
        <f>IFERROR(VLOOKUP(B113,Sessions!A:J,3,FALSE),"")</f>
        <v/>
      </c>
      <c r="E113" s="3"/>
      <c r="F113" s="3" t="str">
        <f>IFERROR(VLOOKUP(E113,Employees!A:L,2,FALSE),"")</f>
        <v/>
      </c>
      <c r="G113" s="3" t="str">
        <f>IFERROR(VLOOKUP(E113,Employees!A:L,3,FALSE),"")</f>
        <v/>
      </c>
      <c r="H113" s="3"/>
      <c r="I113" s="3"/>
      <c r="J113" s="3"/>
      <c r="K113" s="3" t="str">
        <f>IF(B113="","",IF(OR(E113="",H113=""),"ناقص",IF(H113="نعم","مكتمل","غائب")))</f>
        <v/>
      </c>
      <c r="L113" s="3"/>
    </row>
    <row r="114" spans="1:12" x14ac:dyDescent="0.2">
      <c r="A114" s="3">
        <v>111</v>
      </c>
      <c r="B114" s="3"/>
      <c r="C114" s="3" t="str">
        <f>IFERROR(VLOOKUP(B114,Sessions!A:J,2,FALSE),"")</f>
        <v/>
      </c>
      <c r="D114" s="3" t="str">
        <f>IFERROR(VLOOKUP(B114,Sessions!A:J,3,FALSE),"")</f>
        <v/>
      </c>
      <c r="E114" s="3"/>
      <c r="F114" s="3" t="str">
        <f>IFERROR(VLOOKUP(E114,Employees!A:L,2,FALSE),"")</f>
        <v/>
      </c>
      <c r="G114" s="3" t="str">
        <f>IFERROR(VLOOKUP(E114,Employees!A:L,3,FALSE),"")</f>
        <v/>
      </c>
      <c r="H114" s="3"/>
      <c r="I114" s="3"/>
      <c r="J114" s="3"/>
      <c r="K114" s="3" t="str">
        <f>IF(B114="","",IF(OR(E114="",H114=""),"ناقص",IF(H114="نعم","مكتمل","غائب")))</f>
        <v/>
      </c>
      <c r="L114" s="3"/>
    </row>
    <row r="115" spans="1:12" x14ac:dyDescent="0.2">
      <c r="A115" s="3">
        <v>112</v>
      </c>
      <c r="B115" s="3"/>
      <c r="C115" s="3" t="str">
        <f>IFERROR(VLOOKUP(B115,Sessions!A:J,2,FALSE),"")</f>
        <v/>
      </c>
      <c r="D115" s="3" t="str">
        <f>IFERROR(VLOOKUP(B115,Sessions!A:J,3,FALSE),"")</f>
        <v/>
      </c>
      <c r="E115" s="3"/>
      <c r="F115" s="3" t="str">
        <f>IFERROR(VLOOKUP(E115,Employees!A:L,2,FALSE),"")</f>
        <v/>
      </c>
      <c r="G115" s="3" t="str">
        <f>IFERROR(VLOOKUP(E115,Employees!A:L,3,FALSE),"")</f>
        <v/>
      </c>
      <c r="H115" s="3"/>
      <c r="I115" s="3"/>
      <c r="J115" s="3"/>
      <c r="K115" s="3" t="str">
        <f>IF(B115="","",IF(OR(E115="",H115=""),"ناقص",IF(H115="نعم","مكتمل","غائب")))</f>
        <v/>
      </c>
      <c r="L115" s="3"/>
    </row>
    <row r="116" spans="1:12" x14ac:dyDescent="0.2">
      <c r="A116" s="3">
        <v>113</v>
      </c>
      <c r="B116" s="3"/>
      <c r="C116" s="3" t="str">
        <f>IFERROR(VLOOKUP(B116,Sessions!A:J,2,FALSE),"")</f>
        <v/>
      </c>
      <c r="D116" s="3" t="str">
        <f>IFERROR(VLOOKUP(B116,Sessions!A:J,3,FALSE),"")</f>
        <v/>
      </c>
      <c r="E116" s="3"/>
      <c r="F116" s="3" t="str">
        <f>IFERROR(VLOOKUP(E116,Employees!A:L,2,FALSE),"")</f>
        <v/>
      </c>
      <c r="G116" s="3" t="str">
        <f>IFERROR(VLOOKUP(E116,Employees!A:L,3,FALSE),"")</f>
        <v/>
      </c>
      <c r="H116" s="3"/>
      <c r="I116" s="3"/>
      <c r="J116" s="3"/>
      <c r="K116" s="3" t="str">
        <f>IF(B116="","",IF(OR(E116="",H116=""),"ناقص",IF(H116="نعم","مكتمل","غائب")))</f>
        <v/>
      </c>
      <c r="L116" s="3"/>
    </row>
    <row r="117" spans="1:12" x14ac:dyDescent="0.2">
      <c r="A117" s="3">
        <v>114</v>
      </c>
      <c r="B117" s="3"/>
      <c r="C117" s="3" t="str">
        <f>IFERROR(VLOOKUP(B117,Sessions!A:J,2,FALSE),"")</f>
        <v/>
      </c>
      <c r="D117" s="3" t="str">
        <f>IFERROR(VLOOKUP(B117,Sessions!A:J,3,FALSE),"")</f>
        <v/>
      </c>
      <c r="E117" s="3"/>
      <c r="F117" s="3" t="str">
        <f>IFERROR(VLOOKUP(E117,Employees!A:L,2,FALSE),"")</f>
        <v/>
      </c>
      <c r="G117" s="3" t="str">
        <f>IFERROR(VLOOKUP(E117,Employees!A:L,3,FALSE),"")</f>
        <v/>
      </c>
      <c r="H117" s="3"/>
      <c r="I117" s="3"/>
      <c r="J117" s="3"/>
      <c r="K117" s="3" t="str">
        <f>IF(B117="","",IF(OR(E117="",H117=""),"ناقص",IF(H117="نعم","مكتمل","غائب")))</f>
        <v/>
      </c>
      <c r="L117" s="3"/>
    </row>
    <row r="118" spans="1:12" x14ac:dyDescent="0.2">
      <c r="A118" s="3">
        <v>115</v>
      </c>
      <c r="B118" s="3"/>
      <c r="C118" s="3" t="str">
        <f>IFERROR(VLOOKUP(B118,Sessions!A:J,2,FALSE),"")</f>
        <v/>
      </c>
      <c r="D118" s="3" t="str">
        <f>IFERROR(VLOOKUP(B118,Sessions!A:J,3,FALSE),"")</f>
        <v/>
      </c>
      <c r="E118" s="3"/>
      <c r="F118" s="3" t="str">
        <f>IFERROR(VLOOKUP(E118,Employees!A:L,2,FALSE),"")</f>
        <v/>
      </c>
      <c r="G118" s="3" t="str">
        <f>IFERROR(VLOOKUP(E118,Employees!A:L,3,FALSE),"")</f>
        <v/>
      </c>
      <c r="H118" s="3"/>
      <c r="I118" s="3"/>
      <c r="J118" s="3"/>
      <c r="K118" s="3" t="str">
        <f>IF(B118="","",IF(OR(E118="",H118=""),"ناقص",IF(H118="نعم","مكتمل","غائب")))</f>
        <v/>
      </c>
      <c r="L118" s="3"/>
    </row>
    <row r="119" spans="1:12" x14ac:dyDescent="0.2">
      <c r="A119" s="3">
        <v>116</v>
      </c>
      <c r="B119" s="3"/>
      <c r="C119" s="3" t="str">
        <f>IFERROR(VLOOKUP(B119,Sessions!A:J,2,FALSE),"")</f>
        <v/>
      </c>
      <c r="D119" s="3" t="str">
        <f>IFERROR(VLOOKUP(B119,Sessions!A:J,3,FALSE),"")</f>
        <v/>
      </c>
      <c r="E119" s="3"/>
      <c r="F119" s="3" t="str">
        <f>IFERROR(VLOOKUP(E119,Employees!A:L,2,FALSE),"")</f>
        <v/>
      </c>
      <c r="G119" s="3" t="str">
        <f>IFERROR(VLOOKUP(E119,Employees!A:L,3,FALSE),"")</f>
        <v/>
      </c>
      <c r="H119" s="3"/>
      <c r="I119" s="3"/>
      <c r="J119" s="3"/>
      <c r="K119" s="3" t="str">
        <f>IF(B119="","",IF(OR(E119="",H119=""),"ناقص",IF(H119="نعم","مكتمل","غائب")))</f>
        <v/>
      </c>
      <c r="L119" s="3"/>
    </row>
    <row r="120" spans="1:12" x14ac:dyDescent="0.2">
      <c r="A120" s="3">
        <v>117</v>
      </c>
      <c r="B120" s="3"/>
      <c r="C120" s="3" t="str">
        <f>IFERROR(VLOOKUP(B120,Sessions!A:J,2,FALSE),"")</f>
        <v/>
      </c>
      <c r="D120" s="3" t="str">
        <f>IFERROR(VLOOKUP(B120,Sessions!A:J,3,FALSE),"")</f>
        <v/>
      </c>
      <c r="E120" s="3"/>
      <c r="F120" s="3" t="str">
        <f>IFERROR(VLOOKUP(E120,Employees!A:L,2,FALSE),"")</f>
        <v/>
      </c>
      <c r="G120" s="3" t="str">
        <f>IFERROR(VLOOKUP(E120,Employees!A:L,3,FALSE),"")</f>
        <v/>
      </c>
      <c r="H120" s="3"/>
      <c r="I120" s="3"/>
      <c r="J120" s="3"/>
      <c r="K120" s="3" t="str">
        <f>IF(B120="","",IF(OR(E120="",H120=""),"ناقص",IF(H120="نعم","مكتمل","غائب")))</f>
        <v/>
      </c>
      <c r="L120" s="3"/>
    </row>
    <row r="121" spans="1:12" x14ac:dyDescent="0.2">
      <c r="A121" s="3">
        <v>118</v>
      </c>
      <c r="B121" s="3"/>
      <c r="C121" s="3" t="str">
        <f>IFERROR(VLOOKUP(B121,Sessions!A:J,2,FALSE),"")</f>
        <v/>
      </c>
      <c r="D121" s="3" t="str">
        <f>IFERROR(VLOOKUP(B121,Sessions!A:J,3,FALSE),"")</f>
        <v/>
      </c>
      <c r="E121" s="3"/>
      <c r="F121" s="3" t="str">
        <f>IFERROR(VLOOKUP(E121,Employees!A:L,2,FALSE),"")</f>
        <v/>
      </c>
      <c r="G121" s="3" t="str">
        <f>IFERROR(VLOOKUP(E121,Employees!A:L,3,FALSE),"")</f>
        <v/>
      </c>
      <c r="H121" s="3"/>
      <c r="I121" s="3"/>
      <c r="J121" s="3"/>
      <c r="K121" s="3" t="str">
        <f>IF(B121="","",IF(OR(E121="",H121=""),"ناقص",IF(H121="نعم","مكتمل","غائب")))</f>
        <v/>
      </c>
      <c r="L121" s="3"/>
    </row>
    <row r="122" spans="1:12" x14ac:dyDescent="0.2">
      <c r="A122" s="3">
        <v>119</v>
      </c>
      <c r="B122" s="3"/>
      <c r="C122" s="3" t="str">
        <f>IFERROR(VLOOKUP(B122,Sessions!A:J,2,FALSE),"")</f>
        <v/>
      </c>
      <c r="D122" s="3" t="str">
        <f>IFERROR(VLOOKUP(B122,Sessions!A:J,3,FALSE),"")</f>
        <v/>
      </c>
      <c r="E122" s="3"/>
      <c r="F122" s="3" t="str">
        <f>IFERROR(VLOOKUP(E122,Employees!A:L,2,FALSE),"")</f>
        <v/>
      </c>
      <c r="G122" s="3" t="str">
        <f>IFERROR(VLOOKUP(E122,Employees!A:L,3,FALSE),"")</f>
        <v/>
      </c>
      <c r="H122" s="3"/>
      <c r="I122" s="3"/>
      <c r="J122" s="3"/>
      <c r="K122" s="3" t="str">
        <f>IF(B122="","",IF(OR(E122="",H122=""),"ناقص",IF(H122="نعم","مكتمل","غائب")))</f>
        <v/>
      </c>
      <c r="L122" s="3"/>
    </row>
    <row r="123" spans="1:12" x14ac:dyDescent="0.2">
      <c r="A123" s="3">
        <v>120</v>
      </c>
      <c r="B123" s="3"/>
      <c r="C123" s="3" t="str">
        <f>IFERROR(VLOOKUP(B123,Sessions!A:J,2,FALSE),"")</f>
        <v/>
      </c>
      <c r="D123" s="3" t="str">
        <f>IFERROR(VLOOKUP(B123,Sessions!A:J,3,FALSE),"")</f>
        <v/>
      </c>
      <c r="E123" s="3"/>
      <c r="F123" s="3" t="str">
        <f>IFERROR(VLOOKUP(E123,Employees!A:L,2,FALSE),"")</f>
        <v/>
      </c>
      <c r="G123" s="3" t="str">
        <f>IFERROR(VLOOKUP(E123,Employees!A:L,3,FALSE),"")</f>
        <v/>
      </c>
      <c r="H123" s="3"/>
      <c r="I123" s="3"/>
      <c r="J123" s="3"/>
      <c r="K123" s="3" t="str">
        <f>IF(B123="","",IF(OR(E123="",H123=""),"ناقص",IF(H123="نعم","مكتمل","غائب")))</f>
        <v/>
      </c>
      <c r="L123" s="3"/>
    </row>
    <row r="124" spans="1:12" x14ac:dyDescent="0.2">
      <c r="A124" s="3">
        <v>121</v>
      </c>
      <c r="B124" s="3"/>
      <c r="C124" s="3" t="str">
        <f>IFERROR(VLOOKUP(B124,Sessions!A:J,2,FALSE),"")</f>
        <v/>
      </c>
      <c r="D124" s="3" t="str">
        <f>IFERROR(VLOOKUP(B124,Sessions!A:J,3,FALSE),"")</f>
        <v/>
      </c>
      <c r="E124" s="3"/>
      <c r="F124" s="3" t="str">
        <f>IFERROR(VLOOKUP(E124,Employees!A:L,2,FALSE),"")</f>
        <v/>
      </c>
      <c r="G124" s="3" t="str">
        <f>IFERROR(VLOOKUP(E124,Employees!A:L,3,FALSE),"")</f>
        <v/>
      </c>
      <c r="H124" s="3"/>
      <c r="I124" s="3"/>
      <c r="J124" s="3"/>
      <c r="K124" s="3" t="str">
        <f>IF(B124="","",IF(OR(E124="",H124=""),"ناقص",IF(H124="نعم","مكتمل","غائب")))</f>
        <v/>
      </c>
      <c r="L124" s="3"/>
    </row>
    <row r="125" spans="1:12" x14ac:dyDescent="0.2">
      <c r="A125" s="3">
        <v>122</v>
      </c>
      <c r="B125" s="3"/>
      <c r="C125" s="3" t="str">
        <f>IFERROR(VLOOKUP(B125,Sessions!A:J,2,FALSE),"")</f>
        <v/>
      </c>
      <c r="D125" s="3" t="str">
        <f>IFERROR(VLOOKUP(B125,Sessions!A:J,3,FALSE),"")</f>
        <v/>
      </c>
      <c r="E125" s="3"/>
      <c r="F125" s="3" t="str">
        <f>IFERROR(VLOOKUP(E125,Employees!A:L,2,FALSE),"")</f>
        <v/>
      </c>
      <c r="G125" s="3" t="str">
        <f>IFERROR(VLOOKUP(E125,Employees!A:L,3,FALSE),"")</f>
        <v/>
      </c>
      <c r="H125" s="3"/>
      <c r="I125" s="3"/>
      <c r="J125" s="3"/>
      <c r="K125" s="3" t="str">
        <f>IF(B125="","",IF(OR(E125="",H125=""),"ناقص",IF(H125="نعم","مكتمل","غائب")))</f>
        <v/>
      </c>
      <c r="L125" s="3"/>
    </row>
    <row r="126" spans="1:12" x14ac:dyDescent="0.2">
      <c r="A126" s="3">
        <v>123</v>
      </c>
      <c r="B126" s="3"/>
      <c r="C126" s="3" t="str">
        <f>IFERROR(VLOOKUP(B126,Sessions!A:J,2,FALSE),"")</f>
        <v/>
      </c>
      <c r="D126" s="3" t="str">
        <f>IFERROR(VLOOKUP(B126,Sessions!A:J,3,FALSE),"")</f>
        <v/>
      </c>
      <c r="E126" s="3"/>
      <c r="F126" s="3" t="str">
        <f>IFERROR(VLOOKUP(E126,Employees!A:L,2,FALSE),"")</f>
        <v/>
      </c>
      <c r="G126" s="3" t="str">
        <f>IFERROR(VLOOKUP(E126,Employees!A:L,3,FALSE),"")</f>
        <v/>
      </c>
      <c r="H126" s="3"/>
      <c r="I126" s="3"/>
      <c r="J126" s="3"/>
      <c r="K126" s="3" t="str">
        <f>IF(B126="","",IF(OR(E126="",H126=""),"ناقص",IF(H126="نعم","مكتمل","غائب")))</f>
        <v/>
      </c>
      <c r="L126" s="3"/>
    </row>
    <row r="127" spans="1:12" x14ac:dyDescent="0.2">
      <c r="A127" s="3">
        <v>124</v>
      </c>
      <c r="B127" s="3"/>
      <c r="C127" s="3" t="str">
        <f>IFERROR(VLOOKUP(B127,Sessions!A:J,2,FALSE),"")</f>
        <v/>
      </c>
      <c r="D127" s="3" t="str">
        <f>IFERROR(VLOOKUP(B127,Sessions!A:J,3,FALSE),"")</f>
        <v/>
      </c>
      <c r="E127" s="3"/>
      <c r="F127" s="3" t="str">
        <f>IFERROR(VLOOKUP(E127,Employees!A:L,2,FALSE),"")</f>
        <v/>
      </c>
      <c r="G127" s="3" t="str">
        <f>IFERROR(VLOOKUP(E127,Employees!A:L,3,FALSE),"")</f>
        <v/>
      </c>
      <c r="H127" s="3"/>
      <c r="I127" s="3"/>
      <c r="J127" s="3"/>
      <c r="K127" s="3" t="str">
        <f>IF(B127="","",IF(OR(E127="",H127=""),"ناقص",IF(H127="نعم","مكتمل","غائب")))</f>
        <v/>
      </c>
      <c r="L127" s="3"/>
    </row>
    <row r="128" spans="1:12" x14ac:dyDescent="0.2">
      <c r="A128" s="3">
        <v>125</v>
      </c>
      <c r="B128" s="3"/>
      <c r="C128" s="3" t="str">
        <f>IFERROR(VLOOKUP(B128,Sessions!A:J,2,FALSE),"")</f>
        <v/>
      </c>
      <c r="D128" s="3" t="str">
        <f>IFERROR(VLOOKUP(B128,Sessions!A:J,3,FALSE),"")</f>
        <v/>
      </c>
      <c r="E128" s="3"/>
      <c r="F128" s="3" t="str">
        <f>IFERROR(VLOOKUP(E128,Employees!A:L,2,FALSE),"")</f>
        <v/>
      </c>
      <c r="G128" s="3" t="str">
        <f>IFERROR(VLOOKUP(E128,Employees!A:L,3,FALSE),"")</f>
        <v/>
      </c>
      <c r="H128" s="3"/>
      <c r="I128" s="3"/>
      <c r="J128" s="3"/>
      <c r="K128" s="3" t="str">
        <f>IF(B128="","",IF(OR(E128="",H128=""),"ناقص",IF(H128="نعم","مكتمل","غائب")))</f>
        <v/>
      </c>
      <c r="L128" s="3"/>
    </row>
    <row r="129" spans="1:12" x14ac:dyDescent="0.2">
      <c r="A129" s="3">
        <v>126</v>
      </c>
      <c r="B129" s="3"/>
      <c r="C129" s="3" t="str">
        <f>IFERROR(VLOOKUP(B129,Sessions!A:J,2,FALSE),"")</f>
        <v/>
      </c>
      <c r="D129" s="3" t="str">
        <f>IFERROR(VLOOKUP(B129,Sessions!A:J,3,FALSE),"")</f>
        <v/>
      </c>
      <c r="E129" s="3"/>
      <c r="F129" s="3" t="str">
        <f>IFERROR(VLOOKUP(E129,Employees!A:L,2,FALSE),"")</f>
        <v/>
      </c>
      <c r="G129" s="3" t="str">
        <f>IFERROR(VLOOKUP(E129,Employees!A:L,3,FALSE),"")</f>
        <v/>
      </c>
      <c r="H129" s="3"/>
      <c r="I129" s="3"/>
      <c r="J129" s="3"/>
      <c r="K129" s="3" t="str">
        <f>IF(B129="","",IF(OR(E129="",H129=""),"ناقص",IF(H129="نعم","مكتمل","غائب")))</f>
        <v/>
      </c>
      <c r="L129" s="3"/>
    </row>
    <row r="130" spans="1:12" x14ac:dyDescent="0.2">
      <c r="A130" s="3">
        <v>127</v>
      </c>
      <c r="B130" s="3"/>
      <c r="C130" s="3" t="str">
        <f>IFERROR(VLOOKUP(B130,Sessions!A:J,2,FALSE),"")</f>
        <v/>
      </c>
      <c r="D130" s="3" t="str">
        <f>IFERROR(VLOOKUP(B130,Sessions!A:J,3,FALSE),"")</f>
        <v/>
      </c>
      <c r="E130" s="3"/>
      <c r="F130" s="3" t="str">
        <f>IFERROR(VLOOKUP(E130,Employees!A:L,2,FALSE),"")</f>
        <v/>
      </c>
      <c r="G130" s="3" t="str">
        <f>IFERROR(VLOOKUP(E130,Employees!A:L,3,FALSE),"")</f>
        <v/>
      </c>
      <c r="H130" s="3"/>
      <c r="I130" s="3"/>
      <c r="J130" s="3"/>
      <c r="K130" s="3" t="str">
        <f>IF(B130="","",IF(OR(E130="",H130=""),"ناقص",IF(H130="نعم","مكتمل","غائب")))</f>
        <v/>
      </c>
      <c r="L130" s="3"/>
    </row>
    <row r="131" spans="1:12" x14ac:dyDescent="0.2">
      <c r="A131" s="3">
        <v>128</v>
      </c>
      <c r="B131" s="3"/>
      <c r="C131" s="3" t="str">
        <f>IFERROR(VLOOKUP(B131,Sessions!A:J,2,FALSE),"")</f>
        <v/>
      </c>
      <c r="D131" s="3" t="str">
        <f>IFERROR(VLOOKUP(B131,Sessions!A:J,3,FALSE),"")</f>
        <v/>
      </c>
      <c r="E131" s="3"/>
      <c r="F131" s="3" t="str">
        <f>IFERROR(VLOOKUP(E131,Employees!A:L,2,FALSE),"")</f>
        <v/>
      </c>
      <c r="G131" s="3" t="str">
        <f>IFERROR(VLOOKUP(E131,Employees!A:L,3,FALSE),"")</f>
        <v/>
      </c>
      <c r="H131" s="3"/>
      <c r="I131" s="3"/>
      <c r="J131" s="3"/>
      <c r="K131" s="3" t="str">
        <f>IF(B131="","",IF(OR(E131="",H131=""),"ناقص",IF(H131="نعم","مكتمل","غائب")))</f>
        <v/>
      </c>
      <c r="L131" s="3"/>
    </row>
    <row r="132" spans="1:12" x14ac:dyDescent="0.2">
      <c r="A132" s="3">
        <v>129</v>
      </c>
      <c r="B132" s="3"/>
      <c r="C132" s="3" t="str">
        <f>IFERROR(VLOOKUP(B132,Sessions!A:J,2,FALSE),"")</f>
        <v/>
      </c>
      <c r="D132" s="3" t="str">
        <f>IFERROR(VLOOKUP(B132,Sessions!A:J,3,FALSE),"")</f>
        <v/>
      </c>
      <c r="E132" s="3"/>
      <c r="F132" s="3" t="str">
        <f>IFERROR(VLOOKUP(E132,Employees!A:L,2,FALSE),"")</f>
        <v/>
      </c>
      <c r="G132" s="3" t="str">
        <f>IFERROR(VLOOKUP(E132,Employees!A:L,3,FALSE),"")</f>
        <v/>
      </c>
      <c r="H132" s="3"/>
      <c r="I132" s="3"/>
      <c r="J132" s="3"/>
      <c r="K132" s="3" t="str">
        <f>IF(B132="","",IF(OR(E132="",H132=""),"ناقص",IF(H132="نعم","مكتمل","غائب")))</f>
        <v/>
      </c>
      <c r="L132" s="3"/>
    </row>
    <row r="133" spans="1:12" x14ac:dyDescent="0.2">
      <c r="A133" s="3">
        <v>130</v>
      </c>
      <c r="B133" s="3"/>
      <c r="C133" s="3" t="str">
        <f>IFERROR(VLOOKUP(B133,Sessions!A:J,2,FALSE),"")</f>
        <v/>
      </c>
      <c r="D133" s="3" t="str">
        <f>IFERROR(VLOOKUP(B133,Sessions!A:J,3,FALSE),"")</f>
        <v/>
      </c>
      <c r="E133" s="3"/>
      <c r="F133" s="3" t="str">
        <f>IFERROR(VLOOKUP(E133,Employees!A:L,2,FALSE),"")</f>
        <v/>
      </c>
      <c r="G133" s="3" t="str">
        <f>IFERROR(VLOOKUP(E133,Employees!A:L,3,FALSE),"")</f>
        <v/>
      </c>
      <c r="H133" s="3"/>
      <c r="I133" s="3"/>
      <c r="J133" s="3"/>
      <c r="K133" s="3" t="str">
        <f>IF(B133="","",IF(OR(E133="",H133=""),"ناقص",IF(H133="نعم","مكتمل","غائب")))</f>
        <v/>
      </c>
      <c r="L133" s="3"/>
    </row>
    <row r="134" spans="1:12" x14ac:dyDescent="0.2">
      <c r="A134" s="3">
        <v>131</v>
      </c>
      <c r="B134" s="3"/>
      <c r="C134" s="3" t="str">
        <f>IFERROR(VLOOKUP(B134,Sessions!A:J,2,FALSE),"")</f>
        <v/>
      </c>
      <c r="D134" s="3" t="str">
        <f>IFERROR(VLOOKUP(B134,Sessions!A:J,3,FALSE),"")</f>
        <v/>
      </c>
      <c r="E134" s="3"/>
      <c r="F134" s="3" t="str">
        <f>IFERROR(VLOOKUP(E134,Employees!A:L,2,FALSE),"")</f>
        <v/>
      </c>
      <c r="G134" s="3" t="str">
        <f>IFERROR(VLOOKUP(E134,Employees!A:L,3,FALSE),"")</f>
        <v/>
      </c>
      <c r="H134" s="3"/>
      <c r="I134" s="3"/>
      <c r="J134" s="3"/>
      <c r="K134" s="3" t="str">
        <f>IF(B134="","",IF(OR(E134="",H134=""),"ناقص",IF(H134="نعم","مكتمل","غائب")))</f>
        <v/>
      </c>
      <c r="L134" s="3"/>
    </row>
    <row r="135" spans="1:12" x14ac:dyDescent="0.2">
      <c r="A135" s="3">
        <v>132</v>
      </c>
      <c r="B135" s="3"/>
      <c r="C135" s="3" t="str">
        <f>IFERROR(VLOOKUP(B135,Sessions!A:J,2,FALSE),"")</f>
        <v/>
      </c>
      <c r="D135" s="3" t="str">
        <f>IFERROR(VLOOKUP(B135,Sessions!A:J,3,FALSE),"")</f>
        <v/>
      </c>
      <c r="E135" s="3"/>
      <c r="F135" s="3" t="str">
        <f>IFERROR(VLOOKUP(E135,Employees!A:L,2,FALSE),"")</f>
        <v/>
      </c>
      <c r="G135" s="3" t="str">
        <f>IFERROR(VLOOKUP(E135,Employees!A:L,3,FALSE),"")</f>
        <v/>
      </c>
      <c r="H135" s="3"/>
      <c r="I135" s="3"/>
      <c r="J135" s="3"/>
      <c r="K135" s="3" t="str">
        <f>IF(B135="","",IF(OR(E135="",H135=""),"ناقص",IF(H135="نعم","مكتمل","غائب")))</f>
        <v/>
      </c>
      <c r="L135" s="3"/>
    </row>
    <row r="136" spans="1:12" x14ac:dyDescent="0.2">
      <c r="A136" s="3">
        <v>133</v>
      </c>
      <c r="B136" s="3"/>
      <c r="C136" s="3" t="str">
        <f>IFERROR(VLOOKUP(B136,Sessions!A:J,2,FALSE),"")</f>
        <v/>
      </c>
      <c r="D136" s="3" t="str">
        <f>IFERROR(VLOOKUP(B136,Sessions!A:J,3,FALSE),"")</f>
        <v/>
      </c>
      <c r="E136" s="3"/>
      <c r="F136" s="3" t="str">
        <f>IFERROR(VLOOKUP(E136,Employees!A:L,2,FALSE),"")</f>
        <v/>
      </c>
      <c r="G136" s="3" t="str">
        <f>IFERROR(VLOOKUP(E136,Employees!A:L,3,FALSE),"")</f>
        <v/>
      </c>
      <c r="H136" s="3"/>
      <c r="I136" s="3"/>
      <c r="J136" s="3"/>
      <c r="K136" s="3" t="str">
        <f>IF(B136="","",IF(OR(E136="",H136=""),"ناقص",IF(H136="نعم","مكتمل","غائب")))</f>
        <v/>
      </c>
      <c r="L136" s="3"/>
    </row>
    <row r="137" spans="1:12" x14ac:dyDescent="0.2">
      <c r="A137" s="3">
        <v>134</v>
      </c>
      <c r="B137" s="3"/>
      <c r="C137" s="3" t="str">
        <f>IFERROR(VLOOKUP(B137,Sessions!A:J,2,FALSE),"")</f>
        <v/>
      </c>
      <c r="D137" s="3" t="str">
        <f>IFERROR(VLOOKUP(B137,Sessions!A:J,3,FALSE),"")</f>
        <v/>
      </c>
      <c r="E137" s="3"/>
      <c r="F137" s="3" t="str">
        <f>IFERROR(VLOOKUP(E137,Employees!A:L,2,FALSE),"")</f>
        <v/>
      </c>
      <c r="G137" s="3" t="str">
        <f>IFERROR(VLOOKUP(E137,Employees!A:L,3,FALSE),"")</f>
        <v/>
      </c>
      <c r="H137" s="3"/>
      <c r="I137" s="3"/>
      <c r="J137" s="3"/>
      <c r="K137" s="3" t="str">
        <f>IF(B137="","",IF(OR(E137="",H137=""),"ناقص",IF(H137="نعم","مكتمل","غائب")))</f>
        <v/>
      </c>
      <c r="L137" s="3"/>
    </row>
    <row r="138" spans="1:12" x14ac:dyDescent="0.2">
      <c r="A138" s="3">
        <v>135</v>
      </c>
      <c r="B138" s="3"/>
      <c r="C138" s="3" t="str">
        <f>IFERROR(VLOOKUP(B138,Sessions!A:J,2,FALSE),"")</f>
        <v/>
      </c>
      <c r="D138" s="3" t="str">
        <f>IFERROR(VLOOKUP(B138,Sessions!A:J,3,FALSE),"")</f>
        <v/>
      </c>
      <c r="E138" s="3"/>
      <c r="F138" s="3" t="str">
        <f>IFERROR(VLOOKUP(E138,Employees!A:L,2,FALSE),"")</f>
        <v/>
      </c>
      <c r="G138" s="3" t="str">
        <f>IFERROR(VLOOKUP(E138,Employees!A:L,3,FALSE),"")</f>
        <v/>
      </c>
      <c r="H138" s="3"/>
      <c r="I138" s="3"/>
      <c r="J138" s="3"/>
      <c r="K138" s="3" t="str">
        <f>IF(B138="","",IF(OR(E138="",H138=""),"ناقص",IF(H138="نعم","مكتمل","غائب")))</f>
        <v/>
      </c>
      <c r="L138" s="3"/>
    </row>
    <row r="139" spans="1:12" x14ac:dyDescent="0.2">
      <c r="A139" s="3">
        <v>136</v>
      </c>
      <c r="B139" s="3"/>
      <c r="C139" s="3" t="str">
        <f>IFERROR(VLOOKUP(B139,Sessions!A:J,2,FALSE),"")</f>
        <v/>
      </c>
      <c r="D139" s="3" t="str">
        <f>IFERROR(VLOOKUP(B139,Sessions!A:J,3,FALSE),"")</f>
        <v/>
      </c>
      <c r="E139" s="3"/>
      <c r="F139" s="3" t="str">
        <f>IFERROR(VLOOKUP(E139,Employees!A:L,2,FALSE),"")</f>
        <v/>
      </c>
      <c r="G139" s="3" t="str">
        <f>IFERROR(VLOOKUP(E139,Employees!A:L,3,FALSE),"")</f>
        <v/>
      </c>
      <c r="H139" s="3"/>
      <c r="I139" s="3"/>
      <c r="J139" s="3"/>
      <c r="K139" s="3" t="str">
        <f>IF(B139="","",IF(OR(E139="",H139=""),"ناقص",IF(H139="نعم","مكتمل","غائب")))</f>
        <v/>
      </c>
      <c r="L139" s="3"/>
    </row>
    <row r="140" spans="1:12" x14ac:dyDescent="0.2">
      <c r="A140" s="3">
        <v>137</v>
      </c>
      <c r="B140" s="3"/>
      <c r="C140" s="3" t="str">
        <f>IFERROR(VLOOKUP(B140,Sessions!A:J,2,FALSE),"")</f>
        <v/>
      </c>
      <c r="D140" s="3" t="str">
        <f>IFERROR(VLOOKUP(B140,Sessions!A:J,3,FALSE),"")</f>
        <v/>
      </c>
      <c r="E140" s="3"/>
      <c r="F140" s="3" t="str">
        <f>IFERROR(VLOOKUP(E140,Employees!A:L,2,FALSE),"")</f>
        <v/>
      </c>
      <c r="G140" s="3" t="str">
        <f>IFERROR(VLOOKUP(E140,Employees!A:L,3,FALSE),"")</f>
        <v/>
      </c>
      <c r="H140" s="3"/>
      <c r="I140" s="3"/>
      <c r="J140" s="3"/>
      <c r="K140" s="3" t="str">
        <f>IF(B140="","",IF(OR(E140="",H140=""),"ناقص",IF(H140="نعم","مكتمل","غائب")))</f>
        <v/>
      </c>
      <c r="L140" s="3"/>
    </row>
    <row r="141" spans="1:12" x14ac:dyDescent="0.2">
      <c r="A141" s="3">
        <v>138</v>
      </c>
      <c r="B141" s="3"/>
      <c r="C141" s="3" t="str">
        <f>IFERROR(VLOOKUP(B141,Sessions!A:J,2,FALSE),"")</f>
        <v/>
      </c>
      <c r="D141" s="3" t="str">
        <f>IFERROR(VLOOKUP(B141,Sessions!A:J,3,FALSE),"")</f>
        <v/>
      </c>
      <c r="E141" s="3"/>
      <c r="F141" s="3" t="str">
        <f>IFERROR(VLOOKUP(E141,Employees!A:L,2,FALSE),"")</f>
        <v/>
      </c>
      <c r="G141" s="3" t="str">
        <f>IFERROR(VLOOKUP(E141,Employees!A:L,3,FALSE),"")</f>
        <v/>
      </c>
      <c r="H141" s="3"/>
      <c r="I141" s="3"/>
      <c r="J141" s="3"/>
      <c r="K141" s="3" t="str">
        <f>IF(B141="","",IF(OR(E141="",H141=""),"ناقص",IF(H141="نعم","مكتمل","غائب")))</f>
        <v/>
      </c>
      <c r="L141" s="3"/>
    </row>
    <row r="142" spans="1:12" x14ac:dyDescent="0.2">
      <c r="A142" s="3">
        <v>139</v>
      </c>
      <c r="B142" s="3"/>
      <c r="C142" s="3" t="str">
        <f>IFERROR(VLOOKUP(B142,Sessions!A:J,2,FALSE),"")</f>
        <v/>
      </c>
      <c r="D142" s="3" t="str">
        <f>IFERROR(VLOOKUP(B142,Sessions!A:J,3,FALSE),"")</f>
        <v/>
      </c>
      <c r="E142" s="3"/>
      <c r="F142" s="3" t="str">
        <f>IFERROR(VLOOKUP(E142,Employees!A:L,2,FALSE),"")</f>
        <v/>
      </c>
      <c r="G142" s="3" t="str">
        <f>IFERROR(VLOOKUP(E142,Employees!A:L,3,FALSE),"")</f>
        <v/>
      </c>
      <c r="H142" s="3"/>
      <c r="I142" s="3"/>
      <c r="J142" s="3"/>
      <c r="K142" s="3" t="str">
        <f>IF(B142="","",IF(OR(E142="",H142=""),"ناقص",IF(H142="نعم","مكتمل","غائب")))</f>
        <v/>
      </c>
      <c r="L142" s="3"/>
    </row>
    <row r="143" spans="1:12" x14ac:dyDescent="0.2">
      <c r="A143" s="3">
        <v>140</v>
      </c>
      <c r="B143" s="3"/>
      <c r="C143" s="3" t="str">
        <f>IFERROR(VLOOKUP(B143,Sessions!A:J,2,FALSE),"")</f>
        <v/>
      </c>
      <c r="D143" s="3" t="str">
        <f>IFERROR(VLOOKUP(B143,Sessions!A:J,3,FALSE),"")</f>
        <v/>
      </c>
      <c r="E143" s="3"/>
      <c r="F143" s="3" t="str">
        <f>IFERROR(VLOOKUP(E143,Employees!A:L,2,FALSE),"")</f>
        <v/>
      </c>
      <c r="G143" s="3" t="str">
        <f>IFERROR(VLOOKUP(E143,Employees!A:L,3,FALSE),"")</f>
        <v/>
      </c>
      <c r="H143" s="3"/>
      <c r="I143" s="3"/>
      <c r="J143" s="3"/>
      <c r="K143" s="3" t="str">
        <f>IF(B143="","",IF(OR(E143="",H143=""),"ناقص",IF(H143="نعم","مكتمل","غائب")))</f>
        <v/>
      </c>
      <c r="L143" s="3"/>
    </row>
    <row r="144" spans="1:12" x14ac:dyDescent="0.2">
      <c r="A144" s="3">
        <v>141</v>
      </c>
      <c r="B144" s="3"/>
      <c r="C144" s="3" t="str">
        <f>IFERROR(VLOOKUP(B144,Sessions!A:J,2,FALSE),"")</f>
        <v/>
      </c>
      <c r="D144" s="3" t="str">
        <f>IFERROR(VLOOKUP(B144,Sessions!A:J,3,FALSE),"")</f>
        <v/>
      </c>
      <c r="E144" s="3"/>
      <c r="F144" s="3" t="str">
        <f>IFERROR(VLOOKUP(E144,Employees!A:L,2,FALSE),"")</f>
        <v/>
      </c>
      <c r="G144" s="3" t="str">
        <f>IFERROR(VLOOKUP(E144,Employees!A:L,3,FALSE),"")</f>
        <v/>
      </c>
      <c r="H144" s="3"/>
      <c r="I144" s="3"/>
      <c r="J144" s="3"/>
      <c r="K144" s="3" t="str">
        <f>IF(B144="","",IF(OR(E144="",H144=""),"ناقص",IF(H144="نعم","مكتمل","غائب")))</f>
        <v/>
      </c>
      <c r="L144" s="3"/>
    </row>
    <row r="145" spans="1:12" x14ac:dyDescent="0.2">
      <c r="A145" s="3">
        <v>142</v>
      </c>
      <c r="B145" s="3"/>
      <c r="C145" s="3" t="str">
        <f>IFERROR(VLOOKUP(B145,Sessions!A:J,2,FALSE),"")</f>
        <v/>
      </c>
      <c r="D145" s="3" t="str">
        <f>IFERROR(VLOOKUP(B145,Sessions!A:J,3,FALSE),"")</f>
        <v/>
      </c>
      <c r="E145" s="3"/>
      <c r="F145" s="3" t="str">
        <f>IFERROR(VLOOKUP(E145,Employees!A:L,2,FALSE),"")</f>
        <v/>
      </c>
      <c r="G145" s="3" t="str">
        <f>IFERROR(VLOOKUP(E145,Employees!A:L,3,FALSE),"")</f>
        <v/>
      </c>
      <c r="H145" s="3"/>
      <c r="I145" s="3"/>
      <c r="J145" s="3"/>
      <c r="K145" s="3" t="str">
        <f>IF(B145="","",IF(OR(E145="",H145=""),"ناقص",IF(H145="نعم","مكتمل","غائب")))</f>
        <v/>
      </c>
      <c r="L145" s="3"/>
    </row>
    <row r="146" spans="1:12" x14ac:dyDescent="0.2">
      <c r="A146" s="3">
        <v>143</v>
      </c>
      <c r="B146" s="3"/>
      <c r="C146" s="3" t="str">
        <f>IFERROR(VLOOKUP(B146,Sessions!A:J,2,FALSE),"")</f>
        <v/>
      </c>
      <c r="D146" s="3" t="str">
        <f>IFERROR(VLOOKUP(B146,Sessions!A:J,3,FALSE),"")</f>
        <v/>
      </c>
      <c r="E146" s="3"/>
      <c r="F146" s="3" t="str">
        <f>IFERROR(VLOOKUP(E146,Employees!A:L,2,FALSE),"")</f>
        <v/>
      </c>
      <c r="G146" s="3" t="str">
        <f>IFERROR(VLOOKUP(E146,Employees!A:L,3,FALSE),"")</f>
        <v/>
      </c>
      <c r="H146" s="3"/>
      <c r="I146" s="3"/>
      <c r="J146" s="3"/>
      <c r="K146" s="3" t="str">
        <f>IF(B146="","",IF(OR(E146="",H146=""),"ناقص",IF(H146="نعم","مكتمل","غائب")))</f>
        <v/>
      </c>
      <c r="L146" s="3"/>
    </row>
    <row r="147" spans="1:12" x14ac:dyDescent="0.2">
      <c r="A147" s="3">
        <v>144</v>
      </c>
      <c r="B147" s="3"/>
      <c r="C147" s="3" t="str">
        <f>IFERROR(VLOOKUP(B147,Sessions!A:J,2,FALSE),"")</f>
        <v/>
      </c>
      <c r="D147" s="3" t="str">
        <f>IFERROR(VLOOKUP(B147,Sessions!A:J,3,FALSE),"")</f>
        <v/>
      </c>
      <c r="E147" s="3"/>
      <c r="F147" s="3" t="str">
        <f>IFERROR(VLOOKUP(E147,Employees!A:L,2,FALSE),"")</f>
        <v/>
      </c>
      <c r="G147" s="3" t="str">
        <f>IFERROR(VLOOKUP(E147,Employees!A:L,3,FALSE),"")</f>
        <v/>
      </c>
      <c r="H147" s="3"/>
      <c r="I147" s="3"/>
      <c r="J147" s="3"/>
      <c r="K147" s="3" t="str">
        <f>IF(B147="","",IF(OR(E147="",H147=""),"ناقص",IF(H147="نعم","مكتمل","غائب")))</f>
        <v/>
      </c>
      <c r="L147" s="3"/>
    </row>
    <row r="148" spans="1:12" x14ac:dyDescent="0.2">
      <c r="A148" s="3">
        <v>145</v>
      </c>
      <c r="B148" s="3"/>
      <c r="C148" s="3" t="str">
        <f>IFERROR(VLOOKUP(B148,Sessions!A:J,2,FALSE),"")</f>
        <v/>
      </c>
      <c r="D148" s="3" t="str">
        <f>IFERROR(VLOOKUP(B148,Sessions!A:J,3,FALSE),"")</f>
        <v/>
      </c>
      <c r="E148" s="3"/>
      <c r="F148" s="3" t="str">
        <f>IFERROR(VLOOKUP(E148,Employees!A:L,2,FALSE),"")</f>
        <v/>
      </c>
      <c r="G148" s="3" t="str">
        <f>IFERROR(VLOOKUP(E148,Employees!A:L,3,FALSE),"")</f>
        <v/>
      </c>
      <c r="H148" s="3"/>
      <c r="I148" s="3"/>
      <c r="J148" s="3"/>
      <c r="K148" s="3" t="str">
        <f>IF(B148="","",IF(OR(E148="",H148=""),"ناقص",IF(H148="نعم","مكتمل","غائب")))</f>
        <v/>
      </c>
      <c r="L148" s="3"/>
    </row>
    <row r="149" spans="1:12" x14ac:dyDescent="0.2">
      <c r="A149" s="3">
        <v>146</v>
      </c>
      <c r="B149" s="3"/>
      <c r="C149" s="3" t="str">
        <f>IFERROR(VLOOKUP(B149,Sessions!A:J,2,FALSE),"")</f>
        <v/>
      </c>
      <c r="D149" s="3" t="str">
        <f>IFERROR(VLOOKUP(B149,Sessions!A:J,3,FALSE),"")</f>
        <v/>
      </c>
      <c r="E149" s="3"/>
      <c r="F149" s="3" t="str">
        <f>IFERROR(VLOOKUP(E149,Employees!A:L,2,FALSE),"")</f>
        <v/>
      </c>
      <c r="G149" s="3" t="str">
        <f>IFERROR(VLOOKUP(E149,Employees!A:L,3,FALSE),"")</f>
        <v/>
      </c>
      <c r="H149" s="3"/>
      <c r="I149" s="3"/>
      <c r="J149" s="3"/>
      <c r="K149" s="3" t="str">
        <f>IF(B149="","",IF(OR(E149="",H149=""),"ناقص",IF(H149="نعم","مكتمل","غائب")))</f>
        <v/>
      </c>
      <c r="L149" s="3"/>
    </row>
    <row r="150" spans="1:12" x14ac:dyDescent="0.2">
      <c r="A150" s="3">
        <v>147</v>
      </c>
      <c r="B150" s="3"/>
      <c r="C150" s="3" t="str">
        <f>IFERROR(VLOOKUP(B150,Sessions!A:J,2,FALSE),"")</f>
        <v/>
      </c>
      <c r="D150" s="3" t="str">
        <f>IFERROR(VLOOKUP(B150,Sessions!A:J,3,FALSE),"")</f>
        <v/>
      </c>
      <c r="E150" s="3"/>
      <c r="F150" s="3" t="str">
        <f>IFERROR(VLOOKUP(E150,Employees!A:L,2,FALSE),"")</f>
        <v/>
      </c>
      <c r="G150" s="3" t="str">
        <f>IFERROR(VLOOKUP(E150,Employees!A:L,3,FALSE),"")</f>
        <v/>
      </c>
      <c r="H150" s="3"/>
      <c r="I150" s="3"/>
      <c r="J150" s="3"/>
      <c r="K150" s="3" t="str">
        <f>IF(B150="","",IF(OR(E150="",H150=""),"ناقص",IF(H150="نعم","مكتمل","غائب")))</f>
        <v/>
      </c>
      <c r="L150" s="3"/>
    </row>
    <row r="151" spans="1:12" x14ac:dyDescent="0.2">
      <c r="A151" s="3">
        <v>148</v>
      </c>
      <c r="B151" s="3"/>
      <c r="C151" s="3" t="str">
        <f>IFERROR(VLOOKUP(B151,Sessions!A:J,2,FALSE),"")</f>
        <v/>
      </c>
      <c r="D151" s="3" t="str">
        <f>IFERROR(VLOOKUP(B151,Sessions!A:J,3,FALSE),"")</f>
        <v/>
      </c>
      <c r="E151" s="3"/>
      <c r="F151" s="3" t="str">
        <f>IFERROR(VLOOKUP(E151,Employees!A:L,2,FALSE),"")</f>
        <v/>
      </c>
      <c r="G151" s="3" t="str">
        <f>IFERROR(VLOOKUP(E151,Employees!A:L,3,FALSE),"")</f>
        <v/>
      </c>
      <c r="H151" s="3"/>
      <c r="I151" s="3"/>
      <c r="J151" s="3"/>
      <c r="K151" s="3" t="str">
        <f>IF(B151="","",IF(OR(E151="",H151=""),"ناقص",IF(H151="نعم","مكتمل","غائب")))</f>
        <v/>
      </c>
      <c r="L151" s="3"/>
    </row>
    <row r="152" spans="1:12" x14ac:dyDescent="0.2">
      <c r="A152" s="3">
        <v>149</v>
      </c>
      <c r="B152" s="3"/>
      <c r="C152" s="3" t="str">
        <f>IFERROR(VLOOKUP(B152,Sessions!A:J,2,FALSE),"")</f>
        <v/>
      </c>
      <c r="D152" s="3" t="str">
        <f>IFERROR(VLOOKUP(B152,Sessions!A:J,3,FALSE),"")</f>
        <v/>
      </c>
      <c r="E152" s="3"/>
      <c r="F152" s="3" t="str">
        <f>IFERROR(VLOOKUP(E152,Employees!A:L,2,FALSE),"")</f>
        <v/>
      </c>
      <c r="G152" s="3" t="str">
        <f>IFERROR(VLOOKUP(E152,Employees!A:L,3,FALSE),"")</f>
        <v/>
      </c>
      <c r="H152" s="3"/>
      <c r="I152" s="3"/>
      <c r="J152" s="3"/>
      <c r="K152" s="3" t="str">
        <f>IF(B152="","",IF(OR(E152="",H152=""),"ناقص",IF(H152="نعم","مكتمل","غائب")))</f>
        <v/>
      </c>
      <c r="L152" s="3"/>
    </row>
    <row r="153" spans="1:12" x14ac:dyDescent="0.2">
      <c r="A153" s="3">
        <v>150</v>
      </c>
      <c r="B153" s="3"/>
      <c r="C153" s="3" t="str">
        <f>IFERROR(VLOOKUP(B153,Sessions!A:J,2,FALSE),"")</f>
        <v/>
      </c>
      <c r="D153" s="3" t="str">
        <f>IFERROR(VLOOKUP(B153,Sessions!A:J,3,FALSE),"")</f>
        <v/>
      </c>
      <c r="E153" s="3"/>
      <c r="F153" s="3" t="str">
        <f>IFERROR(VLOOKUP(E153,Employees!A:L,2,FALSE),"")</f>
        <v/>
      </c>
      <c r="G153" s="3" t="str">
        <f>IFERROR(VLOOKUP(E153,Employees!A:L,3,FALSE),"")</f>
        <v/>
      </c>
      <c r="H153" s="3"/>
      <c r="I153" s="3"/>
      <c r="J153" s="3"/>
      <c r="K153" s="3" t="str">
        <f>IF(B153="","",IF(OR(E153="",H153=""),"ناقص",IF(H153="نعم","مكتمل","غائب")))</f>
        <v/>
      </c>
      <c r="L153" s="3"/>
    </row>
    <row r="154" spans="1:12" x14ac:dyDescent="0.2">
      <c r="A154" s="3">
        <v>151</v>
      </c>
      <c r="B154" s="3"/>
      <c r="C154" s="3" t="str">
        <f>IFERROR(VLOOKUP(B154,Sessions!A:J,2,FALSE),"")</f>
        <v/>
      </c>
      <c r="D154" s="3" t="str">
        <f>IFERROR(VLOOKUP(B154,Sessions!A:J,3,FALSE),"")</f>
        <v/>
      </c>
      <c r="E154" s="3"/>
      <c r="F154" s="3" t="str">
        <f>IFERROR(VLOOKUP(E154,Employees!A:L,2,FALSE),"")</f>
        <v/>
      </c>
      <c r="G154" s="3" t="str">
        <f>IFERROR(VLOOKUP(E154,Employees!A:L,3,FALSE),"")</f>
        <v/>
      </c>
      <c r="H154" s="3"/>
      <c r="I154" s="3"/>
      <c r="J154" s="3"/>
      <c r="K154" s="3" t="str">
        <f>IF(B154="","",IF(OR(E154="",H154=""),"ناقص",IF(H154="نعم","مكتمل","غائب")))</f>
        <v/>
      </c>
      <c r="L154" s="3"/>
    </row>
    <row r="155" spans="1:12" x14ac:dyDescent="0.2">
      <c r="A155" s="3">
        <v>152</v>
      </c>
      <c r="B155" s="3"/>
      <c r="C155" s="3" t="str">
        <f>IFERROR(VLOOKUP(B155,Sessions!A:J,2,FALSE),"")</f>
        <v/>
      </c>
      <c r="D155" s="3" t="str">
        <f>IFERROR(VLOOKUP(B155,Sessions!A:J,3,FALSE),"")</f>
        <v/>
      </c>
      <c r="E155" s="3"/>
      <c r="F155" s="3" t="str">
        <f>IFERROR(VLOOKUP(E155,Employees!A:L,2,FALSE),"")</f>
        <v/>
      </c>
      <c r="G155" s="3" t="str">
        <f>IFERROR(VLOOKUP(E155,Employees!A:L,3,FALSE),"")</f>
        <v/>
      </c>
      <c r="H155" s="3"/>
      <c r="I155" s="3"/>
      <c r="J155" s="3"/>
      <c r="K155" s="3" t="str">
        <f>IF(B155="","",IF(OR(E155="",H155=""),"ناقص",IF(H155="نعم","مكتمل","غائب")))</f>
        <v/>
      </c>
      <c r="L155" s="3"/>
    </row>
    <row r="156" spans="1:12" x14ac:dyDescent="0.2">
      <c r="A156" s="3">
        <v>153</v>
      </c>
      <c r="B156" s="3"/>
      <c r="C156" s="3" t="str">
        <f>IFERROR(VLOOKUP(B156,Sessions!A:J,2,FALSE),"")</f>
        <v/>
      </c>
      <c r="D156" s="3" t="str">
        <f>IFERROR(VLOOKUP(B156,Sessions!A:J,3,FALSE),"")</f>
        <v/>
      </c>
      <c r="E156" s="3"/>
      <c r="F156" s="3" t="str">
        <f>IFERROR(VLOOKUP(E156,Employees!A:L,2,FALSE),"")</f>
        <v/>
      </c>
      <c r="G156" s="3" t="str">
        <f>IFERROR(VLOOKUP(E156,Employees!A:L,3,FALSE),"")</f>
        <v/>
      </c>
      <c r="H156" s="3"/>
      <c r="I156" s="3"/>
      <c r="J156" s="3"/>
      <c r="K156" s="3" t="str">
        <f>IF(B156="","",IF(OR(E156="",H156=""),"ناقص",IF(H156="نعم","مكتمل","غائب")))</f>
        <v/>
      </c>
      <c r="L156" s="3"/>
    </row>
    <row r="157" spans="1:12" x14ac:dyDescent="0.2">
      <c r="A157" s="3">
        <v>154</v>
      </c>
      <c r="B157" s="3"/>
      <c r="C157" s="3" t="str">
        <f>IFERROR(VLOOKUP(B157,Sessions!A:J,2,FALSE),"")</f>
        <v/>
      </c>
      <c r="D157" s="3" t="str">
        <f>IFERROR(VLOOKUP(B157,Sessions!A:J,3,FALSE),"")</f>
        <v/>
      </c>
      <c r="E157" s="3"/>
      <c r="F157" s="3" t="str">
        <f>IFERROR(VLOOKUP(E157,Employees!A:L,2,FALSE),"")</f>
        <v/>
      </c>
      <c r="G157" s="3" t="str">
        <f>IFERROR(VLOOKUP(E157,Employees!A:L,3,FALSE),"")</f>
        <v/>
      </c>
      <c r="H157" s="3"/>
      <c r="I157" s="3"/>
      <c r="J157" s="3"/>
      <c r="K157" s="3" t="str">
        <f>IF(B157="","",IF(OR(E157="",H157=""),"ناقص",IF(H157="نعم","مكتمل","غائب")))</f>
        <v/>
      </c>
      <c r="L157" s="3"/>
    </row>
    <row r="158" spans="1:12" x14ac:dyDescent="0.2">
      <c r="A158" s="3">
        <v>155</v>
      </c>
      <c r="B158" s="3"/>
      <c r="C158" s="3" t="str">
        <f>IFERROR(VLOOKUP(B158,Sessions!A:J,2,FALSE),"")</f>
        <v/>
      </c>
      <c r="D158" s="3" t="str">
        <f>IFERROR(VLOOKUP(B158,Sessions!A:J,3,FALSE),"")</f>
        <v/>
      </c>
      <c r="E158" s="3"/>
      <c r="F158" s="3" t="str">
        <f>IFERROR(VLOOKUP(E158,Employees!A:L,2,FALSE),"")</f>
        <v/>
      </c>
      <c r="G158" s="3" t="str">
        <f>IFERROR(VLOOKUP(E158,Employees!A:L,3,FALSE),"")</f>
        <v/>
      </c>
      <c r="H158" s="3"/>
      <c r="I158" s="3"/>
      <c r="J158" s="3"/>
      <c r="K158" s="3" t="str">
        <f>IF(B158="","",IF(OR(E158="",H158=""),"ناقص",IF(H158="نعم","مكتمل","غائب")))</f>
        <v/>
      </c>
      <c r="L158" s="3"/>
    </row>
    <row r="159" spans="1:12" x14ac:dyDescent="0.2">
      <c r="A159" s="3">
        <v>156</v>
      </c>
      <c r="B159" s="3"/>
      <c r="C159" s="3" t="str">
        <f>IFERROR(VLOOKUP(B159,Sessions!A:J,2,FALSE),"")</f>
        <v/>
      </c>
      <c r="D159" s="3" t="str">
        <f>IFERROR(VLOOKUP(B159,Sessions!A:J,3,FALSE),"")</f>
        <v/>
      </c>
      <c r="E159" s="3"/>
      <c r="F159" s="3" t="str">
        <f>IFERROR(VLOOKUP(E159,Employees!A:L,2,FALSE),"")</f>
        <v/>
      </c>
      <c r="G159" s="3" t="str">
        <f>IFERROR(VLOOKUP(E159,Employees!A:L,3,FALSE),"")</f>
        <v/>
      </c>
      <c r="H159" s="3"/>
      <c r="I159" s="3"/>
      <c r="J159" s="3"/>
      <c r="K159" s="3" t="str">
        <f>IF(B159="","",IF(OR(E159="",H159=""),"ناقص",IF(H159="نعم","مكتمل","غائب")))</f>
        <v/>
      </c>
      <c r="L159" s="3"/>
    </row>
    <row r="160" spans="1:12" x14ac:dyDescent="0.2">
      <c r="A160" s="3">
        <v>157</v>
      </c>
      <c r="B160" s="3"/>
      <c r="C160" s="3" t="str">
        <f>IFERROR(VLOOKUP(B160,Sessions!A:J,2,FALSE),"")</f>
        <v/>
      </c>
      <c r="D160" s="3" t="str">
        <f>IFERROR(VLOOKUP(B160,Sessions!A:J,3,FALSE),"")</f>
        <v/>
      </c>
      <c r="E160" s="3"/>
      <c r="F160" s="3" t="str">
        <f>IFERROR(VLOOKUP(E160,Employees!A:L,2,FALSE),"")</f>
        <v/>
      </c>
      <c r="G160" s="3" t="str">
        <f>IFERROR(VLOOKUP(E160,Employees!A:L,3,FALSE),"")</f>
        <v/>
      </c>
      <c r="H160" s="3"/>
      <c r="I160" s="3"/>
      <c r="J160" s="3"/>
      <c r="K160" s="3" t="str">
        <f>IF(B160="","",IF(OR(E160="",H160=""),"ناقص",IF(H160="نعم","مكتمل","غائب")))</f>
        <v/>
      </c>
      <c r="L160" s="3"/>
    </row>
    <row r="161" spans="1:12" x14ac:dyDescent="0.2">
      <c r="A161" s="3">
        <v>158</v>
      </c>
      <c r="B161" s="3"/>
      <c r="C161" s="3" t="str">
        <f>IFERROR(VLOOKUP(B161,Sessions!A:J,2,FALSE),"")</f>
        <v/>
      </c>
      <c r="D161" s="3" t="str">
        <f>IFERROR(VLOOKUP(B161,Sessions!A:J,3,FALSE),"")</f>
        <v/>
      </c>
      <c r="E161" s="3"/>
      <c r="F161" s="3" t="str">
        <f>IFERROR(VLOOKUP(E161,Employees!A:L,2,FALSE),"")</f>
        <v/>
      </c>
      <c r="G161" s="3" t="str">
        <f>IFERROR(VLOOKUP(E161,Employees!A:L,3,FALSE),"")</f>
        <v/>
      </c>
      <c r="H161" s="3"/>
      <c r="I161" s="3"/>
      <c r="J161" s="3"/>
      <c r="K161" s="3" t="str">
        <f>IF(B161="","",IF(OR(E161="",H161=""),"ناقص",IF(H161="نعم","مكتمل","غائب")))</f>
        <v/>
      </c>
      <c r="L161" s="3"/>
    </row>
    <row r="162" spans="1:12" x14ac:dyDescent="0.2">
      <c r="A162" s="3">
        <v>159</v>
      </c>
      <c r="B162" s="3"/>
      <c r="C162" s="3" t="str">
        <f>IFERROR(VLOOKUP(B162,Sessions!A:J,2,FALSE),"")</f>
        <v/>
      </c>
      <c r="D162" s="3" t="str">
        <f>IFERROR(VLOOKUP(B162,Sessions!A:J,3,FALSE),"")</f>
        <v/>
      </c>
      <c r="E162" s="3"/>
      <c r="F162" s="3" t="str">
        <f>IFERROR(VLOOKUP(E162,Employees!A:L,2,FALSE),"")</f>
        <v/>
      </c>
      <c r="G162" s="3" t="str">
        <f>IFERROR(VLOOKUP(E162,Employees!A:L,3,FALSE),"")</f>
        <v/>
      </c>
      <c r="H162" s="3"/>
      <c r="I162" s="3"/>
      <c r="J162" s="3"/>
      <c r="K162" s="3" t="str">
        <f>IF(B162="","",IF(OR(E162="",H162=""),"ناقص",IF(H162="نعم","مكتمل","غائب")))</f>
        <v/>
      </c>
      <c r="L162" s="3"/>
    </row>
    <row r="163" spans="1:12" x14ac:dyDescent="0.2">
      <c r="A163" s="3">
        <v>160</v>
      </c>
      <c r="B163" s="3"/>
      <c r="C163" s="3" t="str">
        <f>IFERROR(VLOOKUP(B163,Sessions!A:J,2,FALSE),"")</f>
        <v/>
      </c>
      <c r="D163" s="3" t="str">
        <f>IFERROR(VLOOKUP(B163,Sessions!A:J,3,FALSE),"")</f>
        <v/>
      </c>
      <c r="E163" s="3"/>
      <c r="F163" s="3" t="str">
        <f>IFERROR(VLOOKUP(E163,Employees!A:L,2,FALSE),"")</f>
        <v/>
      </c>
      <c r="G163" s="3" t="str">
        <f>IFERROR(VLOOKUP(E163,Employees!A:L,3,FALSE),"")</f>
        <v/>
      </c>
      <c r="H163" s="3"/>
      <c r="I163" s="3"/>
      <c r="J163" s="3"/>
      <c r="K163" s="3" t="str">
        <f>IF(B163="","",IF(OR(E163="",H163=""),"ناقص",IF(H163="نعم","مكتمل","غائب")))</f>
        <v/>
      </c>
      <c r="L163" s="3"/>
    </row>
    <row r="164" spans="1:12" x14ac:dyDescent="0.2">
      <c r="A164" s="3">
        <v>161</v>
      </c>
      <c r="B164" s="3"/>
      <c r="C164" s="3" t="str">
        <f>IFERROR(VLOOKUP(B164,Sessions!A:J,2,FALSE),"")</f>
        <v/>
      </c>
      <c r="D164" s="3" t="str">
        <f>IFERROR(VLOOKUP(B164,Sessions!A:J,3,FALSE),"")</f>
        <v/>
      </c>
      <c r="E164" s="3"/>
      <c r="F164" s="3" t="str">
        <f>IFERROR(VLOOKUP(E164,Employees!A:L,2,FALSE),"")</f>
        <v/>
      </c>
      <c r="G164" s="3" t="str">
        <f>IFERROR(VLOOKUP(E164,Employees!A:L,3,FALSE),"")</f>
        <v/>
      </c>
      <c r="H164" s="3"/>
      <c r="I164" s="3"/>
      <c r="J164" s="3"/>
      <c r="K164" s="3" t="str">
        <f>IF(B164="","",IF(OR(E164="",H164=""),"ناقص",IF(H164="نعم","مكتمل","غائب")))</f>
        <v/>
      </c>
      <c r="L164" s="3"/>
    </row>
    <row r="165" spans="1:12" x14ac:dyDescent="0.2">
      <c r="A165" s="3">
        <v>162</v>
      </c>
      <c r="B165" s="3"/>
      <c r="C165" s="3" t="str">
        <f>IFERROR(VLOOKUP(B165,Sessions!A:J,2,FALSE),"")</f>
        <v/>
      </c>
      <c r="D165" s="3" t="str">
        <f>IFERROR(VLOOKUP(B165,Sessions!A:J,3,FALSE),"")</f>
        <v/>
      </c>
      <c r="E165" s="3"/>
      <c r="F165" s="3" t="str">
        <f>IFERROR(VLOOKUP(E165,Employees!A:L,2,FALSE),"")</f>
        <v/>
      </c>
      <c r="G165" s="3" t="str">
        <f>IFERROR(VLOOKUP(E165,Employees!A:L,3,FALSE),"")</f>
        <v/>
      </c>
      <c r="H165" s="3"/>
      <c r="I165" s="3"/>
      <c r="J165" s="3"/>
      <c r="K165" s="3" t="str">
        <f>IF(B165="","",IF(OR(E165="",H165=""),"ناقص",IF(H165="نعم","مكتمل","غائب")))</f>
        <v/>
      </c>
      <c r="L165" s="3"/>
    </row>
    <row r="166" spans="1:12" x14ac:dyDescent="0.2">
      <c r="A166" s="3">
        <v>163</v>
      </c>
      <c r="B166" s="3"/>
      <c r="C166" s="3" t="str">
        <f>IFERROR(VLOOKUP(B166,Sessions!A:J,2,FALSE),"")</f>
        <v/>
      </c>
      <c r="D166" s="3" t="str">
        <f>IFERROR(VLOOKUP(B166,Sessions!A:J,3,FALSE),"")</f>
        <v/>
      </c>
      <c r="E166" s="3"/>
      <c r="F166" s="3" t="str">
        <f>IFERROR(VLOOKUP(E166,Employees!A:L,2,FALSE),"")</f>
        <v/>
      </c>
      <c r="G166" s="3" t="str">
        <f>IFERROR(VLOOKUP(E166,Employees!A:L,3,FALSE),"")</f>
        <v/>
      </c>
      <c r="H166" s="3"/>
      <c r="I166" s="3"/>
      <c r="J166" s="3"/>
      <c r="K166" s="3" t="str">
        <f>IF(B166="","",IF(OR(E166="",H166=""),"ناقص",IF(H166="نعم","مكتمل","غائب")))</f>
        <v/>
      </c>
      <c r="L166" s="3"/>
    </row>
    <row r="167" spans="1:12" x14ac:dyDescent="0.2">
      <c r="A167" s="3">
        <v>164</v>
      </c>
      <c r="B167" s="3"/>
      <c r="C167" s="3" t="str">
        <f>IFERROR(VLOOKUP(B167,Sessions!A:J,2,FALSE),"")</f>
        <v/>
      </c>
      <c r="D167" s="3" t="str">
        <f>IFERROR(VLOOKUP(B167,Sessions!A:J,3,FALSE),"")</f>
        <v/>
      </c>
      <c r="E167" s="3"/>
      <c r="F167" s="3" t="str">
        <f>IFERROR(VLOOKUP(E167,Employees!A:L,2,FALSE),"")</f>
        <v/>
      </c>
      <c r="G167" s="3" t="str">
        <f>IFERROR(VLOOKUP(E167,Employees!A:L,3,FALSE),"")</f>
        <v/>
      </c>
      <c r="H167" s="3"/>
      <c r="I167" s="3"/>
      <c r="J167" s="3"/>
      <c r="K167" s="3" t="str">
        <f>IF(B167="","",IF(OR(E167="",H167=""),"ناقص",IF(H167="نعم","مكتمل","غائب")))</f>
        <v/>
      </c>
      <c r="L167" s="3"/>
    </row>
    <row r="168" spans="1:12" x14ac:dyDescent="0.2">
      <c r="A168" s="3">
        <v>165</v>
      </c>
      <c r="B168" s="3"/>
      <c r="C168" s="3" t="str">
        <f>IFERROR(VLOOKUP(B168,Sessions!A:J,2,FALSE),"")</f>
        <v/>
      </c>
      <c r="D168" s="3" t="str">
        <f>IFERROR(VLOOKUP(B168,Sessions!A:J,3,FALSE),"")</f>
        <v/>
      </c>
      <c r="E168" s="3"/>
      <c r="F168" s="3" t="str">
        <f>IFERROR(VLOOKUP(E168,Employees!A:L,2,FALSE),"")</f>
        <v/>
      </c>
      <c r="G168" s="3" t="str">
        <f>IFERROR(VLOOKUP(E168,Employees!A:L,3,FALSE),"")</f>
        <v/>
      </c>
      <c r="H168" s="3"/>
      <c r="I168" s="3"/>
      <c r="J168" s="3"/>
      <c r="K168" s="3" t="str">
        <f>IF(B168="","",IF(OR(E168="",H168=""),"ناقص",IF(H168="نعم","مكتمل","غائب")))</f>
        <v/>
      </c>
      <c r="L168" s="3"/>
    </row>
    <row r="169" spans="1:12" x14ac:dyDescent="0.2">
      <c r="A169" s="3">
        <v>166</v>
      </c>
      <c r="B169" s="3"/>
      <c r="C169" s="3" t="str">
        <f>IFERROR(VLOOKUP(B169,Sessions!A:J,2,FALSE),"")</f>
        <v/>
      </c>
      <c r="D169" s="3" t="str">
        <f>IFERROR(VLOOKUP(B169,Sessions!A:J,3,FALSE),"")</f>
        <v/>
      </c>
      <c r="E169" s="3"/>
      <c r="F169" s="3" t="str">
        <f>IFERROR(VLOOKUP(E169,Employees!A:L,2,FALSE),"")</f>
        <v/>
      </c>
      <c r="G169" s="3" t="str">
        <f>IFERROR(VLOOKUP(E169,Employees!A:L,3,FALSE),"")</f>
        <v/>
      </c>
      <c r="H169" s="3"/>
      <c r="I169" s="3"/>
      <c r="J169" s="3"/>
      <c r="K169" s="3" t="str">
        <f>IF(B169="","",IF(OR(E169="",H169=""),"ناقص",IF(H169="نعم","مكتمل","غائب")))</f>
        <v/>
      </c>
      <c r="L169" s="3"/>
    </row>
    <row r="170" spans="1:12" x14ac:dyDescent="0.2">
      <c r="A170" s="3">
        <v>167</v>
      </c>
      <c r="B170" s="3"/>
      <c r="C170" s="3" t="str">
        <f>IFERROR(VLOOKUP(B170,Sessions!A:J,2,FALSE),"")</f>
        <v/>
      </c>
      <c r="D170" s="3" t="str">
        <f>IFERROR(VLOOKUP(B170,Sessions!A:J,3,FALSE),"")</f>
        <v/>
      </c>
      <c r="E170" s="3"/>
      <c r="F170" s="3" t="str">
        <f>IFERROR(VLOOKUP(E170,Employees!A:L,2,FALSE),"")</f>
        <v/>
      </c>
      <c r="G170" s="3" t="str">
        <f>IFERROR(VLOOKUP(E170,Employees!A:L,3,FALSE),"")</f>
        <v/>
      </c>
      <c r="H170" s="3"/>
      <c r="I170" s="3"/>
      <c r="J170" s="3"/>
      <c r="K170" s="3" t="str">
        <f>IF(B170="","",IF(OR(E170="",H170=""),"ناقص",IF(H170="نعم","مكتمل","غائب")))</f>
        <v/>
      </c>
      <c r="L170" s="3"/>
    </row>
    <row r="171" spans="1:12" x14ac:dyDescent="0.2">
      <c r="A171" s="3">
        <v>168</v>
      </c>
      <c r="B171" s="3"/>
      <c r="C171" s="3" t="str">
        <f>IFERROR(VLOOKUP(B171,Sessions!A:J,2,FALSE),"")</f>
        <v/>
      </c>
      <c r="D171" s="3" t="str">
        <f>IFERROR(VLOOKUP(B171,Sessions!A:J,3,FALSE),"")</f>
        <v/>
      </c>
      <c r="E171" s="3"/>
      <c r="F171" s="3" t="str">
        <f>IFERROR(VLOOKUP(E171,Employees!A:L,2,FALSE),"")</f>
        <v/>
      </c>
      <c r="G171" s="3" t="str">
        <f>IFERROR(VLOOKUP(E171,Employees!A:L,3,FALSE),"")</f>
        <v/>
      </c>
      <c r="H171" s="3"/>
      <c r="I171" s="3"/>
      <c r="J171" s="3"/>
      <c r="K171" s="3" t="str">
        <f>IF(B171="","",IF(OR(E171="",H171=""),"ناقص",IF(H171="نعم","مكتمل","غائب")))</f>
        <v/>
      </c>
      <c r="L171" s="3"/>
    </row>
    <row r="172" spans="1:12" x14ac:dyDescent="0.2">
      <c r="A172" s="3">
        <v>169</v>
      </c>
      <c r="B172" s="3"/>
      <c r="C172" s="3" t="str">
        <f>IFERROR(VLOOKUP(B172,Sessions!A:J,2,FALSE),"")</f>
        <v/>
      </c>
      <c r="D172" s="3" t="str">
        <f>IFERROR(VLOOKUP(B172,Sessions!A:J,3,FALSE),"")</f>
        <v/>
      </c>
      <c r="E172" s="3"/>
      <c r="F172" s="3" t="str">
        <f>IFERROR(VLOOKUP(E172,Employees!A:L,2,FALSE),"")</f>
        <v/>
      </c>
      <c r="G172" s="3" t="str">
        <f>IFERROR(VLOOKUP(E172,Employees!A:L,3,FALSE),"")</f>
        <v/>
      </c>
      <c r="H172" s="3"/>
      <c r="I172" s="3"/>
      <c r="J172" s="3"/>
      <c r="K172" s="3" t="str">
        <f>IF(B172="","",IF(OR(E172="",H172=""),"ناقص",IF(H172="نعم","مكتمل","غائب")))</f>
        <v/>
      </c>
      <c r="L172" s="3"/>
    </row>
    <row r="173" spans="1:12" x14ac:dyDescent="0.2">
      <c r="A173" s="3">
        <v>170</v>
      </c>
      <c r="B173" s="3"/>
      <c r="C173" s="3" t="str">
        <f>IFERROR(VLOOKUP(B173,Sessions!A:J,2,FALSE),"")</f>
        <v/>
      </c>
      <c r="D173" s="3" t="str">
        <f>IFERROR(VLOOKUP(B173,Sessions!A:J,3,FALSE),"")</f>
        <v/>
      </c>
      <c r="E173" s="3"/>
      <c r="F173" s="3" t="str">
        <f>IFERROR(VLOOKUP(E173,Employees!A:L,2,FALSE),"")</f>
        <v/>
      </c>
      <c r="G173" s="3" t="str">
        <f>IFERROR(VLOOKUP(E173,Employees!A:L,3,FALSE),"")</f>
        <v/>
      </c>
      <c r="H173" s="3"/>
      <c r="I173" s="3"/>
      <c r="J173" s="3"/>
      <c r="K173" s="3" t="str">
        <f>IF(B173="","",IF(OR(E173="",H173=""),"ناقص",IF(H173="نعم","مكتمل","غائب")))</f>
        <v/>
      </c>
      <c r="L173" s="3"/>
    </row>
    <row r="174" spans="1:12" x14ac:dyDescent="0.2">
      <c r="A174" s="3">
        <v>171</v>
      </c>
      <c r="B174" s="3"/>
      <c r="C174" s="3" t="str">
        <f>IFERROR(VLOOKUP(B174,Sessions!A:J,2,FALSE),"")</f>
        <v/>
      </c>
      <c r="D174" s="3" t="str">
        <f>IFERROR(VLOOKUP(B174,Sessions!A:J,3,FALSE),"")</f>
        <v/>
      </c>
      <c r="E174" s="3"/>
      <c r="F174" s="3" t="str">
        <f>IFERROR(VLOOKUP(E174,Employees!A:L,2,FALSE),"")</f>
        <v/>
      </c>
      <c r="G174" s="3" t="str">
        <f>IFERROR(VLOOKUP(E174,Employees!A:L,3,FALSE),"")</f>
        <v/>
      </c>
      <c r="H174" s="3"/>
      <c r="I174" s="3"/>
      <c r="J174" s="3"/>
      <c r="K174" s="3" t="str">
        <f>IF(B174="","",IF(OR(E174="",H174=""),"ناقص",IF(H174="نعم","مكتمل","غائب")))</f>
        <v/>
      </c>
      <c r="L174" s="3"/>
    </row>
    <row r="175" spans="1:12" x14ac:dyDescent="0.2">
      <c r="A175" s="3">
        <v>172</v>
      </c>
      <c r="B175" s="3"/>
      <c r="C175" s="3" t="str">
        <f>IFERROR(VLOOKUP(B175,Sessions!A:J,2,FALSE),"")</f>
        <v/>
      </c>
      <c r="D175" s="3" t="str">
        <f>IFERROR(VLOOKUP(B175,Sessions!A:J,3,FALSE),"")</f>
        <v/>
      </c>
      <c r="E175" s="3"/>
      <c r="F175" s="3" t="str">
        <f>IFERROR(VLOOKUP(E175,Employees!A:L,2,FALSE),"")</f>
        <v/>
      </c>
      <c r="G175" s="3" t="str">
        <f>IFERROR(VLOOKUP(E175,Employees!A:L,3,FALSE),"")</f>
        <v/>
      </c>
      <c r="H175" s="3"/>
      <c r="I175" s="3"/>
      <c r="J175" s="3"/>
      <c r="K175" s="3" t="str">
        <f>IF(B175="","",IF(OR(E175="",H175=""),"ناقص",IF(H175="نعم","مكتمل","غائب")))</f>
        <v/>
      </c>
      <c r="L175" s="3"/>
    </row>
    <row r="176" spans="1:12" x14ac:dyDescent="0.2">
      <c r="A176" s="3">
        <v>173</v>
      </c>
      <c r="B176" s="3"/>
      <c r="C176" s="3" t="str">
        <f>IFERROR(VLOOKUP(B176,Sessions!A:J,2,FALSE),"")</f>
        <v/>
      </c>
      <c r="D176" s="3" t="str">
        <f>IFERROR(VLOOKUP(B176,Sessions!A:J,3,FALSE),"")</f>
        <v/>
      </c>
      <c r="E176" s="3"/>
      <c r="F176" s="3" t="str">
        <f>IFERROR(VLOOKUP(E176,Employees!A:L,2,FALSE),"")</f>
        <v/>
      </c>
      <c r="G176" s="3" t="str">
        <f>IFERROR(VLOOKUP(E176,Employees!A:L,3,FALSE),"")</f>
        <v/>
      </c>
      <c r="H176" s="3"/>
      <c r="I176" s="3"/>
      <c r="J176" s="3"/>
      <c r="K176" s="3" t="str">
        <f>IF(B176="","",IF(OR(E176="",H176=""),"ناقص",IF(H176="نعم","مكتمل","غائب")))</f>
        <v/>
      </c>
      <c r="L176" s="3"/>
    </row>
    <row r="177" spans="1:12" x14ac:dyDescent="0.2">
      <c r="A177" s="3">
        <v>174</v>
      </c>
      <c r="B177" s="3"/>
      <c r="C177" s="3" t="str">
        <f>IFERROR(VLOOKUP(B177,Sessions!A:J,2,FALSE),"")</f>
        <v/>
      </c>
      <c r="D177" s="3" t="str">
        <f>IFERROR(VLOOKUP(B177,Sessions!A:J,3,FALSE),"")</f>
        <v/>
      </c>
      <c r="E177" s="3"/>
      <c r="F177" s="3" t="str">
        <f>IFERROR(VLOOKUP(E177,Employees!A:L,2,FALSE),"")</f>
        <v/>
      </c>
      <c r="G177" s="3" t="str">
        <f>IFERROR(VLOOKUP(E177,Employees!A:L,3,FALSE),"")</f>
        <v/>
      </c>
      <c r="H177" s="3"/>
      <c r="I177" s="3"/>
      <c r="J177" s="3"/>
      <c r="K177" s="3" t="str">
        <f>IF(B177="","",IF(OR(E177="",H177=""),"ناقص",IF(H177="نعم","مكتمل","غائب")))</f>
        <v/>
      </c>
      <c r="L177" s="3"/>
    </row>
    <row r="178" spans="1:12" x14ac:dyDescent="0.2">
      <c r="A178" s="3">
        <v>175</v>
      </c>
      <c r="B178" s="3"/>
      <c r="C178" s="3" t="str">
        <f>IFERROR(VLOOKUP(B178,Sessions!A:J,2,FALSE),"")</f>
        <v/>
      </c>
      <c r="D178" s="3" t="str">
        <f>IFERROR(VLOOKUP(B178,Sessions!A:J,3,FALSE),"")</f>
        <v/>
      </c>
      <c r="E178" s="3"/>
      <c r="F178" s="3" t="str">
        <f>IFERROR(VLOOKUP(E178,Employees!A:L,2,FALSE),"")</f>
        <v/>
      </c>
      <c r="G178" s="3" t="str">
        <f>IFERROR(VLOOKUP(E178,Employees!A:L,3,FALSE),"")</f>
        <v/>
      </c>
      <c r="H178" s="3"/>
      <c r="I178" s="3"/>
      <c r="J178" s="3"/>
      <c r="K178" s="3" t="str">
        <f>IF(B178="","",IF(OR(E178="",H178=""),"ناقص",IF(H178="نعم","مكتمل","غائب")))</f>
        <v/>
      </c>
      <c r="L178" s="3"/>
    </row>
    <row r="179" spans="1:12" x14ac:dyDescent="0.2">
      <c r="A179" s="3">
        <v>176</v>
      </c>
      <c r="B179" s="3"/>
      <c r="C179" s="3" t="str">
        <f>IFERROR(VLOOKUP(B179,Sessions!A:J,2,FALSE),"")</f>
        <v/>
      </c>
      <c r="D179" s="3" t="str">
        <f>IFERROR(VLOOKUP(B179,Sessions!A:J,3,FALSE),"")</f>
        <v/>
      </c>
      <c r="E179" s="3"/>
      <c r="F179" s="3" t="str">
        <f>IFERROR(VLOOKUP(E179,Employees!A:L,2,FALSE),"")</f>
        <v/>
      </c>
      <c r="G179" s="3" t="str">
        <f>IFERROR(VLOOKUP(E179,Employees!A:L,3,FALSE),"")</f>
        <v/>
      </c>
      <c r="H179" s="3"/>
      <c r="I179" s="3"/>
      <c r="J179" s="3"/>
      <c r="K179" s="3" t="str">
        <f>IF(B179="","",IF(OR(E179="",H179=""),"ناقص",IF(H179="نعم","مكتمل","غائب")))</f>
        <v/>
      </c>
      <c r="L179" s="3"/>
    </row>
    <row r="180" spans="1:12" x14ac:dyDescent="0.2">
      <c r="A180" s="3">
        <v>177</v>
      </c>
      <c r="B180" s="3"/>
      <c r="C180" s="3" t="str">
        <f>IFERROR(VLOOKUP(B180,Sessions!A:J,2,FALSE),"")</f>
        <v/>
      </c>
      <c r="D180" s="3" t="str">
        <f>IFERROR(VLOOKUP(B180,Sessions!A:J,3,FALSE),"")</f>
        <v/>
      </c>
      <c r="E180" s="3"/>
      <c r="F180" s="3" t="str">
        <f>IFERROR(VLOOKUP(E180,Employees!A:L,2,FALSE),"")</f>
        <v/>
      </c>
      <c r="G180" s="3" t="str">
        <f>IFERROR(VLOOKUP(E180,Employees!A:L,3,FALSE),"")</f>
        <v/>
      </c>
      <c r="H180" s="3"/>
      <c r="I180" s="3"/>
      <c r="J180" s="3"/>
      <c r="K180" s="3" t="str">
        <f>IF(B180="","",IF(OR(E180="",H180=""),"ناقص",IF(H180="نعم","مكتمل","غائب")))</f>
        <v/>
      </c>
      <c r="L180" s="3"/>
    </row>
    <row r="181" spans="1:12" x14ac:dyDescent="0.2">
      <c r="A181" s="3">
        <v>178</v>
      </c>
      <c r="B181" s="3"/>
      <c r="C181" s="3" t="str">
        <f>IFERROR(VLOOKUP(B181,Sessions!A:J,2,FALSE),"")</f>
        <v/>
      </c>
      <c r="D181" s="3" t="str">
        <f>IFERROR(VLOOKUP(B181,Sessions!A:J,3,FALSE),"")</f>
        <v/>
      </c>
      <c r="E181" s="3"/>
      <c r="F181" s="3" t="str">
        <f>IFERROR(VLOOKUP(E181,Employees!A:L,2,FALSE),"")</f>
        <v/>
      </c>
      <c r="G181" s="3" t="str">
        <f>IFERROR(VLOOKUP(E181,Employees!A:L,3,FALSE),"")</f>
        <v/>
      </c>
      <c r="H181" s="3"/>
      <c r="I181" s="3"/>
      <c r="J181" s="3"/>
      <c r="K181" s="3" t="str">
        <f>IF(B181="","",IF(OR(E181="",H181=""),"ناقص",IF(H181="نعم","مكتمل","غائب")))</f>
        <v/>
      </c>
      <c r="L181" s="3"/>
    </row>
    <row r="182" spans="1:12" x14ac:dyDescent="0.2">
      <c r="A182" s="3">
        <v>179</v>
      </c>
      <c r="B182" s="3"/>
      <c r="C182" s="3" t="str">
        <f>IFERROR(VLOOKUP(B182,Sessions!A:J,2,FALSE),"")</f>
        <v/>
      </c>
      <c r="D182" s="3" t="str">
        <f>IFERROR(VLOOKUP(B182,Sessions!A:J,3,FALSE),"")</f>
        <v/>
      </c>
      <c r="E182" s="3"/>
      <c r="F182" s="3" t="str">
        <f>IFERROR(VLOOKUP(E182,Employees!A:L,2,FALSE),"")</f>
        <v/>
      </c>
      <c r="G182" s="3" t="str">
        <f>IFERROR(VLOOKUP(E182,Employees!A:L,3,FALSE),"")</f>
        <v/>
      </c>
      <c r="H182" s="3"/>
      <c r="I182" s="3"/>
      <c r="J182" s="3"/>
      <c r="K182" s="3" t="str">
        <f>IF(B182="","",IF(OR(E182="",H182=""),"ناقص",IF(H182="نعم","مكتمل","غائب")))</f>
        <v/>
      </c>
      <c r="L182" s="3"/>
    </row>
    <row r="183" spans="1:12" x14ac:dyDescent="0.2">
      <c r="A183" s="3">
        <v>180</v>
      </c>
      <c r="B183" s="3"/>
      <c r="C183" s="3" t="str">
        <f>IFERROR(VLOOKUP(B183,Sessions!A:J,2,FALSE),"")</f>
        <v/>
      </c>
      <c r="D183" s="3" t="str">
        <f>IFERROR(VLOOKUP(B183,Sessions!A:J,3,FALSE),"")</f>
        <v/>
      </c>
      <c r="E183" s="3"/>
      <c r="F183" s="3" t="str">
        <f>IFERROR(VLOOKUP(E183,Employees!A:L,2,FALSE),"")</f>
        <v/>
      </c>
      <c r="G183" s="3" t="str">
        <f>IFERROR(VLOOKUP(E183,Employees!A:L,3,FALSE),"")</f>
        <v/>
      </c>
      <c r="H183" s="3"/>
      <c r="I183" s="3"/>
      <c r="J183" s="3"/>
      <c r="K183" s="3" t="str">
        <f>IF(B183="","",IF(OR(E183="",H183=""),"ناقص",IF(H183="نعم","مكتمل","غائب")))</f>
        <v/>
      </c>
      <c r="L183" s="3"/>
    </row>
    <row r="184" spans="1:12" x14ac:dyDescent="0.2">
      <c r="A184" s="3">
        <v>181</v>
      </c>
      <c r="B184" s="3"/>
      <c r="C184" s="3" t="str">
        <f>IFERROR(VLOOKUP(B184,Sessions!A:J,2,FALSE),"")</f>
        <v/>
      </c>
      <c r="D184" s="3" t="str">
        <f>IFERROR(VLOOKUP(B184,Sessions!A:J,3,FALSE),"")</f>
        <v/>
      </c>
      <c r="E184" s="3"/>
      <c r="F184" s="3" t="str">
        <f>IFERROR(VLOOKUP(E184,Employees!A:L,2,FALSE),"")</f>
        <v/>
      </c>
      <c r="G184" s="3" t="str">
        <f>IFERROR(VLOOKUP(E184,Employees!A:L,3,FALSE),"")</f>
        <v/>
      </c>
      <c r="H184" s="3"/>
      <c r="I184" s="3"/>
      <c r="J184" s="3"/>
      <c r="K184" s="3" t="str">
        <f>IF(B184="","",IF(OR(E184="",H184=""),"ناقص",IF(H184="نعم","مكتمل","غائب")))</f>
        <v/>
      </c>
      <c r="L184" s="3"/>
    </row>
    <row r="185" spans="1:12" x14ac:dyDescent="0.2">
      <c r="A185" s="3">
        <v>182</v>
      </c>
      <c r="B185" s="3"/>
      <c r="C185" s="3" t="str">
        <f>IFERROR(VLOOKUP(B185,Sessions!A:J,2,FALSE),"")</f>
        <v/>
      </c>
      <c r="D185" s="3" t="str">
        <f>IFERROR(VLOOKUP(B185,Sessions!A:J,3,FALSE),"")</f>
        <v/>
      </c>
      <c r="E185" s="3"/>
      <c r="F185" s="3" t="str">
        <f>IFERROR(VLOOKUP(E185,Employees!A:L,2,FALSE),"")</f>
        <v/>
      </c>
      <c r="G185" s="3" t="str">
        <f>IFERROR(VLOOKUP(E185,Employees!A:L,3,FALSE),"")</f>
        <v/>
      </c>
      <c r="H185" s="3"/>
      <c r="I185" s="3"/>
      <c r="J185" s="3"/>
      <c r="K185" s="3" t="str">
        <f>IF(B185="","",IF(OR(E185="",H185=""),"ناقص",IF(H185="نعم","مكتمل","غائب")))</f>
        <v/>
      </c>
      <c r="L185" s="3"/>
    </row>
    <row r="186" spans="1:12" x14ac:dyDescent="0.2">
      <c r="A186" s="3">
        <v>183</v>
      </c>
      <c r="B186" s="3"/>
      <c r="C186" s="3" t="str">
        <f>IFERROR(VLOOKUP(B186,Sessions!A:J,2,FALSE),"")</f>
        <v/>
      </c>
      <c r="D186" s="3" t="str">
        <f>IFERROR(VLOOKUP(B186,Sessions!A:J,3,FALSE),"")</f>
        <v/>
      </c>
      <c r="E186" s="3"/>
      <c r="F186" s="3" t="str">
        <f>IFERROR(VLOOKUP(E186,Employees!A:L,2,FALSE),"")</f>
        <v/>
      </c>
      <c r="G186" s="3" t="str">
        <f>IFERROR(VLOOKUP(E186,Employees!A:L,3,FALSE),"")</f>
        <v/>
      </c>
      <c r="H186" s="3"/>
      <c r="I186" s="3"/>
      <c r="J186" s="3"/>
      <c r="K186" s="3" t="str">
        <f>IF(B186="","",IF(OR(E186="",H186=""),"ناقص",IF(H186="نعم","مكتمل","غائب")))</f>
        <v/>
      </c>
      <c r="L186" s="3"/>
    </row>
    <row r="187" spans="1:12" x14ac:dyDescent="0.2">
      <c r="A187" s="3">
        <v>184</v>
      </c>
      <c r="B187" s="3"/>
      <c r="C187" s="3" t="str">
        <f>IFERROR(VLOOKUP(B187,Sessions!A:J,2,FALSE),"")</f>
        <v/>
      </c>
      <c r="D187" s="3" t="str">
        <f>IFERROR(VLOOKUP(B187,Sessions!A:J,3,FALSE),"")</f>
        <v/>
      </c>
      <c r="E187" s="3"/>
      <c r="F187" s="3" t="str">
        <f>IFERROR(VLOOKUP(E187,Employees!A:L,2,FALSE),"")</f>
        <v/>
      </c>
      <c r="G187" s="3" t="str">
        <f>IFERROR(VLOOKUP(E187,Employees!A:L,3,FALSE),"")</f>
        <v/>
      </c>
      <c r="H187" s="3"/>
      <c r="I187" s="3"/>
      <c r="J187" s="3"/>
      <c r="K187" s="3" t="str">
        <f>IF(B187="","",IF(OR(E187="",H187=""),"ناقص",IF(H187="نعم","مكتمل","غائب")))</f>
        <v/>
      </c>
      <c r="L187" s="3"/>
    </row>
    <row r="188" spans="1:12" x14ac:dyDescent="0.2">
      <c r="A188" s="3">
        <v>185</v>
      </c>
      <c r="B188" s="3"/>
      <c r="C188" s="3" t="str">
        <f>IFERROR(VLOOKUP(B188,Sessions!A:J,2,FALSE),"")</f>
        <v/>
      </c>
      <c r="D188" s="3" t="str">
        <f>IFERROR(VLOOKUP(B188,Sessions!A:J,3,FALSE),"")</f>
        <v/>
      </c>
      <c r="E188" s="3"/>
      <c r="F188" s="3" t="str">
        <f>IFERROR(VLOOKUP(E188,Employees!A:L,2,FALSE),"")</f>
        <v/>
      </c>
      <c r="G188" s="3" t="str">
        <f>IFERROR(VLOOKUP(E188,Employees!A:L,3,FALSE),"")</f>
        <v/>
      </c>
      <c r="H188" s="3"/>
      <c r="I188" s="3"/>
      <c r="J188" s="3"/>
      <c r="K188" s="3" t="str">
        <f>IF(B188="","",IF(OR(E188="",H188=""),"ناقص",IF(H188="نعم","مكتمل","غائب")))</f>
        <v/>
      </c>
      <c r="L188" s="3"/>
    </row>
    <row r="189" spans="1:12" x14ac:dyDescent="0.2">
      <c r="A189" s="3">
        <v>186</v>
      </c>
      <c r="B189" s="3"/>
      <c r="C189" s="3" t="str">
        <f>IFERROR(VLOOKUP(B189,Sessions!A:J,2,FALSE),"")</f>
        <v/>
      </c>
      <c r="D189" s="3" t="str">
        <f>IFERROR(VLOOKUP(B189,Sessions!A:J,3,FALSE),"")</f>
        <v/>
      </c>
      <c r="E189" s="3"/>
      <c r="F189" s="3" t="str">
        <f>IFERROR(VLOOKUP(E189,Employees!A:L,2,FALSE),"")</f>
        <v/>
      </c>
      <c r="G189" s="3" t="str">
        <f>IFERROR(VLOOKUP(E189,Employees!A:L,3,FALSE),"")</f>
        <v/>
      </c>
      <c r="H189" s="3"/>
      <c r="I189" s="3"/>
      <c r="J189" s="3"/>
      <c r="K189" s="3" t="str">
        <f>IF(B189="","",IF(OR(E189="",H189=""),"ناقص",IF(H189="نعم","مكتمل","غائب")))</f>
        <v/>
      </c>
      <c r="L189" s="3"/>
    </row>
    <row r="190" spans="1:12" x14ac:dyDescent="0.2">
      <c r="A190" s="3">
        <v>187</v>
      </c>
      <c r="B190" s="3"/>
      <c r="C190" s="3" t="str">
        <f>IFERROR(VLOOKUP(B190,Sessions!A:J,2,FALSE),"")</f>
        <v/>
      </c>
      <c r="D190" s="3" t="str">
        <f>IFERROR(VLOOKUP(B190,Sessions!A:J,3,FALSE),"")</f>
        <v/>
      </c>
      <c r="E190" s="3"/>
      <c r="F190" s="3" t="str">
        <f>IFERROR(VLOOKUP(E190,Employees!A:L,2,FALSE),"")</f>
        <v/>
      </c>
      <c r="G190" s="3" t="str">
        <f>IFERROR(VLOOKUP(E190,Employees!A:L,3,FALSE),"")</f>
        <v/>
      </c>
      <c r="H190" s="3"/>
      <c r="I190" s="3"/>
      <c r="J190" s="3"/>
      <c r="K190" s="3" t="str">
        <f>IF(B190="","",IF(OR(E190="",H190=""),"ناقص",IF(H190="نعم","مكتمل","غائب")))</f>
        <v/>
      </c>
      <c r="L190" s="3"/>
    </row>
    <row r="191" spans="1:12" x14ac:dyDescent="0.2">
      <c r="A191" s="3">
        <v>188</v>
      </c>
      <c r="B191" s="3"/>
      <c r="C191" s="3" t="str">
        <f>IFERROR(VLOOKUP(B191,Sessions!A:J,2,FALSE),"")</f>
        <v/>
      </c>
      <c r="D191" s="3" t="str">
        <f>IFERROR(VLOOKUP(B191,Sessions!A:J,3,FALSE),"")</f>
        <v/>
      </c>
      <c r="E191" s="3"/>
      <c r="F191" s="3" t="str">
        <f>IFERROR(VLOOKUP(E191,Employees!A:L,2,FALSE),"")</f>
        <v/>
      </c>
      <c r="G191" s="3" t="str">
        <f>IFERROR(VLOOKUP(E191,Employees!A:L,3,FALSE),"")</f>
        <v/>
      </c>
      <c r="H191" s="3"/>
      <c r="I191" s="3"/>
      <c r="J191" s="3"/>
      <c r="K191" s="3" t="str">
        <f>IF(B191="","",IF(OR(E191="",H191=""),"ناقص",IF(H191="نعم","مكتمل","غائب")))</f>
        <v/>
      </c>
      <c r="L191" s="3"/>
    </row>
    <row r="192" spans="1:12" x14ac:dyDescent="0.2">
      <c r="A192" s="3">
        <v>189</v>
      </c>
      <c r="B192" s="3"/>
      <c r="C192" s="3" t="str">
        <f>IFERROR(VLOOKUP(B192,Sessions!A:J,2,FALSE),"")</f>
        <v/>
      </c>
      <c r="D192" s="3" t="str">
        <f>IFERROR(VLOOKUP(B192,Sessions!A:J,3,FALSE),"")</f>
        <v/>
      </c>
      <c r="E192" s="3"/>
      <c r="F192" s="3" t="str">
        <f>IFERROR(VLOOKUP(E192,Employees!A:L,2,FALSE),"")</f>
        <v/>
      </c>
      <c r="G192" s="3" t="str">
        <f>IFERROR(VLOOKUP(E192,Employees!A:L,3,FALSE),"")</f>
        <v/>
      </c>
      <c r="H192" s="3"/>
      <c r="I192" s="3"/>
      <c r="J192" s="3"/>
      <c r="K192" s="3" t="str">
        <f>IF(B192="","",IF(OR(E192="",H192=""),"ناقص",IF(H192="نعم","مكتمل","غائب")))</f>
        <v/>
      </c>
      <c r="L192" s="3"/>
    </row>
    <row r="193" spans="1:12" x14ac:dyDescent="0.2">
      <c r="A193" s="3">
        <v>190</v>
      </c>
      <c r="B193" s="3"/>
      <c r="C193" s="3" t="str">
        <f>IFERROR(VLOOKUP(B193,Sessions!A:J,2,FALSE),"")</f>
        <v/>
      </c>
      <c r="D193" s="3" t="str">
        <f>IFERROR(VLOOKUP(B193,Sessions!A:J,3,FALSE),"")</f>
        <v/>
      </c>
      <c r="E193" s="3"/>
      <c r="F193" s="3" t="str">
        <f>IFERROR(VLOOKUP(E193,Employees!A:L,2,FALSE),"")</f>
        <v/>
      </c>
      <c r="G193" s="3" t="str">
        <f>IFERROR(VLOOKUP(E193,Employees!A:L,3,FALSE),"")</f>
        <v/>
      </c>
      <c r="H193" s="3"/>
      <c r="I193" s="3"/>
      <c r="J193" s="3"/>
      <c r="K193" s="3" t="str">
        <f>IF(B193="","",IF(OR(E193="",H193=""),"ناقص",IF(H193="نعم","مكتمل","غائب")))</f>
        <v/>
      </c>
      <c r="L193" s="3"/>
    </row>
    <row r="194" spans="1:12" x14ac:dyDescent="0.2">
      <c r="A194" s="3">
        <v>191</v>
      </c>
      <c r="B194" s="3"/>
      <c r="C194" s="3" t="str">
        <f>IFERROR(VLOOKUP(B194,Sessions!A:J,2,FALSE),"")</f>
        <v/>
      </c>
      <c r="D194" s="3" t="str">
        <f>IFERROR(VLOOKUP(B194,Sessions!A:J,3,FALSE),"")</f>
        <v/>
      </c>
      <c r="E194" s="3"/>
      <c r="F194" s="3" t="str">
        <f>IFERROR(VLOOKUP(E194,Employees!A:L,2,FALSE),"")</f>
        <v/>
      </c>
      <c r="G194" s="3" t="str">
        <f>IFERROR(VLOOKUP(E194,Employees!A:L,3,FALSE),"")</f>
        <v/>
      </c>
      <c r="H194" s="3"/>
      <c r="I194" s="3"/>
      <c r="J194" s="3"/>
      <c r="K194" s="3" t="str">
        <f>IF(B194="","",IF(OR(E194="",H194=""),"ناقص",IF(H194="نعم","مكتمل","غائب")))</f>
        <v/>
      </c>
      <c r="L194" s="3"/>
    </row>
    <row r="195" spans="1:12" x14ac:dyDescent="0.2">
      <c r="A195" s="3">
        <v>192</v>
      </c>
      <c r="B195" s="3"/>
      <c r="C195" s="3" t="str">
        <f>IFERROR(VLOOKUP(B195,Sessions!A:J,2,FALSE),"")</f>
        <v/>
      </c>
      <c r="D195" s="3" t="str">
        <f>IFERROR(VLOOKUP(B195,Sessions!A:J,3,FALSE),"")</f>
        <v/>
      </c>
      <c r="E195" s="3"/>
      <c r="F195" s="3" t="str">
        <f>IFERROR(VLOOKUP(E195,Employees!A:L,2,FALSE),"")</f>
        <v/>
      </c>
      <c r="G195" s="3" t="str">
        <f>IFERROR(VLOOKUP(E195,Employees!A:L,3,FALSE),"")</f>
        <v/>
      </c>
      <c r="H195" s="3"/>
      <c r="I195" s="3"/>
      <c r="J195" s="3"/>
      <c r="K195" s="3" t="str">
        <f>IF(B195="","",IF(OR(E195="",H195=""),"ناقص",IF(H195="نعم","مكتمل","غائب")))</f>
        <v/>
      </c>
      <c r="L195" s="3"/>
    </row>
    <row r="196" spans="1:12" x14ac:dyDescent="0.2">
      <c r="A196" s="3">
        <v>193</v>
      </c>
      <c r="B196" s="3"/>
      <c r="C196" s="3" t="str">
        <f>IFERROR(VLOOKUP(B196,Sessions!A:J,2,FALSE),"")</f>
        <v/>
      </c>
      <c r="D196" s="3" t="str">
        <f>IFERROR(VLOOKUP(B196,Sessions!A:J,3,FALSE),"")</f>
        <v/>
      </c>
      <c r="E196" s="3"/>
      <c r="F196" s="3" t="str">
        <f>IFERROR(VLOOKUP(E196,Employees!A:L,2,FALSE),"")</f>
        <v/>
      </c>
      <c r="G196" s="3" t="str">
        <f>IFERROR(VLOOKUP(E196,Employees!A:L,3,FALSE),"")</f>
        <v/>
      </c>
      <c r="H196" s="3"/>
      <c r="I196" s="3"/>
      <c r="J196" s="3"/>
      <c r="K196" s="3" t="str">
        <f>IF(B196="","",IF(OR(E196="",H196=""),"ناقص",IF(H196="نعم","مكتمل","غائب")))</f>
        <v/>
      </c>
      <c r="L196" s="3"/>
    </row>
    <row r="197" spans="1:12" x14ac:dyDescent="0.2">
      <c r="A197" s="3">
        <v>194</v>
      </c>
      <c r="B197" s="3"/>
      <c r="C197" s="3" t="str">
        <f>IFERROR(VLOOKUP(B197,Sessions!A:J,2,FALSE),"")</f>
        <v/>
      </c>
      <c r="D197" s="3" t="str">
        <f>IFERROR(VLOOKUP(B197,Sessions!A:J,3,FALSE),"")</f>
        <v/>
      </c>
      <c r="E197" s="3"/>
      <c r="F197" s="3" t="str">
        <f>IFERROR(VLOOKUP(E197,Employees!A:L,2,FALSE),"")</f>
        <v/>
      </c>
      <c r="G197" s="3" t="str">
        <f>IFERROR(VLOOKUP(E197,Employees!A:L,3,FALSE),"")</f>
        <v/>
      </c>
      <c r="H197" s="3"/>
      <c r="I197" s="3"/>
      <c r="J197" s="3"/>
      <c r="K197" s="3" t="str">
        <f>IF(B197="","",IF(OR(E197="",H197=""),"ناقص",IF(H197="نعم","مكتمل","غائب")))</f>
        <v/>
      </c>
      <c r="L197" s="3"/>
    </row>
    <row r="198" spans="1:12" x14ac:dyDescent="0.2">
      <c r="A198" s="3">
        <v>195</v>
      </c>
      <c r="B198" s="3"/>
      <c r="C198" s="3" t="str">
        <f>IFERROR(VLOOKUP(B198,Sessions!A:J,2,FALSE),"")</f>
        <v/>
      </c>
      <c r="D198" s="3" t="str">
        <f>IFERROR(VLOOKUP(B198,Sessions!A:J,3,FALSE),"")</f>
        <v/>
      </c>
      <c r="E198" s="3"/>
      <c r="F198" s="3" t="str">
        <f>IFERROR(VLOOKUP(E198,Employees!A:L,2,FALSE),"")</f>
        <v/>
      </c>
      <c r="G198" s="3" t="str">
        <f>IFERROR(VLOOKUP(E198,Employees!A:L,3,FALSE),"")</f>
        <v/>
      </c>
      <c r="H198" s="3"/>
      <c r="I198" s="3"/>
      <c r="J198" s="3"/>
      <c r="K198" s="3" t="str">
        <f>IF(B198="","",IF(OR(E198="",H198=""),"ناقص",IF(H198="نعم","مكتمل","غائب")))</f>
        <v/>
      </c>
      <c r="L198" s="3"/>
    </row>
    <row r="199" spans="1:12" x14ac:dyDescent="0.2">
      <c r="A199" s="3">
        <v>196</v>
      </c>
      <c r="B199" s="3"/>
      <c r="C199" s="3" t="str">
        <f>IFERROR(VLOOKUP(B199,Sessions!A:J,2,FALSE),"")</f>
        <v/>
      </c>
      <c r="D199" s="3" t="str">
        <f>IFERROR(VLOOKUP(B199,Sessions!A:J,3,FALSE),"")</f>
        <v/>
      </c>
      <c r="E199" s="3"/>
      <c r="F199" s="3" t="str">
        <f>IFERROR(VLOOKUP(E199,Employees!A:L,2,FALSE),"")</f>
        <v/>
      </c>
      <c r="G199" s="3" t="str">
        <f>IFERROR(VLOOKUP(E199,Employees!A:L,3,FALSE),"")</f>
        <v/>
      </c>
      <c r="H199" s="3"/>
      <c r="I199" s="3"/>
      <c r="J199" s="3"/>
      <c r="K199" s="3" t="str">
        <f>IF(B199="","",IF(OR(E199="",H199=""),"ناقص",IF(H199="نعم","مكتمل","غائب")))</f>
        <v/>
      </c>
      <c r="L199" s="3"/>
    </row>
    <row r="200" spans="1:12" x14ac:dyDescent="0.2">
      <c r="A200" s="3">
        <v>197</v>
      </c>
      <c r="B200" s="3"/>
      <c r="C200" s="3" t="str">
        <f>IFERROR(VLOOKUP(B200,Sessions!A:J,2,FALSE),"")</f>
        <v/>
      </c>
      <c r="D200" s="3" t="str">
        <f>IFERROR(VLOOKUP(B200,Sessions!A:J,3,FALSE),"")</f>
        <v/>
      </c>
      <c r="E200" s="3"/>
      <c r="F200" s="3" t="str">
        <f>IFERROR(VLOOKUP(E200,Employees!A:L,2,FALSE),"")</f>
        <v/>
      </c>
      <c r="G200" s="3" t="str">
        <f>IFERROR(VLOOKUP(E200,Employees!A:L,3,FALSE),"")</f>
        <v/>
      </c>
      <c r="H200" s="3"/>
      <c r="I200" s="3"/>
      <c r="J200" s="3"/>
      <c r="K200" s="3" t="str">
        <f>IF(B200="","",IF(OR(E200="",H200=""),"ناقص",IF(H200="نعم","مكتمل","غائب")))</f>
        <v/>
      </c>
      <c r="L200" s="3"/>
    </row>
    <row r="201" spans="1:12" x14ac:dyDescent="0.2">
      <c r="A201" s="3">
        <v>198</v>
      </c>
      <c r="B201" s="3"/>
      <c r="C201" s="3" t="str">
        <f>IFERROR(VLOOKUP(B201,Sessions!A:J,2,FALSE),"")</f>
        <v/>
      </c>
      <c r="D201" s="3" t="str">
        <f>IFERROR(VLOOKUP(B201,Sessions!A:J,3,FALSE),"")</f>
        <v/>
      </c>
      <c r="E201" s="3"/>
      <c r="F201" s="3" t="str">
        <f>IFERROR(VLOOKUP(E201,Employees!A:L,2,FALSE),"")</f>
        <v/>
      </c>
      <c r="G201" s="3" t="str">
        <f>IFERROR(VLOOKUP(E201,Employees!A:L,3,FALSE),"")</f>
        <v/>
      </c>
      <c r="H201" s="3"/>
      <c r="I201" s="3"/>
      <c r="J201" s="3"/>
      <c r="K201" s="3" t="str">
        <f>IF(B201="","",IF(OR(E201="",H201=""),"ناقص",IF(H201="نعم","مكتمل","غائب")))</f>
        <v/>
      </c>
      <c r="L201" s="3"/>
    </row>
    <row r="202" spans="1:12" x14ac:dyDescent="0.2">
      <c r="A202" s="3">
        <v>199</v>
      </c>
      <c r="B202" s="3"/>
      <c r="C202" s="3" t="str">
        <f>IFERROR(VLOOKUP(B202,Sessions!A:J,2,FALSE),"")</f>
        <v/>
      </c>
      <c r="D202" s="3" t="str">
        <f>IFERROR(VLOOKUP(B202,Sessions!A:J,3,FALSE),"")</f>
        <v/>
      </c>
      <c r="E202" s="3"/>
      <c r="F202" s="3" t="str">
        <f>IFERROR(VLOOKUP(E202,Employees!A:L,2,FALSE),"")</f>
        <v/>
      </c>
      <c r="G202" s="3" t="str">
        <f>IFERROR(VLOOKUP(E202,Employees!A:L,3,FALSE),"")</f>
        <v/>
      </c>
      <c r="H202" s="3"/>
      <c r="I202" s="3"/>
      <c r="J202" s="3"/>
      <c r="K202" s="3" t="str">
        <f>IF(B202="","",IF(OR(E202="",H202=""),"ناقص",IF(H202="نعم","مكتمل","غائب")))</f>
        <v/>
      </c>
      <c r="L202" s="3"/>
    </row>
    <row r="203" spans="1:12" x14ac:dyDescent="0.2">
      <c r="A203" s="3">
        <v>200</v>
      </c>
      <c r="B203" s="3"/>
      <c r="C203" s="3" t="str">
        <f>IFERROR(VLOOKUP(B203,Sessions!A:J,2,FALSE),"")</f>
        <v/>
      </c>
      <c r="D203" s="3" t="str">
        <f>IFERROR(VLOOKUP(B203,Sessions!A:J,3,FALSE),"")</f>
        <v/>
      </c>
      <c r="E203" s="3"/>
      <c r="F203" s="3" t="str">
        <f>IFERROR(VLOOKUP(E203,Employees!A:L,2,FALSE),"")</f>
        <v/>
      </c>
      <c r="G203" s="3" t="str">
        <f>IFERROR(VLOOKUP(E203,Employees!A:L,3,FALSE),"")</f>
        <v/>
      </c>
      <c r="H203" s="3"/>
      <c r="I203" s="3"/>
      <c r="J203" s="3"/>
      <c r="K203" s="3" t="str">
        <f>IF(B203="","",IF(OR(E203="",H203=""),"ناقص",IF(H203="نعم","مكتمل","غائب")))</f>
        <v/>
      </c>
      <c r="L203" s="3"/>
    </row>
    <row r="204" spans="1:12" x14ac:dyDescent="0.2">
      <c r="A204" s="3">
        <v>201</v>
      </c>
      <c r="B204" s="3"/>
      <c r="C204" s="3" t="str">
        <f>IFERROR(VLOOKUP(B204,Sessions!A:J,2,FALSE),"")</f>
        <v/>
      </c>
      <c r="D204" s="3" t="str">
        <f>IFERROR(VLOOKUP(B204,Sessions!A:J,3,FALSE),"")</f>
        <v/>
      </c>
      <c r="E204" s="3"/>
      <c r="F204" s="3" t="str">
        <f>IFERROR(VLOOKUP(E204,Employees!A:L,2,FALSE),"")</f>
        <v/>
      </c>
      <c r="G204" s="3" t="str">
        <f>IFERROR(VLOOKUP(E204,Employees!A:L,3,FALSE),"")</f>
        <v/>
      </c>
      <c r="H204" s="3"/>
      <c r="I204" s="3"/>
      <c r="J204" s="3"/>
      <c r="K204" s="3" t="str">
        <f>IF(B204="","",IF(OR(E204="",H204=""),"ناقص",IF(H204="نعم","مكتمل","غائب")))</f>
        <v/>
      </c>
      <c r="L204" s="3"/>
    </row>
    <row r="205" spans="1:12" x14ac:dyDescent="0.2">
      <c r="A205" s="3">
        <v>202</v>
      </c>
      <c r="B205" s="3"/>
      <c r="C205" s="3" t="str">
        <f>IFERROR(VLOOKUP(B205,Sessions!A:J,2,FALSE),"")</f>
        <v/>
      </c>
      <c r="D205" s="3" t="str">
        <f>IFERROR(VLOOKUP(B205,Sessions!A:J,3,FALSE),"")</f>
        <v/>
      </c>
      <c r="E205" s="3"/>
      <c r="F205" s="3" t="str">
        <f>IFERROR(VLOOKUP(E205,Employees!A:L,2,FALSE),"")</f>
        <v/>
      </c>
      <c r="G205" s="3" t="str">
        <f>IFERROR(VLOOKUP(E205,Employees!A:L,3,FALSE),"")</f>
        <v/>
      </c>
      <c r="H205" s="3"/>
      <c r="I205" s="3"/>
      <c r="J205" s="3"/>
      <c r="K205" s="3" t="str">
        <f>IF(B205="","",IF(OR(E205="",H205=""),"ناقص",IF(H205="نعم","مكتمل","غائب")))</f>
        <v/>
      </c>
      <c r="L205" s="3"/>
    </row>
    <row r="206" spans="1:12" x14ac:dyDescent="0.2">
      <c r="A206" s="3">
        <v>203</v>
      </c>
      <c r="B206" s="3"/>
      <c r="C206" s="3" t="str">
        <f>IFERROR(VLOOKUP(B206,Sessions!A:J,2,FALSE),"")</f>
        <v/>
      </c>
      <c r="D206" s="3" t="str">
        <f>IFERROR(VLOOKUP(B206,Sessions!A:J,3,FALSE),"")</f>
        <v/>
      </c>
      <c r="E206" s="3"/>
      <c r="F206" s="3" t="str">
        <f>IFERROR(VLOOKUP(E206,Employees!A:L,2,FALSE),"")</f>
        <v/>
      </c>
      <c r="G206" s="3" t="str">
        <f>IFERROR(VLOOKUP(E206,Employees!A:L,3,FALSE),"")</f>
        <v/>
      </c>
      <c r="H206" s="3"/>
      <c r="I206" s="3"/>
      <c r="J206" s="3"/>
      <c r="K206" s="3" t="str">
        <f>IF(B206="","",IF(OR(E206="",H206=""),"ناقص",IF(H206="نعم","مكتمل","غائب")))</f>
        <v/>
      </c>
      <c r="L206" s="3"/>
    </row>
    <row r="207" spans="1:12" x14ac:dyDescent="0.2">
      <c r="A207" s="3">
        <v>204</v>
      </c>
      <c r="B207" s="3"/>
      <c r="C207" s="3" t="str">
        <f>IFERROR(VLOOKUP(B207,Sessions!A:J,2,FALSE),"")</f>
        <v/>
      </c>
      <c r="D207" s="3" t="str">
        <f>IFERROR(VLOOKUP(B207,Sessions!A:J,3,FALSE),"")</f>
        <v/>
      </c>
      <c r="E207" s="3"/>
      <c r="F207" s="3" t="str">
        <f>IFERROR(VLOOKUP(E207,Employees!A:L,2,FALSE),"")</f>
        <v/>
      </c>
      <c r="G207" s="3" t="str">
        <f>IFERROR(VLOOKUP(E207,Employees!A:L,3,FALSE),"")</f>
        <v/>
      </c>
      <c r="H207" s="3"/>
      <c r="I207" s="3"/>
      <c r="J207" s="3"/>
      <c r="K207" s="3" t="str">
        <f>IF(B207="","",IF(OR(E207="",H207=""),"ناقص",IF(H207="نعم","مكتمل","غائب")))</f>
        <v/>
      </c>
      <c r="L207" s="3"/>
    </row>
    <row r="208" spans="1:12" x14ac:dyDescent="0.2">
      <c r="A208" s="3">
        <v>205</v>
      </c>
      <c r="B208" s="3"/>
      <c r="C208" s="3" t="str">
        <f>IFERROR(VLOOKUP(B208,Sessions!A:J,2,FALSE),"")</f>
        <v/>
      </c>
      <c r="D208" s="3" t="str">
        <f>IFERROR(VLOOKUP(B208,Sessions!A:J,3,FALSE),"")</f>
        <v/>
      </c>
      <c r="E208" s="3"/>
      <c r="F208" s="3" t="str">
        <f>IFERROR(VLOOKUP(E208,Employees!A:L,2,FALSE),"")</f>
        <v/>
      </c>
      <c r="G208" s="3" t="str">
        <f>IFERROR(VLOOKUP(E208,Employees!A:L,3,FALSE),"")</f>
        <v/>
      </c>
      <c r="H208" s="3"/>
      <c r="I208" s="3"/>
      <c r="J208" s="3"/>
      <c r="K208" s="3" t="str">
        <f>IF(B208="","",IF(OR(E208="",H208=""),"ناقص",IF(H208="نعم","مكتمل","غائب")))</f>
        <v/>
      </c>
      <c r="L208" s="3"/>
    </row>
    <row r="209" spans="1:12" x14ac:dyDescent="0.2">
      <c r="A209" s="3">
        <v>206</v>
      </c>
      <c r="B209" s="3"/>
      <c r="C209" s="3" t="str">
        <f>IFERROR(VLOOKUP(B209,Sessions!A:J,2,FALSE),"")</f>
        <v/>
      </c>
      <c r="D209" s="3" t="str">
        <f>IFERROR(VLOOKUP(B209,Sessions!A:J,3,FALSE),"")</f>
        <v/>
      </c>
      <c r="E209" s="3"/>
      <c r="F209" s="3" t="str">
        <f>IFERROR(VLOOKUP(E209,Employees!A:L,2,FALSE),"")</f>
        <v/>
      </c>
      <c r="G209" s="3" t="str">
        <f>IFERROR(VLOOKUP(E209,Employees!A:L,3,FALSE),"")</f>
        <v/>
      </c>
      <c r="H209" s="3"/>
      <c r="I209" s="3"/>
      <c r="J209" s="3"/>
      <c r="K209" s="3" t="str">
        <f>IF(B209="","",IF(OR(E209="",H209=""),"ناقص",IF(H209="نعم","مكتمل","غائب")))</f>
        <v/>
      </c>
      <c r="L209" s="3"/>
    </row>
    <row r="210" spans="1:12" x14ac:dyDescent="0.2">
      <c r="A210" s="3">
        <v>207</v>
      </c>
      <c r="B210" s="3"/>
      <c r="C210" s="3" t="str">
        <f>IFERROR(VLOOKUP(B210,Sessions!A:J,2,FALSE),"")</f>
        <v/>
      </c>
      <c r="D210" s="3" t="str">
        <f>IFERROR(VLOOKUP(B210,Sessions!A:J,3,FALSE),"")</f>
        <v/>
      </c>
      <c r="E210" s="3"/>
      <c r="F210" s="3" t="str">
        <f>IFERROR(VLOOKUP(E210,Employees!A:L,2,FALSE),"")</f>
        <v/>
      </c>
      <c r="G210" s="3" t="str">
        <f>IFERROR(VLOOKUP(E210,Employees!A:L,3,FALSE),"")</f>
        <v/>
      </c>
      <c r="H210" s="3"/>
      <c r="I210" s="3"/>
      <c r="J210" s="3"/>
      <c r="K210" s="3" t="str">
        <f>IF(B210="","",IF(OR(E210="",H210=""),"ناقص",IF(H210="نعم","مكتمل","غائب")))</f>
        <v/>
      </c>
      <c r="L210" s="3"/>
    </row>
    <row r="211" spans="1:12" x14ac:dyDescent="0.2">
      <c r="A211" s="3">
        <v>208</v>
      </c>
      <c r="B211" s="3"/>
      <c r="C211" s="3" t="str">
        <f>IFERROR(VLOOKUP(B211,Sessions!A:J,2,FALSE),"")</f>
        <v/>
      </c>
      <c r="D211" s="3" t="str">
        <f>IFERROR(VLOOKUP(B211,Sessions!A:J,3,FALSE),"")</f>
        <v/>
      </c>
      <c r="E211" s="3"/>
      <c r="F211" s="3" t="str">
        <f>IFERROR(VLOOKUP(E211,Employees!A:L,2,FALSE),"")</f>
        <v/>
      </c>
      <c r="G211" s="3" t="str">
        <f>IFERROR(VLOOKUP(E211,Employees!A:L,3,FALSE),"")</f>
        <v/>
      </c>
      <c r="H211" s="3"/>
      <c r="I211" s="3"/>
      <c r="J211" s="3"/>
      <c r="K211" s="3" t="str">
        <f>IF(B211="","",IF(OR(E211="",H211=""),"ناقص",IF(H211="نعم","مكتمل","غائب")))</f>
        <v/>
      </c>
      <c r="L211" s="3"/>
    </row>
    <row r="212" spans="1:12" x14ac:dyDescent="0.2">
      <c r="A212" s="3">
        <v>209</v>
      </c>
      <c r="B212" s="3"/>
      <c r="C212" s="3" t="str">
        <f>IFERROR(VLOOKUP(B212,Sessions!A:J,2,FALSE),"")</f>
        <v/>
      </c>
      <c r="D212" s="3" t="str">
        <f>IFERROR(VLOOKUP(B212,Sessions!A:J,3,FALSE),"")</f>
        <v/>
      </c>
      <c r="E212" s="3"/>
      <c r="F212" s="3" t="str">
        <f>IFERROR(VLOOKUP(E212,Employees!A:L,2,FALSE),"")</f>
        <v/>
      </c>
      <c r="G212" s="3" t="str">
        <f>IFERROR(VLOOKUP(E212,Employees!A:L,3,FALSE),"")</f>
        <v/>
      </c>
      <c r="H212" s="3"/>
      <c r="I212" s="3"/>
      <c r="J212" s="3"/>
      <c r="K212" s="3" t="str">
        <f>IF(B212="","",IF(OR(E212="",H212=""),"ناقص",IF(H212="نعم","مكتمل","غائب")))</f>
        <v/>
      </c>
      <c r="L212" s="3"/>
    </row>
    <row r="213" spans="1:12" x14ac:dyDescent="0.2">
      <c r="A213" s="3">
        <v>210</v>
      </c>
      <c r="B213" s="3"/>
      <c r="C213" s="3" t="str">
        <f>IFERROR(VLOOKUP(B213,Sessions!A:J,2,FALSE),"")</f>
        <v/>
      </c>
      <c r="D213" s="3" t="str">
        <f>IFERROR(VLOOKUP(B213,Sessions!A:J,3,FALSE),"")</f>
        <v/>
      </c>
      <c r="E213" s="3"/>
      <c r="F213" s="3" t="str">
        <f>IFERROR(VLOOKUP(E213,Employees!A:L,2,FALSE),"")</f>
        <v/>
      </c>
      <c r="G213" s="3" t="str">
        <f>IFERROR(VLOOKUP(E213,Employees!A:L,3,FALSE),"")</f>
        <v/>
      </c>
      <c r="H213" s="3"/>
      <c r="I213" s="3"/>
      <c r="J213" s="3"/>
      <c r="K213" s="3" t="str">
        <f>IF(B213="","",IF(OR(E213="",H213=""),"ناقص",IF(H213="نعم","مكتمل","غائب")))</f>
        <v/>
      </c>
      <c r="L213" s="3"/>
    </row>
    <row r="214" spans="1:12" x14ac:dyDescent="0.2">
      <c r="A214" s="3">
        <v>211</v>
      </c>
      <c r="B214" s="3"/>
      <c r="C214" s="3" t="str">
        <f>IFERROR(VLOOKUP(B214,Sessions!A:J,2,FALSE),"")</f>
        <v/>
      </c>
      <c r="D214" s="3" t="str">
        <f>IFERROR(VLOOKUP(B214,Sessions!A:J,3,FALSE),"")</f>
        <v/>
      </c>
      <c r="E214" s="3"/>
      <c r="F214" s="3" t="str">
        <f>IFERROR(VLOOKUP(E214,Employees!A:L,2,FALSE),"")</f>
        <v/>
      </c>
      <c r="G214" s="3" t="str">
        <f>IFERROR(VLOOKUP(E214,Employees!A:L,3,FALSE),"")</f>
        <v/>
      </c>
      <c r="H214" s="3"/>
      <c r="I214" s="3"/>
      <c r="J214" s="3"/>
      <c r="K214" s="3" t="str">
        <f>IF(B214="","",IF(OR(E214="",H214=""),"ناقص",IF(H214="نعم","مكتمل","غائب")))</f>
        <v/>
      </c>
      <c r="L214" s="3"/>
    </row>
    <row r="215" spans="1:12" x14ac:dyDescent="0.2">
      <c r="A215" s="3">
        <v>212</v>
      </c>
      <c r="B215" s="3"/>
      <c r="C215" s="3" t="str">
        <f>IFERROR(VLOOKUP(B215,Sessions!A:J,2,FALSE),"")</f>
        <v/>
      </c>
      <c r="D215" s="3" t="str">
        <f>IFERROR(VLOOKUP(B215,Sessions!A:J,3,FALSE),"")</f>
        <v/>
      </c>
      <c r="E215" s="3"/>
      <c r="F215" s="3" t="str">
        <f>IFERROR(VLOOKUP(E215,Employees!A:L,2,FALSE),"")</f>
        <v/>
      </c>
      <c r="G215" s="3" t="str">
        <f>IFERROR(VLOOKUP(E215,Employees!A:L,3,FALSE),"")</f>
        <v/>
      </c>
      <c r="H215" s="3"/>
      <c r="I215" s="3"/>
      <c r="J215" s="3"/>
      <c r="K215" s="3" t="str">
        <f>IF(B215="","",IF(OR(E215="",H215=""),"ناقص",IF(H215="نعم","مكتمل","غائب")))</f>
        <v/>
      </c>
      <c r="L215" s="3"/>
    </row>
    <row r="216" spans="1:12" x14ac:dyDescent="0.2">
      <c r="A216" s="3">
        <v>213</v>
      </c>
      <c r="B216" s="3"/>
      <c r="C216" s="3" t="str">
        <f>IFERROR(VLOOKUP(B216,Sessions!A:J,2,FALSE),"")</f>
        <v/>
      </c>
      <c r="D216" s="3" t="str">
        <f>IFERROR(VLOOKUP(B216,Sessions!A:J,3,FALSE),"")</f>
        <v/>
      </c>
      <c r="E216" s="3"/>
      <c r="F216" s="3" t="str">
        <f>IFERROR(VLOOKUP(E216,Employees!A:L,2,FALSE),"")</f>
        <v/>
      </c>
      <c r="G216" s="3" t="str">
        <f>IFERROR(VLOOKUP(E216,Employees!A:L,3,FALSE),"")</f>
        <v/>
      </c>
      <c r="H216" s="3"/>
      <c r="I216" s="3"/>
      <c r="J216" s="3"/>
      <c r="K216" s="3" t="str">
        <f>IF(B216="","",IF(OR(E216="",H216=""),"ناقص",IF(H216="نعم","مكتمل","غائب")))</f>
        <v/>
      </c>
      <c r="L216" s="3"/>
    </row>
    <row r="217" spans="1:12" x14ac:dyDescent="0.2">
      <c r="A217" s="3">
        <v>214</v>
      </c>
      <c r="B217" s="3"/>
      <c r="C217" s="3" t="str">
        <f>IFERROR(VLOOKUP(B217,Sessions!A:J,2,FALSE),"")</f>
        <v/>
      </c>
      <c r="D217" s="3" t="str">
        <f>IFERROR(VLOOKUP(B217,Sessions!A:J,3,FALSE),"")</f>
        <v/>
      </c>
      <c r="E217" s="3"/>
      <c r="F217" s="3" t="str">
        <f>IFERROR(VLOOKUP(E217,Employees!A:L,2,FALSE),"")</f>
        <v/>
      </c>
      <c r="G217" s="3" t="str">
        <f>IFERROR(VLOOKUP(E217,Employees!A:L,3,FALSE),"")</f>
        <v/>
      </c>
      <c r="H217" s="3"/>
      <c r="I217" s="3"/>
      <c r="J217" s="3"/>
      <c r="K217" s="3" t="str">
        <f>IF(B217="","",IF(OR(E217="",H217=""),"ناقص",IF(H217="نعم","مكتمل","غائب")))</f>
        <v/>
      </c>
      <c r="L217" s="3"/>
    </row>
    <row r="218" spans="1:12" x14ac:dyDescent="0.2">
      <c r="A218" s="3">
        <v>215</v>
      </c>
      <c r="B218" s="3"/>
      <c r="C218" s="3" t="str">
        <f>IFERROR(VLOOKUP(B218,Sessions!A:J,2,FALSE),"")</f>
        <v/>
      </c>
      <c r="D218" s="3" t="str">
        <f>IFERROR(VLOOKUP(B218,Sessions!A:J,3,FALSE),"")</f>
        <v/>
      </c>
      <c r="E218" s="3"/>
      <c r="F218" s="3" t="str">
        <f>IFERROR(VLOOKUP(E218,Employees!A:L,2,FALSE),"")</f>
        <v/>
      </c>
      <c r="G218" s="3" t="str">
        <f>IFERROR(VLOOKUP(E218,Employees!A:L,3,FALSE),"")</f>
        <v/>
      </c>
      <c r="H218" s="3"/>
      <c r="I218" s="3"/>
      <c r="J218" s="3"/>
      <c r="K218" s="3" t="str">
        <f>IF(B218="","",IF(OR(E218="",H218=""),"ناقص",IF(H218="نعم","مكتمل","غائب")))</f>
        <v/>
      </c>
      <c r="L218" s="3"/>
    </row>
    <row r="219" spans="1:12" x14ac:dyDescent="0.2">
      <c r="A219" s="3">
        <v>216</v>
      </c>
      <c r="B219" s="3"/>
      <c r="C219" s="3" t="str">
        <f>IFERROR(VLOOKUP(B219,Sessions!A:J,2,FALSE),"")</f>
        <v/>
      </c>
      <c r="D219" s="3" t="str">
        <f>IFERROR(VLOOKUP(B219,Sessions!A:J,3,FALSE),"")</f>
        <v/>
      </c>
      <c r="E219" s="3"/>
      <c r="F219" s="3" t="str">
        <f>IFERROR(VLOOKUP(E219,Employees!A:L,2,FALSE),"")</f>
        <v/>
      </c>
      <c r="G219" s="3" t="str">
        <f>IFERROR(VLOOKUP(E219,Employees!A:L,3,FALSE),"")</f>
        <v/>
      </c>
      <c r="H219" s="3"/>
      <c r="I219" s="3"/>
      <c r="J219" s="3"/>
      <c r="K219" s="3" t="str">
        <f>IF(B219="","",IF(OR(E219="",H219=""),"ناقص",IF(H219="نعم","مكتمل","غائب")))</f>
        <v/>
      </c>
      <c r="L219" s="3"/>
    </row>
    <row r="220" spans="1:12" x14ac:dyDescent="0.2">
      <c r="A220" s="3">
        <v>217</v>
      </c>
      <c r="B220" s="3"/>
      <c r="C220" s="3" t="str">
        <f>IFERROR(VLOOKUP(B220,Sessions!A:J,2,FALSE),"")</f>
        <v/>
      </c>
      <c r="D220" s="3" t="str">
        <f>IFERROR(VLOOKUP(B220,Sessions!A:J,3,FALSE),"")</f>
        <v/>
      </c>
      <c r="E220" s="3"/>
      <c r="F220" s="3" t="str">
        <f>IFERROR(VLOOKUP(E220,Employees!A:L,2,FALSE),"")</f>
        <v/>
      </c>
      <c r="G220" s="3" t="str">
        <f>IFERROR(VLOOKUP(E220,Employees!A:L,3,FALSE),"")</f>
        <v/>
      </c>
      <c r="H220" s="3"/>
      <c r="I220" s="3"/>
      <c r="J220" s="3"/>
      <c r="K220" s="3" t="str">
        <f>IF(B220="","",IF(OR(E220="",H220=""),"ناقص",IF(H220="نعم","مكتمل","غائب")))</f>
        <v/>
      </c>
      <c r="L220" s="3"/>
    </row>
    <row r="221" spans="1:12" x14ac:dyDescent="0.2">
      <c r="A221" s="3">
        <v>218</v>
      </c>
      <c r="B221" s="3"/>
      <c r="C221" s="3" t="str">
        <f>IFERROR(VLOOKUP(B221,Sessions!A:J,2,FALSE),"")</f>
        <v/>
      </c>
      <c r="D221" s="3" t="str">
        <f>IFERROR(VLOOKUP(B221,Sessions!A:J,3,FALSE),"")</f>
        <v/>
      </c>
      <c r="E221" s="3"/>
      <c r="F221" s="3" t="str">
        <f>IFERROR(VLOOKUP(E221,Employees!A:L,2,FALSE),"")</f>
        <v/>
      </c>
      <c r="G221" s="3" t="str">
        <f>IFERROR(VLOOKUP(E221,Employees!A:L,3,FALSE),"")</f>
        <v/>
      </c>
      <c r="H221" s="3"/>
      <c r="I221" s="3"/>
      <c r="J221" s="3"/>
      <c r="K221" s="3" t="str">
        <f>IF(B221="","",IF(OR(E221="",H221=""),"ناقص",IF(H221="نعم","مكتمل","غائب")))</f>
        <v/>
      </c>
      <c r="L221" s="3"/>
    </row>
    <row r="222" spans="1:12" x14ac:dyDescent="0.2">
      <c r="A222" s="3">
        <v>219</v>
      </c>
      <c r="B222" s="3"/>
      <c r="C222" s="3" t="str">
        <f>IFERROR(VLOOKUP(B222,Sessions!A:J,2,FALSE),"")</f>
        <v/>
      </c>
      <c r="D222" s="3" t="str">
        <f>IFERROR(VLOOKUP(B222,Sessions!A:J,3,FALSE),"")</f>
        <v/>
      </c>
      <c r="E222" s="3"/>
      <c r="F222" s="3" t="str">
        <f>IFERROR(VLOOKUP(E222,Employees!A:L,2,FALSE),"")</f>
        <v/>
      </c>
      <c r="G222" s="3" t="str">
        <f>IFERROR(VLOOKUP(E222,Employees!A:L,3,FALSE),"")</f>
        <v/>
      </c>
      <c r="H222" s="3"/>
      <c r="I222" s="3"/>
      <c r="J222" s="3"/>
      <c r="K222" s="3" t="str">
        <f>IF(B222="","",IF(OR(E222="",H222=""),"ناقص",IF(H222="نعم","مكتمل","غائب")))</f>
        <v/>
      </c>
      <c r="L222" s="3"/>
    </row>
    <row r="223" spans="1:12" x14ac:dyDescent="0.2">
      <c r="A223" s="3">
        <v>220</v>
      </c>
      <c r="B223" s="3"/>
      <c r="C223" s="3" t="str">
        <f>IFERROR(VLOOKUP(B223,Sessions!A:J,2,FALSE),"")</f>
        <v/>
      </c>
      <c r="D223" s="3" t="str">
        <f>IFERROR(VLOOKUP(B223,Sessions!A:J,3,FALSE),"")</f>
        <v/>
      </c>
      <c r="E223" s="3"/>
      <c r="F223" s="3" t="str">
        <f>IFERROR(VLOOKUP(E223,Employees!A:L,2,FALSE),"")</f>
        <v/>
      </c>
      <c r="G223" s="3" t="str">
        <f>IFERROR(VLOOKUP(E223,Employees!A:L,3,FALSE),"")</f>
        <v/>
      </c>
      <c r="H223" s="3"/>
      <c r="I223" s="3"/>
      <c r="J223" s="3"/>
      <c r="K223" s="3" t="str">
        <f>IF(B223="","",IF(OR(E223="",H223=""),"ناقص",IF(H223="نعم","مكتمل","غائب")))</f>
        <v/>
      </c>
      <c r="L223" s="3"/>
    </row>
    <row r="224" spans="1:12" x14ac:dyDescent="0.2">
      <c r="A224" s="3">
        <v>221</v>
      </c>
      <c r="B224" s="3"/>
      <c r="C224" s="3" t="str">
        <f>IFERROR(VLOOKUP(B224,Sessions!A:J,2,FALSE),"")</f>
        <v/>
      </c>
      <c r="D224" s="3" t="str">
        <f>IFERROR(VLOOKUP(B224,Sessions!A:J,3,FALSE),"")</f>
        <v/>
      </c>
      <c r="E224" s="3"/>
      <c r="F224" s="3" t="str">
        <f>IFERROR(VLOOKUP(E224,Employees!A:L,2,FALSE),"")</f>
        <v/>
      </c>
      <c r="G224" s="3" t="str">
        <f>IFERROR(VLOOKUP(E224,Employees!A:L,3,FALSE),"")</f>
        <v/>
      </c>
      <c r="H224" s="3"/>
      <c r="I224" s="3"/>
      <c r="J224" s="3"/>
      <c r="K224" s="3" t="str">
        <f>IF(B224="","",IF(OR(E224="",H224=""),"ناقص",IF(H224="نعم","مكتمل","غائب")))</f>
        <v/>
      </c>
      <c r="L224" s="3"/>
    </row>
    <row r="225" spans="1:12" x14ac:dyDescent="0.2">
      <c r="A225" s="3">
        <v>222</v>
      </c>
      <c r="B225" s="3"/>
      <c r="C225" s="3" t="str">
        <f>IFERROR(VLOOKUP(B225,Sessions!A:J,2,FALSE),"")</f>
        <v/>
      </c>
      <c r="D225" s="3" t="str">
        <f>IFERROR(VLOOKUP(B225,Sessions!A:J,3,FALSE),"")</f>
        <v/>
      </c>
      <c r="E225" s="3"/>
      <c r="F225" s="3" t="str">
        <f>IFERROR(VLOOKUP(E225,Employees!A:L,2,FALSE),"")</f>
        <v/>
      </c>
      <c r="G225" s="3" t="str">
        <f>IFERROR(VLOOKUP(E225,Employees!A:L,3,FALSE),"")</f>
        <v/>
      </c>
      <c r="H225" s="3"/>
      <c r="I225" s="3"/>
      <c r="J225" s="3"/>
      <c r="K225" s="3" t="str">
        <f>IF(B225="","",IF(OR(E225="",H225=""),"ناقص",IF(H225="نعم","مكتمل","غائب")))</f>
        <v/>
      </c>
      <c r="L225" s="3"/>
    </row>
    <row r="226" spans="1:12" x14ac:dyDescent="0.2">
      <c r="A226" s="3">
        <v>223</v>
      </c>
      <c r="B226" s="3"/>
      <c r="C226" s="3" t="str">
        <f>IFERROR(VLOOKUP(B226,Sessions!A:J,2,FALSE),"")</f>
        <v/>
      </c>
      <c r="D226" s="3" t="str">
        <f>IFERROR(VLOOKUP(B226,Sessions!A:J,3,FALSE),"")</f>
        <v/>
      </c>
      <c r="E226" s="3"/>
      <c r="F226" s="3" t="str">
        <f>IFERROR(VLOOKUP(E226,Employees!A:L,2,FALSE),"")</f>
        <v/>
      </c>
      <c r="G226" s="3" t="str">
        <f>IFERROR(VLOOKUP(E226,Employees!A:L,3,FALSE),"")</f>
        <v/>
      </c>
      <c r="H226" s="3"/>
      <c r="I226" s="3"/>
      <c r="J226" s="3"/>
      <c r="K226" s="3" t="str">
        <f>IF(B226="","",IF(OR(E226="",H226=""),"ناقص",IF(H226="نعم","مكتمل","غائب")))</f>
        <v/>
      </c>
      <c r="L226" s="3"/>
    </row>
    <row r="227" spans="1:12" x14ac:dyDescent="0.2">
      <c r="A227" s="3">
        <v>224</v>
      </c>
      <c r="B227" s="3"/>
      <c r="C227" s="3" t="str">
        <f>IFERROR(VLOOKUP(B227,Sessions!A:J,2,FALSE),"")</f>
        <v/>
      </c>
      <c r="D227" s="3" t="str">
        <f>IFERROR(VLOOKUP(B227,Sessions!A:J,3,FALSE),"")</f>
        <v/>
      </c>
      <c r="E227" s="3"/>
      <c r="F227" s="3" t="str">
        <f>IFERROR(VLOOKUP(E227,Employees!A:L,2,FALSE),"")</f>
        <v/>
      </c>
      <c r="G227" s="3" t="str">
        <f>IFERROR(VLOOKUP(E227,Employees!A:L,3,FALSE),"")</f>
        <v/>
      </c>
      <c r="H227" s="3"/>
      <c r="I227" s="3"/>
      <c r="J227" s="3"/>
      <c r="K227" s="3" t="str">
        <f>IF(B227="","",IF(OR(E227="",H227=""),"ناقص",IF(H227="نعم","مكتمل","غائب")))</f>
        <v/>
      </c>
      <c r="L227" s="3"/>
    </row>
    <row r="228" spans="1:12" x14ac:dyDescent="0.2">
      <c r="A228" s="3">
        <v>225</v>
      </c>
      <c r="B228" s="3"/>
      <c r="C228" s="3" t="str">
        <f>IFERROR(VLOOKUP(B228,Sessions!A:J,2,FALSE),"")</f>
        <v/>
      </c>
      <c r="D228" s="3" t="str">
        <f>IFERROR(VLOOKUP(B228,Sessions!A:J,3,FALSE),"")</f>
        <v/>
      </c>
      <c r="E228" s="3"/>
      <c r="F228" s="3" t="str">
        <f>IFERROR(VLOOKUP(E228,Employees!A:L,2,FALSE),"")</f>
        <v/>
      </c>
      <c r="G228" s="3" t="str">
        <f>IFERROR(VLOOKUP(E228,Employees!A:L,3,FALSE),"")</f>
        <v/>
      </c>
      <c r="H228" s="3"/>
      <c r="I228" s="3"/>
      <c r="J228" s="3"/>
      <c r="K228" s="3" t="str">
        <f>IF(B228="","",IF(OR(E228="",H228=""),"ناقص",IF(H228="نعم","مكتمل","غائب")))</f>
        <v/>
      </c>
      <c r="L228" s="3"/>
    </row>
    <row r="229" spans="1:12" x14ac:dyDescent="0.2">
      <c r="A229" s="3">
        <v>226</v>
      </c>
      <c r="B229" s="3"/>
      <c r="C229" s="3" t="str">
        <f>IFERROR(VLOOKUP(B229,Sessions!A:J,2,FALSE),"")</f>
        <v/>
      </c>
      <c r="D229" s="3" t="str">
        <f>IFERROR(VLOOKUP(B229,Sessions!A:J,3,FALSE),"")</f>
        <v/>
      </c>
      <c r="E229" s="3"/>
      <c r="F229" s="3" t="str">
        <f>IFERROR(VLOOKUP(E229,Employees!A:L,2,FALSE),"")</f>
        <v/>
      </c>
      <c r="G229" s="3" t="str">
        <f>IFERROR(VLOOKUP(E229,Employees!A:L,3,FALSE),"")</f>
        <v/>
      </c>
      <c r="H229" s="3"/>
      <c r="I229" s="3"/>
      <c r="J229" s="3"/>
      <c r="K229" s="3" t="str">
        <f>IF(B229="","",IF(OR(E229="",H229=""),"ناقص",IF(H229="نعم","مكتمل","غائب")))</f>
        <v/>
      </c>
      <c r="L229" s="3"/>
    </row>
    <row r="230" spans="1:12" x14ac:dyDescent="0.2">
      <c r="A230" s="3">
        <v>227</v>
      </c>
      <c r="B230" s="3"/>
      <c r="C230" s="3" t="str">
        <f>IFERROR(VLOOKUP(B230,Sessions!A:J,2,FALSE),"")</f>
        <v/>
      </c>
      <c r="D230" s="3" t="str">
        <f>IFERROR(VLOOKUP(B230,Sessions!A:J,3,FALSE),"")</f>
        <v/>
      </c>
      <c r="E230" s="3"/>
      <c r="F230" s="3" t="str">
        <f>IFERROR(VLOOKUP(E230,Employees!A:L,2,FALSE),"")</f>
        <v/>
      </c>
      <c r="G230" s="3" t="str">
        <f>IFERROR(VLOOKUP(E230,Employees!A:L,3,FALSE),"")</f>
        <v/>
      </c>
      <c r="H230" s="3"/>
      <c r="I230" s="3"/>
      <c r="J230" s="3"/>
      <c r="K230" s="3" t="str">
        <f>IF(B230="","",IF(OR(E230="",H230=""),"ناقص",IF(H230="نعم","مكتمل","غائب")))</f>
        <v/>
      </c>
      <c r="L230" s="3"/>
    </row>
    <row r="231" spans="1:12" x14ac:dyDescent="0.2">
      <c r="A231" s="3">
        <v>228</v>
      </c>
      <c r="B231" s="3"/>
      <c r="C231" s="3" t="str">
        <f>IFERROR(VLOOKUP(B231,Sessions!A:J,2,FALSE),"")</f>
        <v/>
      </c>
      <c r="D231" s="3" t="str">
        <f>IFERROR(VLOOKUP(B231,Sessions!A:J,3,FALSE),"")</f>
        <v/>
      </c>
      <c r="E231" s="3"/>
      <c r="F231" s="3" t="str">
        <f>IFERROR(VLOOKUP(E231,Employees!A:L,2,FALSE),"")</f>
        <v/>
      </c>
      <c r="G231" s="3" t="str">
        <f>IFERROR(VLOOKUP(E231,Employees!A:L,3,FALSE),"")</f>
        <v/>
      </c>
      <c r="H231" s="3"/>
      <c r="I231" s="3"/>
      <c r="J231" s="3"/>
      <c r="K231" s="3" t="str">
        <f>IF(B231="","",IF(OR(E231="",H231=""),"ناقص",IF(H231="نعم","مكتمل","غائب")))</f>
        <v/>
      </c>
      <c r="L231" s="3"/>
    </row>
    <row r="232" spans="1:12" x14ac:dyDescent="0.2">
      <c r="A232" s="3">
        <v>229</v>
      </c>
      <c r="B232" s="3"/>
      <c r="C232" s="3" t="str">
        <f>IFERROR(VLOOKUP(B232,Sessions!A:J,2,FALSE),"")</f>
        <v/>
      </c>
      <c r="D232" s="3" t="str">
        <f>IFERROR(VLOOKUP(B232,Sessions!A:J,3,FALSE),"")</f>
        <v/>
      </c>
      <c r="E232" s="3"/>
      <c r="F232" s="3" t="str">
        <f>IFERROR(VLOOKUP(E232,Employees!A:L,2,FALSE),"")</f>
        <v/>
      </c>
      <c r="G232" s="3" t="str">
        <f>IFERROR(VLOOKUP(E232,Employees!A:L,3,FALSE),"")</f>
        <v/>
      </c>
      <c r="H232" s="3"/>
      <c r="I232" s="3"/>
      <c r="J232" s="3"/>
      <c r="K232" s="3" t="str">
        <f>IF(B232="","",IF(OR(E232="",H232=""),"ناقص",IF(H232="نعم","مكتمل","غائب")))</f>
        <v/>
      </c>
      <c r="L232" s="3"/>
    </row>
    <row r="233" spans="1:12" x14ac:dyDescent="0.2">
      <c r="A233" s="3">
        <v>230</v>
      </c>
      <c r="B233" s="3"/>
      <c r="C233" s="3" t="str">
        <f>IFERROR(VLOOKUP(B233,Sessions!A:J,2,FALSE),"")</f>
        <v/>
      </c>
      <c r="D233" s="3" t="str">
        <f>IFERROR(VLOOKUP(B233,Sessions!A:J,3,FALSE),"")</f>
        <v/>
      </c>
      <c r="E233" s="3"/>
      <c r="F233" s="3" t="str">
        <f>IFERROR(VLOOKUP(E233,Employees!A:L,2,FALSE),"")</f>
        <v/>
      </c>
      <c r="G233" s="3" t="str">
        <f>IFERROR(VLOOKUP(E233,Employees!A:L,3,FALSE),"")</f>
        <v/>
      </c>
      <c r="H233" s="3"/>
      <c r="I233" s="3"/>
      <c r="J233" s="3"/>
      <c r="K233" s="3" t="str">
        <f>IF(B233="","",IF(OR(E233="",H233=""),"ناقص",IF(H233="نعم","مكتمل","غائب")))</f>
        <v/>
      </c>
      <c r="L233" s="3"/>
    </row>
    <row r="234" spans="1:12" x14ac:dyDescent="0.2">
      <c r="A234" s="3">
        <v>231</v>
      </c>
      <c r="B234" s="3"/>
      <c r="C234" s="3" t="str">
        <f>IFERROR(VLOOKUP(B234,Sessions!A:J,2,FALSE),"")</f>
        <v/>
      </c>
      <c r="D234" s="3" t="str">
        <f>IFERROR(VLOOKUP(B234,Sessions!A:J,3,FALSE),"")</f>
        <v/>
      </c>
      <c r="E234" s="3"/>
      <c r="F234" s="3" t="str">
        <f>IFERROR(VLOOKUP(E234,Employees!A:L,2,FALSE),"")</f>
        <v/>
      </c>
      <c r="G234" s="3" t="str">
        <f>IFERROR(VLOOKUP(E234,Employees!A:L,3,FALSE),"")</f>
        <v/>
      </c>
      <c r="H234" s="3"/>
      <c r="I234" s="3"/>
      <c r="J234" s="3"/>
      <c r="K234" s="3" t="str">
        <f>IF(B234="","",IF(OR(E234="",H234=""),"ناقص",IF(H234="نعم","مكتمل","غائب")))</f>
        <v/>
      </c>
      <c r="L234" s="3"/>
    </row>
    <row r="235" spans="1:12" x14ac:dyDescent="0.2">
      <c r="A235" s="3">
        <v>232</v>
      </c>
      <c r="B235" s="3"/>
      <c r="C235" s="3" t="str">
        <f>IFERROR(VLOOKUP(B235,Sessions!A:J,2,FALSE),"")</f>
        <v/>
      </c>
      <c r="D235" s="3" t="str">
        <f>IFERROR(VLOOKUP(B235,Sessions!A:J,3,FALSE),"")</f>
        <v/>
      </c>
      <c r="E235" s="3"/>
      <c r="F235" s="3" t="str">
        <f>IFERROR(VLOOKUP(E235,Employees!A:L,2,FALSE),"")</f>
        <v/>
      </c>
      <c r="G235" s="3" t="str">
        <f>IFERROR(VLOOKUP(E235,Employees!A:L,3,FALSE),"")</f>
        <v/>
      </c>
      <c r="H235" s="3"/>
      <c r="I235" s="3"/>
      <c r="J235" s="3"/>
      <c r="K235" s="3" t="str">
        <f>IF(B235="","",IF(OR(E235="",H235=""),"ناقص",IF(H235="نعم","مكتمل","غائب")))</f>
        <v/>
      </c>
      <c r="L235" s="3"/>
    </row>
    <row r="236" spans="1:12" x14ac:dyDescent="0.2">
      <c r="A236" s="3">
        <v>233</v>
      </c>
      <c r="B236" s="3"/>
      <c r="C236" s="3" t="str">
        <f>IFERROR(VLOOKUP(B236,Sessions!A:J,2,FALSE),"")</f>
        <v/>
      </c>
      <c r="D236" s="3" t="str">
        <f>IFERROR(VLOOKUP(B236,Sessions!A:J,3,FALSE),"")</f>
        <v/>
      </c>
      <c r="E236" s="3"/>
      <c r="F236" s="3" t="str">
        <f>IFERROR(VLOOKUP(E236,Employees!A:L,2,FALSE),"")</f>
        <v/>
      </c>
      <c r="G236" s="3" t="str">
        <f>IFERROR(VLOOKUP(E236,Employees!A:L,3,FALSE),"")</f>
        <v/>
      </c>
      <c r="H236" s="3"/>
      <c r="I236" s="3"/>
      <c r="J236" s="3"/>
      <c r="K236" s="3" t="str">
        <f>IF(B236="","",IF(OR(E236="",H236=""),"ناقص",IF(H236="نعم","مكتمل","غائب")))</f>
        <v/>
      </c>
      <c r="L236" s="3"/>
    </row>
    <row r="237" spans="1:12" x14ac:dyDescent="0.2">
      <c r="A237" s="3">
        <v>234</v>
      </c>
      <c r="B237" s="3"/>
      <c r="C237" s="3" t="str">
        <f>IFERROR(VLOOKUP(B237,Sessions!A:J,2,FALSE),"")</f>
        <v/>
      </c>
      <c r="D237" s="3" t="str">
        <f>IFERROR(VLOOKUP(B237,Sessions!A:J,3,FALSE),"")</f>
        <v/>
      </c>
      <c r="E237" s="3"/>
      <c r="F237" s="3" t="str">
        <f>IFERROR(VLOOKUP(E237,Employees!A:L,2,FALSE),"")</f>
        <v/>
      </c>
      <c r="G237" s="3" t="str">
        <f>IFERROR(VLOOKUP(E237,Employees!A:L,3,FALSE),"")</f>
        <v/>
      </c>
      <c r="H237" s="3"/>
      <c r="I237" s="3"/>
      <c r="J237" s="3"/>
      <c r="K237" s="3" t="str">
        <f>IF(B237="","",IF(OR(E237="",H237=""),"ناقص",IF(H237="نعم","مكتمل","غائب")))</f>
        <v/>
      </c>
      <c r="L237" s="3"/>
    </row>
    <row r="238" spans="1:12" x14ac:dyDescent="0.2">
      <c r="A238" s="3">
        <v>235</v>
      </c>
      <c r="B238" s="3"/>
      <c r="C238" s="3" t="str">
        <f>IFERROR(VLOOKUP(B238,Sessions!A:J,2,FALSE),"")</f>
        <v/>
      </c>
      <c r="D238" s="3" t="str">
        <f>IFERROR(VLOOKUP(B238,Sessions!A:J,3,FALSE),"")</f>
        <v/>
      </c>
      <c r="E238" s="3"/>
      <c r="F238" s="3" t="str">
        <f>IFERROR(VLOOKUP(E238,Employees!A:L,2,FALSE),"")</f>
        <v/>
      </c>
      <c r="G238" s="3" t="str">
        <f>IFERROR(VLOOKUP(E238,Employees!A:L,3,FALSE),"")</f>
        <v/>
      </c>
      <c r="H238" s="3"/>
      <c r="I238" s="3"/>
      <c r="J238" s="3"/>
      <c r="K238" s="3" t="str">
        <f>IF(B238="","",IF(OR(E238="",H238=""),"ناقص",IF(H238="نعم","مكتمل","غائب")))</f>
        <v/>
      </c>
      <c r="L238" s="3"/>
    </row>
    <row r="239" spans="1:12" x14ac:dyDescent="0.2">
      <c r="A239" s="3">
        <v>236</v>
      </c>
      <c r="B239" s="3"/>
      <c r="C239" s="3" t="str">
        <f>IFERROR(VLOOKUP(B239,Sessions!A:J,2,FALSE),"")</f>
        <v/>
      </c>
      <c r="D239" s="3" t="str">
        <f>IFERROR(VLOOKUP(B239,Sessions!A:J,3,FALSE),"")</f>
        <v/>
      </c>
      <c r="E239" s="3"/>
      <c r="F239" s="3" t="str">
        <f>IFERROR(VLOOKUP(E239,Employees!A:L,2,FALSE),"")</f>
        <v/>
      </c>
      <c r="G239" s="3" t="str">
        <f>IFERROR(VLOOKUP(E239,Employees!A:L,3,FALSE),"")</f>
        <v/>
      </c>
      <c r="H239" s="3"/>
      <c r="I239" s="3"/>
      <c r="J239" s="3"/>
      <c r="K239" s="3" t="str">
        <f>IF(B239="","",IF(OR(E239="",H239=""),"ناقص",IF(H239="نعم","مكتمل","غائب")))</f>
        <v/>
      </c>
      <c r="L239" s="3"/>
    </row>
    <row r="240" spans="1:12" x14ac:dyDescent="0.2">
      <c r="A240" s="3">
        <v>237</v>
      </c>
      <c r="B240" s="3"/>
      <c r="C240" s="3" t="str">
        <f>IFERROR(VLOOKUP(B240,Sessions!A:J,2,FALSE),"")</f>
        <v/>
      </c>
      <c r="D240" s="3" t="str">
        <f>IFERROR(VLOOKUP(B240,Sessions!A:J,3,FALSE),"")</f>
        <v/>
      </c>
      <c r="E240" s="3"/>
      <c r="F240" s="3" t="str">
        <f>IFERROR(VLOOKUP(E240,Employees!A:L,2,FALSE),"")</f>
        <v/>
      </c>
      <c r="G240" s="3" t="str">
        <f>IFERROR(VLOOKUP(E240,Employees!A:L,3,FALSE),"")</f>
        <v/>
      </c>
      <c r="H240" s="3"/>
      <c r="I240" s="3"/>
      <c r="J240" s="3"/>
      <c r="K240" s="3" t="str">
        <f>IF(B240="","",IF(OR(E240="",H240=""),"ناقص",IF(H240="نعم","مكتمل","غائب")))</f>
        <v/>
      </c>
      <c r="L240" s="3"/>
    </row>
    <row r="241" spans="1:12" x14ac:dyDescent="0.2">
      <c r="A241" s="3">
        <v>238</v>
      </c>
      <c r="B241" s="3"/>
      <c r="C241" s="3" t="str">
        <f>IFERROR(VLOOKUP(B241,Sessions!A:J,2,FALSE),"")</f>
        <v/>
      </c>
      <c r="D241" s="3" t="str">
        <f>IFERROR(VLOOKUP(B241,Sessions!A:J,3,FALSE),"")</f>
        <v/>
      </c>
      <c r="E241" s="3"/>
      <c r="F241" s="3" t="str">
        <f>IFERROR(VLOOKUP(E241,Employees!A:L,2,FALSE),"")</f>
        <v/>
      </c>
      <c r="G241" s="3" t="str">
        <f>IFERROR(VLOOKUP(E241,Employees!A:L,3,FALSE),"")</f>
        <v/>
      </c>
      <c r="H241" s="3"/>
      <c r="I241" s="3"/>
      <c r="J241" s="3"/>
      <c r="K241" s="3" t="str">
        <f>IF(B241="","",IF(OR(E241="",H241=""),"ناقص",IF(H241="نعم","مكتمل","غائب")))</f>
        <v/>
      </c>
      <c r="L241" s="3"/>
    </row>
    <row r="242" spans="1:12" x14ac:dyDescent="0.2">
      <c r="A242" s="3">
        <v>239</v>
      </c>
      <c r="B242" s="3"/>
      <c r="C242" s="3" t="str">
        <f>IFERROR(VLOOKUP(B242,Sessions!A:J,2,FALSE),"")</f>
        <v/>
      </c>
      <c r="D242" s="3" t="str">
        <f>IFERROR(VLOOKUP(B242,Sessions!A:J,3,FALSE),"")</f>
        <v/>
      </c>
      <c r="E242" s="3"/>
      <c r="F242" s="3" t="str">
        <f>IFERROR(VLOOKUP(E242,Employees!A:L,2,FALSE),"")</f>
        <v/>
      </c>
      <c r="G242" s="3" t="str">
        <f>IFERROR(VLOOKUP(E242,Employees!A:L,3,FALSE),"")</f>
        <v/>
      </c>
      <c r="H242" s="3"/>
      <c r="I242" s="3"/>
      <c r="J242" s="3"/>
      <c r="K242" s="3" t="str">
        <f>IF(B242="","",IF(OR(E242="",H242=""),"ناقص",IF(H242="نعم","مكتمل","غائب")))</f>
        <v/>
      </c>
      <c r="L242" s="3"/>
    </row>
    <row r="243" spans="1:12" x14ac:dyDescent="0.2">
      <c r="A243" s="3">
        <v>240</v>
      </c>
      <c r="B243" s="3"/>
      <c r="C243" s="3" t="str">
        <f>IFERROR(VLOOKUP(B243,Sessions!A:J,2,FALSE),"")</f>
        <v/>
      </c>
      <c r="D243" s="3" t="str">
        <f>IFERROR(VLOOKUP(B243,Sessions!A:J,3,FALSE),"")</f>
        <v/>
      </c>
      <c r="E243" s="3"/>
      <c r="F243" s="3" t="str">
        <f>IFERROR(VLOOKUP(E243,Employees!A:L,2,FALSE),"")</f>
        <v/>
      </c>
      <c r="G243" s="3" t="str">
        <f>IFERROR(VLOOKUP(E243,Employees!A:L,3,FALSE),"")</f>
        <v/>
      </c>
      <c r="H243" s="3"/>
      <c r="I243" s="3"/>
      <c r="J243" s="3"/>
      <c r="K243" s="3" t="str">
        <f>IF(B243="","",IF(OR(E243="",H243=""),"ناقص",IF(H243="نعم","مكتمل","غائب")))</f>
        <v/>
      </c>
      <c r="L243" s="3"/>
    </row>
    <row r="244" spans="1:12" x14ac:dyDescent="0.2">
      <c r="A244" s="3">
        <v>241</v>
      </c>
      <c r="B244" s="3"/>
      <c r="C244" s="3" t="str">
        <f>IFERROR(VLOOKUP(B244,Sessions!A:J,2,FALSE),"")</f>
        <v/>
      </c>
      <c r="D244" s="3" t="str">
        <f>IFERROR(VLOOKUP(B244,Sessions!A:J,3,FALSE),"")</f>
        <v/>
      </c>
      <c r="E244" s="3"/>
      <c r="F244" s="3" t="str">
        <f>IFERROR(VLOOKUP(E244,Employees!A:L,2,FALSE),"")</f>
        <v/>
      </c>
      <c r="G244" s="3" t="str">
        <f>IFERROR(VLOOKUP(E244,Employees!A:L,3,FALSE),"")</f>
        <v/>
      </c>
      <c r="H244" s="3"/>
      <c r="I244" s="3"/>
      <c r="J244" s="3"/>
      <c r="K244" s="3" t="str">
        <f>IF(B244="","",IF(OR(E244="",H244=""),"ناقص",IF(H244="نعم","مكتمل","غائب")))</f>
        <v/>
      </c>
      <c r="L244" s="3"/>
    </row>
    <row r="245" spans="1:12" x14ac:dyDescent="0.2">
      <c r="A245" s="3">
        <v>242</v>
      </c>
      <c r="B245" s="3"/>
      <c r="C245" s="3" t="str">
        <f>IFERROR(VLOOKUP(B245,Sessions!A:J,2,FALSE),"")</f>
        <v/>
      </c>
      <c r="D245" s="3" t="str">
        <f>IFERROR(VLOOKUP(B245,Sessions!A:J,3,FALSE),"")</f>
        <v/>
      </c>
      <c r="E245" s="3"/>
      <c r="F245" s="3" t="str">
        <f>IFERROR(VLOOKUP(E245,Employees!A:L,2,FALSE),"")</f>
        <v/>
      </c>
      <c r="G245" s="3" t="str">
        <f>IFERROR(VLOOKUP(E245,Employees!A:L,3,FALSE),"")</f>
        <v/>
      </c>
      <c r="H245" s="3"/>
      <c r="I245" s="3"/>
      <c r="J245" s="3"/>
      <c r="K245" s="3" t="str">
        <f>IF(B245="","",IF(OR(E245="",H245=""),"ناقص",IF(H245="نعم","مكتمل","غائب")))</f>
        <v/>
      </c>
      <c r="L245" s="3"/>
    </row>
    <row r="246" spans="1:12" x14ac:dyDescent="0.2">
      <c r="A246" s="3">
        <v>243</v>
      </c>
      <c r="B246" s="3"/>
      <c r="C246" s="3" t="str">
        <f>IFERROR(VLOOKUP(B246,Sessions!A:J,2,FALSE),"")</f>
        <v/>
      </c>
      <c r="D246" s="3" t="str">
        <f>IFERROR(VLOOKUP(B246,Sessions!A:J,3,FALSE),"")</f>
        <v/>
      </c>
      <c r="E246" s="3"/>
      <c r="F246" s="3" t="str">
        <f>IFERROR(VLOOKUP(E246,Employees!A:L,2,FALSE),"")</f>
        <v/>
      </c>
      <c r="G246" s="3" t="str">
        <f>IFERROR(VLOOKUP(E246,Employees!A:L,3,FALSE),"")</f>
        <v/>
      </c>
      <c r="H246" s="3"/>
      <c r="I246" s="3"/>
      <c r="J246" s="3"/>
      <c r="K246" s="3" t="str">
        <f>IF(B246="","",IF(OR(E246="",H246=""),"ناقص",IF(H246="نعم","مكتمل","غائب")))</f>
        <v/>
      </c>
      <c r="L246" s="3"/>
    </row>
    <row r="247" spans="1:12" x14ac:dyDescent="0.2">
      <c r="A247" s="3">
        <v>244</v>
      </c>
      <c r="B247" s="3"/>
      <c r="C247" s="3" t="str">
        <f>IFERROR(VLOOKUP(B247,Sessions!A:J,2,FALSE),"")</f>
        <v/>
      </c>
      <c r="D247" s="3" t="str">
        <f>IFERROR(VLOOKUP(B247,Sessions!A:J,3,FALSE),"")</f>
        <v/>
      </c>
      <c r="E247" s="3"/>
      <c r="F247" s="3" t="str">
        <f>IFERROR(VLOOKUP(E247,Employees!A:L,2,FALSE),"")</f>
        <v/>
      </c>
      <c r="G247" s="3" t="str">
        <f>IFERROR(VLOOKUP(E247,Employees!A:L,3,FALSE),"")</f>
        <v/>
      </c>
      <c r="H247" s="3"/>
      <c r="I247" s="3"/>
      <c r="J247" s="3"/>
      <c r="K247" s="3" t="str">
        <f>IF(B247="","",IF(OR(E247="",H247=""),"ناقص",IF(H247="نعم","مكتمل","غائب")))</f>
        <v/>
      </c>
      <c r="L247" s="3"/>
    </row>
    <row r="248" spans="1:12" x14ac:dyDescent="0.2">
      <c r="A248" s="3">
        <v>245</v>
      </c>
      <c r="B248" s="3"/>
      <c r="C248" s="3" t="str">
        <f>IFERROR(VLOOKUP(B248,Sessions!A:J,2,FALSE),"")</f>
        <v/>
      </c>
      <c r="D248" s="3" t="str">
        <f>IFERROR(VLOOKUP(B248,Sessions!A:J,3,FALSE),"")</f>
        <v/>
      </c>
      <c r="E248" s="3"/>
      <c r="F248" s="3" t="str">
        <f>IFERROR(VLOOKUP(E248,Employees!A:L,2,FALSE),"")</f>
        <v/>
      </c>
      <c r="G248" s="3" t="str">
        <f>IFERROR(VLOOKUP(E248,Employees!A:L,3,FALSE),"")</f>
        <v/>
      </c>
      <c r="H248" s="3"/>
      <c r="I248" s="3"/>
      <c r="J248" s="3"/>
      <c r="K248" s="3" t="str">
        <f>IF(B248="","",IF(OR(E248="",H248=""),"ناقص",IF(H248="نعم","مكتمل","غائب")))</f>
        <v/>
      </c>
      <c r="L248" s="3"/>
    </row>
    <row r="249" spans="1:12" x14ac:dyDescent="0.2">
      <c r="A249" s="3">
        <v>246</v>
      </c>
      <c r="B249" s="3"/>
      <c r="C249" s="3" t="str">
        <f>IFERROR(VLOOKUP(B249,Sessions!A:J,2,FALSE),"")</f>
        <v/>
      </c>
      <c r="D249" s="3" t="str">
        <f>IFERROR(VLOOKUP(B249,Sessions!A:J,3,FALSE),"")</f>
        <v/>
      </c>
      <c r="E249" s="3"/>
      <c r="F249" s="3" t="str">
        <f>IFERROR(VLOOKUP(E249,Employees!A:L,2,FALSE),"")</f>
        <v/>
      </c>
      <c r="G249" s="3" t="str">
        <f>IFERROR(VLOOKUP(E249,Employees!A:L,3,FALSE),"")</f>
        <v/>
      </c>
      <c r="H249" s="3"/>
      <c r="I249" s="3"/>
      <c r="J249" s="3"/>
      <c r="K249" s="3" t="str">
        <f>IF(B249="","",IF(OR(E249="",H249=""),"ناقص",IF(H249="نعم","مكتمل","غائب")))</f>
        <v/>
      </c>
      <c r="L249" s="3"/>
    </row>
    <row r="250" spans="1:12" x14ac:dyDescent="0.2">
      <c r="A250" s="3">
        <v>247</v>
      </c>
      <c r="B250" s="3"/>
      <c r="C250" s="3" t="str">
        <f>IFERROR(VLOOKUP(B250,Sessions!A:J,2,FALSE),"")</f>
        <v/>
      </c>
      <c r="D250" s="3" t="str">
        <f>IFERROR(VLOOKUP(B250,Sessions!A:J,3,FALSE),"")</f>
        <v/>
      </c>
      <c r="E250" s="3"/>
      <c r="F250" s="3" t="str">
        <f>IFERROR(VLOOKUP(E250,Employees!A:L,2,FALSE),"")</f>
        <v/>
      </c>
      <c r="G250" s="3" t="str">
        <f>IFERROR(VLOOKUP(E250,Employees!A:L,3,FALSE),"")</f>
        <v/>
      </c>
      <c r="H250" s="3"/>
      <c r="I250" s="3"/>
      <c r="J250" s="3"/>
      <c r="K250" s="3" t="str">
        <f>IF(B250="","",IF(OR(E250="",H250=""),"ناقص",IF(H250="نعم","مكتمل","غائب")))</f>
        <v/>
      </c>
      <c r="L250" s="3"/>
    </row>
    <row r="251" spans="1:12" x14ac:dyDescent="0.2">
      <c r="A251" s="3">
        <v>248</v>
      </c>
      <c r="B251" s="3"/>
      <c r="C251" s="3" t="str">
        <f>IFERROR(VLOOKUP(B251,Sessions!A:J,2,FALSE),"")</f>
        <v/>
      </c>
      <c r="D251" s="3" t="str">
        <f>IFERROR(VLOOKUP(B251,Sessions!A:J,3,FALSE),"")</f>
        <v/>
      </c>
      <c r="E251" s="3"/>
      <c r="F251" s="3" t="str">
        <f>IFERROR(VLOOKUP(E251,Employees!A:L,2,FALSE),"")</f>
        <v/>
      </c>
      <c r="G251" s="3" t="str">
        <f>IFERROR(VLOOKUP(E251,Employees!A:L,3,FALSE),"")</f>
        <v/>
      </c>
      <c r="H251" s="3"/>
      <c r="I251" s="3"/>
      <c r="J251" s="3"/>
      <c r="K251" s="3" t="str">
        <f>IF(B251="","",IF(OR(E251="",H251=""),"ناقص",IF(H251="نعم","مكتمل","غائب")))</f>
        <v/>
      </c>
      <c r="L251" s="3"/>
    </row>
    <row r="252" spans="1:12" x14ac:dyDescent="0.2">
      <c r="A252" s="3">
        <v>249</v>
      </c>
      <c r="B252" s="3"/>
      <c r="C252" s="3" t="str">
        <f>IFERROR(VLOOKUP(B252,Sessions!A:J,2,FALSE),"")</f>
        <v/>
      </c>
      <c r="D252" s="3" t="str">
        <f>IFERROR(VLOOKUP(B252,Sessions!A:J,3,FALSE),"")</f>
        <v/>
      </c>
      <c r="E252" s="3"/>
      <c r="F252" s="3" t="str">
        <f>IFERROR(VLOOKUP(E252,Employees!A:L,2,FALSE),"")</f>
        <v/>
      </c>
      <c r="G252" s="3" t="str">
        <f>IFERROR(VLOOKUP(E252,Employees!A:L,3,FALSE),"")</f>
        <v/>
      </c>
      <c r="H252" s="3"/>
      <c r="I252" s="3"/>
      <c r="J252" s="3"/>
      <c r="K252" s="3" t="str">
        <f>IF(B252="","",IF(OR(E252="",H252=""),"ناقص",IF(H252="نعم","مكتمل","غائب")))</f>
        <v/>
      </c>
      <c r="L252" s="3"/>
    </row>
    <row r="253" spans="1:12" x14ac:dyDescent="0.2">
      <c r="A253" s="3">
        <v>250</v>
      </c>
      <c r="B253" s="3"/>
      <c r="C253" s="3" t="str">
        <f>IFERROR(VLOOKUP(B253,Sessions!A:J,2,FALSE),"")</f>
        <v/>
      </c>
      <c r="D253" s="3" t="str">
        <f>IFERROR(VLOOKUP(B253,Sessions!A:J,3,FALSE),"")</f>
        <v/>
      </c>
      <c r="E253" s="3"/>
      <c r="F253" s="3" t="str">
        <f>IFERROR(VLOOKUP(E253,Employees!A:L,2,FALSE),"")</f>
        <v/>
      </c>
      <c r="G253" s="3" t="str">
        <f>IFERROR(VLOOKUP(E253,Employees!A:L,3,FALSE),"")</f>
        <v/>
      </c>
      <c r="H253" s="3"/>
      <c r="I253" s="3"/>
      <c r="J253" s="3"/>
      <c r="K253" s="3" t="str">
        <f>IF(B253="","",IF(OR(E253="",H253=""),"ناقص",IF(H253="نعم","مكتمل","غائب")))</f>
        <v/>
      </c>
      <c r="L253" s="3"/>
    </row>
    <row r="254" spans="1:12" x14ac:dyDescent="0.2">
      <c r="A254" s="3">
        <v>251</v>
      </c>
      <c r="B254" s="3"/>
      <c r="C254" s="3" t="str">
        <f>IFERROR(VLOOKUP(B254,Sessions!A:J,2,FALSE),"")</f>
        <v/>
      </c>
      <c r="D254" s="3" t="str">
        <f>IFERROR(VLOOKUP(B254,Sessions!A:J,3,FALSE),"")</f>
        <v/>
      </c>
      <c r="E254" s="3"/>
      <c r="F254" s="3" t="str">
        <f>IFERROR(VLOOKUP(E254,Employees!A:L,2,FALSE),"")</f>
        <v/>
      </c>
      <c r="G254" s="3" t="str">
        <f>IFERROR(VLOOKUP(E254,Employees!A:L,3,FALSE),"")</f>
        <v/>
      </c>
      <c r="H254" s="3"/>
      <c r="I254" s="3"/>
      <c r="J254" s="3"/>
      <c r="K254" s="3" t="str">
        <f>IF(B254="","",IF(OR(E254="",H254=""),"ناقص",IF(H254="نعم","مكتمل","غائب")))</f>
        <v/>
      </c>
      <c r="L254" s="3"/>
    </row>
    <row r="255" spans="1:12" x14ac:dyDescent="0.2">
      <c r="A255" s="3">
        <v>252</v>
      </c>
      <c r="B255" s="3"/>
      <c r="C255" s="3" t="str">
        <f>IFERROR(VLOOKUP(B255,Sessions!A:J,2,FALSE),"")</f>
        <v/>
      </c>
      <c r="D255" s="3" t="str">
        <f>IFERROR(VLOOKUP(B255,Sessions!A:J,3,FALSE),"")</f>
        <v/>
      </c>
      <c r="E255" s="3"/>
      <c r="F255" s="3" t="str">
        <f>IFERROR(VLOOKUP(E255,Employees!A:L,2,FALSE),"")</f>
        <v/>
      </c>
      <c r="G255" s="3" t="str">
        <f>IFERROR(VLOOKUP(E255,Employees!A:L,3,FALSE),"")</f>
        <v/>
      </c>
      <c r="H255" s="3"/>
      <c r="I255" s="3"/>
      <c r="J255" s="3"/>
      <c r="K255" s="3" t="str">
        <f>IF(B255="","",IF(OR(E255="",H255=""),"ناقص",IF(H255="نعم","مكتمل","غائب")))</f>
        <v/>
      </c>
      <c r="L255" s="3"/>
    </row>
    <row r="256" spans="1:12" x14ac:dyDescent="0.2">
      <c r="A256" s="3">
        <v>253</v>
      </c>
      <c r="B256" s="3"/>
      <c r="C256" s="3" t="str">
        <f>IFERROR(VLOOKUP(B256,Sessions!A:J,2,FALSE),"")</f>
        <v/>
      </c>
      <c r="D256" s="3" t="str">
        <f>IFERROR(VLOOKUP(B256,Sessions!A:J,3,FALSE),"")</f>
        <v/>
      </c>
      <c r="E256" s="3"/>
      <c r="F256" s="3" t="str">
        <f>IFERROR(VLOOKUP(E256,Employees!A:L,2,FALSE),"")</f>
        <v/>
      </c>
      <c r="G256" s="3" t="str">
        <f>IFERROR(VLOOKUP(E256,Employees!A:L,3,FALSE),"")</f>
        <v/>
      </c>
      <c r="H256" s="3"/>
      <c r="I256" s="3"/>
      <c r="J256" s="3"/>
      <c r="K256" s="3" t="str">
        <f>IF(B256="","",IF(OR(E256="",H256=""),"ناقص",IF(H256="نعم","مكتمل","غائب")))</f>
        <v/>
      </c>
      <c r="L256" s="3"/>
    </row>
    <row r="257" spans="1:12" x14ac:dyDescent="0.2">
      <c r="A257" s="3">
        <v>254</v>
      </c>
      <c r="B257" s="3"/>
      <c r="C257" s="3" t="str">
        <f>IFERROR(VLOOKUP(B257,Sessions!A:J,2,FALSE),"")</f>
        <v/>
      </c>
      <c r="D257" s="3" t="str">
        <f>IFERROR(VLOOKUP(B257,Sessions!A:J,3,FALSE),"")</f>
        <v/>
      </c>
      <c r="E257" s="3"/>
      <c r="F257" s="3" t="str">
        <f>IFERROR(VLOOKUP(E257,Employees!A:L,2,FALSE),"")</f>
        <v/>
      </c>
      <c r="G257" s="3" t="str">
        <f>IFERROR(VLOOKUP(E257,Employees!A:L,3,FALSE),"")</f>
        <v/>
      </c>
      <c r="H257" s="3"/>
      <c r="I257" s="3"/>
      <c r="J257" s="3"/>
      <c r="K257" s="3" t="str">
        <f>IF(B257="","",IF(OR(E257="",H257=""),"ناقص",IF(H257="نعم","مكتمل","غائب")))</f>
        <v/>
      </c>
      <c r="L257" s="3"/>
    </row>
    <row r="258" spans="1:12" x14ac:dyDescent="0.2">
      <c r="A258" s="3">
        <v>255</v>
      </c>
      <c r="B258" s="3"/>
      <c r="C258" s="3" t="str">
        <f>IFERROR(VLOOKUP(B258,Sessions!A:J,2,FALSE),"")</f>
        <v/>
      </c>
      <c r="D258" s="3" t="str">
        <f>IFERROR(VLOOKUP(B258,Sessions!A:J,3,FALSE),"")</f>
        <v/>
      </c>
      <c r="E258" s="3"/>
      <c r="F258" s="3" t="str">
        <f>IFERROR(VLOOKUP(E258,Employees!A:L,2,FALSE),"")</f>
        <v/>
      </c>
      <c r="G258" s="3" t="str">
        <f>IFERROR(VLOOKUP(E258,Employees!A:L,3,FALSE),"")</f>
        <v/>
      </c>
      <c r="H258" s="3"/>
      <c r="I258" s="3"/>
      <c r="J258" s="3"/>
      <c r="K258" s="3" t="str">
        <f>IF(B258="","",IF(OR(E258="",H258=""),"ناقص",IF(H258="نعم","مكتمل","غائب")))</f>
        <v/>
      </c>
      <c r="L258" s="3"/>
    </row>
    <row r="259" spans="1:12" x14ac:dyDescent="0.2">
      <c r="A259" s="3">
        <v>256</v>
      </c>
      <c r="B259" s="3"/>
      <c r="C259" s="3" t="str">
        <f>IFERROR(VLOOKUP(B259,Sessions!A:J,2,FALSE),"")</f>
        <v/>
      </c>
      <c r="D259" s="3" t="str">
        <f>IFERROR(VLOOKUP(B259,Sessions!A:J,3,FALSE),"")</f>
        <v/>
      </c>
      <c r="E259" s="3"/>
      <c r="F259" s="3" t="str">
        <f>IFERROR(VLOOKUP(E259,Employees!A:L,2,FALSE),"")</f>
        <v/>
      </c>
      <c r="G259" s="3" t="str">
        <f>IFERROR(VLOOKUP(E259,Employees!A:L,3,FALSE),"")</f>
        <v/>
      </c>
      <c r="H259" s="3"/>
      <c r="I259" s="3"/>
      <c r="J259" s="3"/>
      <c r="K259" s="3" t="str">
        <f>IF(B259="","",IF(OR(E259="",H259=""),"ناقص",IF(H259="نعم","مكتمل","غائب")))</f>
        <v/>
      </c>
      <c r="L259" s="3"/>
    </row>
    <row r="260" spans="1:12" x14ac:dyDescent="0.2">
      <c r="A260" s="3">
        <v>257</v>
      </c>
      <c r="B260" s="3"/>
      <c r="C260" s="3" t="str">
        <f>IFERROR(VLOOKUP(B260,Sessions!A:J,2,FALSE),"")</f>
        <v/>
      </c>
      <c r="D260" s="3" t="str">
        <f>IFERROR(VLOOKUP(B260,Sessions!A:J,3,FALSE),"")</f>
        <v/>
      </c>
      <c r="E260" s="3"/>
      <c r="F260" s="3" t="str">
        <f>IFERROR(VLOOKUP(E260,Employees!A:L,2,FALSE),"")</f>
        <v/>
      </c>
      <c r="G260" s="3" t="str">
        <f>IFERROR(VLOOKUP(E260,Employees!A:L,3,FALSE),"")</f>
        <v/>
      </c>
      <c r="H260" s="3"/>
      <c r="I260" s="3"/>
      <c r="J260" s="3"/>
      <c r="K260" s="3" t="str">
        <f>IF(B260="","",IF(OR(E260="",H260=""),"ناقص",IF(H260="نعم","مكتمل","غائب")))</f>
        <v/>
      </c>
      <c r="L260" s="3"/>
    </row>
    <row r="261" spans="1:12" x14ac:dyDescent="0.2">
      <c r="A261" s="3">
        <v>258</v>
      </c>
      <c r="B261" s="3"/>
      <c r="C261" s="3" t="str">
        <f>IFERROR(VLOOKUP(B261,Sessions!A:J,2,FALSE),"")</f>
        <v/>
      </c>
      <c r="D261" s="3" t="str">
        <f>IFERROR(VLOOKUP(B261,Sessions!A:J,3,FALSE),"")</f>
        <v/>
      </c>
      <c r="E261" s="3"/>
      <c r="F261" s="3" t="str">
        <f>IFERROR(VLOOKUP(E261,Employees!A:L,2,FALSE),"")</f>
        <v/>
      </c>
      <c r="G261" s="3" t="str">
        <f>IFERROR(VLOOKUP(E261,Employees!A:L,3,FALSE),"")</f>
        <v/>
      </c>
      <c r="H261" s="3"/>
      <c r="I261" s="3"/>
      <c r="J261" s="3"/>
      <c r="K261" s="3" t="str">
        <f>IF(B261="","",IF(OR(E261="",H261=""),"ناقص",IF(H261="نعم","مكتمل","غائب")))</f>
        <v/>
      </c>
      <c r="L261" s="3"/>
    </row>
    <row r="262" spans="1:12" x14ac:dyDescent="0.2">
      <c r="A262" s="3">
        <v>259</v>
      </c>
      <c r="B262" s="3"/>
      <c r="C262" s="3" t="str">
        <f>IFERROR(VLOOKUP(B262,Sessions!A:J,2,FALSE),"")</f>
        <v/>
      </c>
      <c r="D262" s="3" t="str">
        <f>IFERROR(VLOOKUP(B262,Sessions!A:J,3,FALSE),"")</f>
        <v/>
      </c>
      <c r="E262" s="3"/>
      <c r="F262" s="3" t="str">
        <f>IFERROR(VLOOKUP(E262,Employees!A:L,2,FALSE),"")</f>
        <v/>
      </c>
      <c r="G262" s="3" t="str">
        <f>IFERROR(VLOOKUP(E262,Employees!A:L,3,FALSE),"")</f>
        <v/>
      </c>
      <c r="H262" s="3"/>
      <c r="I262" s="3"/>
      <c r="J262" s="3"/>
      <c r="K262" s="3" t="str">
        <f>IF(B262="","",IF(OR(E262="",H262=""),"ناقص",IF(H262="نعم","مكتمل","غائب")))</f>
        <v/>
      </c>
      <c r="L262" s="3"/>
    </row>
    <row r="263" spans="1:12" x14ac:dyDescent="0.2">
      <c r="A263" s="3">
        <v>260</v>
      </c>
      <c r="B263" s="3"/>
      <c r="C263" s="3" t="str">
        <f>IFERROR(VLOOKUP(B263,Sessions!A:J,2,FALSE),"")</f>
        <v/>
      </c>
      <c r="D263" s="3" t="str">
        <f>IFERROR(VLOOKUP(B263,Sessions!A:J,3,FALSE),"")</f>
        <v/>
      </c>
      <c r="E263" s="3"/>
      <c r="F263" s="3" t="str">
        <f>IFERROR(VLOOKUP(E263,Employees!A:L,2,FALSE),"")</f>
        <v/>
      </c>
      <c r="G263" s="3" t="str">
        <f>IFERROR(VLOOKUP(E263,Employees!A:L,3,FALSE),"")</f>
        <v/>
      </c>
      <c r="H263" s="3"/>
      <c r="I263" s="3"/>
      <c r="J263" s="3"/>
      <c r="K263" s="3" t="str">
        <f>IF(B263="","",IF(OR(E263="",H263=""),"ناقص",IF(H263="نعم","مكتمل","غائب")))</f>
        <v/>
      </c>
      <c r="L263" s="3"/>
    </row>
    <row r="264" spans="1:12" x14ac:dyDescent="0.2">
      <c r="A264" s="3">
        <v>261</v>
      </c>
      <c r="B264" s="3"/>
      <c r="C264" s="3" t="str">
        <f>IFERROR(VLOOKUP(B264,Sessions!A:J,2,FALSE),"")</f>
        <v/>
      </c>
      <c r="D264" s="3" t="str">
        <f>IFERROR(VLOOKUP(B264,Sessions!A:J,3,FALSE),"")</f>
        <v/>
      </c>
      <c r="E264" s="3"/>
      <c r="F264" s="3" t="str">
        <f>IFERROR(VLOOKUP(E264,Employees!A:L,2,FALSE),"")</f>
        <v/>
      </c>
      <c r="G264" s="3" t="str">
        <f>IFERROR(VLOOKUP(E264,Employees!A:L,3,FALSE),"")</f>
        <v/>
      </c>
      <c r="H264" s="3"/>
      <c r="I264" s="3"/>
      <c r="J264" s="3"/>
      <c r="K264" s="3" t="str">
        <f>IF(B264="","",IF(OR(E264="",H264=""),"ناقص",IF(H264="نعم","مكتمل","غائب")))</f>
        <v/>
      </c>
      <c r="L264" s="3"/>
    </row>
    <row r="265" spans="1:12" x14ac:dyDescent="0.2">
      <c r="A265" s="3">
        <v>262</v>
      </c>
      <c r="B265" s="3"/>
      <c r="C265" s="3" t="str">
        <f>IFERROR(VLOOKUP(B265,Sessions!A:J,2,FALSE),"")</f>
        <v/>
      </c>
      <c r="D265" s="3" t="str">
        <f>IFERROR(VLOOKUP(B265,Sessions!A:J,3,FALSE),"")</f>
        <v/>
      </c>
      <c r="E265" s="3"/>
      <c r="F265" s="3" t="str">
        <f>IFERROR(VLOOKUP(E265,Employees!A:L,2,FALSE),"")</f>
        <v/>
      </c>
      <c r="G265" s="3" t="str">
        <f>IFERROR(VLOOKUP(E265,Employees!A:L,3,FALSE),"")</f>
        <v/>
      </c>
      <c r="H265" s="3"/>
      <c r="I265" s="3"/>
      <c r="J265" s="3"/>
      <c r="K265" s="3" t="str">
        <f>IF(B265="","",IF(OR(E265="",H265=""),"ناقص",IF(H265="نعم","مكتمل","غائب")))</f>
        <v/>
      </c>
      <c r="L265" s="3"/>
    </row>
    <row r="266" spans="1:12" x14ac:dyDescent="0.2">
      <c r="A266" s="3">
        <v>263</v>
      </c>
      <c r="B266" s="3"/>
      <c r="C266" s="3" t="str">
        <f>IFERROR(VLOOKUP(B266,Sessions!A:J,2,FALSE),"")</f>
        <v/>
      </c>
      <c r="D266" s="3" t="str">
        <f>IFERROR(VLOOKUP(B266,Sessions!A:J,3,FALSE),"")</f>
        <v/>
      </c>
      <c r="E266" s="3"/>
      <c r="F266" s="3" t="str">
        <f>IFERROR(VLOOKUP(E266,Employees!A:L,2,FALSE),"")</f>
        <v/>
      </c>
      <c r="G266" s="3" t="str">
        <f>IFERROR(VLOOKUP(E266,Employees!A:L,3,FALSE),"")</f>
        <v/>
      </c>
      <c r="H266" s="3"/>
      <c r="I266" s="3"/>
      <c r="J266" s="3"/>
      <c r="K266" s="3" t="str">
        <f>IF(B266="","",IF(OR(E266="",H266=""),"ناقص",IF(H266="نعم","مكتمل","غائب")))</f>
        <v/>
      </c>
      <c r="L266" s="3"/>
    </row>
    <row r="267" spans="1:12" x14ac:dyDescent="0.2">
      <c r="A267" s="3">
        <v>264</v>
      </c>
      <c r="B267" s="3"/>
      <c r="C267" s="3" t="str">
        <f>IFERROR(VLOOKUP(B267,Sessions!A:J,2,FALSE),"")</f>
        <v/>
      </c>
      <c r="D267" s="3" t="str">
        <f>IFERROR(VLOOKUP(B267,Sessions!A:J,3,FALSE),"")</f>
        <v/>
      </c>
      <c r="E267" s="3"/>
      <c r="F267" s="3" t="str">
        <f>IFERROR(VLOOKUP(E267,Employees!A:L,2,FALSE),"")</f>
        <v/>
      </c>
      <c r="G267" s="3" t="str">
        <f>IFERROR(VLOOKUP(E267,Employees!A:L,3,FALSE),"")</f>
        <v/>
      </c>
      <c r="H267" s="3"/>
      <c r="I267" s="3"/>
      <c r="J267" s="3"/>
      <c r="K267" s="3" t="str">
        <f>IF(B267="","",IF(OR(E267="",H267=""),"ناقص",IF(H267="نعم","مكتمل","غائب")))</f>
        <v/>
      </c>
      <c r="L267" s="3"/>
    </row>
    <row r="268" spans="1:12" x14ac:dyDescent="0.2">
      <c r="A268" s="3">
        <v>265</v>
      </c>
      <c r="B268" s="3"/>
      <c r="C268" s="3" t="str">
        <f>IFERROR(VLOOKUP(B268,Sessions!A:J,2,FALSE),"")</f>
        <v/>
      </c>
      <c r="D268" s="3" t="str">
        <f>IFERROR(VLOOKUP(B268,Sessions!A:J,3,FALSE),"")</f>
        <v/>
      </c>
      <c r="E268" s="3"/>
      <c r="F268" s="3" t="str">
        <f>IFERROR(VLOOKUP(E268,Employees!A:L,2,FALSE),"")</f>
        <v/>
      </c>
      <c r="G268" s="3" t="str">
        <f>IFERROR(VLOOKUP(E268,Employees!A:L,3,FALSE),"")</f>
        <v/>
      </c>
      <c r="H268" s="3"/>
      <c r="I268" s="3"/>
      <c r="J268" s="3"/>
      <c r="K268" s="3" t="str">
        <f>IF(B268="","",IF(OR(E268="",H268=""),"ناقص",IF(H268="نعم","مكتمل","غائب")))</f>
        <v/>
      </c>
      <c r="L268" s="3"/>
    </row>
    <row r="269" spans="1:12" x14ac:dyDescent="0.2">
      <c r="A269" s="3">
        <v>266</v>
      </c>
      <c r="B269" s="3"/>
      <c r="C269" s="3" t="str">
        <f>IFERROR(VLOOKUP(B269,Sessions!A:J,2,FALSE),"")</f>
        <v/>
      </c>
      <c r="D269" s="3" t="str">
        <f>IFERROR(VLOOKUP(B269,Sessions!A:J,3,FALSE),"")</f>
        <v/>
      </c>
      <c r="E269" s="3"/>
      <c r="F269" s="3" t="str">
        <f>IFERROR(VLOOKUP(E269,Employees!A:L,2,FALSE),"")</f>
        <v/>
      </c>
      <c r="G269" s="3" t="str">
        <f>IFERROR(VLOOKUP(E269,Employees!A:L,3,FALSE),"")</f>
        <v/>
      </c>
      <c r="H269" s="3"/>
      <c r="I269" s="3"/>
      <c r="J269" s="3"/>
      <c r="K269" s="3" t="str">
        <f>IF(B269="","",IF(OR(E269="",H269=""),"ناقص",IF(H269="نعم","مكتمل","غائب")))</f>
        <v/>
      </c>
      <c r="L269" s="3"/>
    </row>
    <row r="270" spans="1:12" x14ac:dyDescent="0.2">
      <c r="A270" s="3">
        <v>267</v>
      </c>
      <c r="B270" s="3"/>
      <c r="C270" s="3" t="str">
        <f>IFERROR(VLOOKUP(B270,Sessions!A:J,2,FALSE),"")</f>
        <v/>
      </c>
      <c r="D270" s="3" t="str">
        <f>IFERROR(VLOOKUP(B270,Sessions!A:J,3,FALSE),"")</f>
        <v/>
      </c>
      <c r="E270" s="3"/>
      <c r="F270" s="3" t="str">
        <f>IFERROR(VLOOKUP(E270,Employees!A:L,2,FALSE),"")</f>
        <v/>
      </c>
      <c r="G270" s="3" t="str">
        <f>IFERROR(VLOOKUP(E270,Employees!A:L,3,FALSE),"")</f>
        <v/>
      </c>
      <c r="H270" s="3"/>
      <c r="I270" s="3"/>
      <c r="J270" s="3"/>
      <c r="K270" s="3" t="str">
        <f>IF(B270="","",IF(OR(E270="",H270=""),"ناقص",IF(H270="نعم","مكتمل","غائب")))</f>
        <v/>
      </c>
      <c r="L270" s="3"/>
    </row>
    <row r="271" spans="1:12" x14ac:dyDescent="0.2">
      <c r="A271" s="3">
        <v>268</v>
      </c>
      <c r="B271" s="3"/>
      <c r="C271" s="3" t="str">
        <f>IFERROR(VLOOKUP(B271,Sessions!A:J,2,FALSE),"")</f>
        <v/>
      </c>
      <c r="D271" s="3" t="str">
        <f>IFERROR(VLOOKUP(B271,Sessions!A:J,3,FALSE),"")</f>
        <v/>
      </c>
      <c r="E271" s="3"/>
      <c r="F271" s="3" t="str">
        <f>IFERROR(VLOOKUP(E271,Employees!A:L,2,FALSE),"")</f>
        <v/>
      </c>
      <c r="G271" s="3" t="str">
        <f>IFERROR(VLOOKUP(E271,Employees!A:L,3,FALSE),"")</f>
        <v/>
      </c>
      <c r="H271" s="3"/>
      <c r="I271" s="3"/>
      <c r="J271" s="3"/>
      <c r="K271" s="3" t="str">
        <f>IF(B271="","",IF(OR(E271="",H271=""),"ناقص",IF(H271="نعم","مكتمل","غائب")))</f>
        <v/>
      </c>
      <c r="L271" s="3"/>
    </row>
    <row r="272" spans="1:12" x14ac:dyDescent="0.2">
      <c r="A272" s="3">
        <v>269</v>
      </c>
      <c r="B272" s="3"/>
      <c r="C272" s="3" t="str">
        <f>IFERROR(VLOOKUP(B272,Sessions!A:J,2,FALSE),"")</f>
        <v/>
      </c>
      <c r="D272" s="3" t="str">
        <f>IFERROR(VLOOKUP(B272,Sessions!A:J,3,FALSE),"")</f>
        <v/>
      </c>
      <c r="E272" s="3"/>
      <c r="F272" s="3" t="str">
        <f>IFERROR(VLOOKUP(E272,Employees!A:L,2,FALSE),"")</f>
        <v/>
      </c>
      <c r="G272" s="3" t="str">
        <f>IFERROR(VLOOKUP(E272,Employees!A:L,3,FALSE),"")</f>
        <v/>
      </c>
      <c r="H272" s="3"/>
      <c r="I272" s="3"/>
      <c r="J272" s="3"/>
      <c r="K272" s="3" t="str">
        <f>IF(B272="","",IF(OR(E272="",H272=""),"ناقص",IF(H272="نعم","مكتمل","غائب")))</f>
        <v/>
      </c>
      <c r="L272" s="3"/>
    </row>
    <row r="273" spans="1:12" x14ac:dyDescent="0.2">
      <c r="A273" s="3">
        <v>270</v>
      </c>
      <c r="B273" s="3"/>
      <c r="C273" s="3" t="str">
        <f>IFERROR(VLOOKUP(B273,Sessions!A:J,2,FALSE),"")</f>
        <v/>
      </c>
      <c r="D273" s="3" t="str">
        <f>IFERROR(VLOOKUP(B273,Sessions!A:J,3,FALSE),"")</f>
        <v/>
      </c>
      <c r="E273" s="3"/>
      <c r="F273" s="3" t="str">
        <f>IFERROR(VLOOKUP(E273,Employees!A:L,2,FALSE),"")</f>
        <v/>
      </c>
      <c r="G273" s="3" t="str">
        <f>IFERROR(VLOOKUP(E273,Employees!A:L,3,FALSE),"")</f>
        <v/>
      </c>
      <c r="H273" s="3"/>
      <c r="I273" s="3"/>
      <c r="J273" s="3"/>
      <c r="K273" s="3" t="str">
        <f>IF(B273="","",IF(OR(E273="",H273=""),"ناقص",IF(H273="نعم","مكتمل","غائب")))</f>
        <v/>
      </c>
      <c r="L273" s="3"/>
    </row>
    <row r="274" spans="1:12" x14ac:dyDescent="0.2">
      <c r="A274" s="3">
        <v>271</v>
      </c>
      <c r="B274" s="3"/>
      <c r="C274" s="3" t="str">
        <f>IFERROR(VLOOKUP(B274,Sessions!A:J,2,FALSE),"")</f>
        <v/>
      </c>
      <c r="D274" s="3" t="str">
        <f>IFERROR(VLOOKUP(B274,Sessions!A:J,3,FALSE),"")</f>
        <v/>
      </c>
      <c r="E274" s="3"/>
      <c r="F274" s="3" t="str">
        <f>IFERROR(VLOOKUP(E274,Employees!A:L,2,FALSE),"")</f>
        <v/>
      </c>
      <c r="G274" s="3" t="str">
        <f>IFERROR(VLOOKUP(E274,Employees!A:L,3,FALSE),"")</f>
        <v/>
      </c>
      <c r="H274" s="3"/>
      <c r="I274" s="3"/>
      <c r="J274" s="3"/>
      <c r="K274" s="3" t="str">
        <f>IF(B274="","",IF(OR(E274="",H274=""),"ناقص",IF(H274="نعم","مكتمل","غائب")))</f>
        <v/>
      </c>
      <c r="L274" s="3"/>
    </row>
    <row r="275" spans="1:12" x14ac:dyDescent="0.2">
      <c r="A275" s="3">
        <v>272</v>
      </c>
      <c r="B275" s="3"/>
      <c r="C275" s="3" t="str">
        <f>IFERROR(VLOOKUP(B275,Sessions!A:J,2,FALSE),"")</f>
        <v/>
      </c>
      <c r="D275" s="3" t="str">
        <f>IFERROR(VLOOKUP(B275,Sessions!A:J,3,FALSE),"")</f>
        <v/>
      </c>
      <c r="E275" s="3"/>
      <c r="F275" s="3" t="str">
        <f>IFERROR(VLOOKUP(E275,Employees!A:L,2,FALSE),"")</f>
        <v/>
      </c>
      <c r="G275" s="3" t="str">
        <f>IFERROR(VLOOKUP(E275,Employees!A:L,3,FALSE),"")</f>
        <v/>
      </c>
      <c r="H275" s="3"/>
      <c r="I275" s="3"/>
      <c r="J275" s="3"/>
      <c r="K275" s="3" t="str">
        <f>IF(B275="","",IF(OR(E275="",H275=""),"ناقص",IF(H275="نعم","مكتمل","غائب")))</f>
        <v/>
      </c>
      <c r="L275" s="3"/>
    </row>
    <row r="276" spans="1:12" x14ac:dyDescent="0.2">
      <c r="A276" s="3">
        <v>273</v>
      </c>
      <c r="B276" s="3"/>
      <c r="C276" s="3" t="str">
        <f>IFERROR(VLOOKUP(B276,Sessions!A:J,2,FALSE),"")</f>
        <v/>
      </c>
      <c r="D276" s="3" t="str">
        <f>IFERROR(VLOOKUP(B276,Sessions!A:J,3,FALSE),"")</f>
        <v/>
      </c>
      <c r="E276" s="3"/>
      <c r="F276" s="3" t="str">
        <f>IFERROR(VLOOKUP(E276,Employees!A:L,2,FALSE),"")</f>
        <v/>
      </c>
      <c r="G276" s="3" t="str">
        <f>IFERROR(VLOOKUP(E276,Employees!A:L,3,FALSE),"")</f>
        <v/>
      </c>
      <c r="H276" s="3"/>
      <c r="I276" s="3"/>
      <c r="J276" s="3"/>
      <c r="K276" s="3" t="str">
        <f>IF(B276="","",IF(OR(E276="",H276=""),"ناقص",IF(H276="نعم","مكتمل","غائب")))</f>
        <v/>
      </c>
      <c r="L276" s="3"/>
    </row>
    <row r="277" spans="1:12" x14ac:dyDescent="0.2">
      <c r="A277" s="3">
        <v>274</v>
      </c>
      <c r="B277" s="3"/>
      <c r="C277" s="3" t="str">
        <f>IFERROR(VLOOKUP(B277,Sessions!A:J,2,FALSE),"")</f>
        <v/>
      </c>
      <c r="D277" s="3" t="str">
        <f>IFERROR(VLOOKUP(B277,Sessions!A:J,3,FALSE),"")</f>
        <v/>
      </c>
      <c r="E277" s="3"/>
      <c r="F277" s="3" t="str">
        <f>IFERROR(VLOOKUP(E277,Employees!A:L,2,FALSE),"")</f>
        <v/>
      </c>
      <c r="G277" s="3" t="str">
        <f>IFERROR(VLOOKUP(E277,Employees!A:L,3,FALSE),"")</f>
        <v/>
      </c>
      <c r="H277" s="3"/>
      <c r="I277" s="3"/>
      <c r="J277" s="3"/>
      <c r="K277" s="3" t="str">
        <f>IF(B277="","",IF(OR(E277="",H277=""),"ناقص",IF(H277="نعم","مكتمل","غائب")))</f>
        <v/>
      </c>
      <c r="L277" s="3"/>
    </row>
    <row r="278" spans="1:12" x14ac:dyDescent="0.2">
      <c r="A278" s="3">
        <v>275</v>
      </c>
      <c r="B278" s="3"/>
      <c r="C278" s="3" t="str">
        <f>IFERROR(VLOOKUP(B278,Sessions!A:J,2,FALSE),"")</f>
        <v/>
      </c>
      <c r="D278" s="3" t="str">
        <f>IFERROR(VLOOKUP(B278,Sessions!A:J,3,FALSE),"")</f>
        <v/>
      </c>
      <c r="E278" s="3"/>
      <c r="F278" s="3" t="str">
        <f>IFERROR(VLOOKUP(E278,Employees!A:L,2,FALSE),"")</f>
        <v/>
      </c>
      <c r="G278" s="3" t="str">
        <f>IFERROR(VLOOKUP(E278,Employees!A:L,3,FALSE),"")</f>
        <v/>
      </c>
      <c r="H278" s="3"/>
      <c r="I278" s="3"/>
      <c r="J278" s="3"/>
      <c r="K278" s="3" t="str">
        <f>IF(B278="","",IF(OR(E278="",H278=""),"ناقص",IF(H278="نعم","مكتمل","غائب")))</f>
        <v/>
      </c>
      <c r="L278" s="3"/>
    </row>
    <row r="279" spans="1:12" x14ac:dyDescent="0.2">
      <c r="A279" s="3">
        <v>276</v>
      </c>
      <c r="B279" s="3"/>
      <c r="C279" s="3" t="str">
        <f>IFERROR(VLOOKUP(B279,Sessions!A:J,2,FALSE),"")</f>
        <v/>
      </c>
      <c r="D279" s="3" t="str">
        <f>IFERROR(VLOOKUP(B279,Sessions!A:J,3,FALSE),"")</f>
        <v/>
      </c>
      <c r="E279" s="3"/>
      <c r="F279" s="3" t="str">
        <f>IFERROR(VLOOKUP(E279,Employees!A:L,2,FALSE),"")</f>
        <v/>
      </c>
      <c r="G279" s="3" t="str">
        <f>IFERROR(VLOOKUP(E279,Employees!A:L,3,FALSE),"")</f>
        <v/>
      </c>
      <c r="H279" s="3"/>
      <c r="I279" s="3"/>
      <c r="J279" s="3"/>
      <c r="K279" s="3" t="str">
        <f>IF(B279="","",IF(OR(E279="",H279=""),"ناقص",IF(H279="نعم","مكتمل","غائب")))</f>
        <v/>
      </c>
      <c r="L279" s="3"/>
    </row>
    <row r="280" spans="1:12" x14ac:dyDescent="0.2">
      <c r="A280" s="3">
        <v>277</v>
      </c>
      <c r="B280" s="3"/>
      <c r="C280" s="3" t="str">
        <f>IFERROR(VLOOKUP(B280,Sessions!A:J,2,FALSE),"")</f>
        <v/>
      </c>
      <c r="D280" s="3" t="str">
        <f>IFERROR(VLOOKUP(B280,Sessions!A:J,3,FALSE),"")</f>
        <v/>
      </c>
      <c r="E280" s="3"/>
      <c r="F280" s="3" t="str">
        <f>IFERROR(VLOOKUP(E280,Employees!A:L,2,FALSE),"")</f>
        <v/>
      </c>
      <c r="G280" s="3" t="str">
        <f>IFERROR(VLOOKUP(E280,Employees!A:L,3,FALSE),"")</f>
        <v/>
      </c>
      <c r="H280" s="3"/>
      <c r="I280" s="3"/>
      <c r="J280" s="3"/>
      <c r="K280" s="3" t="str">
        <f>IF(B280="","",IF(OR(E280="",H280=""),"ناقص",IF(H280="نعم","مكتمل","غائب")))</f>
        <v/>
      </c>
      <c r="L280" s="3"/>
    </row>
    <row r="281" spans="1:12" x14ac:dyDescent="0.2">
      <c r="A281" s="3">
        <v>278</v>
      </c>
      <c r="B281" s="3"/>
      <c r="C281" s="3" t="str">
        <f>IFERROR(VLOOKUP(B281,Sessions!A:J,2,FALSE),"")</f>
        <v/>
      </c>
      <c r="D281" s="3" t="str">
        <f>IFERROR(VLOOKUP(B281,Sessions!A:J,3,FALSE),"")</f>
        <v/>
      </c>
      <c r="E281" s="3"/>
      <c r="F281" s="3" t="str">
        <f>IFERROR(VLOOKUP(E281,Employees!A:L,2,FALSE),"")</f>
        <v/>
      </c>
      <c r="G281" s="3" t="str">
        <f>IFERROR(VLOOKUP(E281,Employees!A:L,3,FALSE),"")</f>
        <v/>
      </c>
      <c r="H281" s="3"/>
      <c r="I281" s="3"/>
      <c r="J281" s="3"/>
      <c r="K281" s="3" t="str">
        <f>IF(B281="","",IF(OR(E281="",H281=""),"ناقص",IF(H281="نعم","مكتمل","غائب")))</f>
        <v/>
      </c>
      <c r="L281" s="3"/>
    </row>
    <row r="282" spans="1:12" x14ac:dyDescent="0.2">
      <c r="A282" s="3">
        <v>279</v>
      </c>
      <c r="B282" s="3"/>
      <c r="C282" s="3" t="str">
        <f>IFERROR(VLOOKUP(B282,Sessions!A:J,2,FALSE),"")</f>
        <v/>
      </c>
      <c r="D282" s="3" t="str">
        <f>IFERROR(VLOOKUP(B282,Sessions!A:J,3,FALSE),"")</f>
        <v/>
      </c>
      <c r="E282" s="3"/>
      <c r="F282" s="3" t="str">
        <f>IFERROR(VLOOKUP(E282,Employees!A:L,2,FALSE),"")</f>
        <v/>
      </c>
      <c r="G282" s="3" t="str">
        <f>IFERROR(VLOOKUP(E282,Employees!A:L,3,FALSE),"")</f>
        <v/>
      </c>
      <c r="H282" s="3"/>
      <c r="I282" s="3"/>
      <c r="J282" s="3"/>
      <c r="K282" s="3" t="str">
        <f>IF(B282="","",IF(OR(E282="",H282=""),"ناقص",IF(H282="نعم","مكتمل","غائب")))</f>
        <v/>
      </c>
      <c r="L282" s="3"/>
    </row>
    <row r="283" spans="1:12" x14ac:dyDescent="0.2">
      <c r="A283" s="3">
        <v>280</v>
      </c>
      <c r="B283" s="3"/>
      <c r="C283" s="3" t="str">
        <f>IFERROR(VLOOKUP(B283,Sessions!A:J,2,FALSE),"")</f>
        <v/>
      </c>
      <c r="D283" s="3" t="str">
        <f>IFERROR(VLOOKUP(B283,Sessions!A:J,3,FALSE),"")</f>
        <v/>
      </c>
      <c r="E283" s="3"/>
      <c r="F283" s="3" t="str">
        <f>IFERROR(VLOOKUP(E283,Employees!A:L,2,FALSE),"")</f>
        <v/>
      </c>
      <c r="G283" s="3" t="str">
        <f>IFERROR(VLOOKUP(E283,Employees!A:L,3,FALSE),"")</f>
        <v/>
      </c>
      <c r="H283" s="3"/>
      <c r="I283" s="3"/>
      <c r="J283" s="3"/>
      <c r="K283" s="3" t="str">
        <f>IF(B283="","",IF(OR(E283="",H283=""),"ناقص",IF(H283="نعم","مكتمل","غائب")))</f>
        <v/>
      </c>
      <c r="L283" s="3"/>
    </row>
    <row r="284" spans="1:12" x14ac:dyDescent="0.2">
      <c r="A284" s="3">
        <v>281</v>
      </c>
      <c r="B284" s="3"/>
      <c r="C284" s="3" t="str">
        <f>IFERROR(VLOOKUP(B284,Sessions!A:J,2,FALSE),"")</f>
        <v/>
      </c>
      <c r="D284" s="3" t="str">
        <f>IFERROR(VLOOKUP(B284,Sessions!A:J,3,FALSE),"")</f>
        <v/>
      </c>
      <c r="E284" s="3"/>
      <c r="F284" s="3" t="str">
        <f>IFERROR(VLOOKUP(E284,Employees!A:L,2,FALSE),"")</f>
        <v/>
      </c>
      <c r="G284" s="3" t="str">
        <f>IFERROR(VLOOKUP(E284,Employees!A:L,3,FALSE),"")</f>
        <v/>
      </c>
      <c r="H284" s="3"/>
      <c r="I284" s="3"/>
      <c r="J284" s="3"/>
      <c r="K284" s="3" t="str">
        <f>IF(B284="","",IF(OR(E284="",H284=""),"ناقص",IF(H284="نعم","مكتمل","غائب")))</f>
        <v/>
      </c>
      <c r="L284" s="3"/>
    </row>
    <row r="285" spans="1:12" x14ac:dyDescent="0.2">
      <c r="A285" s="3">
        <v>282</v>
      </c>
      <c r="B285" s="3"/>
      <c r="C285" s="3" t="str">
        <f>IFERROR(VLOOKUP(B285,Sessions!A:J,2,FALSE),"")</f>
        <v/>
      </c>
      <c r="D285" s="3" t="str">
        <f>IFERROR(VLOOKUP(B285,Sessions!A:J,3,FALSE),"")</f>
        <v/>
      </c>
      <c r="E285" s="3"/>
      <c r="F285" s="3" t="str">
        <f>IFERROR(VLOOKUP(E285,Employees!A:L,2,FALSE),"")</f>
        <v/>
      </c>
      <c r="G285" s="3" t="str">
        <f>IFERROR(VLOOKUP(E285,Employees!A:L,3,FALSE),"")</f>
        <v/>
      </c>
      <c r="H285" s="3"/>
      <c r="I285" s="3"/>
      <c r="J285" s="3"/>
      <c r="K285" s="3" t="str">
        <f>IF(B285="","",IF(OR(E285="",H285=""),"ناقص",IF(H285="نعم","مكتمل","غائب")))</f>
        <v/>
      </c>
      <c r="L285" s="3"/>
    </row>
    <row r="286" spans="1:12" x14ac:dyDescent="0.2">
      <c r="A286" s="3">
        <v>283</v>
      </c>
      <c r="B286" s="3"/>
      <c r="C286" s="3" t="str">
        <f>IFERROR(VLOOKUP(B286,Sessions!A:J,2,FALSE),"")</f>
        <v/>
      </c>
      <c r="D286" s="3" t="str">
        <f>IFERROR(VLOOKUP(B286,Sessions!A:J,3,FALSE),"")</f>
        <v/>
      </c>
      <c r="E286" s="3"/>
      <c r="F286" s="3" t="str">
        <f>IFERROR(VLOOKUP(E286,Employees!A:L,2,FALSE),"")</f>
        <v/>
      </c>
      <c r="G286" s="3" t="str">
        <f>IFERROR(VLOOKUP(E286,Employees!A:L,3,FALSE),"")</f>
        <v/>
      </c>
      <c r="H286" s="3"/>
      <c r="I286" s="3"/>
      <c r="J286" s="3"/>
      <c r="K286" s="3" t="str">
        <f>IF(B286="","",IF(OR(E286="",H286=""),"ناقص",IF(H286="نعم","مكتمل","غائب")))</f>
        <v/>
      </c>
      <c r="L286" s="3"/>
    </row>
    <row r="287" spans="1:12" x14ac:dyDescent="0.2">
      <c r="A287" s="3">
        <v>284</v>
      </c>
      <c r="B287" s="3"/>
      <c r="C287" s="3" t="str">
        <f>IFERROR(VLOOKUP(B287,Sessions!A:J,2,FALSE),"")</f>
        <v/>
      </c>
      <c r="D287" s="3" t="str">
        <f>IFERROR(VLOOKUP(B287,Sessions!A:J,3,FALSE),"")</f>
        <v/>
      </c>
      <c r="E287" s="3"/>
      <c r="F287" s="3" t="str">
        <f>IFERROR(VLOOKUP(E287,Employees!A:L,2,FALSE),"")</f>
        <v/>
      </c>
      <c r="G287" s="3" t="str">
        <f>IFERROR(VLOOKUP(E287,Employees!A:L,3,FALSE),"")</f>
        <v/>
      </c>
      <c r="H287" s="3"/>
      <c r="I287" s="3"/>
      <c r="J287" s="3"/>
      <c r="K287" s="3" t="str">
        <f>IF(B287="","",IF(OR(E287="",H287=""),"ناقص",IF(H287="نعم","مكتمل","غائب")))</f>
        <v/>
      </c>
      <c r="L287" s="3"/>
    </row>
    <row r="288" spans="1:12" x14ac:dyDescent="0.2">
      <c r="A288" s="3">
        <v>285</v>
      </c>
      <c r="B288" s="3"/>
      <c r="C288" s="3" t="str">
        <f>IFERROR(VLOOKUP(B288,Sessions!A:J,2,FALSE),"")</f>
        <v/>
      </c>
      <c r="D288" s="3" t="str">
        <f>IFERROR(VLOOKUP(B288,Sessions!A:J,3,FALSE),"")</f>
        <v/>
      </c>
      <c r="E288" s="3"/>
      <c r="F288" s="3" t="str">
        <f>IFERROR(VLOOKUP(E288,Employees!A:L,2,FALSE),"")</f>
        <v/>
      </c>
      <c r="G288" s="3" t="str">
        <f>IFERROR(VLOOKUP(E288,Employees!A:L,3,FALSE),"")</f>
        <v/>
      </c>
      <c r="H288" s="3"/>
      <c r="I288" s="3"/>
      <c r="J288" s="3"/>
      <c r="K288" s="3" t="str">
        <f>IF(B288="","",IF(OR(E288="",H288=""),"ناقص",IF(H288="نعم","مكتمل","غائب")))</f>
        <v/>
      </c>
      <c r="L288" s="3"/>
    </row>
    <row r="289" spans="1:12" x14ac:dyDescent="0.2">
      <c r="A289" s="3">
        <v>286</v>
      </c>
      <c r="B289" s="3"/>
      <c r="C289" s="3" t="str">
        <f>IFERROR(VLOOKUP(B289,Sessions!A:J,2,FALSE),"")</f>
        <v/>
      </c>
      <c r="D289" s="3" t="str">
        <f>IFERROR(VLOOKUP(B289,Sessions!A:J,3,FALSE),"")</f>
        <v/>
      </c>
      <c r="E289" s="3"/>
      <c r="F289" s="3" t="str">
        <f>IFERROR(VLOOKUP(E289,Employees!A:L,2,FALSE),"")</f>
        <v/>
      </c>
      <c r="G289" s="3" t="str">
        <f>IFERROR(VLOOKUP(E289,Employees!A:L,3,FALSE),"")</f>
        <v/>
      </c>
      <c r="H289" s="3"/>
      <c r="I289" s="3"/>
      <c r="J289" s="3"/>
      <c r="K289" s="3" t="str">
        <f>IF(B289="","",IF(OR(E289="",H289=""),"ناقص",IF(H289="نعم","مكتمل","غائب")))</f>
        <v/>
      </c>
      <c r="L289" s="3"/>
    </row>
    <row r="290" spans="1:12" x14ac:dyDescent="0.2">
      <c r="A290" s="3">
        <v>287</v>
      </c>
      <c r="B290" s="3"/>
      <c r="C290" s="3" t="str">
        <f>IFERROR(VLOOKUP(B290,Sessions!A:J,2,FALSE),"")</f>
        <v/>
      </c>
      <c r="D290" s="3" t="str">
        <f>IFERROR(VLOOKUP(B290,Sessions!A:J,3,FALSE),"")</f>
        <v/>
      </c>
      <c r="E290" s="3"/>
      <c r="F290" s="3" t="str">
        <f>IFERROR(VLOOKUP(E290,Employees!A:L,2,FALSE),"")</f>
        <v/>
      </c>
      <c r="G290" s="3" t="str">
        <f>IFERROR(VLOOKUP(E290,Employees!A:L,3,FALSE),"")</f>
        <v/>
      </c>
      <c r="H290" s="3"/>
      <c r="I290" s="3"/>
      <c r="J290" s="3"/>
      <c r="K290" s="3" t="str">
        <f>IF(B290="","",IF(OR(E290="",H290=""),"ناقص",IF(H290="نعم","مكتمل","غائب")))</f>
        <v/>
      </c>
      <c r="L290" s="3"/>
    </row>
    <row r="291" spans="1:12" x14ac:dyDescent="0.2">
      <c r="A291" s="3">
        <v>288</v>
      </c>
      <c r="B291" s="3"/>
      <c r="C291" s="3" t="str">
        <f>IFERROR(VLOOKUP(B291,Sessions!A:J,2,FALSE),"")</f>
        <v/>
      </c>
      <c r="D291" s="3" t="str">
        <f>IFERROR(VLOOKUP(B291,Sessions!A:J,3,FALSE),"")</f>
        <v/>
      </c>
      <c r="E291" s="3"/>
      <c r="F291" s="3" t="str">
        <f>IFERROR(VLOOKUP(E291,Employees!A:L,2,FALSE),"")</f>
        <v/>
      </c>
      <c r="G291" s="3" t="str">
        <f>IFERROR(VLOOKUP(E291,Employees!A:L,3,FALSE),"")</f>
        <v/>
      </c>
      <c r="H291" s="3"/>
      <c r="I291" s="3"/>
      <c r="J291" s="3"/>
      <c r="K291" s="3" t="str">
        <f>IF(B291="","",IF(OR(E291="",H291=""),"ناقص",IF(H291="نعم","مكتمل","غائب")))</f>
        <v/>
      </c>
      <c r="L291" s="3"/>
    </row>
    <row r="292" spans="1:12" x14ac:dyDescent="0.2">
      <c r="A292" s="3">
        <v>289</v>
      </c>
      <c r="B292" s="3"/>
      <c r="C292" s="3" t="str">
        <f>IFERROR(VLOOKUP(B292,Sessions!A:J,2,FALSE),"")</f>
        <v/>
      </c>
      <c r="D292" s="3" t="str">
        <f>IFERROR(VLOOKUP(B292,Sessions!A:J,3,FALSE),"")</f>
        <v/>
      </c>
      <c r="E292" s="3"/>
      <c r="F292" s="3" t="str">
        <f>IFERROR(VLOOKUP(E292,Employees!A:L,2,FALSE),"")</f>
        <v/>
      </c>
      <c r="G292" s="3" t="str">
        <f>IFERROR(VLOOKUP(E292,Employees!A:L,3,FALSE),"")</f>
        <v/>
      </c>
      <c r="H292" s="3"/>
      <c r="I292" s="3"/>
      <c r="J292" s="3"/>
      <c r="K292" s="3" t="str">
        <f>IF(B292="","",IF(OR(E292="",H292=""),"ناقص",IF(H292="نعم","مكتمل","غائب")))</f>
        <v/>
      </c>
      <c r="L292" s="3"/>
    </row>
    <row r="293" spans="1:12" x14ac:dyDescent="0.2">
      <c r="A293" s="3">
        <v>290</v>
      </c>
      <c r="B293" s="3"/>
      <c r="C293" s="3" t="str">
        <f>IFERROR(VLOOKUP(B293,Sessions!A:J,2,FALSE),"")</f>
        <v/>
      </c>
      <c r="D293" s="3" t="str">
        <f>IFERROR(VLOOKUP(B293,Sessions!A:J,3,FALSE),"")</f>
        <v/>
      </c>
      <c r="E293" s="3"/>
      <c r="F293" s="3" t="str">
        <f>IFERROR(VLOOKUP(E293,Employees!A:L,2,FALSE),"")</f>
        <v/>
      </c>
      <c r="G293" s="3" t="str">
        <f>IFERROR(VLOOKUP(E293,Employees!A:L,3,FALSE),"")</f>
        <v/>
      </c>
      <c r="H293" s="3"/>
      <c r="I293" s="3"/>
      <c r="J293" s="3"/>
      <c r="K293" s="3" t="str">
        <f>IF(B293="","",IF(OR(E293="",H293=""),"ناقص",IF(H293="نعم","مكتمل","غائب")))</f>
        <v/>
      </c>
      <c r="L293" s="3"/>
    </row>
    <row r="294" spans="1:12" x14ac:dyDescent="0.2">
      <c r="A294" s="3">
        <v>291</v>
      </c>
      <c r="B294" s="3"/>
      <c r="C294" s="3" t="str">
        <f>IFERROR(VLOOKUP(B294,Sessions!A:J,2,FALSE),"")</f>
        <v/>
      </c>
      <c r="D294" s="3" t="str">
        <f>IFERROR(VLOOKUP(B294,Sessions!A:J,3,FALSE),"")</f>
        <v/>
      </c>
      <c r="E294" s="3"/>
      <c r="F294" s="3" t="str">
        <f>IFERROR(VLOOKUP(E294,Employees!A:L,2,FALSE),"")</f>
        <v/>
      </c>
      <c r="G294" s="3" t="str">
        <f>IFERROR(VLOOKUP(E294,Employees!A:L,3,FALSE),"")</f>
        <v/>
      </c>
      <c r="H294" s="3"/>
      <c r="I294" s="3"/>
      <c r="J294" s="3"/>
      <c r="K294" s="3" t="str">
        <f>IF(B294="","",IF(OR(E294="",H294=""),"ناقص",IF(H294="نعم","مكتمل","غائب")))</f>
        <v/>
      </c>
      <c r="L294" s="3"/>
    </row>
    <row r="295" spans="1:12" x14ac:dyDescent="0.2">
      <c r="A295" s="3">
        <v>292</v>
      </c>
      <c r="B295" s="3"/>
      <c r="C295" s="3" t="str">
        <f>IFERROR(VLOOKUP(B295,Sessions!A:J,2,FALSE),"")</f>
        <v/>
      </c>
      <c r="D295" s="3" t="str">
        <f>IFERROR(VLOOKUP(B295,Sessions!A:J,3,FALSE),"")</f>
        <v/>
      </c>
      <c r="E295" s="3"/>
      <c r="F295" s="3" t="str">
        <f>IFERROR(VLOOKUP(E295,Employees!A:L,2,FALSE),"")</f>
        <v/>
      </c>
      <c r="G295" s="3" t="str">
        <f>IFERROR(VLOOKUP(E295,Employees!A:L,3,FALSE),"")</f>
        <v/>
      </c>
      <c r="H295" s="3"/>
      <c r="I295" s="3"/>
      <c r="J295" s="3"/>
      <c r="K295" s="3" t="str">
        <f>IF(B295="","",IF(OR(E295="",H295=""),"ناقص",IF(H295="نعم","مكتمل","غائب")))</f>
        <v/>
      </c>
      <c r="L295" s="3"/>
    </row>
    <row r="296" spans="1:12" x14ac:dyDescent="0.2">
      <c r="A296" s="3">
        <v>293</v>
      </c>
      <c r="B296" s="3"/>
      <c r="C296" s="3" t="str">
        <f>IFERROR(VLOOKUP(B296,Sessions!A:J,2,FALSE),"")</f>
        <v/>
      </c>
      <c r="D296" s="3" t="str">
        <f>IFERROR(VLOOKUP(B296,Sessions!A:J,3,FALSE),"")</f>
        <v/>
      </c>
      <c r="E296" s="3"/>
      <c r="F296" s="3" t="str">
        <f>IFERROR(VLOOKUP(E296,Employees!A:L,2,FALSE),"")</f>
        <v/>
      </c>
      <c r="G296" s="3" t="str">
        <f>IFERROR(VLOOKUP(E296,Employees!A:L,3,FALSE),"")</f>
        <v/>
      </c>
      <c r="H296" s="3"/>
      <c r="I296" s="3"/>
      <c r="J296" s="3"/>
      <c r="K296" s="3" t="str">
        <f>IF(B296="","",IF(OR(E296="",H296=""),"ناقص",IF(H296="نعم","مكتمل","غائب")))</f>
        <v/>
      </c>
      <c r="L296" s="3"/>
    </row>
    <row r="297" spans="1:12" x14ac:dyDescent="0.2">
      <c r="A297" s="3">
        <v>294</v>
      </c>
      <c r="B297" s="3"/>
      <c r="C297" s="3" t="str">
        <f>IFERROR(VLOOKUP(B297,Sessions!A:J,2,FALSE),"")</f>
        <v/>
      </c>
      <c r="D297" s="3" t="str">
        <f>IFERROR(VLOOKUP(B297,Sessions!A:J,3,FALSE),"")</f>
        <v/>
      </c>
      <c r="E297" s="3"/>
      <c r="F297" s="3" t="str">
        <f>IFERROR(VLOOKUP(E297,Employees!A:L,2,FALSE),"")</f>
        <v/>
      </c>
      <c r="G297" s="3" t="str">
        <f>IFERROR(VLOOKUP(E297,Employees!A:L,3,FALSE),"")</f>
        <v/>
      </c>
      <c r="H297" s="3"/>
      <c r="I297" s="3"/>
      <c r="J297" s="3"/>
      <c r="K297" s="3" t="str">
        <f>IF(B297="","",IF(OR(E297="",H297=""),"ناقص",IF(H297="نعم","مكتمل","غائب")))</f>
        <v/>
      </c>
      <c r="L297" s="3"/>
    </row>
    <row r="298" spans="1:12" x14ac:dyDescent="0.2">
      <c r="A298" s="3">
        <v>295</v>
      </c>
      <c r="B298" s="3"/>
      <c r="C298" s="3" t="str">
        <f>IFERROR(VLOOKUP(B298,Sessions!A:J,2,FALSE),"")</f>
        <v/>
      </c>
      <c r="D298" s="3" t="str">
        <f>IFERROR(VLOOKUP(B298,Sessions!A:J,3,FALSE),"")</f>
        <v/>
      </c>
      <c r="E298" s="3"/>
      <c r="F298" s="3" t="str">
        <f>IFERROR(VLOOKUP(E298,Employees!A:L,2,FALSE),"")</f>
        <v/>
      </c>
      <c r="G298" s="3" t="str">
        <f>IFERROR(VLOOKUP(E298,Employees!A:L,3,FALSE),"")</f>
        <v/>
      </c>
      <c r="H298" s="3"/>
      <c r="I298" s="3"/>
      <c r="J298" s="3"/>
      <c r="K298" s="3" t="str">
        <f>IF(B298="","",IF(OR(E298="",H298=""),"ناقص",IF(H298="نعم","مكتمل","غائب")))</f>
        <v/>
      </c>
      <c r="L298" s="3"/>
    </row>
    <row r="299" spans="1:12" x14ac:dyDescent="0.2">
      <c r="A299" s="3">
        <v>296</v>
      </c>
      <c r="B299" s="3"/>
      <c r="C299" s="3" t="str">
        <f>IFERROR(VLOOKUP(B299,Sessions!A:J,2,FALSE),"")</f>
        <v/>
      </c>
      <c r="D299" s="3" t="str">
        <f>IFERROR(VLOOKUP(B299,Sessions!A:J,3,FALSE),"")</f>
        <v/>
      </c>
      <c r="E299" s="3"/>
      <c r="F299" s="3" t="str">
        <f>IFERROR(VLOOKUP(E299,Employees!A:L,2,FALSE),"")</f>
        <v/>
      </c>
      <c r="G299" s="3" t="str">
        <f>IFERROR(VLOOKUP(E299,Employees!A:L,3,FALSE),"")</f>
        <v/>
      </c>
      <c r="H299" s="3"/>
      <c r="I299" s="3"/>
      <c r="J299" s="3"/>
      <c r="K299" s="3" t="str">
        <f>IF(B299="","",IF(OR(E299="",H299=""),"ناقص",IF(H299="نعم","مكتمل","غائب")))</f>
        <v/>
      </c>
      <c r="L299" s="3"/>
    </row>
    <row r="300" spans="1:12" x14ac:dyDescent="0.2">
      <c r="A300" s="3">
        <v>297</v>
      </c>
      <c r="B300" s="3"/>
      <c r="C300" s="3" t="str">
        <f>IFERROR(VLOOKUP(B300,Sessions!A:J,2,FALSE),"")</f>
        <v/>
      </c>
      <c r="D300" s="3" t="str">
        <f>IFERROR(VLOOKUP(B300,Sessions!A:J,3,FALSE),"")</f>
        <v/>
      </c>
      <c r="E300" s="3"/>
      <c r="F300" s="3" t="str">
        <f>IFERROR(VLOOKUP(E300,Employees!A:L,2,FALSE),"")</f>
        <v/>
      </c>
      <c r="G300" s="3" t="str">
        <f>IFERROR(VLOOKUP(E300,Employees!A:L,3,FALSE),"")</f>
        <v/>
      </c>
      <c r="H300" s="3"/>
      <c r="I300" s="3"/>
      <c r="J300" s="3"/>
      <c r="K300" s="3" t="str">
        <f>IF(B300="","",IF(OR(E300="",H300=""),"ناقص",IF(H300="نعم","مكتمل","غائب")))</f>
        <v/>
      </c>
      <c r="L300" s="3"/>
    </row>
    <row r="301" spans="1:12" x14ac:dyDescent="0.2">
      <c r="A301" s="3">
        <v>298</v>
      </c>
      <c r="B301" s="3"/>
      <c r="C301" s="3" t="str">
        <f>IFERROR(VLOOKUP(B301,Sessions!A:J,2,FALSE),"")</f>
        <v/>
      </c>
      <c r="D301" s="3" t="str">
        <f>IFERROR(VLOOKUP(B301,Sessions!A:J,3,FALSE),"")</f>
        <v/>
      </c>
      <c r="E301" s="3"/>
      <c r="F301" s="3" t="str">
        <f>IFERROR(VLOOKUP(E301,Employees!A:L,2,FALSE),"")</f>
        <v/>
      </c>
      <c r="G301" s="3" t="str">
        <f>IFERROR(VLOOKUP(E301,Employees!A:L,3,FALSE),"")</f>
        <v/>
      </c>
      <c r="H301" s="3"/>
      <c r="I301" s="3"/>
      <c r="J301" s="3"/>
      <c r="K301" s="3" t="str">
        <f>IF(B301="","",IF(OR(E301="",H301=""),"ناقص",IF(H301="نعم","مكتمل","غائب")))</f>
        <v/>
      </c>
      <c r="L301" s="3"/>
    </row>
    <row r="302" spans="1:12" x14ac:dyDescent="0.2">
      <c r="A302" s="3">
        <v>299</v>
      </c>
      <c r="B302" s="3"/>
      <c r="C302" s="3" t="str">
        <f>IFERROR(VLOOKUP(B302,Sessions!A:J,2,FALSE),"")</f>
        <v/>
      </c>
      <c r="D302" s="3" t="str">
        <f>IFERROR(VLOOKUP(B302,Sessions!A:J,3,FALSE),"")</f>
        <v/>
      </c>
      <c r="E302" s="3"/>
      <c r="F302" s="3" t="str">
        <f>IFERROR(VLOOKUP(E302,Employees!A:L,2,FALSE),"")</f>
        <v/>
      </c>
      <c r="G302" s="3" t="str">
        <f>IFERROR(VLOOKUP(E302,Employees!A:L,3,FALSE),"")</f>
        <v/>
      </c>
      <c r="H302" s="3"/>
      <c r="I302" s="3"/>
      <c r="J302" s="3"/>
      <c r="K302" s="3" t="str">
        <f>IF(B302="","",IF(OR(E302="",H302=""),"ناقص",IF(H302="نعم","مكتمل","غائب")))</f>
        <v/>
      </c>
      <c r="L302" s="3"/>
    </row>
    <row r="303" spans="1:12" x14ac:dyDescent="0.2">
      <c r="A303" s="3">
        <v>300</v>
      </c>
      <c r="B303" s="3"/>
      <c r="C303" s="3" t="str">
        <f>IFERROR(VLOOKUP(B303,Sessions!A:J,2,FALSE),"")</f>
        <v/>
      </c>
      <c r="D303" s="3" t="str">
        <f>IFERROR(VLOOKUP(B303,Sessions!A:J,3,FALSE),"")</f>
        <v/>
      </c>
      <c r="E303" s="3"/>
      <c r="F303" s="3" t="str">
        <f>IFERROR(VLOOKUP(E303,Employees!A:L,2,FALSE),"")</f>
        <v/>
      </c>
      <c r="G303" s="3" t="str">
        <f>IFERROR(VLOOKUP(E303,Employees!A:L,3,FALSE),"")</f>
        <v/>
      </c>
      <c r="H303" s="3"/>
      <c r="I303" s="3"/>
      <c r="J303" s="3"/>
      <c r="K303" s="3" t="str">
        <f>IF(B303="","",IF(OR(E303="",H303=""),"ناقص",IF(H303="نعم","مكتمل","غائب")))</f>
        <v/>
      </c>
      <c r="L303" s="3"/>
    </row>
    <row r="304" spans="1:12" x14ac:dyDescent="0.2">
      <c r="A304" s="3">
        <v>301</v>
      </c>
      <c r="B304" s="3"/>
      <c r="C304" s="3" t="str">
        <f>IFERROR(VLOOKUP(B304,Sessions!A:J,2,FALSE),"")</f>
        <v/>
      </c>
      <c r="D304" s="3" t="str">
        <f>IFERROR(VLOOKUP(B304,Sessions!A:J,3,FALSE),"")</f>
        <v/>
      </c>
      <c r="E304" s="3"/>
      <c r="F304" s="3" t="str">
        <f>IFERROR(VLOOKUP(E304,Employees!A:L,2,FALSE),"")</f>
        <v/>
      </c>
      <c r="G304" s="3" t="str">
        <f>IFERROR(VLOOKUP(E304,Employees!A:L,3,FALSE),"")</f>
        <v/>
      </c>
      <c r="H304" s="3"/>
      <c r="I304" s="3"/>
      <c r="J304" s="3"/>
      <c r="K304" s="3" t="str">
        <f>IF(B304="","",IF(OR(E304="",H304=""),"ناقص",IF(H304="نعم","مكتمل","غائب")))</f>
        <v/>
      </c>
      <c r="L304" s="3"/>
    </row>
    <row r="305" spans="1:12" x14ac:dyDescent="0.2">
      <c r="A305" s="3">
        <v>302</v>
      </c>
      <c r="B305" s="3"/>
      <c r="C305" s="3" t="str">
        <f>IFERROR(VLOOKUP(B305,Sessions!A:J,2,FALSE),"")</f>
        <v/>
      </c>
      <c r="D305" s="3" t="str">
        <f>IFERROR(VLOOKUP(B305,Sessions!A:J,3,FALSE),"")</f>
        <v/>
      </c>
      <c r="E305" s="3"/>
      <c r="F305" s="3" t="str">
        <f>IFERROR(VLOOKUP(E305,Employees!A:L,2,FALSE),"")</f>
        <v/>
      </c>
      <c r="G305" s="3" t="str">
        <f>IFERROR(VLOOKUP(E305,Employees!A:L,3,FALSE),"")</f>
        <v/>
      </c>
      <c r="H305" s="3"/>
      <c r="I305" s="3"/>
      <c r="J305" s="3"/>
      <c r="K305" s="3" t="str">
        <f>IF(B305="","",IF(OR(E305="",H305=""),"ناقص",IF(H305="نعم","مكتمل","غائب")))</f>
        <v/>
      </c>
      <c r="L305" s="3"/>
    </row>
    <row r="306" spans="1:12" x14ac:dyDescent="0.2">
      <c r="A306" s="3">
        <v>303</v>
      </c>
      <c r="B306" s="3"/>
      <c r="C306" s="3" t="str">
        <f>IFERROR(VLOOKUP(B306,Sessions!A:J,2,FALSE),"")</f>
        <v/>
      </c>
      <c r="D306" s="3" t="str">
        <f>IFERROR(VLOOKUP(B306,Sessions!A:J,3,FALSE),"")</f>
        <v/>
      </c>
      <c r="E306" s="3"/>
      <c r="F306" s="3" t="str">
        <f>IFERROR(VLOOKUP(E306,Employees!A:L,2,FALSE),"")</f>
        <v/>
      </c>
      <c r="G306" s="3" t="str">
        <f>IFERROR(VLOOKUP(E306,Employees!A:L,3,FALSE),"")</f>
        <v/>
      </c>
      <c r="H306" s="3"/>
      <c r="I306" s="3"/>
      <c r="J306" s="3"/>
      <c r="K306" s="3" t="str">
        <f>IF(B306="","",IF(OR(E306="",H306=""),"ناقص",IF(H306="نعم","مكتمل","غائب")))</f>
        <v/>
      </c>
      <c r="L306" s="3"/>
    </row>
    <row r="307" spans="1:12" x14ac:dyDescent="0.2">
      <c r="A307" s="3">
        <v>304</v>
      </c>
      <c r="B307" s="3"/>
      <c r="C307" s="3" t="str">
        <f>IFERROR(VLOOKUP(B307,Sessions!A:J,2,FALSE),"")</f>
        <v/>
      </c>
      <c r="D307" s="3" t="str">
        <f>IFERROR(VLOOKUP(B307,Sessions!A:J,3,FALSE),"")</f>
        <v/>
      </c>
      <c r="E307" s="3"/>
      <c r="F307" s="3" t="str">
        <f>IFERROR(VLOOKUP(E307,Employees!A:L,2,FALSE),"")</f>
        <v/>
      </c>
      <c r="G307" s="3" t="str">
        <f>IFERROR(VLOOKUP(E307,Employees!A:L,3,FALSE),"")</f>
        <v/>
      </c>
      <c r="H307" s="3"/>
      <c r="I307" s="3"/>
      <c r="J307" s="3"/>
      <c r="K307" s="3" t="str">
        <f>IF(B307="","",IF(OR(E307="",H307=""),"ناقص",IF(H307="نعم","مكتمل","غائب")))</f>
        <v/>
      </c>
      <c r="L307" s="3"/>
    </row>
    <row r="308" spans="1:12" x14ac:dyDescent="0.2">
      <c r="A308" s="3">
        <v>305</v>
      </c>
      <c r="B308" s="3"/>
      <c r="C308" s="3" t="str">
        <f>IFERROR(VLOOKUP(B308,Sessions!A:J,2,FALSE),"")</f>
        <v/>
      </c>
      <c r="D308" s="3" t="str">
        <f>IFERROR(VLOOKUP(B308,Sessions!A:J,3,FALSE),"")</f>
        <v/>
      </c>
      <c r="E308" s="3"/>
      <c r="F308" s="3" t="str">
        <f>IFERROR(VLOOKUP(E308,Employees!A:L,2,FALSE),"")</f>
        <v/>
      </c>
      <c r="G308" s="3" t="str">
        <f>IFERROR(VLOOKUP(E308,Employees!A:L,3,FALSE),"")</f>
        <v/>
      </c>
      <c r="H308" s="3"/>
      <c r="I308" s="3"/>
      <c r="J308" s="3"/>
      <c r="K308" s="3" t="str">
        <f>IF(B308="","",IF(OR(E308="",H308=""),"ناقص",IF(H308="نعم","مكتمل","غائب")))</f>
        <v/>
      </c>
      <c r="L308" s="3"/>
    </row>
    <row r="309" spans="1:12" x14ac:dyDescent="0.2">
      <c r="A309" s="3">
        <v>306</v>
      </c>
      <c r="B309" s="3"/>
      <c r="C309" s="3" t="str">
        <f>IFERROR(VLOOKUP(B309,Sessions!A:J,2,FALSE),"")</f>
        <v/>
      </c>
      <c r="D309" s="3" t="str">
        <f>IFERROR(VLOOKUP(B309,Sessions!A:J,3,FALSE),"")</f>
        <v/>
      </c>
      <c r="E309" s="3"/>
      <c r="F309" s="3" t="str">
        <f>IFERROR(VLOOKUP(E309,Employees!A:L,2,FALSE),"")</f>
        <v/>
      </c>
      <c r="G309" s="3" t="str">
        <f>IFERROR(VLOOKUP(E309,Employees!A:L,3,FALSE),"")</f>
        <v/>
      </c>
      <c r="H309" s="3"/>
      <c r="I309" s="3"/>
      <c r="J309" s="3"/>
      <c r="K309" s="3" t="str">
        <f>IF(B309="","",IF(OR(E309="",H309=""),"ناقص",IF(H309="نعم","مكتمل","غائب")))</f>
        <v/>
      </c>
      <c r="L309" s="3"/>
    </row>
    <row r="310" spans="1:12" x14ac:dyDescent="0.2">
      <c r="A310" s="3">
        <v>307</v>
      </c>
      <c r="B310" s="3"/>
      <c r="C310" s="3" t="str">
        <f>IFERROR(VLOOKUP(B310,Sessions!A:J,2,FALSE),"")</f>
        <v/>
      </c>
      <c r="D310" s="3" t="str">
        <f>IFERROR(VLOOKUP(B310,Sessions!A:J,3,FALSE),"")</f>
        <v/>
      </c>
      <c r="E310" s="3"/>
      <c r="F310" s="3" t="str">
        <f>IFERROR(VLOOKUP(E310,Employees!A:L,2,FALSE),"")</f>
        <v/>
      </c>
      <c r="G310" s="3" t="str">
        <f>IFERROR(VLOOKUP(E310,Employees!A:L,3,FALSE),"")</f>
        <v/>
      </c>
      <c r="H310" s="3"/>
      <c r="I310" s="3"/>
      <c r="J310" s="3"/>
      <c r="K310" s="3" t="str">
        <f>IF(B310="","",IF(OR(E310="",H310=""),"ناقص",IF(H310="نعم","مكتمل","غائب")))</f>
        <v/>
      </c>
      <c r="L310" s="3"/>
    </row>
    <row r="311" spans="1:12" x14ac:dyDescent="0.2">
      <c r="A311" s="3">
        <v>308</v>
      </c>
      <c r="B311" s="3"/>
      <c r="C311" s="3" t="str">
        <f>IFERROR(VLOOKUP(B311,Sessions!A:J,2,FALSE),"")</f>
        <v/>
      </c>
      <c r="D311" s="3" t="str">
        <f>IFERROR(VLOOKUP(B311,Sessions!A:J,3,FALSE),"")</f>
        <v/>
      </c>
      <c r="E311" s="3"/>
      <c r="F311" s="3" t="str">
        <f>IFERROR(VLOOKUP(E311,Employees!A:L,2,FALSE),"")</f>
        <v/>
      </c>
      <c r="G311" s="3" t="str">
        <f>IFERROR(VLOOKUP(E311,Employees!A:L,3,FALSE),"")</f>
        <v/>
      </c>
      <c r="H311" s="3"/>
      <c r="I311" s="3"/>
      <c r="J311" s="3"/>
      <c r="K311" s="3" t="str">
        <f>IF(B311="","",IF(OR(E311="",H311=""),"ناقص",IF(H311="نعم","مكتمل","غائب")))</f>
        <v/>
      </c>
      <c r="L311" s="3"/>
    </row>
    <row r="312" spans="1:12" x14ac:dyDescent="0.2">
      <c r="A312" s="3">
        <v>309</v>
      </c>
      <c r="B312" s="3"/>
      <c r="C312" s="3" t="str">
        <f>IFERROR(VLOOKUP(B312,Sessions!A:J,2,FALSE),"")</f>
        <v/>
      </c>
      <c r="D312" s="3" t="str">
        <f>IFERROR(VLOOKUP(B312,Sessions!A:J,3,FALSE),"")</f>
        <v/>
      </c>
      <c r="E312" s="3"/>
      <c r="F312" s="3" t="str">
        <f>IFERROR(VLOOKUP(E312,Employees!A:L,2,FALSE),"")</f>
        <v/>
      </c>
      <c r="G312" s="3" t="str">
        <f>IFERROR(VLOOKUP(E312,Employees!A:L,3,FALSE),"")</f>
        <v/>
      </c>
      <c r="H312" s="3"/>
      <c r="I312" s="3"/>
      <c r="J312" s="3"/>
      <c r="K312" s="3" t="str">
        <f>IF(B312="","",IF(OR(E312="",H312=""),"ناقص",IF(H312="نعم","مكتمل","غائب")))</f>
        <v/>
      </c>
      <c r="L312" s="3"/>
    </row>
    <row r="313" spans="1:12" x14ac:dyDescent="0.2">
      <c r="A313" s="3">
        <v>310</v>
      </c>
      <c r="B313" s="3"/>
      <c r="C313" s="3" t="str">
        <f>IFERROR(VLOOKUP(B313,Sessions!A:J,2,FALSE),"")</f>
        <v/>
      </c>
      <c r="D313" s="3" t="str">
        <f>IFERROR(VLOOKUP(B313,Sessions!A:J,3,FALSE),"")</f>
        <v/>
      </c>
      <c r="E313" s="3"/>
      <c r="F313" s="3" t="str">
        <f>IFERROR(VLOOKUP(E313,Employees!A:L,2,FALSE),"")</f>
        <v/>
      </c>
      <c r="G313" s="3" t="str">
        <f>IFERROR(VLOOKUP(E313,Employees!A:L,3,FALSE),"")</f>
        <v/>
      </c>
      <c r="H313" s="3"/>
      <c r="I313" s="3"/>
      <c r="J313" s="3"/>
      <c r="K313" s="3" t="str">
        <f>IF(B313="","",IF(OR(E313="",H313=""),"ناقص",IF(H313="نعم","مكتمل","غائب")))</f>
        <v/>
      </c>
      <c r="L313" s="3"/>
    </row>
    <row r="314" spans="1:12" x14ac:dyDescent="0.2">
      <c r="A314" s="3">
        <v>311</v>
      </c>
      <c r="B314" s="3"/>
      <c r="C314" s="3" t="str">
        <f>IFERROR(VLOOKUP(B314,Sessions!A:J,2,FALSE),"")</f>
        <v/>
      </c>
      <c r="D314" s="3" t="str">
        <f>IFERROR(VLOOKUP(B314,Sessions!A:J,3,FALSE),"")</f>
        <v/>
      </c>
      <c r="E314" s="3"/>
      <c r="F314" s="3" t="str">
        <f>IFERROR(VLOOKUP(E314,Employees!A:L,2,FALSE),"")</f>
        <v/>
      </c>
      <c r="G314" s="3" t="str">
        <f>IFERROR(VLOOKUP(E314,Employees!A:L,3,FALSE),"")</f>
        <v/>
      </c>
      <c r="H314" s="3"/>
      <c r="I314" s="3"/>
      <c r="J314" s="3"/>
      <c r="K314" s="3" t="str">
        <f>IF(B314="","",IF(OR(E314="",H314=""),"ناقص",IF(H314="نعم","مكتمل","غائب")))</f>
        <v/>
      </c>
      <c r="L314" s="3"/>
    </row>
    <row r="315" spans="1:12" x14ac:dyDescent="0.2">
      <c r="A315" s="3">
        <v>312</v>
      </c>
      <c r="B315" s="3"/>
      <c r="C315" s="3" t="str">
        <f>IFERROR(VLOOKUP(B315,Sessions!A:J,2,FALSE),"")</f>
        <v/>
      </c>
      <c r="D315" s="3" t="str">
        <f>IFERROR(VLOOKUP(B315,Sessions!A:J,3,FALSE),"")</f>
        <v/>
      </c>
      <c r="E315" s="3"/>
      <c r="F315" s="3" t="str">
        <f>IFERROR(VLOOKUP(E315,Employees!A:L,2,FALSE),"")</f>
        <v/>
      </c>
      <c r="G315" s="3" t="str">
        <f>IFERROR(VLOOKUP(E315,Employees!A:L,3,FALSE),"")</f>
        <v/>
      </c>
      <c r="H315" s="3"/>
      <c r="I315" s="3"/>
      <c r="J315" s="3"/>
      <c r="K315" s="3" t="str">
        <f>IF(B315="","",IF(OR(E315="",H315=""),"ناقص",IF(H315="نعم","مكتمل","غائب")))</f>
        <v/>
      </c>
      <c r="L315" s="3"/>
    </row>
    <row r="316" spans="1:12" x14ac:dyDescent="0.2">
      <c r="A316" s="3">
        <v>313</v>
      </c>
      <c r="B316" s="3"/>
      <c r="C316" s="3" t="str">
        <f>IFERROR(VLOOKUP(B316,Sessions!A:J,2,FALSE),"")</f>
        <v/>
      </c>
      <c r="D316" s="3" t="str">
        <f>IFERROR(VLOOKUP(B316,Sessions!A:J,3,FALSE),"")</f>
        <v/>
      </c>
      <c r="E316" s="3"/>
      <c r="F316" s="3" t="str">
        <f>IFERROR(VLOOKUP(E316,Employees!A:L,2,FALSE),"")</f>
        <v/>
      </c>
      <c r="G316" s="3" t="str">
        <f>IFERROR(VLOOKUP(E316,Employees!A:L,3,FALSE),"")</f>
        <v/>
      </c>
      <c r="H316" s="3"/>
      <c r="I316" s="3"/>
      <c r="J316" s="3"/>
      <c r="K316" s="3" t="str">
        <f>IF(B316="","",IF(OR(E316="",H316=""),"ناقص",IF(H316="نعم","مكتمل","غائب")))</f>
        <v/>
      </c>
      <c r="L316" s="3"/>
    </row>
    <row r="317" spans="1:12" x14ac:dyDescent="0.2">
      <c r="A317" s="3">
        <v>314</v>
      </c>
      <c r="B317" s="3"/>
      <c r="C317" s="3" t="str">
        <f>IFERROR(VLOOKUP(B317,Sessions!A:J,2,FALSE),"")</f>
        <v/>
      </c>
      <c r="D317" s="3" t="str">
        <f>IFERROR(VLOOKUP(B317,Sessions!A:J,3,FALSE),"")</f>
        <v/>
      </c>
      <c r="E317" s="3"/>
      <c r="F317" s="3" t="str">
        <f>IFERROR(VLOOKUP(E317,Employees!A:L,2,FALSE),"")</f>
        <v/>
      </c>
      <c r="G317" s="3" t="str">
        <f>IFERROR(VLOOKUP(E317,Employees!A:L,3,FALSE),"")</f>
        <v/>
      </c>
      <c r="H317" s="3"/>
      <c r="I317" s="3"/>
      <c r="J317" s="3"/>
      <c r="K317" s="3" t="str">
        <f>IF(B317="","",IF(OR(E317="",H317=""),"ناقص",IF(H317="نعم","مكتمل","غائب")))</f>
        <v/>
      </c>
      <c r="L317" s="3"/>
    </row>
    <row r="318" spans="1:12" x14ac:dyDescent="0.2">
      <c r="A318" s="3">
        <v>315</v>
      </c>
      <c r="B318" s="3"/>
      <c r="C318" s="3" t="str">
        <f>IFERROR(VLOOKUP(B318,Sessions!A:J,2,FALSE),"")</f>
        <v/>
      </c>
      <c r="D318" s="3" t="str">
        <f>IFERROR(VLOOKUP(B318,Sessions!A:J,3,FALSE),"")</f>
        <v/>
      </c>
      <c r="E318" s="3"/>
      <c r="F318" s="3" t="str">
        <f>IFERROR(VLOOKUP(E318,Employees!A:L,2,FALSE),"")</f>
        <v/>
      </c>
      <c r="G318" s="3" t="str">
        <f>IFERROR(VLOOKUP(E318,Employees!A:L,3,FALSE),"")</f>
        <v/>
      </c>
      <c r="H318" s="3"/>
      <c r="I318" s="3"/>
      <c r="J318" s="3"/>
      <c r="K318" s="3" t="str">
        <f>IF(B318="","",IF(OR(E318="",H318=""),"ناقص",IF(H318="نعم","مكتمل","غائب")))</f>
        <v/>
      </c>
      <c r="L318" s="3"/>
    </row>
    <row r="319" spans="1:12" x14ac:dyDescent="0.2">
      <c r="A319" s="3">
        <v>316</v>
      </c>
      <c r="B319" s="3"/>
      <c r="C319" s="3" t="str">
        <f>IFERROR(VLOOKUP(B319,Sessions!A:J,2,FALSE),"")</f>
        <v/>
      </c>
      <c r="D319" s="3" t="str">
        <f>IFERROR(VLOOKUP(B319,Sessions!A:J,3,FALSE),"")</f>
        <v/>
      </c>
      <c r="E319" s="3"/>
      <c r="F319" s="3" t="str">
        <f>IFERROR(VLOOKUP(E319,Employees!A:L,2,FALSE),"")</f>
        <v/>
      </c>
      <c r="G319" s="3" t="str">
        <f>IFERROR(VLOOKUP(E319,Employees!A:L,3,FALSE),"")</f>
        <v/>
      </c>
      <c r="H319" s="3"/>
      <c r="I319" s="3"/>
      <c r="J319" s="3"/>
      <c r="K319" s="3" t="str">
        <f>IF(B319="","",IF(OR(E319="",H319=""),"ناقص",IF(H319="نعم","مكتمل","غائب")))</f>
        <v/>
      </c>
      <c r="L319" s="3"/>
    </row>
    <row r="320" spans="1:12" x14ac:dyDescent="0.2">
      <c r="A320" s="3">
        <v>317</v>
      </c>
      <c r="B320" s="3"/>
      <c r="C320" s="3" t="str">
        <f>IFERROR(VLOOKUP(B320,Sessions!A:J,2,FALSE),"")</f>
        <v/>
      </c>
      <c r="D320" s="3" t="str">
        <f>IFERROR(VLOOKUP(B320,Sessions!A:J,3,FALSE),"")</f>
        <v/>
      </c>
      <c r="E320" s="3"/>
      <c r="F320" s="3" t="str">
        <f>IFERROR(VLOOKUP(E320,Employees!A:L,2,FALSE),"")</f>
        <v/>
      </c>
      <c r="G320" s="3" t="str">
        <f>IFERROR(VLOOKUP(E320,Employees!A:L,3,FALSE),"")</f>
        <v/>
      </c>
      <c r="H320" s="3"/>
      <c r="I320" s="3"/>
      <c r="J320" s="3"/>
      <c r="K320" s="3" t="str">
        <f>IF(B320="","",IF(OR(E320="",H320=""),"ناقص",IF(H320="نعم","مكتمل","غائب")))</f>
        <v/>
      </c>
      <c r="L320" s="3"/>
    </row>
    <row r="321" spans="1:12" x14ac:dyDescent="0.2">
      <c r="A321" s="3">
        <v>318</v>
      </c>
      <c r="B321" s="3"/>
      <c r="C321" s="3" t="str">
        <f>IFERROR(VLOOKUP(B321,Sessions!A:J,2,FALSE),"")</f>
        <v/>
      </c>
      <c r="D321" s="3" t="str">
        <f>IFERROR(VLOOKUP(B321,Sessions!A:J,3,FALSE),"")</f>
        <v/>
      </c>
      <c r="E321" s="3"/>
      <c r="F321" s="3" t="str">
        <f>IFERROR(VLOOKUP(E321,Employees!A:L,2,FALSE),"")</f>
        <v/>
      </c>
      <c r="G321" s="3" t="str">
        <f>IFERROR(VLOOKUP(E321,Employees!A:L,3,FALSE),"")</f>
        <v/>
      </c>
      <c r="H321" s="3"/>
      <c r="I321" s="3"/>
      <c r="J321" s="3"/>
      <c r="K321" s="3" t="str">
        <f>IF(B321="","",IF(OR(E321="",H321=""),"ناقص",IF(H321="نعم","مكتمل","غائب")))</f>
        <v/>
      </c>
      <c r="L321" s="3"/>
    </row>
    <row r="322" spans="1:12" x14ac:dyDescent="0.2">
      <c r="A322" s="3">
        <v>319</v>
      </c>
      <c r="B322" s="3"/>
      <c r="C322" s="3" t="str">
        <f>IFERROR(VLOOKUP(B322,Sessions!A:J,2,FALSE),"")</f>
        <v/>
      </c>
      <c r="D322" s="3" t="str">
        <f>IFERROR(VLOOKUP(B322,Sessions!A:J,3,FALSE),"")</f>
        <v/>
      </c>
      <c r="E322" s="3"/>
      <c r="F322" s="3" t="str">
        <f>IFERROR(VLOOKUP(E322,Employees!A:L,2,FALSE),"")</f>
        <v/>
      </c>
      <c r="G322" s="3" t="str">
        <f>IFERROR(VLOOKUP(E322,Employees!A:L,3,FALSE),"")</f>
        <v/>
      </c>
      <c r="H322" s="3"/>
      <c r="I322" s="3"/>
      <c r="J322" s="3"/>
      <c r="K322" s="3" t="str">
        <f>IF(B322="","",IF(OR(E322="",H322=""),"ناقص",IF(H322="نعم","مكتمل","غائب")))</f>
        <v/>
      </c>
      <c r="L322" s="3"/>
    </row>
    <row r="323" spans="1:12" x14ac:dyDescent="0.2">
      <c r="A323" s="3">
        <v>320</v>
      </c>
      <c r="B323" s="3"/>
      <c r="C323" s="3" t="str">
        <f>IFERROR(VLOOKUP(B323,Sessions!A:J,2,FALSE),"")</f>
        <v/>
      </c>
      <c r="D323" s="3" t="str">
        <f>IFERROR(VLOOKUP(B323,Sessions!A:J,3,FALSE),"")</f>
        <v/>
      </c>
      <c r="E323" s="3"/>
      <c r="F323" s="3" t="str">
        <f>IFERROR(VLOOKUP(E323,Employees!A:L,2,FALSE),"")</f>
        <v/>
      </c>
      <c r="G323" s="3" t="str">
        <f>IFERROR(VLOOKUP(E323,Employees!A:L,3,FALSE),"")</f>
        <v/>
      </c>
      <c r="H323" s="3"/>
      <c r="I323" s="3"/>
      <c r="J323" s="3"/>
      <c r="K323" s="3" t="str">
        <f>IF(B323="","",IF(OR(E323="",H323=""),"ناقص",IF(H323="نعم","مكتمل","غائب")))</f>
        <v/>
      </c>
      <c r="L323" s="3"/>
    </row>
    <row r="324" spans="1:12" x14ac:dyDescent="0.2">
      <c r="A324" s="3">
        <v>321</v>
      </c>
      <c r="B324" s="3"/>
      <c r="C324" s="3" t="str">
        <f>IFERROR(VLOOKUP(B324,Sessions!A:J,2,FALSE),"")</f>
        <v/>
      </c>
      <c r="D324" s="3" t="str">
        <f>IFERROR(VLOOKUP(B324,Sessions!A:J,3,FALSE),"")</f>
        <v/>
      </c>
      <c r="E324" s="3"/>
      <c r="F324" s="3" t="str">
        <f>IFERROR(VLOOKUP(E324,Employees!A:L,2,FALSE),"")</f>
        <v/>
      </c>
      <c r="G324" s="3" t="str">
        <f>IFERROR(VLOOKUP(E324,Employees!A:L,3,FALSE),"")</f>
        <v/>
      </c>
      <c r="H324" s="3"/>
      <c r="I324" s="3"/>
      <c r="J324" s="3"/>
      <c r="K324" s="3" t="str">
        <f>IF(B324="","",IF(OR(E324="",H324=""),"ناقص",IF(H324="نعم","مكتمل","غائب")))</f>
        <v/>
      </c>
      <c r="L324" s="3"/>
    </row>
    <row r="325" spans="1:12" x14ac:dyDescent="0.2">
      <c r="A325" s="3">
        <v>322</v>
      </c>
      <c r="B325" s="3"/>
      <c r="C325" s="3" t="str">
        <f>IFERROR(VLOOKUP(B325,Sessions!A:J,2,FALSE),"")</f>
        <v/>
      </c>
      <c r="D325" s="3" t="str">
        <f>IFERROR(VLOOKUP(B325,Sessions!A:J,3,FALSE),"")</f>
        <v/>
      </c>
      <c r="E325" s="3"/>
      <c r="F325" s="3" t="str">
        <f>IFERROR(VLOOKUP(E325,Employees!A:L,2,FALSE),"")</f>
        <v/>
      </c>
      <c r="G325" s="3" t="str">
        <f>IFERROR(VLOOKUP(E325,Employees!A:L,3,FALSE),"")</f>
        <v/>
      </c>
      <c r="H325" s="3"/>
      <c r="I325" s="3"/>
      <c r="J325" s="3"/>
      <c r="K325" s="3" t="str">
        <f>IF(B325="","",IF(OR(E325="",H325=""),"ناقص",IF(H325="نعم","مكتمل","غائب")))</f>
        <v/>
      </c>
      <c r="L325" s="3"/>
    </row>
    <row r="326" spans="1:12" x14ac:dyDescent="0.2">
      <c r="A326" s="3">
        <v>323</v>
      </c>
      <c r="B326" s="3"/>
      <c r="C326" s="3" t="str">
        <f>IFERROR(VLOOKUP(B326,Sessions!A:J,2,FALSE),"")</f>
        <v/>
      </c>
      <c r="D326" s="3" t="str">
        <f>IFERROR(VLOOKUP(B326,Sessions!A:J,3,FALSE),"")</f>
        <v/>
      </c>
      <c r="E326" s="3"/>
      <c r="F326" s="3" t="str">
        <f>IFERROR(VLOOKUP(E326,Employees!A:L,2,FALSE),"")</f>
        <v/>
      </c>
      <c r="G326" s="3" t="str">
        <f>IFERROR(VLOOKUP(E326,Employees!A:L,3,FALSE),"")</f>
        <v/>
      </c>
      <c r="H326" s="3"/>
      <c r="I326" s="3"/>
      <c r="J326" s="3"/>
      <c r="K326" s="3" t="str">
        <f>IF(B326="","",IF(OR(E326="",H326=""),"ناقص",IF(H326="نعم","مكتمل","غائب")))</f>
        <v/>
      </c>
      <c r="L326" s="3"/>
    </row>
    <row r="327" spans="1:12" x14ac:dyDescent="0.2">
      <c r="A327" s="3">
        <v>324</v>
      </c>
      <c r="B327" s="3"/>
      <c r="C327" s="3" t="str">
        <f>IFERROR(VLOOKUP(B327,Sessions!A:J,2,FALSE),"")</f>
        <v/>
      </c>
      <c r="D327" s="3" t="str">
        <f>IFERROR(VLOOKUP(B327,Sessions!A:J,3,FALSE),"")</f>
        <v/>
      </c>
      <c r="E327" s="3"/>
      <c r="F327" s="3" t="str">
        <f>IFERROR(VLOOKUP(E327,Employees!A:L,2,FALSE),"")</f>
        <v/>
      </c>
      <c r="G327" s="3" t="str">
        <f>IFERROR(VLOOKUP(E327,Employees!A:L,3,FALSE),"")</f>
        <v/>
      </c>
      <c r="H327" s="3"/>
      <c r="I327" s="3"/>
      <c r="J327" s="3"/>
      <c r="K327" s="3" t="str">
        <f>IF(B327="","",IF(OR(E327="",H327=""),"ناقص",IF(H327="نعم","مكتمل","غائب")))</f>
        <v/>
      </c>
      <c r="L327" s="3"/>
    </row>
    <row r="328" spans="1:12" x14ac:dyDescent="0.2">
      <c r="A328" s="3">
        <v>325</v>
      </c>
      <c r="B328" s="3"/>
      <c r="C328" s="3" t="str">
        <f>IFERROR(VLOOKUP(B328,Sessions!A:J,2,FALSE),"")</f>
        <v/>
      </c>
      <c r="D328" s="3" t="str">
        <f>IFERROR(VLOOKUP(B328,Sessions!A:J,3,FALSE),"")</f>
        <v/>
      </c>
      <c r="E328" s="3"/>
      <c r="F328" s="3" t="str">
        <f>IFERROR(VLOOKUP(E328,Employees!A:L,2,FALSE),"")</f>
        <v/>
      </c>
      <c r="G328" s="3" t="str">
        <f>IFERROR(VLOOKUP(E328,Employees!A:L,3,FALSE),"")</f>
        <v/>
      </c>
      <c r="H328" s="3"/>
      <c r="I328" s="3"/>
      <c r="J328" s="3"/>
      <c r="K328" s="3" t="str">
        <f>IF(B328="","",IF(OR(E328="",H328=""),"ناقص",IF(H328="نعم","مكتمل","غائب")))</f>
        <v/>
      </c>
      <c r="L328" s="3"/>
    </row>
    <row r="329" spans="1:12" x14ac:dyDescent="0.2">
      <c r="A329" s="3">
        <v>326</v>
      </c>
      <c r="B329" s="3"/>
      <c r="C329" s="3" t="str">
        <f>IFERROR(VLOOKUP(B329,Sessions!A:J,2,FALSE),"")</f>
        <v/>
      </c>
      <c r="D329" s="3" t="str">
        <f>IFERROR(VLOOKUP(B329,Sessions!A:J,3,FALSE),"")</f>
        <v/>
      </c>
      <c r="E329" s="3"/>
      <c r="F329" s="3" t="str">
        <f>IFERROR(VLOOKUP(E329,Employees!A:L,2,FALSE),"")</f>
        <v/>
      </c>
      <c r="G329" s="3" t="str">
        <f>IFERROR(VLOOKUP(E329,Employees!A:L,3,FALSE),"")</f>
        <v/>
      </c>
      <c r="H329" s="3"/>
      <c r="I329" s="3"/>
      <c r="J329" s="3"/>
      <c r="K329" s="3" t="str">
        <f>IF(B329="","",IF(OR(E329="",H329=""),"ناقص",IF(H329="نعم","مكتمل","غائب")))</f>
        <v/>
      </c>
      <c r="L329" s="3"/>
    </row>
    <row r="330" spans="1:12" x14ac:dyDescent="0.2">
      <c r="A330" s="3">
        <v>327</v>
      </c>
      <c r="B330" s="3"/>
      <c r="C330" s="3" t="str">
        <f>IFERROR(VLOOKUP(B330,Sessions!A:J,2,FALSE),"")</f>
        <v/>
      </c>
      <c r="D330" s="3" t="str">
        <f>IFERROR(VLOOKUP(B330,Sessions!A:J,3,FALSE),"")</f>
        <v/>
      </c>
      <c r="E330" s="3"/>
      <c r="F330" s="3" t="str">
        <f>IFERROR(VLOOKUP(E330,Employees!A:L,2,FALSE),"")</f>
        <v/>
      </c>
      <c r="G330" s="3" t="str">
        <f>IFERROR(VLOOKUP(E330,Employees!A:L,3,FALSE),"")</f>
        <v/>
      </c>
      <c r="H330" s="3"/>
      <c r="I330" s="3"/>
      <c r="J330" s="3"/>
      <c r="K330" s="3" t="str">
        <f>IF(B330="","",IF(OR(E330="",H330=""),"ناقص",IF(H330="نعم","مكتمل","غائب")))</f>
        <v/>
      </c>
      <c r="L330" s="3"/>
    </row>
    <row r="331" spans="1:12" x14ac:dyDescent="0.2">
      <c r="A331" s="3">
        <v>328</v>
      </c>
      <c r="B331" s="3"/>
      <c r="C331" s="3" t="str">
        <f>IFERROR(VLOOKUP(B331,Sessions!A:J,2,FALSE),"")</f>
        <v/>
      </c>
      <c r="D331" s="3" t="str">
        <f>IFERROR(VLOOKUP(B331,Sessions!A:J,3,FALSE),"")</f>
        <v/>
      </c>
      <c r="E331" s="3"/>
      <c r="F331" s="3" t="str">
        <f>IFERROR(VLOOKUP(E331,Employees!A:L,2,FALSE),"")</f>
        <v/>
      </c>
      <c r="G331" s="3" t="str">
        <f>IFERROR(VLOOKUP(E331,Employees!A:L,3,FALSE),"")</f>
        <v/>
      </c>
      <c r="H331" s="3"/>
      <c r="I331" s="3"/>
      <c r="J331" s="3"/>
      <c r="K331" s="3" t="str">
        <f>IF(B331="","",IF(OR(E331="",H331=""),"ناقص",IF(H331="نعم","مكتمل","غائب")))</f>
        <v/>
      </c>
      <c r="L331" s="3"/>
    </row>
    <row r="332" spans="1:12" x14ac:dyDescent="0.2">
      <c r="A332" s="3">
        <v>329</v>
      </c>
      <c r="B332" s="3"/>
      <c r="C332" s="3" t="str">
        <f>IFERROR(VLOOKUP(B332,Sessions!A:J,2,FALSE),"")</f>
        <v/>
      </c>
      <c r="D332" s="3" t="str">
        <f>IFERROR(VLOOKUP(B332,Sessions!A:J,3,FALSE),"")</f>
        <v/>
      </c>
      <c r="E332" s="3"/>
      <c r="F332" s="3" t="str">
        <f>IFERROR(VLOOKUP(E332,Employees!A:L,2,FALSE),"")</f>
        <v/>
      </c>
      <c r="G332" s="3" t="str">
        <f>IFERROR(VLOOKUP(E332,Employees!A:L,3,FALSE),"")</f>
        <v/>
      </c>
      <c r="H332" s="3"/>
      <c r="I332" s="3"/>
      <c r="J332" s="3"/>
      <c r="K332" s="3" t="str">
        <f>IF(B332="","",IF(OR(E332="",H332=""),"ناقص",IF(H332="نعم","مكتمل","غائب")))</f>
        <v/>
      </c>
      <c r="L332" s="3"/>
    </row>
    <row r="333" spans="1:12" x14ac:dyDescent="0.2">
      <c r="A333" s="3">
        <v>330</v>
      </c>
      <c r="B333" s="3"/>
      <c r="C333" s="3" t="str">
        <f>IFERROR(VLOOKUP(B333,Sessions!A:J,2,FALSE),"")</f>
        <v/>
      </c>
      <c r="D333" s="3" t="str">
        <f>IFERROR(VLOOKUP(B333,Sessions!A:J,3,FALSE),"")</f>
        <v/>
      </c>
      <c r="E333" s="3"/>
      <c r="F333" s="3" t="str">
        <f>IFERROR(VLOOKUP(E333,Employees!A:L,2,FALSE),"")</f>
        <v/>
      </c>
      <c r="G333" s="3" t="str">
        <f>IFERROR(VLOOKUP(E333,Employees!A:L,3,FALSE),"")</f>
        <v/>
      </c>
      <c r="H333" s="3"/>
      <c r="I333" s="3"/>
      <c r="J333" s="3"/>
      <c r="K333" s="3" t="str">
        <f>IF(B333="","",IF(OR(E333="",H333=""),"ناقص",IF(H333="نعم","مكتمل","غائب")))</f>
        <v/>
      </c>
      <c r="L333" s="3"/>
    </row>
    <row r="334" spans="1:12" x14ac:dyDescent="0.2">
      <c r="A334" s="3">
        <v>331</v>
      </c>
      <c r="B334" s="3"/>
      <c r="C334" s="3" t="str">
        <f>IFERROR(VLOOKUP(B334,Sessions!A:J,2,FALSE),"")</f>
        <v/>
      </c>
      <c r="D334" s="3" t="str">
        <f>IFERROR(VLOOKUP(B334,Sessions!A:J,3,FALSE),"")</f>
        <v/>
      </c>
      <c r="E334" s="3"/>
      <c r="F334" s="3" t="str">
        <f>IFERROR(VLOOKUP(E334,Employees!A:L,2,FALSE),"")</f>
        <v/>
      </c>
      <c r="G334" s="3" t="str">
        <f>IFERROR(VLOOKUP(E334,Employees!A:L,3,FALSE),"")</f>
        <v/>
      </c>
      <c r="H334" s="3"/>
      <c r="I334" s="3"/>
      <c r="J334" s="3"/>
      <c r="K334" s="3" t="str">
        <f>IF(B334="","",IF(OR(E334="",H334=""),"ناقص",IF(H334="نعم","مكتمل","غائب")))</f>
        <v/>
      </c>
      <c r="L334" s="3"/>
    </row>
    <row r="335" spans="1:12" x14ac:dyDescent="0.2">
      <c r="A335" s="3">
        <v>332</v>
      </c>
      <c r="B335" s="3"/>
      <c r="C335" s="3" t="str">
        <f>IFERROR(VLOOKUP(B335,Sessions!A:J,2,FALSE),"")</f>
        <v/>
      </c>
      <c r="D335" s="3" t="str">
        <f>IFERROR(VLOOKUP(B335,Sessions!A:J,3,FALSE),"")</f>
        <v/>
      </c>
      <c r="E335" s="3"/>
      <c r="F335" s="3" t="str">
        <f>IFERROR(VLOOKUP(E335,Employees!A:L,2,FALSE),"")</f>
        <v/>
      </c>
      <c r="G335" s="3" t="str">
        <f>IFERROR(VLOOKUP(E335,Employees!A:L,3,FALSE),"")</f>
        <v/>
      </c>
      <c r="H335" s="3"/>
      <c r="I335" s="3"/>
      <c r="J335" s="3"/>
      <c r="K335" s="3" t="str">
        <f>IF(B335="","",IF(OR(E335="",H335=""),"ناقص",IF(H335="نعم","مكتمل","غائب")))</f>
        <v/>
      </c>
      <c r="L335" s="3"/>
    </row>
    <row r="336" spans="1:12" x14ac:dyDescent="0.2">
      <c r="A336" s="3">
        <v>333</v>
      </c>
      <c r="B336" s="3"/>
      <c r="C336" s="3" t="str">
        <f>IFERROR(VLOOKUP(B336,Sessions!A:J,2,FALSE),"")</f>
        <v/>
      </c>
      <c r="D336" s="3" t="str">
        <f>IFERROR(VLOOKUP(B336,Sessions!A:J,3,FALSE),"")</f>
        <v/>
      </c>
      <c r="E336" s="3"/>
      <c r="F336" s="3" t="str">
        <f>IFERROR(VLOOKUP(E336,Employees!A:L,2,FALSE),"")</f>
        <v/>
      </c>
      <c r="G336" s="3" t="str">
        <f>IFERROR(VLOOKUP(E336,Employees!A:L,3,FALSE),"")</f>
        <v/>
      </c>
      <c r="H336" s="3"/>
      <c r="I336" s="3"/>
      <c r="J336" s="3"/>
      <c r="K336" s="3" t="str">
        <f>IF(B336="","",IF(OR(E336="",H336=""),"ناقص",IF(H336="نعم","مكتمل","غائب")))</f>
        <v/>
      </c>
      <c r="L336" s="3"/>
    </row>
    <row r="337" spans="1:12" x14ac:dyDescent="0.2">
      <c r="A337" s="3">
        <v>334</v>
      </c>
      <c r="B337" s="3"/>
      <c r="C337" s="3" t="str">
        <f>IFERROR(VLOOKUP(B337,Sessions!A:J,2,FALSE),"")</f>
        <v/>
      </c>
      <c r="D337" s="3" t="str">
        <f>IFERROR(VLOOKUP(B337,Sessions!A:J,3,FALSE),"")</f>
        <v/>
      </c>
      <c r="E337" s="3"/>
      <c r="F337" s="3" t="str">
        <f>IFERROR(VLOOKUP(E337,Employees!A:L,2,FALSE),"")</f>
        <v/>
      </c>
      <c r="G337" s="3" t="str">
        <f>IFERROR(VLOOKUP(E337,Employees!A:L,3,FALSE),"")</f>
        <v/>
      </c>
      <c r="H337" s="3"/>
      <c r="I337" s="3"/>
      <c r="J337" s="3"/>
      <c r="K337" s="3" t="str">
        <f>IF(B337="","",IF(OR(E337="",H337=""),"ناقص",IF(H337="نعم","مكتمل","غائب")))</f>
        <v/>
      </c>
      <c r="L337" s="3"/>
    </row>
    <row r="338" spans="1:12" x14ac:dyDescent="0.2">
      <c r="A338" s="3">
        <v>335</v>
      </c>
      <c r="B338" s="3"/>
      <c r="C338" s="3" t="str">
        <f>IFERROR(VLOOKUP(B338,Sessions!A:J,2,FALSE),"")</f>
        <v/>
      </c>
      <c r="D338" s="3" t="str">
        <f>IFERROR(VLOOKUP(B338,Sessions!A:J,3,FALSE),"")</f>
        <v/>
      </c>
      <c r="E338" s="3"/>
      <c r="F338" s="3" t="str">
        <f>IFERROR(VLOOKUP(E338,Employees!A:L,2,FALSE),"")</f>
        <v/>
      </c>
      <c r="G338" s="3" t="str">
        <f>IFERROR(VLOOKUP(E338,Employees!A:L,3,FALSE),"")</f>
        <v/>
      </c>
      <c r="H338" s="3"/>
      <c r="I338" s="3"/>
      <c r="J338" s="3"/>
      <c r="K338" s="3" t="str">
        <f>IF(B338="","",IF(OR(E338="",H338=""),"ناقص",IF(H338="نعم","مكتمل","غائب")))</f>
        <v/>
      </c>
      <c r="L338" s="3"/>
    </row>
    <row r="339" spans="1:12" x14ac:dyDescent="0.2">
      <c r="A339" s="3">
        <v>336</v>
      </c>
      <c r="B339" s="3"/>
      <c r="C339" s="3" t="str">
        <f>IFERROR(VLOOKUP(B339,Sessions!A:J,2,FALSE),"")</f>
        <v/>
      </c>
      <c r="D339" s="3" t="str">
        <f>IFERROR(VLOOKUP(B339,Sessions!A:J,3,FALSE),"")</f>
        <v/>
      </c>
      <c r="E339" s="3"/>
      <c r="F339" s="3" t="str">
        <f>IFERROR(VLOOKUP(E339,Employees!A:L,2,FALSE),"")</f>
        <v/>
      </c>
      <c r="G339" s="3" t="str">
        <f>IFERROR(VLOOKUP(E339,Employees!A:L,3,FALSE),"")</f>
        <v/>
      </c>
      <c r="H339" s="3"/>
      <c r="I339" s="3"/>
      <c r="J339" s="3"/>
      <c r="K339" s="3" t="str">
        <f>IF(B339="","",IF(OR(E339="",H339=""),"ناقص",IF(H339="نعم","مكتمل","غائب")))</f>
        <v/>
      </c>
      <c r="L339" s="3"/>
    </row>
    <row r="340" spans="1:12" x14ac:dyDescent="0.2">
      <c r="A340" s="3">
        <v>337</v>
      </c>
      <c r="B340" s="3"/>
      <c r="C340" s="3" t="str">
        <f>IFERROR(VLOOKUP(B340,Sessions!A:J,2,FALSE),"")</f>
        <v/>
      </c>
      <c r="D340" s="3" t="str">
        <f>IFERROR(VLOOKUP(B340,Sessions!A:J,3,FALSE),"")</f>
        <v/>
      </c>
      <c r="E340" s="3"/>
      <c r="F340" s="3" t="str">
        <f>IFERROR(VLOOKUP(E340,Employees!A:L,2,FALSE),"")</f>
        <v/>
      </c>
      <c r="G340" s="3" t="str">
        <f>IFERROR(VLOOKUP(E340,Employees!A:L,3,FALSE),"")</f>
        <v/>
      </c>
      <c r="H340" s="3"/>
      <c r="I340" s="3"/>
      <c r="J340" s="3"/>
      <c r="K340" s="3" t="str">
        <f>IF(B340="","",IF(OR(E340="",H340=""),"ناقص",IF(H340="نعم","مكتمل","غائب")))</f>
        <v/>
      </c>
      <c r="L340" s="3"/>
    </row>
    <row r="341" spans="1:12" x14ac:dyDescent="0.2">
      <c r="A341" s="3">
        <v>338</v>
      </c>
      <c r="B341" s="3"/>
      <c r="C341" s="3" t="str">
        <f>IFERROR(VLOOKUP(B341,Sessions!A:J,2,FALSE),"")</f>
        <v/>
      </c>
      <c r="D341" s="3" t="str">
        <f>IFERROR(VLOOKUP(B341,Sessions!A:J,3,FALSE),"")</f>
        <v/>
      </c>
      <c r="E341" s="3"/>
      <c r="F341" s="3" t="str">
        <f>IFERROR(VLOOKUP(E341,Employees!A:L,2,FALSE),"")</f>
        <v/>
      </c>
      <c r="G341" s="3" t="str">
        <f>IFERROR(VLOOKUP(E341,Employees!A:L,3,FALSE),"")</f>
        <v/>
      </c>
      <c r="H341" s="3"/>
      <c r="I341" s="3"/>
      <c r="J341" s="3"/>
      <c r="K341" s="3" t="str">
        <f>IF(B341="","",IF(OR(E341="",H341=""),"ناقص",IF(H341="نعم","مكتمل","غائب")))</f>
        <v/>
      </c>
      <c r="L341" s="3"/>
    </row>
    <row r="342" spans="1:12" x14ac:dyDescent="0.2">
      <c r="A342" s="3">
        <v>339</v>
      </c>
      <c r="B342" s="3"/>
      <c r="C342" s="3" t="str">
        <f>IFERROR(VLOOKUP(B342,Sessions!A:J,2,FALSE),"")</f>
        <v/>
      </c>
      <c r="D342" s="3" t="str">
        <f>IFERROR(VLOOKUP(B342,Sessions!A:J,3,FALSE),"")</f>
        <v/>
      </c>
      <c r="E342" s="3"/>
      <c r="F342" s="3" t="str">
        <f>IFERROR(VLOOKUP(E342,Employees!A:L,2,FALSE),"")</f>
        <v/>
      </c>
      <c r="G342" s="3" t="str">
        <f>IFERROR(VLOOKUP(E342,Employees!A:L,3,FALSE),"")</f>
        <v/>
      </c>
      <c r="H342" s="3"/>
      <c r="I342" s="3"/>
      <c r="J342" s="3"/>
      <c r="K342" s="3" t="str">
        <f>IF(B342="","",IF(OR(E342="",H342=""),"ناقص",IF(H342="نعم","مكتمل","غائب")))</f>
        <v/>
      </c>
      <c r="L342" s="3"/>
    </row>
    <row r="343" spans="1:12" x14ac:dyDescent="0.2">
      <c r="A343" s="3">
        <v>340</v>
      </c>
      <c r="B343" s="3"/>
      <c r="C343" s="3" t="str">
        <f>IFERROR(VLOOKUP(B343,Sessions!A:J,2,FALSE),"")</f>
        <v/>
      </c>
      <c r="D343" s="3" t="str">
        <f>IFERROR(VLOOKUP(B343,Sessions!A:J,3,FALSE),"")</f>
        <v/>
      </c>
      <c r="E343" s="3"/>
      <c r="F343" s="3" t="str">
        <f>IFERROR(VLOOKUP(E343,Employees!A:L,2,FALSE),"")</f>
        <v/>
      </c>
      <c r="G343" s="3" t="str">
        <f>IFERROR(VLOOKUP(E343,Employees!A:L,3,FALSE),"")</f>
        <v/>
      </c>
      <c r="H343" s="3"/>
      <c r="I343" s="3"/>
      <c r="J343" s="3"/>
      <c r="K343" s="3" t="str">
        <f>IF(B343="","",IF(OR(E343="",H343=""),"ناقص",IF(H343="نعم","مكتمل","غائب")))</f>
        <v/>
      </c>
      <c r="L343" s="3"/>
    </row>
    <row r="344" spans="1:12" x14ac:dyDescent="0.2">
      <c r="A344" s="3">
        <v>341</v>
      </c>
      <c r="B344" s="3"/>
      <c r="C344" s="3" t="str">
        <f>IFERROR(VLOOKUP(B344,Sessions!A:J,2,FALSE),"")</f>
        <v/>
      </c>
      <c r="D344" s="3" t="str">
        <f>IFERROR(VLOOKUP(B344,Sessions!A:J,3,FALSE),"")</f>
        <v/>
      </c>
      <c r="E344" s="3"/>
      <c r="F344" s="3" t="str">
        <f>IFERROR(VLOOKUP(E344,Employees!A:L,2,FALSE),"")</f>
        <v/>
      </c>
      <c r="G344" s="3" t="str">
        <f>IFERROR(VLOOKUP(E344,Employees!A:L,3,FALSE),"")</f>
        <v/>
      </c>
      <c r="H344" s="3"/>
      <c r="I344" s="3"/>
      <c r="J344" s="3"/>
      <c r="K344" s="3" t="str">
        <f>IF(B344="","",IF(OR(E344="",H344=""),"ناقص",IF(H344="نعم","مكتمل","غائب")))</f>
        <v/>
      </c>
      <c r="L344" s="3"/>
    </row>
    <row r="345" spans="1:12" x14ac:dyDescent="0.2">
      <c r="A345" s="3">
        <v>342</v>
      </c>
      <c r="B345" s="3"/>
      <c r="C345" s="3" t="str">
        <f>IFERROR(VLOOKUP(B345,Sessions!A:J,2,FALSE),"")</f>
        <v/>
      </c>
      <c r="D345" s="3" t="str">
        <f>IFERROR(VLOOKUP(B345,Sessions!A:J,3,FALSE),"")</f>
        <v/>
      </c>
      <c r="E345" s="3"/>
      <c r="F345" s="3" t="str">
        <f>IFERROR(VLOOKUP(E345,Employees!A:L,2,FALSE),"")</f>
        <v/>
      </c>
      <c r="G345" s="3" t="str">
        <f>IFERROR(VLOOKUP(E345,Employees!A:L,3,FALSE),"")</f>
        <v/>
      </c>
      <c r="H345" s="3"/>
      <c r="I345" s="3"/>
      <c r="J345" s="3"/>
      <c r="K345" s="3" t="str">
        <f>IF(B345="","",IF(OR(E345="",H345=""),"ناقص",IF(H345="نعم","مكتمل","غائب")))</f>
        <v/>
      </c>
      <c r="L345" s="3"/>
    </row>
    <row r="346" spans="1:12" x14ac:dyDescent="0.2">
      <c r="A346" s="3">
        <v>343</v>
      </c>
      <c r="B346" s="3"/>
      <c r="C346" s="3" t="str">
        <f>IFERROR(VLOOKUP(B346,Sessions!A:J,2,FALSE),"")</f>
        <v/>
      </c>
      <c r="D346" s="3" t="str">
        <f>IFERROR(VLOOKUP(B346,Sessions!A:J,3,FALSE),"")</f>
        <v/>
      </c>
      <c r="E346" s="3"/>
      <c r="F346" s="3" t="str">
        <f>IFERROR(VLOOKUP(E346,Employees!A:L,2,FALSE),"")</f>
        <v/>
      </c>
      <c r="G346" s="3" t="str">
        <f>IFERROR(VLOOKUP(E346,Employees!A:L,3,FALSE),"")</f>
        <v/>
      </c>
      <c r="H346" s="3"/>
      <c r="I346" s="3"/>
      <c r="J346" s="3"/>
      <c r="K346" s="3" t="str">
        <f>IF(B346="","",IF(OR(E346="",H346=""),"ناقص",IF(H346="نعم","مكتمل","غائب")))</f>
        <v/>
      </c>
      <c r="L346" s="3"/>
    </row>
    <row r="347" spans="1:12" x14ac:dyDescent="0.2">
      <c r="A347" s="3">
        <v>344</v>
      </c>
      <c r="B347" s="3"/>
      <c r="C347" s="3" t="str">
        <f>IFERROR(VLOOKUP(B347,Sessions!A:J,2,FALSE),"")</f>
        <v/>
      </c>
      <c r="D347" s="3" t="str">
        <f>IFERROR(VLOOKUP(B347,Sessions!A:J,3,FALSE),"")</f>
        <v/>
      </c>
      <c r="E347" s="3"/>
      <c r="F347" s="3" t="str">
        <f>IFERROR(VLOOKUP(E347,Employees!A:L,2,FALSE),"")</f>
        <v/>
      </c>
      <c r="G347" s="3" t="str">
        <f>IFERROR(VLOOKUP(E347,Employees!A:L,3,FALSE),"")</f>
        <v/>
      </c>
      <c r="H347" s="3"/>
      <c r="I347" s="3"/>
      <c r="J347" s="3"/>
      <c r="K347" s="3" t="str">
        <f>IF(B347="","",IF(OR(E347="",H347=""),"ناقص",IF(H347="نعم","مكتمل","غائب")))</f>
        <v/>
      </c>
      <c r="L347" s="3"/>
    </row>
    <row r="348" spans="1:12" x14ac:dyDescent="0.2">
      <c r="A348" s="3">
        <v>345</v>
      </c>
      <c r="B348" s="3"/>
      <c r="C348" s="3" t="str">
        <f>IFERROR(VLOOKUP(B348,Sessions!A:J,2,FALSE),"")</f>
        <v/>
      </c>
      <c r="D348" s="3" t="str">
        <f>IFERROR(VLOOKUP(B348,Sessions!A:J,3,FALSE),"")</f>
        <v/>
      </c>
      <c r="E348" s="3"/>
      <c r="F348" s="3" t="str">
        <f>IFERROR(VLOOKUP(E348,Employees!A:L,2,FALSE),"")</f>
        <v/>
      </c>
      <c r="G348" s="3" t="str">
        <f>IFERROR(VLOOKUP(E348,Employees!A:L,3,FALSE),"")</f>
        <v/>
      </c>
      <c r="H348" s="3"/>
      <c r="I348" s="3"/>
      <c r="J348" s="3"/>
      <c r="K348" s="3" t="str">
        <f>IF(B348="","",IF(OR(E348="",H348=""),"ناقص",IF(H348="نعم","مكتمل","غائب")))</f>
        <v/>
      </c>
      <c r="L348" s="3"/>
    </row>
    <row r="349" spans="1:12" x14ac:dyDescent="0.2">
      <c r="A349" s="3">
        <v>346</v>
      </c>
      <c r="B349" s="3"/>
      <c r="C349" s="3" t="str">
        <f>IFERROR(VLOOKUP(B349,Sessions!A:J,2,FALSE),"")</f>
        <v/>
      </c>
      <c r="D349" s="3" t="str">
        <f>IFERROR(VLOOKUP(B349,Sessions!A:J,3,FALSE),"")</f>
        <v/>
      </c>
      <c r="E349" s="3"/>
      <c r="F349" s="3" t="str">
        <f>IFERROR(VLOOKUP(E349,Employees!A:L,2,FALSE),"")</f>
        <v/>
      </c>
      <c r="G349" s="3" t="str">
        <f>IFERROR(VLOOKUP(E349,Employees!A:L,3,FALSE),"")</f>
        <v/>
      </c>
      <c r="H349" s="3"/>
      <c r="I349" s="3"/>
      <c r="J349" s="3"/>
      <c r="K349" s="3" t="str">
        <f>IF(B349="","",IF(OR(E349="",H349=""),"ناقص",IF(H349="نعم","مكتمل","غائب")))</f>
        <v/>
      </c>
      <c r="L349" s="3"/>
    </row>
    <row r="350" spans="1:12" x14ac:dyDescent="0.2">
      <c r="A350" s="3">
        <v>347</v>
      </c>
      <c r="B350" s="3"/>
      <c r="C350" s="3" t="str">
        <f>IFERROR(VLOOKUP(B350,Sessions!A:J,2,FALSE),"")</f>
        <v/>
      </c>
      <c r="D350" s="3" t="str">
        <f>IFERROR(VLOOKUP(B350,Sessions!A:J,3,FALSE),"")</f>
        <v/>
      </c>
      <c r="E350" s="3"/>
      <c r="F350" s="3" t="str">
        <f>IFERROR(VLOOKUP(E350,Employees!A:L,2,FALSE),"")</f>
        <v/>
      </c>
      <c r="G350" s="3" t="str">
        <f>IFERROR(VLOOKUP(E350,Employees!A:L,3,FALSE),"")</f>
        <v/>
      </c>
      <c r="H350" s="3"/>
      <c r="I350" s="3"/>
      <c r="J350" s="3"/>
      <c r="K350" s="3" t="str">
        <f>IF(B350="","",IF(OR(E350="",H350=""),"ناقص",IF(H350="نعم","مكتمل","غائب")))</f>
        <v/>
      </c>
      <c r="L350" s="3"/>
    </row>
    <row r="351" spans="1:12" x14ac:dyDescent="0.2">
      <c r="A351" s="3">
        <v>348</v>
      </c>
      <c r="B351" s="3"/>
      <c r="C351" s="3" t="str">
        <f>IFERROR(VLOOKUP(B351,Sessions!A:J,2,FALSE),"")</f>
        <v/>
      </c>
      <c r="D351" s="3" t="str">
        <f>IFERROR(VLOOKUP(B351,Sessions!A:J,3,FALSE),"")</f>
        <v/>
      </c>
      <c r="E351" s="3"/>
      <c r="F351" s="3" t="str">
        <f>IFERROR(VLOOKUP(E351,Employees!A:L,2,FALSE),"")</f>
        <v/>
      </c>
      <c r="G351" s="3" t="str">
        <f>IFERROR(VLOOKUP(E351,Employees!A:L,3,FALSE),"")</f>
        <v/>
      </c>
      <c r="H351" s="3"/>
      <c r="I351" s="3"/>
      <c r="J351" s="3"/>
      <c r="K351" s="3" t="str">
        <f>IF(B351="","",IF(OR(E351="",H351=""),"ناقص",IF(H351="نعم","مكتمل","غائب")))</f>
        <v/>
      </c>
      <c r="L351" s="3"/>
    </row>
    <row r="352" spans="1:12" x14ac:dyDescent="0.2">
      <c r="A352" s="3">
        <v>349</v>
      </c>
      <c r="B352" s="3"/>
      <c r="C352" s="3" t="str">
        <f>IFERROR(VLOOKUP(B352,Sessions!A:J,2,FALSE),"")</f>
        <v/>
      </c>
      <c r="D352" s="3" t="str">
        <f>IFERROR(VLOOKUP(B352,Sessions!A:J,3,FALSE),"")</f>
        <v/>
      </c>
      <c r="E352" s="3"/>
      <c r="F352" s="3" t="str">
        <f>IFERROR(VLOOKUP(E352,Employees!A:L,2,FALSE),"")</f>
        <v/>
      </c>
      <c r="G352" s="3" t="str">
        <f>IFERROR(VLOOKUP(E352,Employees!A:L,3,FALSE),"")</f>
        <v/>
      </c>
      <c r="H352" s="3"/>
      <c r="I352" s="3"/>
      <c r="J352" s="3"/>
      <c r="K352" s="3" t="str">
        <f>IF(B352="","",IF(OR(E352="",H352=""),"ناقص",IF(H352="نعم","مكتمل","غائب")))</f>
        <v/>
      </c>
      <c r="L352" s="3"/>
    </row>
    <row r="353" spans="1:12" x14ac:dyDescent="0.2">
      <c r="A353" s="3">
        <v>350</v>
      </c>
      <c r="B353" s="3"/>
      <c r="C353" s="3" t="str">
        <f>IFERROR(VLOOKUP(B353,Sessions!A:J,2,FALSE),"")</f>
        <v/>
      </c>
      <c r="D353" s="3" t="str">
        <f>IFERROR(VLOOKUP(B353,Sessions!A:J,3,FALSE),"")</f>
        <v/>
      </c>
      <c r="E353" s="3"/>
      <c r="F353" s="3" t="str">
        <f>IFERROR(VLOOKUP(E353,Employees!A:L,2,FALSE),"")</f>
        <v/>
      </c>
      <c r="G353" s="3" t="str">
        <f>IFERROR(VLOOKUP(E353,Employees!A:L,3,FALSE),"")</f>
        <v/>
      </c>
      <c r="H353" s="3"/>
      <c r="I353" s="3"/>
      <c r="J353" s="3"/>
      <c r="K353" s="3" t="str">
        <f>IF(B353="","",IF(OR(E353="",H353=""),"ناقص",IF(H353="نعم","مكتمل","غائب")))</f>
        <v/>
      </c>
      <c r="L353" s="3"/>
    </row>
    <row r="354" spans="1:12" x14ac:dyDescent="0.2">
      <c r="A354" s="3">
        <v>351</v>
      </c>
      <c r="B354" s="3"/>
      <c r="C354" s="3" t="str">
        <f>IFERROR(VLOOKUP(B354,Sessions!A:J,2,FALSE),"")</f>
        <v/>
      </c>
      <c r="D354" s="3" t="str">
        <f>IFERROR(VLOOKUP(B354,Sessions!A:J,3,FALSE),"")</f>
        <v/>
      </c>
      <c r="E354" s="3"/>
      <c r="F354" s="3" t="str">
        <f>IFERROR(VLOOKUP(E354,Employees!A:L,2,FALSE),"")</f>
        <v/>
      </c>
      <c r="G354" s="3" t="str">
        <f>IFERROR(VLOOKUP(E354,Employees!A:L,3,FALSE),"")</f>
        <v/>
      </c>
      <c r="H354" s="3"/>
      <c r="I354" s="3"/>
      <c r="J354" s="3"/>
      <c r="K354" s="3" t="str">
        <f>IF(B354="","",IF(OR(E354="",H354=""),"ناقص",IF(H354="نعم","مكتمل","غائب")))</f>
        <v/>
      </c>
      <c r="L354" s="3"/>
    </row>
    <row r="355" spans="1:12" x14ac:dyDescent="0.2">
      <c r="A355" s="3">
        <v>352</v>
      </c>
      <c r="B355" s="3"/>
      <c r="C355" s="3" t="str">
        <f>IFERROR(VLOOKUP(B355,Sessions!A:J,2,FALSE),"")</f>
        <v/>
      </c>
      <c r="D355" s="3" t="str">
        <f>IFERROR(VLOOKUP(B355,Sessions!A:J,3,FALSE),"")</f>
        <v/>
      </c>
      <c r="E355" s="3"/>
      <c r="F355" s="3" t="str">
        <f>IFERROR(VLOOKUP(E355,Employees!A:L,2,FALSE),"")</f>
        <v/>
      </c>
      <c r="G355" s="3" t="str">
        <f>IFERROR(VLOOKUP(E355,Employees!A:L,3,FALSE),"")</f>
        <v/>
      </c>
      <c r="H355" s="3"/>
      <c r="I355" s="3"/>
      <c r="J355" s="3"/>
      <c r="K355" s="3" t="str">
        <f>IF(B355="","",IF(OR(E355="",H355=""),"ناقص",IF(H355="نعم","مكتمل","غائب")))</f>
        <v/>
      </c>
      <c r="L355" s="3"/>
    </row>
    <row r="356" spans="1:12" x14ac:dyDescent="0.2">
      <c r="A356" s="3">
        <v>353</v>
      </c>
      <c r="B356" s="3"/>
      <c r="C356" s="3" t="str">
        <f>IFERROR(VLOOKUP(B356,Sessions!A:J,2,FALSE),"")</f>
        <v/>
      </c>
      <c r="D356" s="3" t="str">
        <f>IFERROR(VLOOKUP(B356,Sessions!A:J,3,FALSE),"")</f>
        <v/>
      </c>
      <c r="E356" s="3"/>
      <c r="F356" s="3" t="str">
        <f>IFERROR(VLOOKUP(E356,Employees!A:L,2,FALSE),"")</f>
        <v/>
      </c>
      <c r="G356" s="3" t="str">
        <f>IFERROR(VLOOKUP(E356,Employees!A:L,3,FALSE),"")</f>
        <v/>
      </c>
      <c r="H356" s="3"/>
      <c r="I356" s="3"/>
      <c r="J356" s="3"/>
      <c r="K356" s="3" t="str">
        <f>IF(B356="","",IF(OR(E356="",H356=""),"ناقص",IF(H356="نعم","مكتمل","غائب")))</f>
        <v/>
      </c>
      <c r="L356" s="3"/>
    </row>
    <row r="357" spans="1:12" x14ac:dyDescent="0.2">
      <c r="A357" s="3">
        <v>354</v>
      </c>
      <c r="B357" s="3"/>
      <c r="C357" s="3" t="str">
        <f>IFERROR(VLOOKUP(B357,Sessions!A:J,2,FALSE),"")</f>
        <v/>
      </c>
      <c r="D357" s="3" t="str">
        <f>IFERROR(VLOOKUP(B357,Sessions!A:J,3,FALSE),"")</f>
        <v/>
      </c>
      <c r="E357" s="3"/>
      <c r="F357" s="3" t="str">
        <f>IFERROR(VLOOKUP(E357,Employees!A:L,2,FALSE),"")</f>
        <v/>
      </c>
      <c r="G357" s="3" t="str">
        <f>IFERROR(VLOOKUP(E357,Employees!A:L,3,FALSE),"")</f>
        <v/>
      </c>
      <c r="H357" s="3"/>
      <c r="I357" s="3"/>
      <c r="J357" s="3"/>
      <c r="K357" s="3" t="str">
        <f>IF(B357="","",IF(OR(E357="",H357=""),"ناقص",IF(H357="نعم","مكتمل","غائب")))</f>
        <v/>
      </c>
      <c r="L357" s="3"/>
    </row>
    <row r="358" spans="1:12" x14ac:dyDescent="0.2">
      <c r="A358" s="3">
        <v>355</v>
      </c>
      <c r="B358" s="3"/>
      <c r="C358" s="3" t="str">
        <f>IFERROR(VLOOKUP(B358,Sessions!A:J,2,FALSE),"")</f>
        <v/>
      </c>
      <c r="D358" s="3" t="str">
        <f>IFERROR(VLOOKUP(B358,Sessions!A:J,3,FALSE),"")</f>
        <v/>
      </c>
      <c r="E358" s="3"/>
      <c r="F358" s="3" t="str">
        <f>IFERROR(VLOOKUP(E358,Employees!A:L,2,FALSE),"")</f>
        <v/>
      </c>
      <c r="G358" s="3" t="str">
        <f>IFERROR(VLOOKUP(E358,Employees!A:L,3,FALSE),"")</f>
        <v/>
      </c>
      <c r="H358" s="3"/>
      <c r="I358" s="3"/>
      <c r="J358" s="3"/>
      <c r="K358" s="3" t="str">
        <f>IF(B358="","",IF(OR(E358="",H358=""),"ناقص",IF(H358="نعم","مكتمل","غائب")))</f>
        <v/>
      </c>
      <c r="L358" s="3"/>
    </row>
    <row r="359" spans="1:12" x14ac:dyDescent="0.2">
      <c r="A359" s="3">
        <v>356</v>
      </c>
      <c r="B359" s="3"/>
      <c r="C359" s="3" t="str">
        <f>IFERROR(VLOOKUP(B359,Sessions!A:J,2,FALSE),"")</f>
        <v/>
      </c>
      <c r="D359" s="3" t="str">
        <f>IFERROR(VLOOKUP(B359,Sessions!A:J,3,FALSE),"")</f>
        <v/>
      </c>
      <c r="E359" s="3"/>
      <c r="F359" s="3" t="str">
        <f>IFERROR(VLOOKUP(E359,Employees!A:L,2,FALSE),"")</f>
        <v/>
      </c>
      <c r="G359" s="3" t="str">
        <f>IFERROR(VLOOKUP(E359,Employees!A:L,3,FALSE),"")</f>
        <v/>
      </c>
      <c r="H359" s="3"/>
      <c r="I359" s="3"/>
      <c r="J359" s="3"/>
      <c r="K359" s="3" t="str">
        <f>IF(B359="","",IF(OR(E359="",H359=""),"ناقص",IF(H359="نعم","مكتمل","غائب")))</f>
        <v/>
      </c>
      <c r="L359" s="3"/>
    </row>
    <row r="360" spans="1:12" x14ac:dyDescent="0.2">
      <c r="A360" s="3">
        <v>357</v>
      </c>
      <c r="B360" s="3"/>
      <c r="C360" s="3" t="str">
        <f>IFERROR(VLOOKUP(B360,Sessions!A:J,2,FALSE),"")</f>
        <v/>
      </c>
      <c r="D360" s="3" t="str">
        <f>IFERROR(VLOOKUP(B360,Sessions!A:J,3,FALSE),"")</f>
        <v/>
      </c>
      <c r="E360" s="3"/>
      <c r="F360" s="3" t="str">
        <f>IFERROR(VLOOKUP(E360,Employees!A:L,2,FALSE),"")</f>
        <v/>
      </c>
      <c r="G360" s="3" t="str">
        <f>IFERROR(VLOOKUP(E360,Employees!A:L,3,FALSE),"")</f>
        <v/>
      </c>
      <c r="H360" s="3"/>
      <c r="I360" s="3"/>
      <c r="J360" s="3"/>
      <c r="K360" s="3" t="str">
        <f>IF(B360="","",IF(OR(E360="",H360=""),"ناقص",IF(H360="نعم","مكتمل","غائب")))</f>
        <v/>
      </c>
      <c r="L360" s="3"/>
    </row>
    <row r="361" spans="1:12" x14ac:dyDescent="0.2">
      <c r="A361" s="3">
        <v>358</v>
      </c>
      <c r="B361" s="3"/>
      <c r="C361" s="3" t="str">
        <f>IFERROR(VLOOKUP(B361,Sessions!A:J,2,FALSE),"")</f>
        <v/>
      </c>
      <c r="D361" s="3" t="str">
        <f>IFERROR(VLOOKUP(B361,Sessions!A:J,3,FALSE),"")</f>
        <v/>
      </c>
      <c r="E361" s="3"/>
      <c r="F361" s="3" t="str">
        <f>IFERROR(VLOOKUP(E361,Employees!A:L,2,FALSE),"")</f>
        <v/>
      </c>
      <c r="G361" s="3" t="str">
        <f>IFERROR(VLOOKUP(E361,Employees!A:L,3,FALSE),"")</f>
        <v/>
      </c>
      <c r="H361" s="3"/>
      <c r="I361" s="3"/>
      <c r="J361" s="3"/>
      <c r="K361" s="3" t="str">
        <f>IF(B361="","",IF(OR(E361="",H361=""),"ناقص",IF(H361="نعم","مكتمل","غائب")))</f>
        <v/>
      </c>
      <c r="L361" s="3"/>
    </row>
    <row r="362" spans="1:12" x14ac:dyDescent="0.2">
      <c r="A362" s="3">
        <v>359</v>
      </c>
      <c r="B362" s="3"/>
      <c r="C362" s="3" t="str">
        <f>IFERROR(VLOOKUP(B362,Sessions!A:J,2,FALSE),"")</f>
        <v/>
      </c>
      <c r="D362" s="3" t="str">
        <f>IFERROR(VLOOKUP(B362,Sessions!A:J,3,FALSE),"")</f>
        <v/>
      </c>
      <c r="E362" s="3"/>
      <c r="F362" s="3" t="str">
        <f>IFERROR(VLOOKUP(E362,Employees!A:L,2,FALSE),"")</f>
        <v/>
      </c>
      <c r="G362" s="3" t="str">
        <f>IFERROR(VLOOKUP(E362,Employees!A:L,3,FALSE),"")</f>
        <v/>
      </c>
      <c r="H362" s="3"/>
      <c r="I362" s="3"/>
      <c r="J362" s="3"/>
      <c r="K362" s="3" t="str">
        <f>IF(B362="","",IF(OR(E362="",H362=""),"ناقص",IF(H362="نعم","مكتمل","غائب")))</f>
        <v/>
      </c>
      <c r="L362" s="3"/>
    </row>
    <row r="363" spans="1:12" x14ac:dyDescent="0.2">
      <c r="A363" s="3">
        <v>360</v>
      </c>
      <c r="B363" s="3"/>
      <c r="C363" s="3" t="str">
        <f>IFERROR(VLOOKUP(B363,Sessions!A:J,2,FALSE),"")</f>
        <v/>
      </c>
      <c r="D363" s="3" t="str">
        <f>IFERROR(VLOOKUP(B363,Sessions!A:J,3,FALSE),"")</f>
        <v/>
      </c>
      <c r="E363" s="3"/>
      <c r="F363" s="3" t="str">
        <f>IFERROR(VLOOKUP(E363,Employees!A:L,2,FALSE),"")</f>
        <v/>
      </c>
      <c r="G363" s="3" t="str">
        <f>IFERROR(VLOOKUP(E363,Employees!A:L,3,FALSE),"")</f>
        <v/>
      </c>
      <c r="H363" s="3"/>
      <c r="I363" s="3"/>
      <c r="J363" s="3"/>
      <c r="K363" s="3" t="str">
        <f>IF(B363="","",IF(OR(E363="",H363=""),"ناقص",IF(H363="نعم","مكتمل","غائب")))</f>
        <v/>
      </c>
      <c r="L363" s="3"/>
    </row>
    <row r="364" spans="1:12" x14ac:dyDescent="0.2">
      <c r="A364" s="3">
        <v>361</v>
      </c>
      <c r="B364" s="3"/>
      <c r="C364" s="3" t="str">
        <f>IFERROR(VLOOKUP(B364,Sessions!A:J,2,FALSE),"")</f>
        <v/>
      </c>
      <c r="D364" s="3" t="str">
        <f>IFERROR(VLOOKUP(B364,Sessions!A:J,3,FALSE),"")</f>
        <v/>
      </c>
      <c r="E364" s="3"/>
      <c r="F364" s="3" t="str">
        <f>IFERROR(VLOOKUP(E364,Employees!A:L,2,FALSE),"")</f>
        <v/>
      </c>
      <c r="G364" s="3" t="str">
        <f>IFERROR(VLOOKUP(E364,Employees!A:L,3,FALSE),"")</f>
        <v/>
      </c>
      <c r="H364" s="3"/>
      <c r="I364" s="3"/>
      <c r="J364" s="3"/>
      <c r="K364" s="3" t="str">
        <f>IF(B364="","",IF(OR(E364="",H364=""),"ناقص",IF(H364="نعم","مكتمل","غائب")))</f>
        <v/>
      </c>
      <c r="L364" s="3"/>
    </row>
    <row r="365" spans="1:12" x14ac:dyDescent="0.2">
      <c r="A365" s="3">
        <v>362</v>
      </c>
      <c r="B365" s="3"/>
      <c r="C365" s="3" t="str">
        <f>IFERROR(VLOOKUP(B365,Sessions!A:J,2,FALSE),"")</f>
        <v/>
      </c>
      <c r="D365" s="3" t="str">
        <f>IFERROR(VLOOKUP(B365,Sessions!A:J,3,FALSE),"")</f>
        <v/>
      </c>
      <c r="E365" s="3"/>
      <c r="F365" s="3" t="str">
        <f>IFERROR(VLOOKUP(E365,Employees!A:L,2,FALSE),"")</f>
        <v/>
      </c>
      <c r="G365" s="3" t="str">
        <f>IFERROR(VLOOKUP(E365,Employees!A:L,3,FALSE),"")</f>
        <v/>
      </c>
      <c r="H365" s="3"/>
      <c r="I365" s="3"/>
      <c r="J365" s="3"/>
      <c r="K365" s="3" t="str">
        <f>IF(B365="","",IF(OR(E365="",H365=""),"ناقص",IF(H365="نعم","مكتمل","غائب")))</f>
        <v/>
      </c>
      <c r="L365" s="3"/>
    </row>
    <row r="366" spans="1:12" x14ac:dyDescent="0.2">
      <c r="A366" s="3">
        <v>363</v>
      </c>
      <c r="B366" s="3"/>
      <c r="C366" s="3" t="str">
        <f>IFERROR(VLOOKUP(B366,Sessions!A:J,2,FALSE),"")</f>
        <v/>
      </c>
      <c r="D366" s="3" t="str">
        <f>IFERROR(VLOOKUP(B366,Sessions!A:J,3,FALSE),"")</f>
        <v/>
      </c>
      <c r="E366" s="3"/>
      <c r="F366" s="3" t="str">
        <f>IFERROR(VLOOKUP(E366,Employees!A:L,2,FALSE),"")</f>
        <v/>
      </c>
      <c r="G366" s="3" t="str">
        <f>IFERROR(VLOOKUP(E366,Employees!A:L,3,FALSE),"")</f>
        <v/>
      </c>
      <c r="H366" s="3"/>
      <c r="I366" s="3"/>
      <c r="J366" s="3"/>
      <c r="K366" s="3" t="str">
        <f>IF(B366="","",IF(OR(E366="",H366=""),"ناقص",IF(H366="نعم","مكتمل","غائب")))</f>
        <v/>
      </c>
      <c r="L366" s="3"/>
    </row>
    <row r="367" spans="1:12" x14ac:dyDescent="0.2">
      <c r="A367" s="3">
        <v>364</v>
      </c>
      <c r="B367" s="3"/>
      <c r="C367" s="3" t="str">
        <f>IFERROR(VLOOKUP(B367,Sessions!A:J,2,FALSE),"")</f>
        <v/>
      </c>
      <c r="D367" s="3" t="str">
        <f>IFERROR(VLOOKUP(B367,Sessions!A:J,3,FALSE),"")</f>
        <v/>
      </c>
      <c r="E367" s="3"/>
      <c r="F367" s="3" t="str">
        <f>IFERROR(VLOOKUP(E367,Employees!A:L,2,FALSE),"")</f>
        <v/>
      </c>
      <c r="G367" s="3" t="str">
        <f>IFERROR(VLOOKUP(E367,Employees!A:L,3,FALSE),"")</f>
        <v/>
      </c>
      <c r="H367" s="3"/>
      <c r="I367" s="3"/>
      <c r="J367" s="3"/>
      <c r="K367" s="3" t="str">
        <f>IF(B367="","",IF(OR(E367="",H367=""),"ناقص",IF(H367="نعم","مكتمل","غائب")))</f>
        <v/>
      </c>
      <c r="L367" s="3"/>
    </row>
    <row r="368" spans="1:12" x14ac:dyDescent="0.2">
      <c r="A368" s="3">
        <v>365</v>
      </c>
      <c r="B368" s="3"/>
      <c r="C368" s="3" t="str">
        <f>IFERROR(VLOOKUP(B368,Sessions!A:J,2,FALSE),"")</f>
        <v/>
      </c>
      <c r="D368" s="3" t="str">
        <f>IFERROR(VLOOKUP(B368,Sessions!A:J,3,FALSE),"")</f>
        <v/>
      </c>
      <c r="E368" s="3"/>
      <c r="F368" s="3" t="str">
        <f>IFERROR(VLOOKUP(E368,Employees!A:L,2,FALSE),"")</f>
        <v/>
      </c>
      <c r="G368" s="3" t="str">
        <f>IFERROR(VLOOKUP(E368,Employees!A:L,3,FALSE),"")</f>
        <v/>
      </c>
      <c r="H368" s="3"/>
      <c r="I368" s="3"/>
      <c r="J368" s="3"/>
      <c r="K368" s="3" t="str">
        <f>IF(B368="","",IF(OR(E368="",H368=""),"ناقص",IF(H368="نعم","مكتمل","غائب")))</f>
        <v/>
      </c>
      <c r="L368" s="3"/>
    </row>
    <row r="369" spans="1:12" x14ac:dyDescent="0.2">
      <c r="A369" s="3">
        <v>366</v>
      </c>
      <c r="B369" s="3"/>
      <c r="C369" s="3" t="str">
        <f>IFERROR(VLOOKUP(B369,Sessions!A:J,2,FALSE),"")</f>
        <v/>
      </c>
      <c r="D369" s="3" t="str">
        <f>IFERROR(VLOOKUP(B369,Sessions!A:J,3,FALSE),"")</f>
        <v/>
      </c>
      <c r="E369" s="3"/>
      <c r="F369" s="3" t="str">
        <f>IFERROR(VLOOKUP(E369,Employees!A:L,2,FALSE),"")</f>
        <v/>
      </c>
      <c r="G369" s="3" t="str">
        <f>IFERROR(VLOOKUP(E369,Employees!A:L,3,FALSE),"")</f>
        <v/>
      </c>
      <c r="H369" s="3"/>
      <c r="I369" s="3"/>
      <c r="J369" s="3"/>
      <c r="K369" s="3" t="str">
        <f>IF(B369="","",IF(OR(E369="",H369=""),"ناقص",IF(H369="نعم","مكتمل","غائب")))</f>
        <v/>
      </c>
      <c r="L369" s="3"/>
    </row>
    <row r="370" spans="1:12" x14ac:dyDescent="0.2">
      <c r="A370" s="3">
        <v>367</v>
      </c>
      <c r="B370" s="3"/>
      <c r="C370" s="3" t="str">
        <f>IFERROR(VLOOKUP(B370,Sessions!A:J,2,FALSE),"")</f>
        <v/>
      </c>
      <c r="D370" s="3" t="str">
        <f>IFERROR(VLOOKUP(B370,Sessions!A:J,3,FALSE),"")</f>
        <v/>
      </c>
      <c r="E370" s="3"/>
      <c r="F370" s="3" t="str">
        <f>IFERROR(VLOOKUP(E370,Employees!A:L,2,FALSE),"")</f>
        <v/>
      </c>
      <c r="G370" s="3" t="str">
        <f>IFERROR(VLOOKUP(E370,Employees!A:L,3,FALSE),"")</f>
        <v/>
      </c>
      <c r="H370" s="3"/>
      <c r="I370" s="3"/>
      <c r="J370" s="3"/>
      <c r="K370" s="3" t="str">
        <f>IF(B370="","",IF(OR(E370="",H370=""),"ناقص",IF(H370="نعم","مكتمل","غائب")))</f>
        <v/>
      </c>
      <c r="L370" s="3"/>
    </row>
    <row r="371" spans="1:12" x14ac:dyDescent="0.2">
      <c r="A371" s="3">
        <v>368</v>
      </c>
      <c r="B371" s="3"/>
      <c r="C371" s="3" t="str">
        <f>IFERROR(VLOOKUP(B371,Sessions!A:J,2,FALSE),"")</f>
        <v/>
      </c>
      <c r="D371" s="3" t="str">
        <f>IFERROR(VLOOKUP(B371,Sessions!A:J,3,FALSE),"")</f>
        <v/>
      </c>
      <c r="E371" s="3"/>
      <c r="F371" s="3" t="str">
        <f>IFERROR(VLOOKUP(E371,Employees!A:L,2,FALSE),"")</f>
        <v/>
      </c>
      <c r="G371" s="3" t="str">
        <f>IFERROR(VLOOKUP(E371,Employees!A:L,3,FALSE),"")</f>
        <v/>
      </c>
      <c r="H371" s="3"/>
      <c r="I371" s="3"/>
      <c r="J371" s="3"/>
      <c r="K371" s="3" t="str">
        <f>IF(B371="","",IF(OR(E371="",H371=""),"ناقص",IF(H371="نعم","مكتمل","غائب")))</f>
        <v/>
      </c>
      <c r="L371" s="3"/>
    </row>
    <row r="372" spans="1:12" x14ac:dyDescent="0.2">
      <c r="A372" s="3">
        <v>369</v>
      </c>
      <c r="B372" s="3"/>
      <c r="C372" s="3" t="str">
        <f>IFERROR(VLOOKUP(B372,Sessions!A:J,2,FALSE),"")</f>
        <v/>
      </c>
      <c r="D372" s="3" t="str">
        <f>IFERROR(VLOOKUP(B372,Sessions!A:J,3,FALSE),"")</f>
        <v/>
      </c>
      <c r="E372" s="3"/>
      <c r="F372" s="3" t="str">
        <f>IFERROR(VLOOKUP(E372,Employees!A:L,2,FALSE),"")</f>
        <v/>
      </c>
      <c r="G372" s="3" t="str">
        <f>IFERROR(VLOOKUP(E372,Employees!A:L,3,FALSE),"")</f>
        <v/>
      </c>
      <c r="H372" s="3"/>
      <c r="I372" s="3"/>
      <c r="J372" s="3"/>
      <c r="K372" s="3" t="str">
        <f>IF(B372="","",IF(OR(E372="",H372=""),"ناقص",IF(H372="نعم","مكتمل","غائب")))</f>
        <v/>
      </c>
      <c r="L372" s="3"/>
    </row>
    <row r="373" spans="1:12" x14ac:dyDescent="0.2">
      <c r="A373" s="3">
        <v>370</v>
      </c>
      <c r="B373" s="3"/>
      <c r="C373" s="3" t="str">
        <f>IFERROR(VLOOKUP(B373,Sessions!A:J,2,FALSE),"")</f>
        <v/>
      </c>
      <c r="D373" s="3" t="str">
        <f>IFERROR(VLOOKUP(B373,Sessions!A:J,3,FALSE),"")</f>
        <v/>
      </c>
      <c r="E373" s="3"/>
      <c r="F373" s="3" t="str">
        <f>IFERROR(VLOOKUP(E373,Employees!A:L,2,FALSE),"")</f>
        <v/>
      </c>
      <c r="G373" s="3" t="str">
        <f>IFERROR(VLOOKUP(E373,Employees!A:L,3,FALSE),"")</f>
        <v/>
      </c>
      <c r="H373" s="3"/>
      <c r="I373" s="3"/>
      <c r="J373" s="3"/>
      <c r="K373" s="3" t="str">
        <f>IF(B373="","",IF(OR(E373="",H373=""),"ناقص",IF(H373="نعم","مكتمل","غائب")))</f>
        <v/>
      </c>
      <c r="L373" s="3"/>
    </row>
    <row r="374" spans="1:12" x14ac:dyDescent="0.2">
      <c r="A374" s="3">
        <v>371</v>
      </c>
      <c r="B374" s="3"/>
      <c r="C374" s="3" t="str">
        <f>IFERROR(VLOOKUP(B374,Sessions!A:J,2,FALSE),"")</f>
        <v/>
      </c>
      <c r="D374" s="3" t="str">
        <f>IFERROR(VLOOKUP(B374,Sessions!A:J,3,FALSE),"")</f>
        <v/>
      </c>
      <c r="E374" s="3"/>
      <c r="F374" s="3" t="str">
        <f>IFERROR(VLOOKUP(E374,Employees!A:L,2,FALSE),"")</f>
        <v/>
      </c>
      <c r="G374" s="3" t="str">
        <f>IFERROR(VLOOKUP(E374,Employees!A:L,3,FALSE),"")</f>
        <v/>
      </c>
      <c r="H374" s="3"/>
      <c r="I374" s="3"/>
      <c r="J374" s="3"/>
      <c r="K374" s="3" t="str">
        <f>IF(B374="","",IF(OR(E374="",H374=""),"ناقص",IF(H374="نعم","مكتمل","غائب")))</f>
        <v/>
      </c>
      <c r="L374" s="3"/>
    </row>
    <row r="375" spans="1:12" x14ac:dyDescent="0.2">
      <c r="A375" s="3">
        <v>372</v>
      </c>
      <c r="B375" s="3"/>
      <c r="C375" s="3" t="str">
        <f>IFERROR(VLOOKUP(B375,Sessions!A:J,2,FALSE),"")</f>
        <v/>
      </c>
      <c r="D375" s="3" t="str">
        <f>IFERROR(VLOOKUP(B375,Sessions!A:J,3,FALSE),"")</f>
        <v/>
      </c>
      <c r="E375" s="3"/>
      <c r="F375" s="3" t="str">
        <f>IFERROR(VLOOKUP(E375,Employees!A:L,2,FALSE),"")</f>
        <v/>
      </c>
      <c r="G375" s="3" t="str">
        <f>IFERROR(VLOOKUP(E375,Employees!A:L,3,FALSE),"")</f>
        <v/>
      </c>
      <c r="H375" s="3"/>
      <c r="I375" s="3"/>
      <c r="J375" s="3"/>
      <c r="K375" s="3" t="str">
        <f>IF(B375="","",IF(OR(E375="",H375=""),"ناقص",IF(H375="نعم","مكتمل","غائب")))</f>
        <v/>
      </c>
      <c r="L375" s="3"/>
    </row>
    <row r="376" spans="1:12" x14ac:dyDescent="0.2">
      <c r="A376" s="3">
        <v>373</v>
      </c>
      <c r="B376" s="3"/>
      <c r="C376" s="3" t="str">
        <f>IFERROR(VLOOKUP(B376,Sessions!A:J,2,FALSE),"")</f>
        <v/>
      </c>
      <c r="D376" s="3" t="str">
        <f>IFERROR(VLOOKUP(B376,Sessions!A:J,3,FALSE),"")</f>
        <v/>
      </c>
      <c r="E376" s="3"/>
      <c r="F376" s="3" t="str">
        <f>IFERROR(VLOOKUP(E376,Employees!A:L,2,FALSE),"")</f>
        <v/>
      </c>
      <c r="G376" s="3" t="str">
        <f>IFERROR(VLOOKUP(E376,Employees!A:L,3,FALSE),"")</f>
        <v/>
      </c>
      <c r="H376" s="3"/>
      <c r="I376" s="3"/>
      <c r="J376" s="3"/>
      <c r="K376" s="3" t="str">
        <f>IF(B376="","",IF(OR(E376="",H376=""),"ناقص",IF(H376="نعم","مكتمل","غائب")))</f>
        <v/>
      </c>
      <c r="L376" s="3"/>
    </row>
    <row r="377" spans="1:12" x14ac:dyDescent="0.2">
      <c r="A377" s="3">
        <v>374</v>
      </c>
      <c r="B377" s="3"/>
      <c r="C377" s="3" t="str">
        <f>IFERROR(VLOOKUP(B377,Sessions!A:J,2,FALSE),"")</f>
        <v/>
      </c>
      <c r="D377" s="3" t="str">
        <f>IFERROR(VLOOKUP(B377,Sessions!A:J,3,FALSE),"")</f>
        <v/>
      </c>
      <c r="E377" s="3"/>
      <c r="F377" s="3" t="str">
        <f>IFERROR(VLOOKUP(E377,Employees!A:L,2,FALSE),"")</f>
        <v/>
      </c>
      <c r="G377" s="3" t="str">
        <f>IFERROR(VLOOKUP(E377,Employees!A:L,3,FALSE),"")</f>
        <v/>
      </c>
      <c r="H377" s="3"/>
      <c r="I377" s="3"/>
      <c r="J377" s="3"/>
      <c r="K377" s="3" t="str">
        <f>IF(B377="","",IF(OR(E377="",H377=""),"ناقص",IF(H377="نعم","مكتمل","غائب")))</f>
        <v/>
      </c>
      <c r="L377" s="3"/>
    </row>
    <row r="378" spans="1:12" x14ac:dyDescent="0.2">
      <c r="A378" s="3">
        <v>375</v>
      </c>
      <c r="B378" s="3"/>
      <c r="C378" s="3" t="str">
        <f>IFERROR(VLOOKUP(B378,Sessions!A:J,2,FALSE),"")</f>
        <v/>
      </c>
      <c r="D378" s="3" t="str">
        <f>IFERROR(VLOOKUP(B378,Sessions!A:J,3,FALSE),"")</f>
        <v/>
      </c>
      <c r="E378" s="3"/>
      <c r="F378" s="3" t="str">
        <f>IFERROR(VLOOKUP(E378,Employees!A:L,2,FALSE),"")</f>
        <v/>
      </c>
      <c r="G378" s="3" t="str">
        <f>IFERROR(VLOOKUP(E378,Employees!A:L,3,FALSE),"")</f>
        <v/>
      </c>
      <c r="H378" s="3"/>
      <c r="I378" s="3"/>
      <c r="J378" s="3"/>
      <c r="K378" s="3" t="str">
        <f>IF(B378="","",IF(OR(E378="",H378=""),"ناقص",IF(H378="نعم","مكتمل","غائب")))</f>
        <v/>
      </c>
      <c r="L378" s="3"/>
    </row>
    <row r="379" spans="1:12" x14ac:dyDescent="0.2">
      <c r="A379" s="3">
        <v>376</v>
      </c>
      <c r="B379" s="3"/>
      <c r="C379" s="3" t="str">
        <f>IFERROR(VLOOKUP(B379,Sessions!A:J,2,FALSE),"")</f>
        <v/>
      </c>
      <c r="D379" s="3" t="str">
        <f>IFERROR(VLOOKUP(B379,Sessions!A:J,3,FALSE),"")</f>
        <v/>
      </c>
      <c r="E379" s="3"/>
      <c r="F379" s="3" t="str">
        <f>IFERROR(VLOOKUP(E379,Employees!A:L,2,FALSE),"")</f>
        <v/>
      </c>
      <c r="G379" s="3" t="str">
        <f>IFERROR(VLOOKUP(E379,Employees!A:L,3,FALSE),"")</f>
        <v/>
      </c>
      <c r="H379" s="3"/>
      <c r="I379" s="3"/>
      <c r="J379" s="3"/>
      <c r="K379" s="3" t="str">
        <f>IF(B379="","",IF(OR(E379="",H379=""),"ناقص",IF(H379="نعم","مكتمل","غائب")))</f>
        <v/>
      </c>
      <c r="L379" s="3"/>
    </row>
    <row r="380" spans="1:12" x14ac:dyDescent="0.2">
      <c r="A380" s="3">
        <v>377</v>
      </c>
      <c r="B380" s="3"/>
      <c r="C380" s="3" t="str">
        <f>IFERROR(VLOOKUP(B380,Sessions!A:J,2,FALSE),"")</f>
        <v/>
      </c>
      <c r="D380" s="3" t="str">
        <f>IFERROR(VLOOKUP(B380,Sessions!A:J,3,FALSE),"")</f>
        <v/>
      </c>
      <c r="E380" s="3"/>
      <c r="F380" s="3" t="str">
        <f>IFERROR(VLOOKUP(E380,Employees!A:L,2,FALSE),"")</f>
        <v/>
      </c>
      <c r="G380" s="3" t="str">
        <f>IFERROR(VLOOKUP(E380,Employees!A:L,3,FALSE),"")</f>
        <v/>
      </c>
      <c r="H380" s="3"/>
      <c r="I380" s="3"/>
      <c r="J380" s="3"/>
      <c r="K380" s="3" t="str">
        <f>IF(B380="","",IF(OR(E380="",H380=""),"ناقص",IF(H380="نعم","مكتمل","غائب")))</f>
        <v/>
      </c>
      <c r="L380" s="3"/>
    </row>
    <row r="381" spans="1:12" x14ac:dyDescent="0.2">
      <c r="A381" s="3">
        <v>378</v>
      </c>
      <c r="B381" s="3"/>
      <c r="C381" s="3" t="str">
        <f>IFERROR(VLOOKUP(B381,Sessions!A:J,2,FALSE),"")</f>
        <v/>
      </c>
      <c r="D381" s="3" t="str">
        <f>IFERROR(VLOOKUP(B381,Sessions!A:J,3,FALSE),"")</f>
        <v/>
      </c>
      <c r="E381" s="3"/>
      <c r="F381" s="3" t="str">
        <f>IFERROR(VLOOKUP(E381,Employees!A:L,2,FALSE),"")</f>
        <v/>
      </c>
      <c r="G381" s="3" t="str">
        <f>IFERROR(VLOOKUP(E381,Employees!A:L,3,FALSE),"")</f>
        <v/>
      </c>
      <c r="H381" s="3"/>
      <c r="I381" s="3"/>
      <c r="J381" s="3"/>
      <c r="K381" s="3" t="str">
        <f>IF(B381="","",IF(OR(E381="",H381=""),"ناقص",IF(H381="نعم","مكتمل","غائب")))</f>
        <v/>
      </c>
      <c r="L381" s="3"/>
    </row>
    <row r="382" spans="1:12" x14ac:dyDescent="0.2">
      <c r="A382" s="3">
        <v>379</v>
      </c>
      <c r="B382" s="3"/>
      <c r="C382" s="3" t="str">
        <f>IFERROR(VLOOKUP(B382,Sessions!A:J,2,FALSE),"")</f>
        <v/>
      </c>
      <c r="D382" s="3" t="str">
        <f>IFERROR(VLOOKUP(B382,Sessions!A:J,3,FALSE),"")</f>
        <v/>
      </c>
      <c r="E382" s="3"/>
      <c r="F382" s="3" t="str">
        <f>IFERROR(VLOOKUP(E382,Employees!A:L,2,FALSE),"")</f>
        <v/>
      </c>
      <c r="G382" s="3" t="str">
        <f>IFERROR(VLOOKUP(E382,Employees!A:L,3,FALSE),"")</f>
        <v/>
      </c>
      <c r="H382" s="3"/>
      <c r="I382" s="3"/>
      <c r="J382" s="3"/>
      <c r="K382" s="3" t="str">
        <f>IF(B382="","",IF(OR(E382="",H382=""),"ناقص",IF(H382="نعم","مكتمل","غائب")))</f>
        <v/>
      </c>
      <c r="L382" s="3"/>
    </row>
    <row r="383" spans="1:12" x14ac:dyDescent="0.2">
      <c r="A383" s="3">
        <v>380</v>
      </c>
      <c r="B383" s="3"/>
      <c r="C383" s="3" t="str">
        <f>IFERROR(VLOOKUP(B383,Sessions!A:J,2,FALSE),"")</f>
        <v/>
      </c>
      <c r="D383" s="3" t="str">
        <f>IFERROR(VLOOKUP(B383,Sessions!A:J,3,FALSE),"")</f>
        <v/>
      </c>
      <c r="E383" s="3"/>
      <c r="F383" s="3" t="str">
        <f>IFERROR(VLOOKUP(E383,Employees!A:L,2,FALSE),"")</f>
        <v/>
      </c>
      <c r="G383" s="3" t="str">
        <f>IFERROR(VLOOKUP(E383,Employees!A:L,3,FALSE),"")</f>
        <v/>
      </c>
      <c r="H383" s="3"/>
      <c r="I383" s="3"/>
      <c r="J383" s="3"/>
      <c r="K383" s="3" t="str">
        <f>IF(B383="","",IF(OR(E383="",H383=""),"ناقص",IF(H383="نعم","مكتمل","غائب")))</f>
        <v/>
      </c>
      <c r="L383" s="3"/>
    </row>
    <row r="384" spans="1:12" x14ac:dyDescent="0.2">
      <c r="A384" s="3">
        <v>381</v>
      </c>
      <c r="B384" s="3"/>
      <c r="C384" s="3" t="str">
        <f>IFERROR(VLOOKUP(B384,Sessions!A:J,2,FALSE),"")</f>
        <v/>
      </c>
      <c r="D384" s="3" t="str">
        <f>IFERROR(VLOOKUP(B384,Sessions!A:J,3,FALSE),"")</f>
        <v/>
      </c>
      <c r="E384" s="3"/>
      <c r="F384" s="3" t="str">
        <f>IFERROR(VLOOKUP(E384,Employees!A:L,2,FALSE),"")</f>
        <v/>
      </c>
      <c r="G384" s="3" t="str">
        <f>IFERROR(VLOOKUP(E384,Employees!A:L,3,FALSE),"")</f>
        <v/>
      </c>
      <c r="H384" s="3"/>
      <c r="I384" s="3"/>
      <c r="J384" s="3"/>
      <c r="K384" s="3" t="str">
        <f>IF(B384="","",IF(OR(E384="",H384=""),"ناقص",IF(H384="نعم","مكتمل","غائب")))</f>
        <v/>
      </c>
      <c r="L384" s="3"/>
    </row>
    <row r="385" spans="1:12" x14ac:dyDescent="0.2">
      <c r="A385" s="3">
        <v>382</v>
      </c>
      <c r="B385" s="3"/>
      <c r="C385" s="3" t="str">
        <f>IFERROR(VLOOKUP(B385,Sessions!A:J,2,FALSE),"")</f>
        <v/>
      </c>
      <c r="D385" s="3" t="str">
        <f>IFERROR(VLOOKUP(B385,Sessions!A:J,3,FALSE),"")</f>
        <v/>
      </c>
      <c r="E385" s="3"/>
      <c r="F385" s="3" t="str">
        <f>IFERROR(VLOOKUP(E385,Employees!A:L,2,FALSE),"")</f>
        <v/>
      </c>
      <c r="G385" s="3" t="str">
        <f>IFERROR(VLOOKUP(E385,Employees!A:L,3,FALSE),"")</f>
        <v/>
      </c>
      <c r="H385" s="3"/>
      <c r="I385" s="3"/>
      <c r="J385" s="3"/>
      <c r="K385" s="3" t="str">
        <f>IF(B385="","",IF(OR(E385="",H385=""),"ناقص",IF(H385="نعم","مكتمل","غائب")))</f>
        <v/>
      </c>
      <c r="L385" s="3"/>
    </row>
    <row r="386" spans="1:12" x14ac:dyDescent="0.2">
      <c r="A386" s="3">
        <v>383</v>
      </c>
      <c r="B386" s="3"/>
      <c r="C386" s="3" t="str">
        <f>IFERROR(VLOOKUP(B386,Sessions!A:J,2,FALSE),"")</f>
        <v/>
      </c>
      <c r="D386" s="3" t="str">
        <f>IFERROR(VLOOKUP(B386,Sessions!A:J,3,FALSE),"")</f>
        <v/>
      </c>
      <c r="E386" s="3"/>
      <c r="F386" s="3" t="str">
        <f>IFERROR(VLOOKUP(E386,Employees!A:L,2,FALSE),"")</f>
        <v/>
      </c>
      <c r="G386" s="3" t="str">
        <f>IFERROR(VLOOKUP(E386,Employees!A:L,3,FALSE),"")</f>
        <v/>
      </c>
      <c r="H386" s="3"/>
      <c r="I386" s="3"/>
      <c r="J386" s="3"/>
      <c r="K386" s="3" t="str">
        <f>IF(B386="","",IF(OR(E386="",H386=""),"ناقص",IF(H386="نعم","مكتمل","غائب")))</f>
        <v/>
      </c>
      <c r="L386" s="3"/>
    </row>
    <row r="387" spans="1:12" x14ac:dyDescent="0.2">
      <c r="A387" s="3">
        <v>384</v>
      </c>
      <c r="B387" s="3"/>
      <c r="C387" s="3" t="str">
        <f>IFERROR(VLOOKUP(B387,Sessions!A:J,2,FALSE),"")</f>
        <v/>
      </c>
      <c r="D387" s="3" t="str">
        <f>IFERROR(VLOOKUP(B387,Sessions!A:J,3,FALSE),"")</f>
        <v/>
      </c>
      <c r="E387" s="3"/>
      <c r="F387" s="3" t="str">
        <f>IFERROR(VLOOKUP(E387,Employees!A:L,2,FALSE),"")</f>
        <v/>
      </c>
      <c r="G387" s="3" t="str">
        <f>IFERROR(VLOOKUP(E387,Employees!A:L,3,FALSE),"")</f>
        <v/>
      </c>
      <c r="H387" s="3"/>
      <c r="I387" s="3"/>
      <c r="J387" s="3"/>
      <c r="K387" s="3" t="str">
        <f>IF(B387="","",IF(OR(E387="",H387=""),"ناقص",IF(H387="نعم","مكتمل","غائب")))</f>
        <v/>
      </c>
      <c r="L387" s="3"/>
    </row>
    <row r="388" spans="1:12" x14ac:dyDescent="0.2">
      <c r="A388" s="3">
        <v>385</v>
      </c>
      <c r="B388" s="3"/>
      <c r="C388" s="3" t="str">
        <f>IFERROR(VLOOKUP(B388,Sessions!A:J,2,FALSE),"")</f>
        <v/>
      </c>
      <c r="D388" s="3" t="str">
        <f>IFERROR(VLOOKUP(B388,Sessions!A:J,3,FALSE),"")</f>
        <v/>
      </c>
      <c r="E388" s="3"/>
      <c r="F388" s="3" t="str">
        <f>IFERROR(VLOOKUP(E388,Employees!A:L,2,FALSE),"")</f>
        <v/>
      </c>
      <c r="G388" s="3" t="str">
        <f>IFERROR(VLOOKUP(E388,Employees!A:L,3,FALSE),"")</f>
        <v/>
      </c>
      <c r="H388" s="3"/>
      <c r="I388" s="3"/>
      <c r="J388" s="3"/>
      <c r="K388" s="3" t="str">
        <f>IF(B388="","",IF(OR(E388="",H388=""),"ناقص",IF(H388="نعم","مكتمل","غائب")))</f>
        <v/>
      </c>
      <c r="L388" s="3"/>
    </row>
    <row r="389" spans="1:12" x14ac:dyDescent="0.2">
      <c r="A389" s="3">
        <v>386</v>
      </c>
      <c r="B389" s="3"/>
      <c r="C389" s="3" t="str">
        <f>IFERROR(VLOOKUP(B389,Sessions!A:J,2,FALSE),"")</f>
        <v/>
      </c>
      <c r="D389" s="3" t="str">
        <f>IFERROR(VLOOKUP(B389,Sessions!A:J,3,FALSE),"")</f>
        <v/>
      </c>
      <c r="E389" s="3"/>
      <c r="F389" s="3" t="str">
        <f>IFERROR(VLOOKUP(E389,Employees!A:L,2,FALSE),"")</f>
        <v/>
      </c>
      <c r="G389" s="3" t="str">
        <f>IFERROR(VLOOKUP(E389,Employees!A:L,3,FALSE),"")</f>
        <v/>
      </c>
      <c r="H389" s="3"/>
      <c r="I389" s="3"/>
      <c r="J389" s="3"/>
      <c r="K389" s="3" t="str">
        <f>IF(B389="","",IF(OR(E389="",H389=""),"ناقص",IF(H389="نعم","مكتمل","غائب")))</f>
        <v/>
      </c>
      <c r="L389" s="3"/>
    </row>
    <row r="390" spans="1:12" x14ac:dyDescent="0.2">
      <c r="A390" s="3">
        <v>387</v>
      </c>
      <c r="B390" s="3"/>
      <c r="C390" s="3" t="str">
        <f>IFERROR(VLOOKUP(B390,Sessions!A:J,2,FALSE),"")</f>
        <v/>
      </c>
      <c r="D390" s="3" t="str">
        <f>IFERROR(VLOOKUP(B390,Sessions!A:J,3,FALSE),"")</f>
        <v/>
      </c>
      <c r="E390" s="3"/>
      <c r="F390" s="3" t="str">
        <f>IFERROR(VLOOKUP(E390,Employees!A:L,2,FALSE),"")</f>
        <v/>
      </c>
      <c r="G390" s="3" t="str">
        <f>IFERROR(VLOOKUP(E390,Employees!A:L,3,FALSE),"")</f>
        <v/>
      </c>
      <c r="H390" s="3"/>
      <c r="I390" s="3"/>
      <c r="J390" s="3"/>
      <c r="K390" s="3" t="str">
        <f>IF(B390="","",IF(OR(E390="",H390=""),"ناقص",IF(H390="نعم","مكتمل","غائب")))</f>
        <v/>
      </c>
      <c r="L390" s="3"/>
    </row>
    <row r="391" spans="1:12" x14ac:dyDescent="0.2">
      <c r="A391" s="3">
        <v>388</v>
      </c>
      <c r="B391" s="3"/>
      <c r="C391" s="3" t="str">
        <f>IFERROR(VLOOKUP(B391,Sessions!A:J,2,FALSE),"")</f>
        <v/>
      </c>
      <c r="D391" s="3" t="str">
        <f>IFERROR(VLOOKUP(B391,Sessions!A:J,3,FALSE),"")</f>
        <v/>
      </c>
      <c r="E391" s="3"/>
      <c r="F391" s="3" t="str">
        <f>IFERROR(VLOOKUP(E391,Employees!A:L,2,FALSE),"")</f>
        <v/>
      </c>
      <c r="G391" s="3" t="str">
        <f>IFERROR(VLOOKUP(E391,Employees!A:L,3,FALSE),"")</f>
        <v/>
      </c>
      <c r="H391" s="3"/>
      <c r="I391" s="3"/>
      <c r="J391" s="3"/>
      <c r="K391" s="3" t="str">
        <f>IF(B391="","",IF(OR(E391="",H391=""),"ناقص",IF(H391="نعم","مكتمل","غائب")))</f>
        <v/>
      </c>
      <c r="L391" s="3"/>
    </row>
    <row r="392" spans="1:12" x14ac:dyDescent="0.2">
      <c r="A392" s="3">
        <v>389</v>
      </c>
      <c r="B392" s="3"/>
      <c r="C392" s="3" t="str">
        <f>IFERROR(VLOOKUP(B392,Sessions!A:J,2,FALSE),"")</f>
        <v/>
      </c>
      <c r="D392" s="3" t="str">
        <f>IFERROR(VLOOKUP(B392,Sessions!A:J,3,FALSE),"")</f>
        <v/>
      </c>
      <c r="E392" s="3"/>
      <c r="F392" s="3" t="str">
        <f>IFERROR(VLOOKUP(E392,Employees!A:L,2,FALSE),"")</f>
        <v/>
      </c>
      <c r="G392" s="3" t="str">
        <f>IFERROR(VLOOKUP(E392,Employees!A:L,3,FALSE),"")</f>
        <v/>
      </c>
      <c r="H392" s="3"/>
      <c r="I392" s="3"/>
      <c r="J392" s="3"/>
      <c r="K392" s="3" t="str">
        <f>IF(B392="","",IF(OR(E392="",H392=""),"ناقص",IF(H392="نعم","مكتمل","غائب")))</f>
        <v/>
      </c>
      <c r="L392" s="3"/>
    </row>
    <row r="393" spans="1:12" x14ac:dyDescent="0.2">
      <c r="A393" s="3">
        <v>390</v>
      </c>
      <c r="B393" s="3"/>
      <c r="C393" s="3" t="str">
        <f>IFERROR(VLOOKUP(B393,Sessions!A:J,2,FALSE),"")</f>
        <v/>
      </c>
      <c r="D393" s="3" t="str">
        <f>IFERROR(VLOOKUP(B393,Sessions!A:J,3,FALSE),"")</f>
        <v/>
      </c>
      <c r="E393" s="3"/>
      <c r="F393" s="3" t="str">
        <f>IFERROR(VLOOKUP(E393,Employees!A:L,2,FALSE),"")</f>
        <v/>
      </c>
      <c r="G393" s="3" t="str">
        <f>IFERROR(VLOOKUP(E393,Employees!A:L,3,FALSE),"")</f>
        <v/>
      </c>
      <c r="H393" s="3"/>
      <c r="I393" s="3"/>
      <c r="J393" s="3"/>
      <c r="K393" s="3" t="str">
        <f>IF(B393="","",IF(OR(E393="",H393=""),"ناقص",IF(H393="نعم","مكتمل","غائب")))</f>
        <v/>
      </c>
      <c r="L393" s="3"/>
    </row>
    <row r="394" spans="1:12" x14ac:dyDescent="0.2">
      <c r="A394" s="3">
        <v>391</v>
      </c>
      <c r="B394" s="3"/>
      <c r="C394" s="3" t="str">
        <f>IFERROR(VLOOKUP(B394,Sessions!A:J,2,FALSE),"")</f>
        <v/>
      </c>
      <c r="D394" s="3" t="str">
        <f>IFERROR(VLOOKUP(B394,Sessions!A:J,3,FALSE),"")</f>
        <v/>
      </c>
      <c r="E394" s="3"/>
      <c r="F394" s="3" t="str">
        <f>IFERROR(VLOOKUP(E394,Employees!A:L,2,FALSE),"")</f>
        <v/>
      </c>
      <c r="G394" s="3" t="str">
        <f>IFERROR(VLOOKUP(E394,Employees!A:L,3,FALSE),"")</f>
        <v/>
      </c>
      <c r="H394" s="3"/>
      <c r="I394" s="3"/>
      <c r="J394" s="3"/>
      <c r="K394" s="3" t="str">
        <f>IF(B394="","",IF(OR(E394="",H394=""),"ناقص",IF(H394="نعم","مكتمل","غائب")))</f>
        <v/>
      </c>
      <c r="L394" s="3"/>
    </row>
    <row r="395" spans="1:12" x14ac:dyDescent="0.2">
      <c r="A395" s="3">
        <v>392</v>
      </c>
      <c r="B395" s="3"/>
      <c r="C395" s="3" t="str">
        <f>IFERROR(VLOOKUP(B395,Sessions!A:J,2,FALSE),"")</f>
        <v/>
      </c>
      <c r="D395" s="3" t="str">
        <f>IFERROR(VLOOKUP(B395,Sessions!A:J,3,FALSE),"")</f>
        <v/>
      </c>
      <c r="E395" s="3"/>
      <c r="F395" s="3" t="str">
        <f>IFERROR(VLOOKUP(E395,Employees!A:L,2,FALSE),"")</f>
        <v/>
      </c>
      <c r="G395" s="3" t="str">
        <f>IFERROR(VLOOKUP(E395,Employees!A:L,3,FALSE),"")</f>
        <v/>
      </c>
      <c r="H395" s="3"/>
      <c r="I395" s="3"/>
      <c r="J395" s="3"/>
      <c r="K395" s="3" t="str">
        <f>IF(B395="","",IF(OR(E395="",H395=""),"ناقص",IF(H395="نعم","مكتمل","غائب")))</f>
        <v/>
      </c>
      <c r="L395" s="3"/>
    </row>
    <row r="396" spans="1:12" x14ac:dyDescent="0.2">
      <c r="A396" s="3">
        <v>393</v>
      </c>
      <c r="B396" s="3"/>
      <c r="C396" s="3" t="str">
        <f>IFERROR(VLOOKUP(B396,Sessions!A:J,2,FALSE),"")</f>
        <v/>
      </c>
      <c r="D396" s="3" t="str">
        <f>IFERROR(VLOOKUP(B396,Sessions!A:J,3,FALSE),"")</f>
        <v/>
      </c>
      <c r="E396" s="3"/>
      <c r="F396" s="3" t="str">
        <f>IFERROR(VLOOKUP(E396,Employees!A:L,2,FALSE),"")</f>
        <v/>
      </c>
      <c r="G396" s="3" t="str">
        <f>IFERROR(VLOOKUP(E396,Employees!A:L,3,FALSE),"")</f>
        <v/>
      </c>
      <c r="H396" s="3"/>
      <c r="I396" s="3"/>
      <c r="J396" s="3"/>
      <c r="K396" s="3" t="str">
        <f>IF(B396="","",IF(OR(E396="",H396=""),"ناقص",IF(H396="نعم","مكتمل","غائب")))</f>
        <v/>
      </c>
      <c r="L396" s="3"/>
    </row>
    <row r="397" spans="1:12" x14ac:dyDescent="0.2">
      <c r="A397" s="3">
        <v>394</v>
      </c>
      <c r="B397" s="3"/>
      <c r="C397" s="3" t="str">
        <f>IFERROR(VLOOKUP(B397,Sessions!A:J,2,FALSE),"")</f>
        <v/>
      </c>
      <c r="D397" s="3" t="str">
        <f>IFERROR(VLOOKUP(B397,Sessions!A:J,3,FALSE),"")</f>
        <v/>
      </c>
      <c r="E397" s="3"/>
      <c r="F397" s="3" t="str">
        <f>IFERROR(VLOOKUP(E397,Employees!A:L,2,FALSE),"")</f>
        <v/>
      </c>
      <c r="G397" s="3" t="str">
        <f>IFERROR(VLOOKUP(E397,Employees!A:L,3,FALSE),"")</f>
        <v/>
      </c>
      <c r="H397" s="3"/>
      <c r="I397" s="3"/>
      <c r="J397" s="3"/>
      <c r="K397" s="3" t="str">
        <f>IF(B397="","",IF(OR(E397="",H397=""),"ناقص",IF(H397="نعم","مكتمل","غائب")))</f>
        <v/>
      </c>
      <c r="L397" s="3"/>
    </row>
    <row r="398" spans="1:12" x14ac:dyDescent="0.2">
      <c r="A398" s="3">
        <v>395</v>
      </c>
      <c r="B398" s="3"/>
      <c r="C398" s="3" t="str">
        <f>IFERROR(VLOOKUP(B398,Sessions!A:J,2,FALSE),"")</f>
        <v/>
      </c>
      <c r="D398" s="3" t="str">
        <f>IFERROR(VLOOKUP(B398,Sessions!A:J,3,FALSE),"")</f>
        <v/>
      </c>
      <c r="E398" s="3"/>
      <c r="F398" s="3" t="str">
        <f>IFERROR(VLOOKUP(E398,Employees!A:L,2,FALSE),"")</f>
        <v/>
      </c>
      <c r="G398" s="3" t="str">
        <f>IFERROR(VLOOKUP(E398,Employees!A:L,3,FALSE),"")</f>
        <v/>
      </c>
      <c r="H398" s="3"/>
      <c r="I398" s="3"/>
      <c r="J398" s="3"/>
      <c r="K398" s="3" t="str">
        <f>IF(B398="","",IF(OR(E398="",H398=""),"ناقص",IF(H398="نعم","مكتمل","غائب")))</f>
        <v/>
      </c>
      <c r="L398" s="3"/>
    </row>
    <row r="399" spans="1:12" x14ac:dyDescent="0.2">
      <c r="A399" s="3">
        <v>396</v>
      </c>
      <c r="B399" s="3"/>
      <c r="C399" s="3" t="str">
        <f>IFERROR(VLOOKUP(B399,Sessions!A:J,2,FALSE),"")</f>
        <v/>
      </c>
      <c r="D399" s="3" t="str">
        <f>IFERROR(VLOOKUP(B399,Sessions!A:J,3,FALSE),"")</f>
        <v/>
      </c>
      <c r="E399" s="3"/>
      <c r="F399" s="3" t="str">
        <f>IFERROR(VLOOKUP(E399,Employees!A:L,2,FALSE),"")</f>
        <v/>
      </c>
      <c r="G399" s="3" t="str">
        <f>IFERROR(VLOOKUP(E399,Employees!A:L,3,FALSE),"")</f>
        <v/>
      </c>
      <c r="H399" s="3"/>
      <c r="I399" s="3"/>
      <c r="J399" s="3"/>
      <c r="K399" s="3" t="str">
        <f>IF(B399="","",IF(OR(E399="",H399=""),"ناقص",IF(H399="نعم","مكتمل","غائب")))</f>
        <v/>
      </c>
      <c r="L399" s="3"/>
    </row>
    <row r="400" spans="1:12" x14ac:dyDescent="0.2">
      <c r="A400" s="3">
        <v>397</v>
      </c>
      <c r="B400" s="3"/>
      <c r="C400" s="3" t="str">
        <f>IFERROR(VLOOKUP(B400,Sessions!A:J,2,FALSE),"")</f>
        <v/>
      </c>
      <c r="D400" s="3" t="str">
        <f>IFERROR(VLOOKUP(B400,Sessions!A:J,3,FALSE),"")</f>
        <v/>
      </c>
      <c r="E400" s="3"/>
      <c r="F400" s="3" t="str">
        <f>IFERROR(VLOOKUP(E400,Employees!A:L,2,FALSE),"")</f>
        <v/>
      </c>
      <c r="G400" s="3" t="str">
        <f>IFERROR(VLOOKUP(E400,Employees!A:L,3,FALSE),"")</f>
        <v/>
      </c>
      <c r="H400" s="3"/>
      <c r="I400" s="3"/>
      <c r="J400" s="3"/>
      <c r="K400" s="3" t="str">
        <f>IF(B400="","",IF(OR(E400="",H400=""),"ناقص",IF(H400="نعم","مكتمل","غائب")))</f>
        <v/>
      </c>
      <c r="L400" s="3"/>
    </row>
    <row r="401" spans="1:12" x14ac:dyDescent="0.2">
      <c r="A401" s="3">
        <v>398</v>
      </c>
      <c r="B401" s="3"/>
      <c r="C401" s="3" t="str">
        <f>IFERROR(VLOOKUP(B401,Sessions!A:J,2,FALSE),"")</f>
        <v/>
      </c>
      <c r="D401" s="3" t="str">
        <f>IFERROR(VLOOKUP(B401,Sessions!A:J,3,FALSE),"")</f>
        <v/>
      </c>
      <c r="E401" s="3"/>
      <c r="F401" s="3" t="str">
        <f>IFERROR(VLOOKUP(E401,Employees!A:L,2,FALSE),"")</f>
        <v/>
      </c>
      <c r="G401" s="3" t="str">
        <f>IFERROR(VLOOKUP(E401,Employees!A:L,3,FALSE),"")</f>
        <v/>
      </c>
      <c r="H401" s="3"/>
      <c r="I401" s="3"/>
      <c r="J401" s="3"/>
      <c r="K401" s="3" t="str">
        <f>IF(B401="","",IF(OR(E401="",H401=""),"ناقص",IF(H401="نعم","مكتمل","غائب")))</f>
        <v/>
      </c>
      <c r="L401" s="3"/>
    </row>
    <row r="402" spans="1:12" x14ac:dyDescent="0.2">
      <c r="A402" s="3">
        <v>399</v>
      </c>
      <c r="B402" s="3"/>
      <c r="C402" s="3" t="str">
        <f>IFERROR(VLOOKUP(B402,Sessions!A:J,2,FALSE),"")</f>
        <v/>
      </c>
      <c r="D402" s="3" t="str">
        <f>IFERROR(VLOOKUP(B402,Sessions!A:J,3,FALSE),"")</f>
        <v/>
      </c>
      <c r="E402" s="3"/>
      <c r="F402" s="3" t="str">
        <f>IFERROR(VLOOKUP(E402,Employees!A:L,2,FALSE),"")</f>
        <v/>
      </c>
      <c r="G402" s="3" t="str">
        <f>IFERROR(VLOOKUP(E402,Employees!A:L,3,FALSE),"")</f>
        <v/>
      </c>
      <c r="H402" s="3"/>
      <c r="I402" s="3"/>
      <c r="J402" s="3"/>
      <c r="K402" s="3" t="str">
        <f>IF(B402="","",IF(OR(E402="",H402=""),"ناقص",IF(H402="نعم","مكتمل","غائب")))</f>
        <v/>
      </c>
      <c r="L402" s="3"/>
    </row>
    <row r="403" spans="1:12" x14ac:dyDescent="0.2">
      <c r="A403" s="3">
        <v>400</v>
      </c>
      <c r="B403" s="3"/>
      <c r="C403" s="3" t="str">
        <f>IFERROR(VLOOKUP(B403,Sessions!A:J,2,FALSE),"")</f>
        <v/>
      </c>
      <c r="D403" s="3" t="str">
        <f>IFERROR(VLOOKUP(B403,Sessions!A:J,3,FALSE),"")</f>
        <v/>
      </c>
      <c r="E403" s="3"/>
      <c r="F403" s="3" t="str">
        <f>IFERROR(VLOOKUP(E403,Employees!A:L,2,FALSE),"")</f>
        <v/>
      </c>
      <c r="G403" s="3" t="str">
        <f>IFERROR(VLOOKUP(E403,Employees!A:L,3,FALSE),"")</f>
        <v/>
      </c>
      <c r="H403" s="3"/>
      <c r="I403" s="3"/>
      <c r="J403" s="3"/>
      <c r="K403" s="3" t="str">
        <f>IF(B403="","",IF(OR(E403="",H403=""),"ناقص",IF(H403="نعم","مكتمل","غائب")))</f>
        <v/>
      </c>
      <c r="L403" s="3"/>
    </row>
    <row r="404" spans="1:12" x14ac:dyDescent="0.2">
      <c r="A404" s="3">
        <v>401</v>
      </c>
      <c r="B404" s="3"/>
      <c r="C404" s="3" t="str">
        <f>IFERROR(VLOOKUP(B404,Sessions!A:J,2,FALSE),"")</f>
        <v/>
      </c>
      <c r="D404" s="3" t="str">
        <f>IFERROR(VLOOKUP(B404,Sessions!A:J,3,FALSE),"")</f>
        <v/>
      </c>
      <c r="E404" s="3"/>
      <c r="F404" s="3" t="str">
        <f>IFERROR(VLOOKUP(E404,Employees!A:L,2,FALSE),"")</f>
        <v/>
      </c>
      <c r="G404" s="3" t="str">
        <f>IFERROR(VLOOKUP(E404,Employees!A:L,3,FALSE),"")</f>
        <v/>
      </c>
      <c r="H404" s="3"/>
      <c r="I404" s="3"/>
      <c r="J404" s="3"/>
      <c r="K404" s="3" t="str">
        <f>IF(B404="","",IF(OR(E404="",H404=""),"ناقص",IF(H404="نعم","مكتمل","غائب")))</f>
        <v/>
      </c>
      <c r="L404" s="3"/>
    </row>
    <row r="405" spans="1:12" x14ac:dyDescent="0.2">
      <c r="A405" s="3">
        <v>402</v>
      </c>
      <c r="B405" s="3"/>
      <c r="C405" s="3" t="str">
        <f>IFERROR(VLOOKUP(B405,Sessions!A:J,2,FALSE),"")</f>
        <v/>
      </c>
      <c r="D405" s="3" t="str">
        <f>IFERROR(VLOOKUP(B405,Sessions!A:J,3,FALSE),"")</f>
        <v/>
      </c>
      <c r="E405" s="3"/>
      <c r="F405" s="3" t="str">
        <f>IFERROR(VLOOKUP(E405,Employees!A:L,2,FALSE),"")</f>
        <v/>
      </c>
      <c r="G405" s="3" t="str">
        <f>IFERROR(VLOOKUP(E405,Employees!A:L,3,FALSE),"")</f>
        <v/>
      </c>
      <c r="H405" s="3"/>
      <c r="I405" s="3"/>
      <c r="J405" s="3"/>
      <c r="K405" s="3" t="str">
        <f>IF(B405="","",IF(OR(E405="",H405=""),"ناقص",IF(H405="نعم","مكتمل","غائب")))</f>
        <v/>
      </c>
      <c r="L405" s="3"/>
    </row>
    <row r="406" spans="1:12" x14ac:dyDescent="0.2">
      <c r="A406" s="3">
        <v>403</v>
      </c>
      <c r="B406" s="3"/>
      <c r="C406" s="3" t="str">
        <f>IFERROR(VLOOKUP(B406,Sessions!A:J,2,FALSE),"")</f>
        <v/>
      </c>
      <c r="D406" s="3" t="str">
        <f>IFERROR(VLOOKUP(B406,Sessions!A:J,3,FALSE),"")</f>
        <v/>
      </c>
      <c r="E406" s="3"/>
      <c r="F406" s="3" t="str">
        <f>IFERROR(VLOOKUP(E406,Employees!A:L,2,FALSE),"")</f>
        <v/>
      </c>
      <c r="G406" s="3" t="str">
        <f>IFERROR(VLOOKUP(E406,Employees!A:L,3,FALSE),"")</f>
        <v/>
      </c>
      <c r="H406" s="3"/>
      <c r="I406" s="3"/>
      <c r="J406" s="3"/>
      <c r="K406" s="3" t="str">
        <f>IF(B406="","",IF(OR(E406="",H406=""),"ناقص",IF(H406="نعم","مكتمل","غائب")))</f>
        <v/>
      </c>
      <c r="L406" s="3"/>
    </row>
    <row r="407" spans="1:12" x14ac:dyDescent="0.2">
      <c r="A407" s="3">
        <v>404</v>
      </c>
      <c r="B407" s="3"/>
      <c r="C407" s="3" t="str">
        <f>IFERROR(VLOOKUP(B407,Sessions!A:J,2,FALSE),"")</f>
        <v/>
      </c>
      <c r="D407" s="3" t="str">
        <f>IFERROR(VLOOKUP(B407,Sessions!A:J,3,FALSE),"")</f>
        <v/>
      </c>
      <c r="E407" s="3"/>
      <c r="F407" s="3" t="str">
        <f>IFERROR(VLOOKUP(E407,Employees!A:L,2,FALSE),"")</f>
        <v/>
      </c>
      <c r="G407" s="3" t="str">
        <f>IFERROR(VLOOKUP(E407,Employees!A:L,3,FALSE),"")</f>
        <v/>
      </c>
      <c r="H407" s="3"/>
      <c r="I407" s="3"/>
      <c r="J407" s="3"/>
      <c r="K407" s="3" t="str">
        <f>IF(B407="","",IF(OR(E407="",H407=""),"ناقص",IF(H407="نعم","مكتمل","غائب")))</f>
        <v/>
      </c>
      <c r="L407" s="3"/>
    </row>
    <row r="408" spans="1:12" x14ac:dyDescent="0.2">
      <c r="A408" s="3">
        <v>405</v>
      </c>
      <c r="B408" s="3"/>
      <c r="C408" s="3" t="str">
        <f>IFERROR(VLOOKUP(B408,Sessions!A:J,2,FALSE),"")</f>
        <v/>
      </c>
      <c r="D408" s="3" t="str">
        <f>IFERROR(VLOOKUP(B408,Sessions!A:J,3,FALSE),"")</f>
        <v/>
      </c>
      <c r="E408" s="3"/>
      <c r="F408" s="3" t="str">
        <f>IFERROR(VLOOKUP(E408,Employees!A:L,2,FALSE),"")</f>
        <v/>
      </c>
      <c r="G408" s="3" t="str">
        <f>IFERROR(VLOOKUP(E408,Employees!A:L,3,FALSE),"")</f>
        <v/>
      </c>
      <c r="H408" s="3"/>
      <c r="I408" s="3"/>
      <c r="J408" s="3"/>
      <c r="K408" s="3" t="str">
        <f>IF(B408="","",IF(OR(E408="",H408=""),"ناقص",IF(H408="نعم","مكتمل","غائب")))</f>
        <v/>
      </c>
      <c r="L408" s="3"/>
    </row>
    <row r="409" spans="1:12" x14ac:dyDescent="0.2">
      <c r="A409" s="3">
        <v>406</v>
      </c>
      <c r="B409" s="3"/>
      <c r="C409" s="3" t="str">
        <f>IFERROR(VLOOKUP(B409,Sessions!A:J,2,FALSE),"")</f>
        <v/>
      </c>
      <c r="D409" s="3" t="str">
        <f>IFERROR(VLOOKUP(B409,Sessions!A:J,3,FALSE),"")</f>
        <v/>
      </c>
      <c r="E409" s="3"/>
      <c r="F409" s="3" t="str">
        <f>IFERROR(VLOOKUP(E409,Employees!A:L,2,FALSE),"")</f>
        <v/>
      </c>
      <c r="G409" s="3" t="str">
        <f>IFERROR(VLOOKUP(E409,Employees!A:L,3,FALSE),"")</f>
        <v/>
      </c>
      <c r="H409" s="3"/>
      <c r="I409" s="3"/>
      <c r="J409" s="3"/>
      <c r="K409" s="3" t="str">
        <f>IF(B409="","",IF(OR(E409="",H409=""),"ناقص",IF(H409="نعم","مكتمل","غائب")))</f>
        <v/>
      </c>
      <c r="L409" s="3"/>
    </row>
    <row r="410" spans="1:12" x14ac:dyDescent="0.2">
      <c r="A410" s="3">
        <v>407</v>
      </c>
      <c r="B410" s="3"/>
      <c r="C410" s="3" t="str">
        <f>IFERROR(VLOOKUP(B410,Sessions!A:J,2,FALSE),"")</f>
        <v/>
      </c>
      <c r="D410" s="3" t="str">
        <f>IFERROR(VLOOKUP(B410,Sessions!A:J,3,FALSE),"")</f>
        <v/>
      </c>
      <c r="E410" s="3"/>
      <c r="F410" s="3" t="str">
        <f>IFERROR(VLOOKUP(E410,Employees!A:L,2,FALSE),"")</f>
        <v/>
      </c>
      <c r="G410" s="3" t="str">
        <f>IFERROR(VLOOKUP(E410,Employees!A:L,3,FALSE),"")</f>
        <v/>
      </c>
      <c r="H410" s="3"/>
      <c r="I410" s="3"/>
      <c r="J410" s="3"/>
      <c r="K410" s="3" t="str">
        <f>IF(B410="","",IF(OR(E410="",H410=""),"ناقص",IF(H410="نعم","مكتمل","غائب")))</f>
        <v/>
      </c>
      <c r="L410" s="3"/>
    </row>
    <row r="411" spans="1:12" x14ac:dyDescent="0.2">
      <c r="A411" s="3">
        <v>408</v>
      </c>
      <c r="B411" s="3"/>
      <c r="C411" s="3" t="str">
        <f>IFERROR(VLOOKUP(B411,Sessions!A:J,2,FALSE),"")</f>
        <v/>
      </c>
      <c r="D411" s="3" t="str">
        <f>IFERROR(VLOOKUP(B411,Sessions!A:J,3,FALSE),"")</f>
        <v/>
      </c>
      <c r="E411" s="3"/>
      <c r="F411" s="3" t="str">
        <f>IFERROR(VLOOKUP(E411,Employees!A:L,2,FALSE),"")</f>
        <v/>
      </c>
      <c r="G411" s="3" t="str">
        <f>IFERROR(VLOOKUP(E411,Employees!A:L,3,FALSE),"")</f>
        <v/>
      </c>
      <c r="H411" s="3"/>
      <c r="I411" s="3"/>
      <c r="J411" s="3"/>
      <c r="K411" s="3" t="str">
        <f>IF(B411="","",IF(OR(E411="",H411=""),"ناقص",IF(H411="نعم","مكتمل","غائب")))</f>
        <v/>
      </c>
      <c r="L411" s="3"/>
    </row>
    <row r="412" spans="1:12" x14ac:dyDescent="0.2">
      <c r="A412" s="3">
        <v>409</v>
      </c>
      <c r="B412" s="3"/>
      <c r="C412" s="3" t="str">
        <f>IFERROR(VLOOKUP(B412,Sessions!A:J,2,FALSE),"")</f>
        <v/>
      </c>
      <c r="D412" s="3" t="str">
        <f>IFERROR(VLOOKUP(B412,Sessions!A:J,3,FALSE),"")</f>
        <v/>
      </c>
      <c r="E412" s="3"/>
      <c r="F412" s="3" t="str">
        <f>IFERROR(VLOOKUP(E412,Employees!A:L,2,FALSE),"")</f>
        <v/>
      </c>
      <c r="G412" s="3" t="str">
        <f>IFERROR(VLOOKUP(E412,Employees!A:L,3,FALSE),"")</f>
        <v/>
      </c>
      <c r="H412" s="3"/>
      <c r="I412" s="3"/>
      <c r="J412" s="3"/>
      <c r="K412" s="3" t="str">
        <f>IF(B412="","",IF(OR(E412="",H412=""),"ناقص",IF(H412="نعم","مكتمل","غائب")))</f>
        <v/>
      </c>
      <c r="L412" s="3"/>
    </row>
    <row r="413" spans="1:12" x14ac:dyDescent="0.2">
      <c r="A413" s="3">
        <v>410</v>
      </c>
      <c r="B413" s="3"/>
      <c r="C413" s="3" t="str">
        <f>IFERROR(VLOOKUP(B413,Sessions!A:J,2,FALSE),"")</f>
        <v/>
      </c>
      <c r="D413" s="3" t="str">
        <f>IFERROR(VLOOKUP(B413,Sessions!A:J,3,FALSE),"")</f>
        <v/>
      </c>
      <c r="E413" s="3"/>
      <c r="F413" s="3" t="str">
        <f>IFERROR(VLOOKUP(E413,Employees!A:L,2,FALSE),"")</f>
        <v/>
      </c>
      <c r="G413" s="3" t="str">
        <f>IFERROR(VLOOKUP(E413,Employees!A:L,3,FALSE),"")</f>
        <v/>
      </c>
      <c r="H413" s="3"/>
      <c r="I413" s="3"/>
      <c r="J413" s="3"/>
      <c r="K413" s="3" t="str">
        <f>IF(B413="","",IF(OR(E413="",H413=""),"ناقص",IF(H413="نعم","مكتمل","غائب")))</f>
        <v/>
      </c>
      <c r="L413" s="3"/>
    </row>
    <row r="414" spans="1:12" x14ac:dyDescent="0.2">
      <c r="A414" s="3">
        <v>411</v>
      </c>
      <c r="B414" s="3"/>
      <c r="C414" s="3" t="str">
        <f>IFERROR(VLOOKUP(B414,Sessions!A:J,2,FALSE),"")</f>
        <v/>
      </c>
      <c r="D414" s="3" t="str">
        <f>IFERROR(VLOOKUP(B414,Sessions!A:J,3,FALSE),"")</f>
        <v/>
      </c>
      <c r="E414" s="3"/>
      <c r="F414" s="3" t="str">
        <f>IFERROR(VLOOKUP(E414,Employees!A:L,2,FALSE),"")</f>
        <v/>
      </c>
      <c r="G414" s="3" t="str">
        <f>IFERROR(VLOOKUP(E414,Employees!A:L,3,FALSE),"")</f>
        <v/>
      </c>
      <c r="H414" s="3"/>
      <c r="I414" s="3"/>
      <c r="J414" s="3"/>
      <c r="K414" s="3" t="str">
        <f>IF(B414="","",IF(OR(E414="",H414=""),"ناقص",IF(H414="نعم","مكتمل","غائب")))</f>
        <v/>
      </c>
      <c r="L414" s="3"/>
    </row>
    <row r="415" spans="1:12" x14ac:dyDescent="0.2">
      <c r="A415" s="3">
        <v>412</v>
      </c>
      <c r="B415" s="3"/>
      <c r="C415" s="3" t="str">
        <f>IFERROR(VLOOKUP(B415,Sessions!A:J,2,FALSE),"")</f>
        <v/>
      </c>
      <c r="D415" s="3" t="str">
        <f>IFERROR(VLOOKUP(B415,Sessions!A:J,3,FALSE),"")</f>
        <v/>
      </c>
      <c r="E415" s="3"/>
      <c r="F415" s="3" t="str">
        <f>IFERROR(VLOOKUP(E415,Employees!A:L,2,FALSE),"")</f>
        <v/>
      </c>
      <c r="G415" s="3" t="str">
        <f>IFERROR(VLOOKUP(E415,Employees!A:L,3,FALSE),"")</f>
        <v/>
      </c>
      <c r="H415" s="3"/>
      <c r="I415" s="3"/>
      <c r="J415" s="3"/>
      <c r="K415" s="3" t="str">
        <f>IF(B415="","",IF(OR(E415="",H415=""),"ناقص",IF(H415="نعم","مكتمل","غائب")))</f>
        <v/>
      </c>
      <c r="L415" s="3"/>
    </row>
    <row r="416" spans="1:12" x14ac:dyDescent="0.2">
      <c r="A416" s="3">
        <v>413</v>
      </c>
      <c r="B416" s="3"/>
      <c r="C416" s="3" t="str">
        <f>IFERROR(VLOOKUP(B416,Sessions!A:J,2,FALSE),"")</f>
        <v/>
      </c>
      <c r="D416" s="3" t="str">
        <f>IFERROR(VLOOKUP(B416,Sessions!A:J,3,FALSE),"")</f>
        <v/>
      </c>
      <c r="E416" s="3"/>
      <c r="F416" s="3" t="str">
        <f>IFERROR(VLOOKUP(E416,Employees!A:L,2,FALSE),"")</f>
        <v/>
      </c>
      <c r="G416" s="3" t="str">
        <f>IFERROR(VLOOKUP(E416,Employees!A:L,3,FALSE),"")</f>
        <v/>
      </c>
      <c r="H416" s="3"/>
      <c r="I416" s="3"/>
      <c r="J416" s="3"/>
      <c r="K416" s="3" t="str">
        <f>IF(B416="","",IF(OR(E416="",H416=""),"ناقص",IF(H416="نعم","مكتمل","غائب")))</f>
        <v/>
      </c>
      <c r="L416" s="3"/>
    </row>
    <row r="417" spans="1:12" x14ac:dyDescent="0.2">
      <c r="A417" s="3">
        <v>414</v>
      </c>
      <c r="B417" s="3"/>
      <c r="C417" s="3" t="str">
        <f>IFERROR(VLOOKUP(B417,Sessions!A:J,2,FALSE),"")</f>
        <v/>
      </c>
      <c r="D417" s="3" t="str">
        <f>IFERROR(VLOOKUP(B417,Sessions!A:J,3,FALSE),"")</f>
        <v/>
      </c>
      <c r="E417" s="3"/>
      <c r="F417" s="3" t="str">
        <f>IFERROR(VLOOKUP(E417,Employees!A:L,2,FALSE),"")</f>
        <v/>
      </c>
      <c r="G417" s="3" t="str">
        <f>IFERROR(VLOOKUP(E417,Employees!A:L,3,FALSE),"")</f>
        <v/>
      </c>
      <c r="H417" s="3"/>
      <c r="I417" s="3"/>
      <c r="J417" s="3"/>
      <c r="K417" s="3" t="str">
        <f>IF(B417="","",IF(OR(E417="",H417=""),"ناقص",IF(H417="نعم","مكتمل","غائب")))</f>
        <v/>
      </c>
      <c r="L417" s="3"/>
    </row>
    <row r="418" spans="1:12" x14ac:dyDescent="0.2">
      <c r="A418" s="3">
        <v>415</v>
      </c>
      <c r="B418" s="3"/>
      <c r="C418" s="3" t="str">
        <f>IFERROR(VLOOKUP(B418,Sessions!A:J,2,FALSE),"")</f>
        <v/>
      </c>
      <c r="D418" s="3" t="str">
        <f>IFERROR(VLOOKUP(B418,Sessions!A:J,3,FALSE),"")</f>
        <v/>
      </c>
      <c r="E418" s="3"/>
      <c r="F418" s="3" t="str">
        <f>IFERROR(VLOOKUP(E418,Employees!A:L,2,FALSE),"")</f>
        <v/>
      </c>
      <c r="G418" s="3" t="str">
        <f>IFERROR(VLOOKUP(E418,Employees!A:L,3,FALSE),"")</f>
        <v/>
      </c>
      <c r="H418" s="3"/>
      <c r="I418" s="3"/>
      <c r="J418" s="3"/>
      <c r="K418" s="3" t="str">
        <f>IF(B418="","",IF(OR(E418="",H418=""),"ناقص",IF(H418="نعم","مكتمل","غائب")))</f>
        <v/>
      </c>
      <c r="L418" s="3"/>
    </row>
    <row r="419" spans="1:12" x14ac:dyDescent="0.2">
      <c r="A419" s="3">
        <v>416</v>
      </c>
      <c r="B419" s="3"/>
      <c r="C419" s="3" t="str">
        <f>IFERROR(VLOOKUP(B419,Sessions!A:J,2,FALSE),"")</f>
        <v/>
      </c>
      <c r="D419" s="3" t="str">
        <f>IFERROR(VLOOKUP(B419,Sessions!A:J,3,FALSE),"")</f>
        <v/>
      </c>
      <c r="E419" s="3"/>
      <c r="F419" s="3" t="str">
        <f>IFERROR(VLOOKUP(E419,Employees!A:L,2,FALSE),"")</f>
        <v/>
      </c>
      <c r="G419" s="3" t="str">
        <f>IFERROR(VLOOKUP(E419,Employees!A:L,3,FALSE),"")</f>
        <v/>
      </c>
      <c r="H419" s="3"/>
      <c r="I419" s="3"/>
      <c r="J419" s="3"/>
      <c r="K419" s="3" t="str">
        <f>IF(B419="","",IF(OR(E419="",H419=""),"ناقص",IF(H419="نعم","مكتمل","غائب")))</f>
        <v/>
      </c>
      <c r="L419" s="3"/>
    </row>
    <row r="420" spans="1:12" x14ac:dyDescent="0.2">
      <c r="A420" s="3">
        <v>417</v>
      </c>
      <c r="B420" s="3"/>
      <c r="C420" s="3" t="str">
        <f>IFERROR(VLOOKUP(B420,Sessions!A:J,2,FALSE),"")</f>
        <v/>
      </c>
      <c r="D420" s="3" t="str">
        <f>IFERROR(VLOOKUP(B420,Sessions!A:J,3,FALSE),"")</f>
        <v/>
      </c>
      <c r="E420" s="3"/>
      <c r="F420" s="3" t="str">
        <f>IFERROR(VLOOKUP(E420,Employees!A:L,2,FALSE),"")</f>
        <v/>
      </c>
      <c r="G420" s="3" t="str">
        <f>IFERROR(VLOOKUP(E420,Employees!A:L,3,FALSE),"")</f>
        <v/>
      </c>
      <c r="H420" s="3"/>
      <c r="I420" s="3"/>
      <c r="J420" s="3"/>
      <c r="K420" s="3" t="str">
        <f>IF(B420="","",IF(OR(E420="",H420=""),"ناقص",IF(H420="نعم","مكتمل","غائب")))</f>
        <v/>
      </c>
      <c r="L420" s="3"/>
    </row>
    <row r="421" spans="1:12" x14ac:dyDescent="0.2">
      <c r="A421" s="3">
        <v>418</v>
      </c>
      <c r="B421" s="3"/>
      <c r="C421" s="3" t="str">
        <f>IFERROR(VLOOKUP(B421,Sessions!A:J,2,FALSE),"")</f>
        <v/>
      </c>
      <c r="D421" s="3" t="str">
        <f>IFERROR(VLOOKUP(B421,Sessions!A:J,3,FALSE),"")</f>
        <v/>
      </c>
      <c r="E421" s="3"/>
      <c r="F421" s="3" t="str">
        <f>IFERROR(VLOOKUP(E421,Employees!A:L,2,FALSE),"")</f>
        <v/>
      </c>
      <c r="G421" s="3" t="str">
        <f>IFERROR(VLOOKUP(E421,Employees!A:L,3,FALSE),"")</f>
        <v/>
      </c>
      <c r="H421" s="3"/>
      <c r="I421" s="3"/>
      <c r="J421" s="3"/>
      <c r="K421" s="3" t="str">
        <f>IF(B421="","",IF(OR(E421="",H421=""),"ناقص",IF(H421="نعم","مكتمل","غائب")))</f>
        <v/>
      </c>
      <c r="L421" s="3"/>
    </row>
    <row r="422" spans="1:12" x14ac:dyDescent="0.2">
      <c r="A422" s="3">
        <v>419</v>
      </c>
      <c r="B422" s="3"/>
      <c r="C422" s="3" t="str">
        <f>IFERROR(VLOOKUP(B422,Sessions!A:J,2,FALSE),"")</f>
        <v/>
      </c>
      <c r="D422" s="3" t="str">
        <f>IFERROR(VLOOKUP(B422,Sessions!A:J,3,FALSE),"")</f>
        <v/>
      </c>
      <c r="E422" s="3"/>
      <c r="F422" s="3" t="str">
        <f>IFERROR(VLOOKUP(E422,Employees!A:L,2,FALSE),"")</f>
        <v/>
      </c>
      <c r="G422" s="3" t="str">
        <f>IFERROR(VLOOKUP(E422,Employees!A:L,3,FALSE),"")</f>
        <v/>
      </c>
      <c r="H422" s="3"/>
      <c r="I422" s="3"/>
      <c r="J422" s="3"/>
      <c r="K422" s="3" t="str">
        <f>IF(B422="","",IF(OR(E422="",H422=""),"ناقص",IF(H422="نعم","مكتمل","غائب")))</f>
        <v/>
      </c>
      <c r="L422" s="3"/>
    </row>
    <row r="423" spans="1:12" x14ac:dyDescent="0.2">
      <c r="A423" s="3">
        <v>420</v>
      </c>
      <c r="B423" s="3"/>
      <c r="C423" s="3" t="str">
        <f>IFERROR(VLOOKUP(B423,Sessions!A:J,2,FALSE),"")</f>
        <v/>
      </c>
      <c r="D423" s="3" t="str">
        <f>IFERROR(VLOOKUP(B423,Sessions!A:J,3,FALSE),"")</f>
        <v/>
      </c>
      <c r="E423" s="3"/>
      <c r="F423" s="3" t="str">
        <f>IFERROR(VLOOKUP(E423,Employees!A:L,2,FALSE),"")</f>
        <v/>
      </c>
      <c r="G423" s="3" t="str">
        <f>IFERROR(VLOOKUP(E423,Employees!A:L,3,FALSE),"")</f>
        <v/>
      </c>
      <c r="H423" s="3"/>
      <c r="I423" s="3"/>
      <c r="J423" s="3"/>
      <c r="K423" s="3" t="str">
        <f>IF(B423="","",IF(OR(E423="",H423=""),"ناقص",IF(H423="نعم","مكتمل","غائب")))</f>
        <v/>
      </c>
      <c r="L423" s="3"/>
    </row>
    <row r="424" spans="1:12" x14ac:dyDescent="0.2">
      <c r="A424" s="3">
        <v>421</v>
      </c>
      <c r="B424" s="3"/>
      <c r="C424" s="3" t="str">
        <f>IFERROR(VLOOKUP(B424,Sessions!A:J,2,FALSE),"")</f>
        <v/>
      </c>
      <c r="D424" s="3" t="str">
        <f>IFERROR(VLOOKUP(B424,Sessions!A:J,3,FALSE),"")</f>
        <v/>
      </c>
      <c r="E424" s="3"/>
      <c r="F424" s="3" t="str">
        <f>IFERROR(VLOOKUP(E424,Employees!A:L,2,FALSE),"")</f>
        <v/>
      </c>
      <c r="G424" s="3" t="str">
        <f>IFERROR(VLOOKUP(E424,Employees!A:L,3,FALSE),"")</f>
        <v/>
      </c>
      <c r="H424" s="3"/>
      <c r="I424" s="3"/>
      <c r="J424" s="3"/>
      <c r="K424" s="3" t="str">
        <f>IF(B424="","",IF(OR(E424="",H424=""),"ناقص",IF(H424="نعم","مكتمل","غائب")))</f>
        <v/>
      </c>
      <c r="L424" s="3"/>
    </row>
    <row r="425" spans="1:12" x14ac:dyDescent="0.2">
      <c r="A425" s="3">
        <v>422</v>
      </c>
      <c r="B425" s="3"/>
      <c r="C425" s="3" t="str">
        <f>IFERROR(VLOOKUP(B425,Sessions!A:J,2,FALSE),"")</f>
        <v/>
      </c>
      <c r="D425" s="3" t="str">
        <f>IFERROR(VLOOKUP(B425,Sessions!A:J,3,FALSE),"")</f>
        <v/>
      </c>
      <c r="E425" s="3"/>
      <c r="F425" s="3" t="str">
        <f>IFERROR(VLOOKUP(E425,Employees!A:L,2,FALSE),"")</f>
        <v/>
      </c>
      <c r="G425" s="3" t="str">
        <f>IFERROR(VLOOKUP(E425,Employees!A:L,3,FALSE),"")</f>
        <v/>
      </c>
      <c r="H425" s="3"/>
      <c r="I425" s="3"/>
      <c r="J425" s="3"/>
      <c r="K425" s="3" t="str">
        <f>IF(B425="","",IF(OR(E425="",H425=""),"ناقص",IF(H425="نعم","مكتمل","غائب")))</f>
        <v/>
      </c>
      <c r="L425" s="3"/>
    </row>
    <row r="426" spans="1:12" x14ac:dyDescent="0.2">
      <c r="A426" s="3">
        <v>423</v>
      </c>
      <c r="B426" s="3"/>
      <c r="C426" s="3" t="str">
        <f>IFERROR(VLOOKUP(B426,Sessions!A:J,2,FALSE),"")</f>
        <v/>
      </c>
      <c r="D426" s="3" t="str">
        <f>IFERROR(VLOOKUP(B426,Sessions!A:J,3,FALSE),"")</f>
        <v/>
      </c>
      <c r="E426" s="3"/>
      <c r="F426" s="3" t="str">
        <f>IFERROR(VLOOKUP(E426,Employees!A:L,2,FALSE),"")</f>
        <v/>
      </c>
      <c r="G426" s="3" t="str">
        <f>IFERROR(VLOOKUP(E426,Employees!A:L,3,FALSE),"")</f>
        <v/>
      </c>
      <c r="H426" s="3"/>
      <c r="I426" s="3"/>
      <c r="J426" s="3"/>
      <c r="K426" s="3" t="str">
        <f>IF(B426="","",IF(OR(E426="",H426=""),"ناقص",IF(H426="نعم","مكتمل","غائب")))</f>
        <v/>
      </c>
      <c r="L426" s="3"/>
    </row>
    <row r="427" spans="1:12" x14ac:dyDescent="0.2">
      <c r="A427" s="3">
        <v>424</v>
      </c>
      <c r="B427" s="3"/>
      <c r="C427" s="3" t="str">
        <f>IFERROR(VLOOKUP(B427,Sessions!A:J,2,FALSE),"")</f>
        <v/>
      </c>
      <c r="D427" s="3" t="str">
        <f>IFERROR(VLOOKUP(B427,Sessions!A:J,3,FALSE),"")</f>
        <v/>
      </c>
      <c r="E427" s="3"/>
      <c r="F427" s="3" t="str">
        <f>IFERROR(VLOOKUP(E427,Employees!A:L,2,FALSE),"")</f>
        <v/>
      </c>
      <c r="G427" s="3" t="str">
        <f>IFERROR(VLOOKUP(E427,Employees!A:L,3,FALSE),"")</f>
        <v/>
      </c>
      <c r="H427" s="3"/>
      <c r="I427" s="3"/>
      <c r="J427" s="3"/>
      <c r="K427" s="3" t="str">
        <f>IF(B427="","",IF(OR(E427="",H427=""),"ناقص",IF(H427="نعم","مكتمل","غائب")))</f>
        <v/>
      </c>
      <c r="L427" s="3"/>
    </row>
    <row r="428" spans="1:12" x14ac:dyDescent="0.2">
      <c r="A428" s="3">
        <v>425</v>
      </c>
      <c r="B428" s="3"/>
      <c r="C428" s="3" t="str">
        <f>IFERROR(VLOOKUP(B428,Sessions!A:J,2,FALSE),"")</f>
        <v/>
      </c>
      <c r="D428" s="3" t="str">
        <f>IFERROR(VLOOKUP(B428,Sessions!A:J,3,FALSE),"")</f>
        <v/>
      </c>
      <c r="E428" s="3"/>
      <c r="F428" s="3" t="str">
        <f>IFERROR(VLOOKUP(E428,Employees!A:L,2,FALSE),"")</f>
        <v/>
      </c>
      <c r="G428" s="3" t="str">
        <f>IFERROR(VLOOKUP(E428,Employees!A:L,3,FALSE),"")</f>
        <v/>
      </c>
      <c r="H428" s="3"/>
      <c r="I428" s="3"/>
      <c r="J428" s="3"/>
      <c r="K428" s="3" t="str">
        <f>IF(B428="","",IF(OR(E428="",H428=""),"ناقص",IF(H428="نعم","مكتمل","غائب")))</f>
        <v/>
      </c>
      <c r="L428" s="3"/>
    </row>
    <row r="429" spans="1:12" x14ac:dyDescent="0.2">
      <c r="A429" s="3">
        <v>426</v>
      </c>
      <c r="B429" s="3"/>
      <c r="C429" s="3" t="str">
        <f>IFERROR(VLOOKUP(B429,Sessions!A:J,2,FALSE),"")</f>
        <v/>
      </c>
      <c r="D429" s="3" t="str">
        <f>IFERROR(VLOOKUP(B429,Sessions!A:J,3,FALSE),"")</f>
        <v/>
      </c>
      <c r="E429" s="3"/>
      <c r="F429" s="3" t="str">
        <f>IFERROR(VLOOKUP(E429,Employees!A:L,2,FALSE),"")</f>
        <v/>
      </c>
      <c r="G429" s="3" t="str">
        <f>IFERROR(VLOOKUP(E429,Employees!A:L,3,FALSE),"")</f>
        <v/>
      </c>
      <c r="H429" s="3"/>
      <c r="I429" s="3"/>
      <c r="J429" s="3"/>
      <c r="K429" s="3" t="str">
        <f>IF(B429="","",IF(OR(E429="",H429=""),"ناقص",IF(H429="نعم","مكتمل","غائب")))</f>
        <v/>
      </c>
      <c r="L429" s="3"/>
    </row>
    <row r="430" spans="1:12" x14ac:dyDescent="0.2">
      <c r="A430" s="3">
        <v>427</v>
      </c>
      <c r="B430" s="3"/>
      <c r="C430" s="3" t="str">
        <f>IFERROR(VLOOKUP(B430,Sessions!A:J,2,FALSE),"")</f>
        <v/>
      </c>
      <c r="D430" s="3" t="str">
        <f>IFERROR(VLOOKUP(B430,Sessions!A:J,3,FALSE),"")</f>
        <v/>
      </c>
      <c r="E430" s="3"/>
      <c r="F430" s="3" t="str">
        <f>IFERROR(VLOOKUP(E430,Employees!A:L,2,FALSE),"")</f>
        <v/>
      </c>
      <c r="G430" s="3" t="str">
        <f>IFERROR(VLOOKUP(E430,Employees!A:L,3,FALSE),"")</f>
        <v/>
      </c>
      <c r="H430" s="3"/>
      <c r="I430" s="3"/>
      <c r="J430" s="3"/>
      <c r="K430" s="3" t="str">
        <f>IF(B430="","",IF(OR(E430="",H430=""),"ناقص",IF(H430="نعم","مكتمل","غائب")))</f>
        <v/>
      </c>
      <c r="L430" s="3"/>
    </row>
    <row r="431" spans="1:12" x14ac:dyDescent="0.2">
      <c r="A431" s="3">
        <v>428</v>
      </c>
      <c r="B431" s="3"/>
      <c r="C431" s="3" t="str">
        <f>IFERROR(VLOOKUP(B431,Sessions!A:J,2,FALSE),"")</f>
        <v/>
      </c>
      <c r="D431" s="3" t="str">
        <f>IFERROR(VLOOKUP(B431,Sessions!A:J,3,FALSE),"")</f>
        <v/>
      </c>
      <c r="E431" s="3"/>
      <c r="F431" s="3" t="str">
        <f>IFERROR(VLOOKUP(E431,Employees!A:L,2,FALSE),"")</f>
        <v/>
      </c>
      <c r="G431" s="3" t="str">
        <f>IFERROR(VLOOKUP(E431,Employees!A:L,3,FALSE),"")</f>
        <v/>
      </c>
      <c r="H431" s="3"/>
      <c r="I431" s="3"/>
      <c r="J431" s="3"/>
      <c r="K431" s="3" t="str">
        <f>IF(B431="","",IF(OR(E431="",H431=""),"ناقص",IF(H431="نعم","مكتمل","غائب")))</f>
        <v/>
      </c>
      <c r="L431" s="3"/>
    </row>
    <row r="432" spans="1:12" x14ac:dyDescent="0.2">
      <c r="A432" s="3">
        <v>429</v>
      </c>
      <c r="B432" s="3"/>
      <c r="C432" s="3" t="str">
        <f>IFERROR(VLOOKUP(B432,Sessions!A:J,2,FALSE),"")</f>
        <v/>
      </c>
      <c r="D432" s="3" t="str">
        <f>IFERROR(VLOOKUP(B432,Sessions!A:J,3,FALSE),"")</f>
        <v/>
      </c>
      <c r="E432" s="3"/>
      <c r="F432" s="3" t="str">
        <f>IFERROR(VLOOKUP(E432,Employees!A:L,2,FALSE),"")</f>
        <v/>
      </c>
      <c r="G432" s="3" t="str">
        <f>IFERROR(VLOOKUP(E432,Employees!A:L,3,FALSE),"")</f>
        <v/>
      </c>
      <c r="H432" s="3"/>
      <c r="I432" s="3"/>
      <c r="J432" s="3"/>
      <c r="K432" s="3" t="str">
        <f>IF(B432="","",IF(OR(E432="",H432=""),"ناقص",IF(H432="نعم","مكتمل","غائب")))</f>
        <v/>
      </c>
      <c r="L432" s="3"/>
    </row>
    <row r="433" spans="1:12" x14ac:dyDescent="0.2">
      <c r="A433" s="3">
        <v>430</v>
      </c>
      <c r="B433" s="3"/>
      <c r="C433" s="3" t="str">
        <f>IFERROR(VLOOKUP(B433,Sessions!A:J,2,FALSE),"")</f>
        <v/>
      </c>
      <c r="D433" s="3" t="str">
        <f>IFERROR(VLOOKUP(B433,Sessions!A:J,3,FALSE),"")</f>
        <v/>
      </c>
      <c r="E433" s="3"/>
      <c r="F433" s="3" t="str">
        <f>IFERROR(VLOOKUP(E433,Employees!A:L,2,FALSE),"")</f>
        <v/>
      </c>
      <c r="G433" s="3" t="str">
        <f>IFERROR(VLOOKUP(E433,Employees!A:L,3,FALSE),"")</f>
        <v/>
      </c>
      <c r="H433" s="3"/>
      <c r="I433" s="3"/>
      <c r="J433" s="3"/>
      <c r="K433" s="3" t="str">
        <f>IF(B433="","",IF(OR(E433="",H433=""),"ناقص",IF(H433="نعم","مكتمل","غائب")))</f>
        <v/>
      </c>
      <c r="L433" s="3"/>
    </row>
    <row r="434" spans="1:12" x14ac:dyDescent="0.2">
      <c r="A434" s="3">
        <v>431</v>
      </c>
      <c r="B434" s="3"/>
      <c r="C434" s="3" t="str">
        <f>IFERROR(VLOOKUP(B434,Sessions!A:J,2,FALSE),"")</f>
        <v/>
      </c>
      <c r="D434" s="3" t="str">
        <f>IFERROR(VLOOKUP(B434,Sessions!A:J,3,FALSE),"")</f>
        <v/>
      </c>
      <c r="E434" s="3"/>
      <c r="F434" s="3" t="str">
        <f>IFERROR(VLOOKUP(E434,Employees!A:L,2,FALSE),"")</f>
        <v/>
      </c>
      <c r="G434" s="3" t="str">
        <f>IFERROR(VLOOKUP(E434,Employees!A:L,3,FALSE),"")</f>
        <v/>
      </c>
      <c r="H434" s="3"/>
      <c r="I434" s="3"/>
      <c r="J434" s="3"/>
      <c r="K434" s="3" t="str">
        <f>IF(B434="","",IF(OR(E434="",H434=""),"ناقص",IF(H434="نعم","مكتمل","غائب")))</f>
        <v/>
      </c>
      <c r="L434" s="3"/>
    </row>
    <row r="435" spans="1:12" x14ac:dyDescent="0.2">
      <c r="A435" s="3">
        <v>432</v>
      </c>
      <c r="B435" s="3"/>
      <c r="C435" s="3" t="str">
        <f>IFERROR(VLOOKUP(B435,Sessions!A:J,2,FALSE),"")</f>
        <v/>
      </c>
      <c r="D435" s="3" t="str">
        <f>IFERROR(VLOOKUP(B435,Sessions!A:J,3,FALSE),"")</f>
        <v/>
      </c>
      <c r="E435" s="3"/>
      <c r="F435" s="3" t="str">
        <f>IFERROR(VLOOKUP(E435,Employees!A:L,2,FALSE),"")</f>
        <v/>
      </c>
      <c r="G435" s="3" t="str">
        <f>IFERROR(VLOOKUP(E435,Employees!A:L,3,FALSE),"")</f>
        <v/>
      </c>
      <c r="H435" s="3"/>
      <c r="I435" s="3"/>
      <c r="J435" s="3"/>
      <c r="K435" s="3" t="str">
        <f>IF(B435="","",IF(OR(E435="",H435=""),"ناقص",IF(H435="نعم","مكتمل","غائب")))</f>
        <v/>
      </c>
      <c r="L435" s="3"/>
    </row>
    <row r="436" spans="1:12" x14ac:dyDescent="0.2">
      <c r="A436" s="3">
        <v>433</v>
      </c>
      <c r="B436" s="3"/>
      <c r="C436" s="3" t="str">
        <f>IFERROR(VLOOKUP(B436,Sessions!A:J,2,FALSE),"")</f>
        <v/>
      </c>
      <c r="D436" s="3" t="str">
        <f>IFERROR(VLOOKUP(B436,Sessions!A:J,3,FALSE),"")</f>
        <v/>
      </c>
      <c r="E436" s="3"/>
      <c r="F436" s="3" t="str">
        <f>IFERROR(VLOOKUP(E436,Employees!A:L,2,FALSE),"")</f>
        <v/>
      </c>
      <c r="G436" s="3" t="str">
        <f>IFERROR(VLOOKUP(E436,Employees!A:L,3,FALSE),"")</f>
        <v/>
      </c>
      <c r="H436" s="3"/>
      <c r="I436" s="3"/>
      <c r="J436" s="3"/>
      <c r="K436" s="3" t="str">
        <f>IF(B436="","",IF(OR(E436="",H436=""),"ناقص",IF(H436="نعم","مكتمل","غائب")))</f>
        <v/>
      </c>
      <c r="L436" s="3"/>
    </row>
    <row r="437" spans="1:12" x14ac:dyDescent="0.2">
      <c r="A437" s="3">
        <v>434</v>
      </c>
      <c r="B437" s="3"/>
      <c r="C437" s="3" t="str">
        <f>IFERROR(VLOOKUP(B437,Sessions!A:J,2,FALSE),"")</f>
        <v/>
      </c>
      <c r="D437" s="3" t="str">
        <f>IFERROR(VLOOKUP(B437,Sessions!A:J,3,FALSE),"")</f>
        <v/>
      </c>
      <c r="E437" s="3"/>
      <c r="F437" s="3" t="str">
        <f>IFERROR(VLOOKUP(E437,Employees!A:L,2,FALSE),"")</f>
        <v/>
      </c>
      <c r="G437" s="3" t="str">
        <f>IFERROR(VLOOKUP(E437,Employees!A:L,3,FALSE),"")</f>
        <v/>
      </c>
      <c r="H437" s="3"/>
      <c r="I437" s="3"/>
      <c r="J437" s="3"/>
      <c r="K437" s="3" t="str">
        <f>IF(B437="","",IF(OR(E437="",H437=""),"ناقص",IF(H437="نعم","مكتمل","غائب")))</f>
        <v/>
      </c>
      <c r="L437" s="3"/>
    </row>
    <row r="438" spans="1:12" x14ac:dyDescent="0.2">
      <c r="A438" s="3">
        <v>435</v>
      </c>
      <c r="B438" s="3"/>
      <c r="C438" s="3" t="str">
        <f>IFERROR(VLOOKUP(B438,Sessions!A:J,2,FALSE),"")</f>
        <v/>
      </c>
      <c r="D438" s="3" t="str">
        <f>IFERROR(VLOOKUP(B438,Sessions!A:J,3,FALSE),"")</f>
        <v/>
      </c>
      <c r="E438" s="3"/>
      <c r="F438" s="3" t="str">
        <f>IFERROR(VLOOKUP(E438,Employees!A:L,2,FALSE),"")</f>
        <v/>
      </c>
      <c r="G438" s="3" t="str">
        <f>IFERROR(VLOOKUP(E438,Employees!A:L,3,FALSE),"")</f>
        <v/>
      </c>
      <c r="H438" s="3"/>
      <c r="I438" s="3"/>
      <c r="J438" s="3"/>
      <c r="K438" s="3" t="str">
        <f>IF(B438="","",IF(OR(E438="",H438=""),"ناقص",IF(H438="نعم","مكتمل","غائب")))</f>
        <v/>
      </c>
      <c r="L438" s="3"/>
    </row>
    <row r="439" spans="1:12" x14ac:dyDescent="0.2">
      <c r="A439" s="3">
        <v>436</v>
      </c>
      <c r="B439" s="3"/>
      <c r="C439" s="3" t="str">
        <f>IFERROR(VLOOKUP(B439,Sessions!A:J,2,FALSE),"")</f>
        <v/>
      </c>
      <c r="D439" s="3" t="str">
        <f>IFERROR(VLOOKUP(B439,Sessions!A:J,3,FALSE),"")</f>
        <v/>
      </c>
      <c r="E439" s="3"/>
      <c r="F439" s="3" t="str">
        <f>IFERROR(VLOOKUP(E439,Employees!A:L,2,FALSE),"")</f>
        <v/>
      </c>
      <c r="G439" s="3" t="str">
        <f>IFERROR(VLOOKUP(E439,Employees!A:L,3,FALSE),"")</f>
        <v/>
      </c>
      <c r="H439" s="3"/>
      <c r="I439" s="3"/>
      <c r="J439" s="3"/>
      <c r="K439" s="3" t="str">
        <f>IF(B439="","",IF(OR(E439="",H439=""),"ناقص",IF(H439="نعم","مكتمل","غائب")))</f>
        <v/>
      </c>
      <c r="L439" s="3"/>
    </row>
    <row r="440" spans="1:12" x14ac:dyDescent="0.2">
      <c r="A440" s="3">
        <v>437</v>
      </c>
      <c r="B440" s="3"/>
      <c r="C440" s="3" t="str">
        <f>IFERROR(VLOOKUP(B440,Sessions!A:J,2,FALSE),"")</f>
        <v/>
      </c>
      <c r="D440" s="3" t="str">
        <f>IFERROR(VLOOKUP(B440,Sessions!A:J,3,FALSE),"")</f>
        <v/>
      </c>
      <c r="E440" s="3"/>
      <c r="F440" s="3" t="str">
        <f>IFERROR(VLOOKUP(E440,Employees!A:L,2,FALSE),"")</f>
        <v/>
      </c>
      <c r="G440" s="3" t="str">
        <f>IFERROR(VLOOKUP(E440,Employees!A:L,3,FALSE),"")</f>
        <v/>
      </c>
      <c r="H440" s="3"/>
      <c r="I440" s="3"/>
      <c r="J440" s="3"/>
      <c r="K440" s="3" t="str">
        <f>IF(B440="","",IF(OR(E440="",H440=""),"ناقص",IF(H440="نعم","مكتمل","غائب")))</f>
        <v/>
      </c>
      <c r="L440" s="3"/>
    </row>
    <row r="441" spans="1:12" x14ac:dyDescent="0.2">
      <c r="A441" s="3">
        <v>438</v>
      </c>
      <c r="B441" s="3"/>
      <c r="C441" s="3" t="str">
        <f>IFERROR(VLOOKUP(B441,Sessions!A:J,2,FALSE),"")</f>
        <v/>
      </c>
      <c r="D441" s="3" t="str">
        <f>IFERROR(VLOOKUP(B441,Sessions!A:J,3,FALSE),"")</f>
        <v/>
      </c>
      <c r="E441" s="3"/>
      <c r="F441" s="3" t="str">
        <f>IFERROR(VLOOKUP(E441,Employees!A:L,2,FALSE),"")</f>
        <v/>
      </c>
      <c r="G441" s="3" t="str">
        <f>IFERROR(VLOOKUP(E441,Employees!A:L,3,FALSE),"")</f>
        <v/>
      </c>
      <c r="H441" s="3"/>
      <c r="I441" s="3"/>
      <c r="J441" s="3"/>
      <c r="K441" s="3" t="str">
        <f>IF(B441="","",IF(OR(E441="",H441=""),"ناقص",IF(H441="نعم","مكتمل","غائب")))</f>
        <v/>
      </c>
      <c r="L441" s="3"/>
    </row>
    <row r="442" spans="1:12" x14ac:dyDescent="0.2">
      <c r="A442" s="3">
        <v>439</v>
      </c>
      <c r="B442" s="3"/>
      <c r="C442" s="3" t="str">
        <f>IFERROR(VLOOKUP(B442,Sessions!A:J,2,FALSE),"")</f>
        <v/>
      </c>
      <c r="D442" s="3" t="str">
        <f>IFERROR(VLOOKUP(B442,Sessions!A:J,3,FALSE),"")</f>
        <v/>
      </c>
      <c r="E442" s="3"/>
      <c r="F442" s="3" t="str">
        <f>IFERROR(VLOOKUP(E442,Employees!A:L,2,FALSE),"")</f>
        <v/>
      </c>
      <c r="G442" s="3" t="str">
        <f>IFERROR(VLOOKUP(E442,Employees!A:L,3,FALSE),"")</f>
        <v/>
      </c>
      <c r="H442" s="3"/>
      <c r="I442" s="3"/>
      <c r="J442" s="3"/>
      <c r="K442" s="3" t="str">
        <f>IF(B442="","",IF(OR(E442="",H442=""),"ناقص",IF(H442="نعم","مكتمل","غائب")))</f>
        <v/>
      </c>
      <c r="L442" s="3"/>
    </row>
    <row r="443" spans="1:12" x14ac:dyDescent="0.2">
      <c r="A443" s="3">
        <v>440</v>
      </c>
      <c r="B443" s="3"/>
      <c r="C443" s="3" t="str">
        <f>IFERROR(VLOOKUP(B443,Sessions!A:J,2,FALSE),"")</f>
        <v/>
      </c>
      <c r="D443" s="3" t="str">
        <f>IFERROR(VLOOKUP(B443,Sessions!A:J,3,FALSE),"")</f>
        <v/>
      </c>
      <c r="E443" s="3"/>
      <c r="F443" s="3" t="str">
        <f>IFERROR(VLOOKUP(E443,Employees!A:L,2,FALSE),"")</f>
        <v/>
      </c>
      <c r="G443" s="3" t="str">
        <f>IFERROR(VLOOKUP(E443,Employees!A:L,3,FALSE),"")</f>
        <v/>
      </c>
      <c r="H443" s="3"/>
      <c r="I443" s="3"/>
      <c r="J443" s="3"/>
      <c r="K443" s="3" t="str">
        <f>IF(B443="","",IF(OR(E443="",H443=""),"ناقص",IF(H443="نعم","مكتمل","غائب")))</f>
        <v/>
      </c>
      <c r="L443" s="3"/>
    </row>
    <row r="444" spans="1:12" x14ac:dyDescent="0.2">
      <c r="A444" s="3">
        <v>441</v>
      </c>
      <c r="B444" s="3"/>
      <c r="C444" s="3" t="str">
        <f>IFERROR(VLOOKUP(B444,Sessions!A:J,2,FALSE),"")</f>
        <v/>
      </c>
      <c r="D444" s="3" t="str">
        <f>IFERROR(VLOOKUP(B444,Sessions!A:J,3,FALSE),"")</f>
        <v/>
      </c>
      <c r="E444" s="3"/>
      <c r="F444" s="3" t="str">
        <f>IFERROR(VLOOKUP(E444,Employees!A:L,2,FALSE),"")</f>
        <v/>
      </c>
      <c r="G444" s="3" t="str">
        <f>IFERROR(VLOOKUP(E444,Employees!A:L,3,FALSE),"")</f>
        <v/>
      </c>
      <c r="H444" s="3"/>
      <c r="I444" s="3"/>
      <c r="J444" s="3"/>
      <c r="K444" s="3" t="str">
        <f>IF(B444="","",IF(OR(E444="",H444=""),"ناقص",IF(H444="نعم","مكتمل","غائب")))</f>
        <v/>
      </c>
      <c r="L444" s="3"/>
    </row>
    <row r="445" spans="1:12" x14ac:dyDescent="0.2">
      <c r="A445" s="3">
        <v>442</v>
      </c>
      <c r="B445" s="3"/>
      <c r="C445" s="3" t="str">
        <f>IFERROR(VLOOKUP(B445,Sessions!A:J,2,FALSE),"")</f>
        <v/>
      </c>
      <c r="D445" s="3" t="str">
        <f>IFERROR(VLOOKUP(B445,Sessions!A:J,3,FALSE),"")</f>
        <v/>
      </c>
      <c r="E445" s="3"/>
      <c r="F445" s="3" t="str">
        <f>IFERROR(VLOOKUP(E445,Employees!A:L,2,FALSE),"")</f>
        <v/>
      </c>
      <c r="G445" s="3" t="str">
        <f>IFERROR(VLOOKUP(E445,Employees!A:L,3,FALSE),"")</f>
        <v/>
      </c>
      <c r="H445" s="3"/>
      <c r="I445" s="3"/>
      <c r="J445" s="3"/>
      <c r="K445" s="3" t="str">
        <f>IF(B445="","",IF(OR(E445="",H445=""),"ناقص",IF(H445="نعم","مكتمل","غائب")))</f>
        <v/>
      </c>
      <c r="L445" s="3"/>
    </row>
    <row r="446" spans="1:12" x14ac:dyDescent="0.2">
      <c r="A446" s="3">
        <v>443</v>
      </c>
      <c r="B446" s="3"/>
      <c r="C446" s="3" t="str">
        <f>IFERROR(VLOOKUP(B446,Sessions!A:J,2,FALSE),"")</f>
        <v/>
      </c>
      <c r="D446" s="3" t="str">
        <f>IFERROR(VLOOKUP(B446,Sessions!A:J,3,FALSE),"")</f>
        <v/>
      </c>
      <c r="E446" s="3"/>
      <c r="F446" s="3" t="str">
        <f>IFERROR(VLOOKUP(E446,Employees!A:L,2,FALSE),"")</f>
        <v/>
      </c>
      <c r="G446" s="3" t="str">
        <f>IFERROR(VLOOKUP(E446,Employees!A:L,3,FALSE),"")</f>
        <v/>
      </c>
      <c r="H446" s="3"/>
      <c r="I446" s="3"/>
      <c r="J446" s="3"/>
      <c r="K446" s="3" t="str">
        <f>IF(B446="","",IF(OR(E446="",H446=""),"ناقص",IF(H446="نعم","مكتمل","غائب")))</f>
        <v/>
      </c>
      <c r="L446" s="3"/>
    </row>
    <row r="447" spans="1:12" x14ac:dyDescent="0.2">
      <c r="A447" s="3">
        <v>444</v>
      </c>
      <c r="B447" s="3"/>
      <c r="C447" s="3" t="str">
        <f>IFERROR(VLOOKUP(B447,Sessions!A:J,2,FALSE),"")</f>
        <v/>
      </c>
      <c r="D447" s="3" t="str">
        <f>IFERROR(VLOOKUP(B447,Sessions!A:J,3,FALSE),"")</f>
        <v/>
      </c>
      <c r="E447" s="3"/>
      <c r="F447" s="3" t="str">
        <f>IFERROR(VLOOKUP(E447,Employees!A:L,2,FALSE),"")</f>
        <v/>
      </c>
      <c r="G447" s="3" t="str">
        <f>IFERROR(VLOOKUP(E447,Employees!A:L,3,FALSE),"")</f>
        <v/>
      </c>
      <c r="H447" s="3"/>
      <c r="I447" s="3"/>
      <c r="J447" s="3"/>
      <c r="K447" s="3" t="str">
        <f>IF(B447="","",IF(OR(E447="",H447=""),"ناقص",IF(H447="نعم","مكتمل","غائب")))</f>
        <v/>
      </c>
      <c r="L447" s="3"/>
    </row>
    <row r="448" spans="1:12" x14ac:dyDescent="0.2">
      <c r="A448" s="3">
        <v>445</v>
      </c>
      <c r="B448" s="3"/>
      <c r="C448" s="3" t="str">
        <f>IFERROR(VLOOKUP(B448,Sessions!A:J,2,FALSE),"")</f>
        <v/>
      </c>
      <c r="D448" s="3" t="str">
        <f>IFERROR(VLOOKUP(B448,Sessions!A:J,3,FALSE),"")</f>
        <v/>
      </c>
      <c r="E448" s="3"/>
      <c r="F448" s="3" t="str">
        <f>IFERROR(VLOOKUP(E448,Employees!A:L,2,FALSE),"")</f>
        <v/>
      </c>
      <c r="G448" s="3" t="str">
        <f>IFERROR(VLOOKUP(E448,Employees!A:L,3,FALSE),"")</f>
        <v/>
      </c>
      <c r="H448" s="3"/>
      <c r="I448" s="3"/>
      <c r="J448" s="3"/>
      <c r="K448" s="3" t="str">
        <f>IF(B448="","",IF(OR(E448="",H448=""),"ناقص",IF(H448="نعم","مكتمل","غائب")))</f>
        <v/>
      </c>
      <c r="L448" s="3"/>
    </row>
    <row r="449" spans="1:12" x14ac:dyDescent="0.2">
      <c r="A449" s="3">
        <v>446</v>
      </c>
      <c r="B449" s="3"/>
      <c r="C449" s="3" t="str">
        <f>IFERROR(VLOOKUP(B449,Sessions!A:J,2,FALSE),"")</f>
        <v/>
      </c>
      <c r="D449" s="3" t="str">
        <f>IFERROR(VLOOKUP(B449,Sessions!A:J,3,FALSE),"")</f>
        <v/>
      </c>
      <c r="E449" s="3"/>
      <c r="F449" s="3" t="str">
        <f>IFERROR(VLOOKUP(E449,Employees!A:L,2,FALSE),"")</f>
        <v/>
      </c>
      <c r="G449" s="3" t="str">
        <f>IFERROR(VLOOKUP(E449,Employees!A:L,3,FALSE),"")</f>
        <v/>
      </c>
      <c r="H449" s="3"/>
      <c r="I449" s="3"/>
      <c r="J449" s="3"/>
      <c r="K449" s="3" t="str">
        <f>IF(B449="","",IF(OR(E449="",H449=""),"ناقص",IF(H449="نعم","مكتمل","غائب")))</f>
        <v/>
      </c>
      <c r="L449" s="3"/>
    </row>
    <row r="450" spans="1:12" x14ac:dyDescent="0.2">
      <c r="A450" s="3">
        <v>447</v>
      </c>
      <c r="B450" s="3"/>
      <c r="C450" s="3" t="str">
        <f>IFERROR(VLOOKUP(B450,Sessions!A:J,2,FALSE),"")</f>
        <v/>
      </c>
      <c r="D450" s="3" t="str">
        <f>IFERROR(VLOOKUP(B450,Sessions!A:J,3,FALSE),"")</f>
        <v/>
      </c>
      <c r="E450" s="3"/>
      <c r="F450" s="3" t="str">
        <f>IFERROR(VLOOKUP(E450,Employees!A:L,2,FALSE),"")</f>
        <v/>
      </c>
      <c r="G450" s="3" t="str">
        <f>IFERROR(VLOOKUP(E450,Employees!A:L,3,FALSE),"")</f>
        <v/>
      </c>
      <c r="H450" s="3"/>
      <c r="I450" s="3"/>
      <c r="J450" s="3"/>
      <c r="K450" s="3" t="str">
        <f>IF(B450="","",IF(OR(E450="",H450=""),"ناقص",IF(H450="نعم","مكتمل","غائب")))</f>
        <v/>
      </c>
      <c r="L450" s="3"/>
    </row>
    <row r="451" spans="1:12" x14ac:dyDescent="0.2">
      <c r="A451" s="3">
        <v>448</v>
      </c>
      <c r="B451" s="3"/>
      <c r="C451" s="3" t="str">
        <f>IFERROR(VLOOKUP(B451,Sessions!A:J,2,FALSE),"")</f>
        <v/>
      </c>
      <c r="D451" s="3" t="str">
        <f>IFERROR(VLOOKUP(B451,Sessions!A:J,3,FALSE),"")</f>
        <v/>
      </c>
      <c r="E451" s="3"/>
      <c r="F451" s="3" t="str">
        <f>IFERROR(VLOOKUP(E451,Employees!A:L,2,FALSE),"")</f>
        <v/>
      </c>
      <c r="G451" s="3" t="str">
        <f>IFERROR(VLOOKUP(E451,Employees!A:L,3,FALSE),"")</f>
        <v/>
      </c>
      <c r="H451" s="3"/>
      <c r="I451" s="3"/>
      <c r="J451" s="3"/>
      <c r="K451" s="3" t="str">
        <f>IF(B451="","",IF(OR(E451="",H451=""),"ناقص",IF(H451="نعم","مكتمل","غائب")))</f>
        <v/>
      </c>
      <c r="L451" s="3"/>
    </row>
    <row r="452" spans="1:12" x14ac:dyDescent="0.2">
      <c r="A452" s="3">
        <v>449</v>
      </c>
      <c r="B452" s="3"/>
      <c r="C452" s="3" t="str">
        <f>IFERROR(VLOOKUP(B452,Sessions!A:J,2,FALSE),"")</f>
        <v/>
      </c>
      <c r="D452" s="3" t="str">
        <f>IFERROR(VLOOKUP(B452,Sessions!A:J,3,FALSE),"")</f>
        <v/>
      </c>
      <c r="E452" s="3"/>
      <c r="F452" s="3" t="str">
        <f>IFERROR(VLOOKUP(E452,Employees!A:L,2,FALSE),"")</f>
        <v/>
      </c>
      <c r="G452" s="3" t="str">
        <f>IFERROR(VLOOKUP(E452,Employees!A:L,3,FALSE),"")</f>
        <v/>
      </c>
      <c r="H452" s="3"/>
      <c r="I452" s="3"/>
      <c r="J452" s="3"/>
      <c r="K452" s="3" t="str">
        <f>IF(B452="","",IF(OR(E452="",H452=""),"ناقص",IF(H452="نعم","مكتمل","غائب")))</f>
        <v/>
      </c>
      <c r="L452" s="3"/>
    </row>
    <row r="453" spans="1:12" x14ac:dyDescent="0.2">
      <c r="A453" s="3">
        <v>450</v>
      </c>
      <c r="B453" s="3"/>
      <c r="C453" s="3" t="str">
        <f>IFERROR(VLOOKUP(B453,Sessions!A:J,2,FALSE),"")</f>
        <v/>
      </c>
      <c r="D453" s="3" t="str">
        <f>IFERROR(VLOOKUP(B453,Sessions!A:J,3,FALSE),"")</f>
        <v/>
      </c>
      <c r="E453" s="3"/>
      <c r="F453" s="3" t="str">
        <f>IFERROR(VLOOKUP(E453,Employees!A:L,2,FALSE),"")</f>
        <v/>
      </c>
      <c r="G453" s="3" t="str">
        <f>IFERROR(VLOOKUP(E453,Employees!A:L,3,FALSE),"")</f>
        <v/>
      </c>
      <c r="H453" s="3"/>
      <c r="I453" s="3"/>
      <c r="J453" s="3"/>
      <c r="K453" s="3" t="str">
        <f>IF(B453="","",IF(OR(E453="",H453=""),"ناقص",IF(H453="نعم","مكتمل","غائب")))</f>
        <v/>
      </c>
      <c r="L453" s="3"/>
    </row>
    <row r="454" spans="1:12" x14ac:dyDescent="0.2">
      <c r="A454" s="3">
        <v>451</v>
      </c>
      <c r="B454" s="3"/>
      <c r="C454" s="3" t="str">
        <f>IFERROR(VLOOKUP(B454,Sessions!A:J,2,FALSE),"")</f>
        <v/>
      </c>
      <c r="D454" s="3" t="str">
        <f>IFERROR(VLOOKUP(B454,Sessions!A:J,3,FALSE),"")</f>
        <v/>
      </c>
      <c r="E454" s="3"/>
      <c r="F454" s="3" t="str">
        <f>IFERROR(VLOOKUP(E454,Employees!A:L,2,FALSE),"")</f>
        <v/>
      </c>
      <c r="G454" s="3" t="str">
        <f>IFERROR(VLOOKUP(E454,Employees!A:L,3,FALSE),"")</f>
        <v/>
      </c>
      <c r="H454" s="3"/>
      <c r="I454" s="3"/>
      <c r="J454" s="3"/>
      <c r="K454" s="3" t="str">
        <f>IF(B454="","",IF(OR(E454="",H454=""),"ناقص",IF(H454="نعم","مكتمل","غائب")))</f>
        <v/>
      </c>
      <c r="L454" s="3"/>
    </row>
    <row r="455" spans="1:12" x14ac:dyDescent="0.2">
      <c r="A455" s="3">
        <v>452</v>
      </c>
      <c r="B455" s="3"/>
      <c r="C455" s="3" t="str">
        <f>IFERROR(VLOOKUP(B455,Sessions!A:J,2,FALSE),"")</f>
        <v/>
      </c>
      <c r="D455" s="3" t="str">
        <f>IFERROR(VLOOKUP(B455,Sessions!A:J,3,FALSE),"")</f>
        <v/>
      </c>
      <c r="E455" s="3"/>
      <c r="F455" s="3" t="str">
        <f>IFERROR(VLOOKUP(E455,Employees!A:L,2,FALSE),"")</f>
        <v/>
      </c>
      <c r="G455" s="3" t="str">
        <f>IFERROR(VLOOKUP(E455,Employees!A:L,3,FALSE),"")</f>
        <v/>
      </c>
      <c r="H455" s="3"/>
      <c r="I455" s="3"/>
      <c r="J455" s="3"/>
      <c r="K455" s="3" t="str">
        <f>IF(B455="","",IF(OR(E455="",H455=""),"ناقص",IF(H455="نعم","مكتمل","غائب")))</f>
        <v/>
      </c>
      <c r="L455" s="3"/>
    </row>
    <row r="456" spans="1:12" x14ac:dyDescent="0.2">
      <c r="A456" s="3">
        <v>453</v>
      </c>
      <c r="B456" s="3"/>
      <c r="C456" s="3" t="str">
        <f>IFERROR(VLOOKUP(B456,Sessions!A:J,2,FALSE),"")</f>
        <v/>
      </c>
      <c r="D456" s="3" t="str">
        <f>IFERROR(VLOOKUP(B456,Sessions!A:J,3,FALSE),"")</f>
        <v/>
      </c>
      <c r="E456" s="3"/>
      <c r="F456" s="3" t="str">
        <f>IFERROR(VLOOKUP(E456,Employees!A:L,2,FALSE),"")</f>
        <v/>
      </c>
      <c r="G456" s="3" t="str">
        <f>IFERROR(VLOOKUP(E456,Employees!A:L,3,FALSE),"")</f>
        <v/>
      </c>
      <c r="H456" s="3"/>
      <c r="I456" s="3"/>
      <c r="J456" s="3"/>
      <c r="K456" s="3" t="str">
        <f>IF(B456="","",IF(OR(E456="",H456=""),"ناقص",IF(H456="نعم","مكتمل","غائب")))</f>
        <v/>
      </c>
      <c r="L456" s="3"/>
    </row>
    <row r="457" spans="1:12" x14ac:dyDescent="0.2">
      <c r="A457" s="3">
        <v>454</v>
      </c>
      <c r="B457" s="3"/>
      <c r="C457" s="3" t="str">
        <f>IFERROR(VLOOKUP(B457,Sessions!A:J,2,FALSE),"")</f>
        <v/>
      </c>
      <c r="D457" s="3" t="str">
        <f>IFERROR(VLOOKUP(B457,Sessions!A:J,3,FALSE),"")</f>
        <v/>
      </c>
      <c r="E457" s="3"/>
      <c r="F457" s="3" t="str">
        <f>IFERROR(VLOOKUP(E457,Employees!A:L,2,FALSE),"")</f>
        <v/>
      </c>
      <c r="G457" s="3" t="str">
        <f>IFERROR(VLOOKUP(E457,Employees!A:L,3,FALSE),"")</f>
        <v/>
      </c>
      <c r="H457" s="3"/>
      <c r="I457" s="3"/>
      <c r="J457" s="3"/>
      <c r="K457" s="3" t="str">
        <f>IF(B457="","",IF(OR(E457="",H457=""),"ناقص",IF(H457="نعم","مكتمل","غائب")))</f>
        <v/>
      </c>
      <c r="L457" s="3"/>
    </row>
    <row r="458" spans="1:12" x14ac:dyDescent="0.2">
      <c r="A458" s="3">
        <v>455</v>
      </c>
      <c r="B458" s="3"/>
      <c r="C458" s="3" t="str">
        <f>IFERROR(VLOOKUP(B458,Sessions!A:J,2,FALSE),"")</f>
        <v/>
      </c>
      <c r="D458" s="3" t="str">
        <f>IFERROR(VLOOKUP(B458,Sessions!A:J,3,FALSE),"")</f>
        <v/>
      </c>
      <c r="E458" s="3"/>
      <c r="F458" s="3" t="str">
        <f>IFERROR(VLOOKUP(E458,Employees!A:L,2,FALSE),"")</f>
        <v/>
      </c>
      <c r="G458" s="3" t="str">
        <f>IFERROR(VLOOKUP(E458,Employees!A:L,3,FALSE),"")</f>
        <v/>
      </c>
      <c r="H458" s="3"/>
      <c r="I458" s="3"/>
      <c r="J458" s="3"/>
      <c r="K458" s="3" t="str">
        <f>IF(B458="","",IF(OR(E458="",H458=""),"ناقص",IF(H458="نعم","مكتمل","غائب")))</f>
        <v/>
      </c>
      <c r="L458" s="3"/>
    </row>
    <row r="459" spans="1:12" x14ac:dyDescent="0.2">
      <c r="A459" s="3">
        <v>456</v>
      </c>
      <c r="B459" s="3"/>
      <c r="C459" s="3" t="str">
        <f>IFERROR(VLOOKUP(B459,Sessions!A:J,2,FALSE),"")</f>
        <v/>
      </c>
      <c r="D459" s="3" t="str">
        <f>IFERROR(VLOOKUP(B459,Sessions!A:J,3,FALSE),"")</f>
        <v/>
      </c>
      <c r="E459" s="3"/>
      <c r="F459" s="3" t="str">
        <f>IFERROR(VLOOKUP(E459,Employees!A:L,2,FALSE),"")</f>
        <v/>
      </c>
      <c r="G459" s="3" t="str">
        <f>IFERROR(VLOOKUP(E459,Employees!A:L,3,FALSE),"")</f>
        <v/>
      </c>
      <c r="H459" s="3"/>
      <c r="I459" s="3"/>
      <c r="J459" s="3"/>
      <c r="K459" s="3" t="str">
        <f>IF(B459="","",IF(OR(E459="",H459=""),"ناقص",IF(H459="نعم","مكتمل","غائب")))</f>
        <v/>
      </c>
      <c r="L459" s="3"/>
    </row>
    <row r="460" spans="1:12" x14ac:dyDescent="0.2">
      <c r="A460" s="3">
        <v>457</v>
      </c>
      <c r="B460" s="3"/>
      <c r="C460" s="3" t="str">
        <f>IFERROR(VLOOKUP(B460,Sessions!A:J,2,FALSE),"")</f>
        <v/>
      </c>
      <c r="D460" s="3" t="str">
        <f>IFERROR(VLOOKUP(B460,Sessions!A:J,3,FALSE),"")</f>
        <v/>
      </c>
      <c r="E460" s="3"/>
      <c r="F460" s="3" t="str">
        <f>IFERROR(VLOOKUP(E460,Employees!A:L,2,FALSE),"")</f>
        <v/>
      </c>
      <c r="G460" s="3" t="str">
        <f>IFERROR(VLOOKUP(E460,Employees!A:L,3,FALSE),"")</f>
        <v/>
      </c>
      <c r="H460" s="3"/>
      <c r="I460" s="3"/>
      <c r="J460" s="3"/>
      <c r="K460" s="3" t="str">
        <f>IF(B460="","",IF(OR(E460="",H460=""),"ناقص",IF(H460="نعم","مكتمل","غائب")))</f>
        <v/>
      </c>
      <c r="L460" s="3"/>
    </row>
    <row r="461" spans="1:12" x14ac:dyDescent="0.2">
      <c r="A461" s="3">
        <v>458</v>
      </c>
      <c r="B461" s="3"/>
      <c r="C461" s="3" t="str">
        <f>IFERROR(VLOOKUP(B461,Sessions!A:J,2,FALSE),"")</f>
        <v/>
      </c>
      <c r="D461" s="3" t="str">
        <f>IFERROR(VLOOKUP(B461,Sessions!A:J,3,FALSE),"")</f>
        <v/>
      </c>
      <c r="E461" s="3"/>
      <c r="F461" s="3" t="str">
        <f>IFERROR(VLOOKUP(E461,Employees!A:L,2,FALSE),"")</f>
        <v/>
      </c>
      <c r="G461" s="3" t="str">
        <f>IFERROR(VLOOKUP(E461,Employees!A:L,3,FALSE),"")</f>
        <v/>
      </c>
      <c r="H461" s="3"/>
      <c r="I461" s="3"/>
      <c r="J461" s="3"/>
      <c r="K461" s="3" t="str">
        <f>IF(B461="","",IF(OR(E461="",H461=""),"ناقص",IF(H461="نعم","مكتمل","غائب")))</f>
        <v/>
      </c>
      <c r="L461" s="3"/>
    </row>
    <row r="462" spans="1:12" x14ac:dyDescent="0.2">
      <c r="A462" s="3">
        <v>459</v>
      </c>
      <c r="B462" s="3"/>
      <c r="C462" s="3" t="str">
        <f>IFERROR(VLOOKUP(B462,Sessions!A:J,2,FALSE),"")</f>
        <v/>
      </c>
      <c r="D462" s="3" t="str">
        <f>IFERROR(VLOOKUP(B462,Sessions!A:J,3,FALSE),"")</f>
        <v/>
      </c>
      <c r="E462" s="3"/>
      <c r="F462" s="3" t="str">
        <f>IFERROR(VLOOKUP(E462,Employees!A:L,2,FALSE),"")</f>
        <v/>
      </c>
      <c r="G462" s="3" t="str">
        <f>IFERROR(VLOOKUP(E462,Employees!A:L,3,FALSE),"")</f>
        <v/>
      </c>
      <c r="H462" s="3"/>
      <c r="I462" s="3"/>
      <c r="J462" s="3"/>
      <c r="K462" s="3" t="str">
        <f>IF(B462="","",IF(OR(E462="",H462=""),"ناقص",IF(H462="نعم","مكتمل","غائب")))</f>
        <v/>
      </c>
      <c r="L462" s="3"/>
    </row>
    <row r="463" spans="1:12" x14ac:dyDescent="0.2">
      <c r="A463" s="3">
        <v>460</v>
      </c>
      <c r="B463" s="3"/>
      <c r="C463" s="3" t="str">
        <f>IFERROR(VLOOKUP(B463,Sessions!A:J,2,FALSE),"")</f>
        <v/>
      </c>
      <c r="D463" s="3" t="str">
        <f>IFERROR(VLOOKUP(B463,Sessions!A:J,3,FALSE),"")</f>
        <v/>
      </c>
      <c r="E463" s="3"/>
      <c r="F463" s="3" t="str">
        <f>IFERROR(VLOOKUP(E463,Employees!A:L,2,FALSE),"")</f>
        <v/>
      </c>
      <c r="G463" s="3" t="str">
        <f>IFERROR(VLOOKUP(E463,Employees!A:L,3,FALSE),"")</f>
        <v/>
      </c>
      <c r="H463" s="3"/>
      <c r="I463" s="3"/>
      <c r="J463" s="3"/>
      <c r="K463" s="3" t="str">
        <f>IF(B463="","",IF(OR(E463="",H463=""),"ناقص",IF(H463="نعم","مكتمل","غائب")))</f>
        <v/>
      </c>
      <c r="L463" s="3"/>
    </row>
    <row r="464" spans="1:12" x14ac:dyDescent="0.2">
      <c r="A464" s="3">
        <v>461</v>
      </c>
      <c r="B464" s="3"/>
      <c r="C464" s="3" t="str">
        <f>IFERROR(VLOOKUP(B464,Sessions!A:J,2,FALSE),"")</f>
        <v/>
      </c>
      <c r="D464" s="3" t="str">
        <f>IFERROR(VLOOKUP(B464,Sessions!A:J,3,FALSE),"")</f>
        <v/>
      </c>
      <c r="E464" s="3"/>
      <c r="F464" s="3" t="str">
        <f>IFERROR(VLOOKUP(E464,Employees!A:L,2,FALSE),"")</f>
        <v/>
      </c>
      <c r="G464" s="3" t="str">
        <f>IFERROR(VLOOKUP(E464,Employees!A:L,3,FALSE),"")</f>
        <v/>
      </c>
      <c r="H464" s="3"/>
      <c r="I464" s="3"/>
      <c r="J464" s="3"/>
      <c r="K464" s="3" t="str">
        <f>IF(B464="","",IF(OR(E464="",H464=""),"ناقص",IF(H464="نعم","مكتمل","غائب")))</f>
        <v/>
      </c>
      <c r="L464" s="3"/>
    </row>
    <row r="465" spans="1:12" x14ac:dyDescent="0.2">
      <c r="A465" s="3">
        <v>462</v>
      </c>
      <c r="B465" s="3"/>
      <c r="C465" s="3" t="str">
        <f>IFERROR(VLOOKUP(B465,Sessions!A:J,2,FALSE),"")</f>
        <v/>
      </c>
      <c r="D465" s="3" t="str">
        <f>IFERROR(VLOOKUP(B465,Sessions!A:J,3,FALSE),"")</f>
        <v/>
      </c>
      <c r="E465" s="3"/>
      <c r="F465" s="3" t="str">
        <f>IFERROR(VLOOKUP(E465,Employees!A:L,2,FALSE),"")</f>
        <v/>
      </c>
      <c r="G465" s="3" t="str">
        <f>IFERROR(VLOOKUP(E465,Employees!A:L,3,FALSE),"")</f>
        <v/>
      </c>
      <c r="H465" s="3"/>
      <c r="I465" s="3"/>
      <c r="J465" s="3"/>
      <c r="K465" s="3" t="str">
        <f>IF(B465="","",IF(OR(E465="",H465=""),"ناقص",IF(H465="نعم","مكتمل","غائب")))</f>
        <v/>
      </c>
      <c r="L465" s="3"/>
    </row>
    <row r="466" spans="1:12" x14ac:dyDescent="0.2">
      <c r="A466" s="3">
        <v>463</v>
      </c>
      <c r="B466" s="3"/>
      <c r="C466" s="3" t="str">
        <f>IFERROR(VLOOKUP(B466,Sessions!A:J,2,FALSE),"")</f>
        <v/>
      </c>
      <c r="D466" s="3" t="str">
        <f>IFERROR(VLOOKUP(B466,Sessions!A:J,3,FALSE),"")</f>
        <v/>
      </c>
      <c r="E466" s="3"/>
      <c r="F466" s="3" t="str">
        <f>IFERROR(VLOOKUP(E466,Employees!A:L,2,FALSE),"")</f>
        <v/>
      </c>
      <c r="G466" s="3" t="str">
        <f>IFERROR(VLOOKUP(E466,Employees!A:L,3,FALSE),"")</f>
        <v/>
      </c>
      <c r="H466" s="3"/>
      <c r="I466" s="3"/>
      <c r="J466" s="3"/>
      <c r="K466" s="3" t="str">
        <f>IF(B466="","",IF(OR(E466="",H466=""),"ناقص",IF(H466="نعم","مكتمل","غائب")))</f>
        <v/>
      </c>
      <c r="L466" s="3"/>
    </row>
    <row r="467" spans="1:12" x14ac:dyDescent="0.2">
      <c r="A467" s="3">
        <v>464</v>
      </c>
      <c r="B467" s="3"/>
      <c r="C467" s="3" t="str">
        <f>IFERROR(VLOOKUP(B467,Sessions!A:J,2,FALSE),"")</f>
        <v/>
      </c>
      <c r="D467" s="3" t="str">
        <f>IFERROR(VLOOKUP(B467,Sessions!A:J,3,FALSE),"")</f>
        <v/>
      </c>
      <c r="E467" s="3"/>
      <c r="F467" s="3" t="str">
        <f>IFERROR(VLOOKUP(E467,Employees!A:L,2,FALSE),"")</f>
        <v/>
      </c>
      <c r="G467" s="3" t="str">
        <f>IFERROR(VLOOKUP(E467,Employees!A:L,3,FALSE),"")</f>
        <v/>
      </c>
      <c r="H467" s="3"/>
      <c r="I467" s="3"/>
      <c r="J467" s="3"/>
      <c r="K467" s="3" t="str">
        <f>IF(B467="","",IF(OR(E467="",H467=""),"ناقص",IF(H467="نعم","مكتمل","غائب")))</f>
        <v/>
      </c>
      <c r="L467" s="3"/>
    </row>
    <row r="468" spans="1:12" x14ac:dyDescent="0.2">
      <c r="A468" s="3">
        <v>465</v>
      </c>
      <c r="B468" s="3"/>
      <c r="C468" s="3" t="str">
        <f>IFERROR(VLOOKUP(B468,Sessions!A:J,2,FALSE),"")</f>
        <v/>
      </c>
      <c r="D468" s="3" t="str">
        <f>IFERROR(VLOOKUP(B468,Sessions!A:J,3,FALSE),"")</f>
        <v/>
      </c>
      <c r="E468" s="3"/>
      <c r="F468" s="3" t="str">
        <f>IFERROR(VLOOKUP(E468,Employees!A:L,2,FALSE),"")</f>
        <v/>
      </c>
      <c r="G468" s="3" t="str">
        <f>IFERROR(VLOOKUP(E468,Employees!A:L,3,FALSE),"")</f>
        <v/>
      </c>
      <c r="H468" s="3"/>
      <c r="I468" s="3"/>
      <c r="J468" s="3"/>
      <c r="K468" s="3" t="str">
        <f>IF(B468="","",IF(OR(E468="",H468=""),"ناقص",IF(H468="نعم","مكتمل","غائب")))</f>
        <v/>
      </c>
      <c r="L468" s="3"/>
    </row>
    <row r="469" spans="1:12" x14ac:dyDescent="0.2">
      <c r="A469" s="3">
        <v>466</v>
      </c>
      <c r="B469" s="3"/>
      <c r="C469" s="3" t="str">
        <f>IFERROR(VLOOKUP(B469,Sessions!A:J,2,FALSE),"")</f>
        <v/>
      </c>
      <c r="D469" s="3" t="str">
        <f>IFERROR(VLOOKUP(B469,Sessions!A:J,3,FALSE),"")</f>
        <v/>
      </c>
      <c r="E469" s="3"/>
      <c r="F469" s="3" t="str">
        <f>IFERROR(VLOOKUP(E469,Employees!A:L,2,FALSE),"")</f>
        <v/>
      </c>
      <c r="G469" s="3" t="str">
        <f>IFERROR(VLOOKUP(E469,Employees!A:L,3,FALSE),"")</f>
        <v/>
      </c>
      <c r="H469" s="3"/>
      <c r="I469" s="3"/>
      <c r="J469" s="3"/>
      <c r="K469" s="3" t="str">
        <f>IF(B469="","",IF(OR(E469="",H469=""),"ناقص",IF(H469="نعم","مكتمل","غائب")))</f>
        <v/>
      </c>
      <c r="L469" s="3"/>
    </row>
    <row r="470" spans="1:12" x14ac:dyDescent="0.2">
      <c r="A470" s="3">
        <v>467</v>
      </c>
      <c r="B470" s="3"/>
      <c r="C470" s="3" t="str">
        <f>IFERROR(VLOOKUP(B470,Sessions!A:J,2,FALSE),"")</f>
        <v/>
      </c>
      <c r="D470" s="3" t="str">
        <f>IFERROR(VLOOKUP(B470,Sessions!A:J,3,FALSE),"")</f>
        <v/>
      </c>
      <c r="E470" s="3"/>
      <c r="F470" s="3" t="str">
        <f>IFERROR(VLOOKUP(E470,Employees!A:L,2,FALSE),"")</f>
        <v/>
      </c>
      <c r="G470" s="3" t="str">
        <f>IFERROR(VLOOKUP(E470,Employees!A:L,3,FALSE),"")</f>
        <v/>
      </c>
      <c r="H470" s="3"/>
      <c r="I470" s="3"/>
      <c r="J470" s="3"/>
      <c r="K470" s="3" t="str">
        <f>IF(B470="","",IF(OR(E470="",H470=""),"ناقص",IF(H470="نعم","مكتمل","غائب")))</f>
        <v/>
      </c>
      <c r="L470" s="3"/>
    </row>
    <row r="471" spans="1:12" x14ac:dyDescent="0.2">
      <c r="A471" s="3">
        <v>468</v>
      </c>
      <c r="B471" s="3"/>
      <c r="C471" s="3" t="str">
        <f>IFERROR(VLOOKUP(B471,Sessions!A:J,2,FALSE),"")</f>
        <v/>
      </c>
      <c r="D471" s="3" t="str">
        <f>IFERROR(VLOOKUP(B471,Sessions!A:J,3,FALSE),"")</f>
        <v/>
      </c>
      <c r="E471" s="3"/>
      <c r="F471" s="3" t="str">
        <f>IFERROR(VLOOKUP(E471,Employees!A:L,2,FALSE),"")</f>
        <v/>
      </c>
      <c r="G471" s="3" t="str">
        <f>IFERROR(VLOOKUP(E471,Employees!A:L,3,FALSE),"")</f>
        <v/>
      </c>
      <c r="H471" s="3"/>
      <c r="I471" s="3"/>
      <c r="J471" s="3"/>
      <c r="K471" s="3" t="str">
        <f>IF(B471="","",IF(OR(E471="",H471=""),"ناقص",IF(H471="نعم","مكتمل","غائب")))</f>
        <v/>
      </c>
      <c r="L471" s="3"/>
    </row>
    <row r="472" spans="1:12" x14ac:dyDescent="0.2">
      <c r="A472" s="3">
        <v>469</v>
      </c>
      <c r="B472" s="3"/>
      <c r="C472" s="3" t="str">
        <f>IFERROR(VLOOKUP(B472,Sessions!A:J,2,FALSE),"")</f>
        <v/>
      </c>
      <c r="D472" s="3" t="str">
        <f>IFERROR(VLOOKUP(B472,Sessions!A:J,3,FALSE),"")</f>
        <v/>
      </c>
      <c r="E472" s="3"/>
      <c r="F472" s="3" t="str">
        <f>IFERROR(VLOOKUP(E472,Employees!A:L,2,FALSE),"")</f>
        <v/>
      </c>
      <c r="G472" s="3" t="str">
        <f>IFERROR(VLOOKUP(E472,Employees!A:L,3,FALSE),"")</f>
        <v/>
      </c>
      <c r="H472" s="3"/>
      <c r="I472" s="3"/>
      <c r="J472" s="3"/>
      <c r="K472" s="3" t="str">
        <f>IF(B472="","",IF(OR(E472="",H472=""),"ناقص",IF(H472="نعم","مكتمل","غائب")))</f>
        <v/>
      </c>
      <c r="L472" s="3"/>
    </row>
    <row r="473" spans="1:12" x14ac:dyDescent="0.2">
      <c r="A473" s="3">
        <v>470</v>
      </c>
      <c r="B473" s="3"/>
      <c r="C473" s="3" t="str">
        <f>IFERROR(VLOOKUP(B473,Sessions!A:J,2,FALSE),"")</f>
        <v/>
      </c>
      <c r="D473" s="3" t="str">
        <f>IFERROR(VLOOKUP(B473,Sessions!A:J,3,FALSE),"")</f>
        <v/>
      </c>
      <c r="E473" s="3"/>
      <c r="F473" s="3" t="str">
        <f>IFERROR(VLOOKUP(E473,Employees!A:L,2,FALSE),"")</f>
        <v/>
      </c>
      <c r="G473" s="3" t="str">
        <f>IFERROR(VLOOKUP(E473,Employees!A:L,3,FALSE),"")</f>
        <v/>
      </c>
      <c r="H473" s="3"/>
      <c r="I473" s="3"/>
      <c r="J473" s="3"/>
      <c r="K473" s="3" t="str">
        <f>IF(B473="","",IF(OR(E473="",H473=""),"ناقص",IF(H473="نعم","مكتمل","غائب")))</f>
        <v/>
      </c>
      <c r="L473" s="3"/>
    </row>
    <row r="474" spans="1:12" x14ac:dyDescent="0.2">
      <c r="A474" s="3">
        <v>471</v>
      </c>
      <c r="B474" s="3"/>
      <c r="C474" s="3" t="str">
        <f>IFERROR(VLOOKUP(B474,Sessions!A:J,2,FALSE),"")</f>
        <v/>
      </c>
      <c r="D474" s="3" t="str">
        <f>IFERROR(VLOOKUP(B474,Sessions!A:J,3,FALSE),"")</f>
        <v/>
      </c>
      <c r="E474" s="3"/>
      <c r="F474" s="3" t="str">
        <f>IFERROR(VLOOKUP(E474,Employees!A:L,2,FALSE),"")</f>
        <v/>
      </c>
      <c r="G474" s="3" t="str">
        <f>IFERROR(VLOOKUP(E474,Employees!A:L,3,FALSE),"")</f>
        <v/>
      </c>
      <c r="H474" s="3"/>
      <c r="I474" s="3"/>
      <c r="J474" s="3"/>
      <c r="K474" s="3" t="str">
        <f>IF(B474="","",IF(OR(E474="",H474=""),"ناقص",IF(H474="نعم","مكتمل","غائب")))</f>
        <v/>
      </c>
      <c r="L474" s="3"/>
    </row>
    <row r="475" spans="1:12" x14ac:dyDescent="0.2">
      <c r="A475" s="3">
        <v>472</v>
      </c>
      <c r="B475" s="3"/>
      <c r="C475" s="3" t="str">
        <f>IFERROR(VLOOKUP(B475,Sessions!A:J,2,FALSE),"")</f>
        <v/>
      </c>
      <c r="D475" s="3" t="str">
        <f>IFERROR(VLOOKUP(B475,Sessions!A:J,3,FALSE),"")</f>
        <v/>
      </c>
      <c r="E475" s="3"/>
      <c r="F475" s="3" t="str">
        <f>IFERROR(VLOOKUP(E475,Employees!A:L,2,FALSE),"")</f>
        <v/>
      </c>
      <c r="G475" s="3" t="str">
        <f>IFERROR(VLOOKUP(E475,Employees!A:L,3,FALSE),"")</f>
        <v/>
      </c>
      <c r="H475" s="3"/>
      <c r="I475" s="3"/>
      <c r="J475" s="3"/>
      <c r="K475" s="3" t="str">
        <f>IF(B475="","",IF(OR(E475="",H475=""),"ناقص",IF(H475="نعم","مكتمل","غائب")))</f>
        <v/>
      </c>
      <c r="L475" s="3"/>
    </row>
    <row r="476" spans="1:12" x14ac:dyDescent="0.2">
      <c r="A476" s="3">
        <v>473</v>
      </c>
      <c r="B476" s="3"/>
      <c r="C476" s="3" t="str">
        <f>IFERROR(VLOOKUP(B476,Sessions!A:J,2,FALSE),"")</f>
        <v/>
      </c>
      <c r="D476" s="3" t="str">
        <f>IFERROR(VLOOKUP(B476,Sessions!A:J,3,FALSE),"")</f>
        <v/>
      </c>
      <c r="E476" s="3"/>
      <c r="F476" s="3" t="str">
        <f>IFERROR(VLOOKUP(E476,Employees!A:L,2,FALSE),"")</f>
        <v/>
      </c>
      <c r="G476" s="3" t="str">
        <f>IFERROR(VLOOKUP(E476,Employees!A:L,3,FALSE),"")</f>
        <v/>
      </c>
      <c r="H476" s="3"/>
      <c r="I476" s="3"/>
      <c r="J476" s="3"/>
      <c r="K476" s="3" t="str">
        <f>IF(B476="","",IF(OR(E476="",H476=""),"ناقص",IF(H476="نعم","مكتمل","غائب")))</f>
        <v/>
      </c>
      <c r="L476" s="3"/>
    </row>
    <row r="477" spans="1:12" x14ac:dyDescent="0.2">
      <c r="A477" s="3">
        <v>474</v>
      </c>
      <c r="B477" s="3"/>
      <c r="C477" s="3" t="str">
        <f>IFERROR(VLOOKUP(B477,Sessions!A:J,2,FALSE),"")</f>
        <v/>
      </c>
      <c r="D477" s="3" t="str">
        <f>IFERROR(VLOOKUP(B477,Sessions!A:J,3,FALSE),"")</f>
        <v/>
      </c>
      <c r="E477" s="3"/>
      <c r="F477" s="3" t="str">
        <f>IFERROR(VLOOKUP(E477,Employees!A:L,2,FALSE),"")</f>
        <v/>
      </c>
      <c r="G477" s="3" t="str">
        <f>IFERROR(VLOOKUP(E477,Employees!A:L,3,FALSE),"")</f>
        <v/>
      </c>
      <c r="H477" s="3"/>
      <c r="I477" s="3"/>
      <c r="J477" s="3"/>
      <c r="K477" s="3" t="str">
        <f>IF(B477="","",IF(OR(E477="",H477=""),"ناقص",IF(H477="نعم","مكتمل","غائب")))</f>
        <v/>
      </c>
      <c r="L477" s="3"/>
    </row>
    <row r="478" spans="1:12" x14ac:dyDescent="0.2">
      <c r="A478" s="3">
        <v>475</v>
      </c>
      <c r="B478" s="3"/>
      <c r="C478" s="3" t="str">
        <f>IFERROR(VLOOKUP(B478,Sessions!A:J,2,FALSE),"")</f>
        <v/>
      </c>
      <c r="D478" s="3" t="str">
        <f>IFERROR(VLOOKUP(B478,Sessions!A:J,3,FALSE),"")</f>
        <v/>
      </c>
      <c r="E478" s="3"/>
      <c r="F478" s="3" t="str">
        <f>IFERROR(VLOOKUP(E478,Employees!A:L,2,FALSE),"")</f>
        <v/>
      </c>
      <c r="G478" s="3" t="str">
        <f>IFERROR(VLOOKUP(E478,Employees!A:L,3,FALSE),"")</f>
        <v/>
      </c>
      <c r="H478" s="3"/>
      <c r="I478" s="3"/>
      <c r="J478" s="3"/>
      <c r="K478" s="3" t="str">
        <f>IF(B478="","",IF(OR(E478="",H478=""),"ناقص",IF(H478="نعم","مكتمل","غائب")))</f>
        <v/>
      </c>
      <c r="L478" s="3"/>
    </row>
    <row r="479" spans="1:12" x14ac:dyDescent="0.2">
      <c r="A479" s="3">
        <v>476</v>
      </c>
      <c r="B479" s="3"/>
      <c r="C479" s="3" t="str">
        <f>IFERROR(VLOOKUP(B479,Sessions!A:J,2,FALSE),"")</f>
        <v/>
      </c>
      <c r="D479" s="3" t="str">
        <f>IFERROR(VLOOKUP(B479,Sessions!A:J,3,FALSE),"")</f>
        <v/>
      </c>
      <c r="E479" s="3"/>
      <c r="F479" s="3" t="str">
        <f>IFERROR(VLOOKUP(E479,Employees!A:L,2,FALSE),"")</f>
        <v/>
      </c>
      <c r="G479" s="3" t="str">
        <f>IFERROR(VLOOKUP(E479,Employees!A:L,3,FALSE),"")</f>
        <v/>
      </c>
      <c r="H479" s="3"/>
      <c r="I479" s="3"/>
      <c r="J479" s="3"/>
      <c r="K479" s="3" t="str">
        <f>IF(B479="","",IF(OR(E479="",H479=""),"ناقص",IF(H479="نعم","مكتمل","غائب")))</f>
        <v/>
      </c>
      <c r="L479" s="3"/>
    </row>
    <row r="480" spans="1:12" x14ac:dyDescent="0.2">
      <c r="A480" s="3">
        <v>477</v>
      </c>
      <c r="B480" s="3"/>
      <c r="C480" s="3" t="str">
        <f>IFERROR(VLOOKUP(B480,Sessions!A:J,2,FALSE),"")</f>
        <v/>
      </c>
      <c r="D480" s="3" t="str">
        <f>IFERROR(VLOOKUP(B480,Sessions!A:J,3,FALSE),"")</f>
        <v/>
      </c>
      <c r="E480" s="3"/>
      <c r="F480" s="3" t="str">
        <f>IFERROR(VLOOKUP(E480,Employees!A:L,2,FALSE),"")</f>
        <v/>
      </c>
      <c r="G480" s="3" t="str">
        <f>IFERROR(VLOOKUP(E480,Employees!A:L,3,FALSE),"")</f>
        <v/>
      </c>
      <c r="H480" s="3"/>
      <c r="I480" s="3"/>
      <c r="J480" s="3"/>
      <c r="K480" s="3" t="str">
        <f>IF(B480="","",IF(OR(E480="",H480=""),"ناقص",IF(H480="نعم","مكتمل","غائب")))</f>
        <v/>
      </c>
      <c r="L480" s="3"/>
    </row>
    <row r="481" spans="1:12" x14ac:dyDescent="0.2">
      <c r="A481" s="3">
        <v>478</v>
      </c>
      <c r="B481" s="3"/>
      <c r="C481" s="3" t="str">
        <f>IFERROR(VLOOKUP(B481,Sessions!A:J,2,FALSE),"")</f>
        <v/>
      </c>
      <c r="D481" s="3" t="str">
        <f>IFERROR(VLOOKUP(B481,Sessions!A:J,3,FALSE),"")</f>
        <v/>
      </c>
      <c r="E481" s="3"/>
      <c r="F481" s="3" t="str">
        <f>IFERROR(VLOOKUP(E481,Employees!A:L,2,FALSE),"")</f>
        <v/>
      </c>
      <c r="G481" s="3" t="str">
        <f>IFERROR(VLOOKUP(E481,Employees!A:L,3,FALSE),"")</f>
        <v/>
      </c>
      <c r="H481" s="3"/>
      <c r="I481" s="3"/>
      <c r="J481" s="3"/>
      <c r="K481" s="3" t="str">
        <f>IF(B481="","",IF(OR(E481="",H481=""),"ناقص",IF(H481="نعم","مكتمل","غائب")))</f>
        <v/>
      </c>
      <c r="L481" s="3"/>
    </row>
    <row r="482" spans="1:12" x14ac:dyDescent="0.2">
      <c r="A482" s="3">
        <v>479</v>
      </c>
      <c r="B482" s="3"/>
      <c r="C482" s="3" t="str">
        <f>IFERROR(VLOOKUP(B482,Sessions!A:J,2,FALSE),"")</f>
        <v/>
      </c>
      <c r="D482" s="3" t="str">
        <f>IFERROR(VLOOKUP(B482,Sessions!A:J,3,FALSE),"")</f>
        <v/>
      </c>
      <c r="E482" s="3"/>
      <c r="F482" s="3" t="str">
        <f>IFERROR(VLOOKUP(E482,Employees!A:L,2,FALSE),"")</f>
        <v/>
      </c>
      <c r="G482" s="3" t="str">
        <f>IFERROR(VLOOKUP(E482,Employees!A:L,3,FALSE),"")</f>
        <v/>
      </c>
      <c r="H482" s="3"/>
      <c r="I482" s="3"/>
      <c r="J482" s="3"/>
      <c r="K482" s="3" t="str">
        <f>IF(B482="","",IF(OR(E482="",H482=""),"ناقص",IF(H482="نعم","مكتمل","غائب")))</f>
        <v/>
      </c>
      <c r="L482" s="3"/>
    </row>
    <row r="483" spans="1:12" x14ac:dyDescent="0.2">
      <c r="A483" s="3">
        <v>480</v>
      </c>
      <c r="B483" s="3"/>
      <c r="C483" s="3" t="str">
        <f>IFERROR(VLOOKUP(B483,Sessions!A:J,2,FALSE),"")</f>
        <v/>
      </c>
      <c r="D483" s="3" t="str">
        <f>IFERROR(VLOOKUP(B483,Sessions!A:J,3,FALSE),"")</f>
        <v/>
      </c>
      <c r="E483" s="3"/>
      <c r="F483" s="3" t="str">
        <f>IFERROR(VLOOKUP(E483,Employees!A:L,2,FALSE),"")</f>
        <v/>
      </c>
      <c r="G483" s="3" t="str">
        <f>IFERROR(VLOOKUP(E483,Employees!A:L,3,FALSE),"")</f>
        <v/>
      </c>
      <c r="H483" s="3"/>
      <c r="I483" s="3"/>
      <c r="J483" s="3"/>
      <c r="K483" s="3" t="str">
        <f>IF(B483="","",IF(OR(E483="",H483=""),"ناقص",IF(H483="نعم","مكتمل","غائب")))</f>
        <v/>
      </c>
      <c r="L483" s="3"/>
    </row>
    <row r="484" spans="1:12" x14ac:dyDescent="0.2">
      <c r="A484" s="3">
        <v>481</v>
      </c>
      <c r="B484" s="3"/>
      <c r="C484" s="3" t="str">
        <f>IFERROR(VLOOKUP(B484,Sessions!A:J,2,FALSE),"")</f>
        <v/>
      </c>
      <c r="D484" s="3" t="str">
        <f>IFERROR(VLOOKUP(B484,Sessions!A:J,3,FALSE),"")</f>
        <v/>
      </c>
      <c r="E484" s="3"/>
      <c r="F484" s="3" t="str">
        <f>IFERROR(VLOOKUP(E484,Employees!A:L,2,FALSE),"")</f>
        <v/>
      </c>
      <c r="G484" s="3" t="str">
        <f>IFERROR(VLOOKUP(E484,Employees!A:L,3,FALSE),"")</f>
        <v/>
      </c>
      <c r="H484" s="3"/>
      <c r="I484" s="3"/>
      <c r="J484" s="3"/>
      <c r="K484" s="3" t="str">
        <f>IF(B484="","",IF(OR(E484="",H484=""),"ناقص",IF(H484="نعم","مكتمل","غائب")))</f>
        <v/>
      </c>
      <c r="L484" s="3"/>
    </row>
    <row r="485" spans="1:12" x14ac:dyDescent="0.2">
      <c r="A485" s="3">
        <v>482</v>
      </c>
      <c r="B485" s="3"/>
      <c r="C485" s="3" t="str">
        <f>IFERROR(VLOOKUP(B485,Sessions!A:J,2,FALSE),"")</f>
        <v/>
      </c>
      <c r="D485" s="3" t="str">
        <f>IFERROR(VLOOKUP(B485,Sessions!A:J,3,FALSE),"")</f>
        <v/>
      </c>
      <c r="E485" s="3"/>
      <c r="F485" s="3" t="str">
        <f>IFERROR(VLOOKUP(E485,Employees!A:L,2,FALSE),"")</f>
        <v/>
      </c>
      <c r="G485" s="3" t="str">
        <f>IFERROR(VLOOKUP(E485,Employees!A:L,3,FALSE),"")</f>
        <v/>
      </c>
      <c r="H485" s="3"/>
      <c r="I485" s="3"/>
      <c r="J485" s="3"/>
      <c r="K485" s="3" t="str">
        <f>IF(B485="","",IF(OR(E485="",H485=""),"ناقص",IF(H485="نعم","مكتمل","غائب")))</f>
        <v/>
      </c>
      <c r="L485" s="3"/>
    </row>
    <row r="486" spans="1:12" x14ac:dyDescent="0.2">
      <c r="A486" s="3">
        <v>483</v>
      </c>
      <c r="B486" s="3"/>
      <c r="C486" s="3" t="str">
        <f>IFERROR(VLOOKUP(B486,Sessions!A:J,2,FALSE),"")</f>
        <v/>
      </c>
      <c r="D486" s="3" t="str">
        <f>IFERROR(VLOOKUP(B486,Sessions!A:J,3,FALSE),"")</f>
        <v/>
      </c>
      <c r="E486" s="3"/>
      <c r="F486" s="3" t="str">
        <f>IFERROR(VLOOKUP(E486,Employees!A:L,2,FALSE),"")</f>
        <v/>
      </c>
      <c r="G486" s="3" t="str">
        <f>IFERROR(VLOOKUP(E486,Employees!A:L,3,FALSE),"")</f>
        <v/>
      </c>
      <c r="H486" s="3"/>
      <c r="I486" s="3"/>
      <c r="J486" s="3"/>
      <c r="K486" s="3" t="str">
        <f>IF(B486="","",IF(OR(E486="",H486=""),"ناقص",IF(H486="نعم","مكتمل","غائب")))</f>
        <v/>
      </c>
      <c r="L486" s="3"/>
    </row>
    <row r="487" spans="1:12" x14ac:dyDescent="0.2">
      <c r="A487" s="3">
        <v>484</v>
      </c>
      <c r="B487" s="3"/>
      <c r="C487" s="3" t="str">
        <f>IFERROR(VLOOKUP(B487,Sessions!A:J,2,FALSE),"")</f>
        <v/>
      </c>
      <c r="D487" s="3" t="str">
        <f>IFERROR(VLOOKUP(B487,Sessions!A:J,3,FALSE),"")</f>
        <v/>
      </c>
      <c r="E487" s="3"/>
      <c r="F487" s="3" t="str">
        <f>IFERROR(VLOOKUP(E487,Employees!A:L,2,FALSE),"")</f>
        <v/>
      </c>
      <c r="G487" s="3" t="str">
        <f>IFERROR(VLOOKUP(E487,Employees!A:L,3,FALSE),"")</f>
        <v/>
      </c>
      <c r="H487" s="3"/>
      <c r="I487" s="3"/>
      <c r="J487" s="3"/>
      <c r="K487" s="3" t="str">
        <f>IF(B487="","",IF(OR(E487="",H487=""),"ناقص",IF(H487="نعم","مكتمل","غائب")))</f>
        <v/>
      </c>
      <c r="L487" s="3"/>
    </row>
    <row r="488" spans="1:12" x14ac:dyDescent="0.2">
      <c r="A488" s="3">
        <v>485</v>
      </c>
      <c r="B488" s="3"/>
      <c r="C488" s="3" t="str">
        <f>IFERROR(VLOOKUP(B488,Sessions!A:J,2,FALSE),"")</f>
        <v/>
      </c>
      <c r="D488" s="3" t="str">
        <f>IFERROR(VLOOKUP(B488,Sessions!A:J,3,FALSE),"")</f>
        <v/>
      </c>
      <c r="E488" s="3"/>
      <c r="F488" s="3" t="str">
        <f>IFERROR(VLOOKUP(E488,Employees!A:L,2,FALSE),"")</f>
        <v/>
      </c>
      <c r="G488" s="3" t="str">
        <f>IFERROR(VLOOKUP(E488,Employees!A:L,3,FALSE),"")</f>
        <v/>
      </c>
      <c r="H488" s="3"/>
      <c r="I488" s="3"/>
      <c r="J488" s="3"/>
      <c r="K488" s="3" t="str">
        <f>IF(B488="","",IF(OR(E488="",H488=""),"ناقص",IF(H488="نعم","مكتمل","غائب")))</f>
        <v/>
      </c>
      <c r="L488" s="3"/>
    </row>
    <row r="489" spans="1:12" x14ac:dyDescent="0.2">
      <c r="A489" s="3">
        <v>486</v>
      </c>
      <c r="B489" s="3"/>
      <c r="C489" s="3" t="str">
        <f>IFERROR(VLOOKUP(B489,Sessions!A:J,2,FALSE),"")</f>
        <v/>
      </c>
      <c r="D489" s="3" t="str">
        <f>IFERROR(VLOOKUP(B489,Sessions!A:J,3,FALSE),"")</f>
        <v/>
      </c>
      <c r="E489" s="3"/>
      <c r="F489" s="3" t="str">
        <f>IFERROR(VLOOKUP(E489,Employees!A:L,2,FALSE),"")</f>
        <v/>
      </c>
      <c r="G489" s="3" t="str">
        <f>IFERROR(VLOOKUP(E489,Employees!A:L,3,FALSE),"")</f>
        <v/>
      </c>
      <c r="H489" s="3"/>
      <c r="I489" s="3"/>
      <c r="J489" s="3"/>
      <c r="K489" s="3" t="str">
        <f>IF(B489="","",IF(OR(E489="",H489=""),"ناقص",IF(H489="نعم","مكتمل","غائب")))</f>
        <v/>
      </c>
      <c r="L489" s="3"/>
    </row>
    <row r="490" spans="1:12" x14ac:dyDescent="0.2">
      <c r="A490" s="3">
        <v>487</v>
      </c>
      <c r="B490" s="3"/>
      <c r="C490" s="3" t="str">
        <f>IFERROR(VLOOKUP(B490,Sessions!A:J,2,FALSE),"")</f>
        <v/>
      </c>
      <c r="D490" s="3" t="str">
        <f>IFERROR(VLOOKUP(B490,Sessions!A:J,3,FALSE),"")</f>
        <v/>
      </c>
      <c r="E490" s="3"/>
      <c r="F490" s="3" t="str">
        <f>IFERROR(VLOOKUP(E490,Employees!A:L,2,FALSE),"")</f>
        <v/>
      </c>
      <c r="G490" s="3" t="str">
        <f>IFERROR(VLOOKUP(E490,Employees!A:L,3,FALSE),"")</f>
        <v/>
      </c>
      <c r="H490" s="3"/>
      <c r="I490" s="3"/>
      <c r="J490" s="3"/>
      <c r="K490" s="3" t="str">
        <f>IF(B490="","",IF(OR(E490="",H490=""),"ناقص",IF(H490="نعم","مكتمل","غائب")))</f>
        <v/>
      </c>
      <c r="L490" s="3"/>
    </row>
    <row r="491" spans="1:12" x14ac:dyDescent="0.2">
      <c r="A491" s="3">
        <v>488</v>
      </c>
      <c r="B491" s="3"/>
      <c r="C491" s="3" t="str">
        <f>IFERROR(VLOOKUP(B491,Sessions!A:J,2,FALSE),"")</f>
        <v/>
      </c>
      <c r="D491" s="3" t="str">
        <f>IFERROR(VLOOKUP(B491,Sessions!A:J,3,FALSE),"")</f>
        <v/>
      </c>
      <c r="E491" s="3"/>
      <c r="F491" s="3" t="str">
        <f>IFERROR(VLOOKUP(E491,Employees!A:L,2,FALSE),"")</f>
        <v/>
      </c>
      <c r="G491" s="3" t="str">
        <f>IFERROR(VLOOKUP(E491,Employees!A:L,3,FALSE),"")</f>
        <v/>
      </c>
      <c r="H491" s="3"/>
      <c r="I491" s="3"/>
      <c r="J491" s="3"/>
      <c r="K491" s="3" t="str">
        <f>IF(B491="","",IF(OR(E491="",H491=""),"ناقص",IF(H491="نعم","مكتمل","غائب")))</f>
        <v/>
      </c>
      <c r="L491" s="3"/>
    </row>
    <row r="492" spans="1:12" x14ac:dyDescent="0.2">
      <c r="A492" s="3">
        <v>489</v>
      </c>
      <c r="B492" s="3"/>
      <c r="C492" s="3" t="str">
        <f>IFERROR(VLOOKUP(B492,Sessions!A:J,2,FALSE),"")</f>
        <v/>
      </c>
      <c r="D492" s="3" t="str">
        <f>IFERROR(VLOOKUP(B492,Sessions!A:J,3,FALSE),"")</f>
        <v/>
      </c>
      <c r="E492" s="3"/>
      <c r="F492" s="3" t="str">
        <f>IFERROR(VLOOKUP(E492,Employees!A:L,2,FALSE),"")</f>
        <v/>
      </c>
      <c r="G492" s="3" t="str">
        <f>IFERROR(VLOOKUP(E492,Employees!A:L,3,FALSE),"")</f>
        <v/>
      </c>
      <c r="H492" s="3"/>
      <c r="I492" s="3"/>
      <c r="J492" s="3"/>
      <c r="K492" s="3" t="str">
        <f>IF(B492="","",IF(OR(E492="",H492=""),"ناقص",IF(H492="نعم","مكتمل","غائب")))</f>
        <v/>
      </c>
      <c r="L492" s="3"/>
    </row>
    <row r="493" spans="1:12" x14ac:dyDescent="0.2">
      <c r="A493" s="3">
        <v>490</v>
      </c>
      <c r="B493" s="3"/>
      <c r="C493" s="3" t="str">
        <f>IFERROR(VLOOKUP(B493,Sessions!A:J,2,FALSE),"")</f>
        <v/>
      </c>
      <c r="D493" s="3" t="str">
        <f>IFERROR(VLOOKUP(B493,Sessions!A:J,3,FALSE),"")</f>
        <v/>
      </c>
      <c r="E493" s="3"/>
      <c r="F493" s="3" t="str">
        <f>IFERROR(VLOOKUP(E493,Employees!A:L,2,FALSE),"")</f>
        <v/>
      </c>
      <c r="G493" s="3" t="str">
        <f>IFERROR(VLOOKUP(E493,Employees!A:L,3,FALSE),"")</f>
        <v/>
      </c>
      <c r="H493" s="3"/>
      <c r="I493" s="3"/>
      <c r="J493" s="3"/>
      <c r="K493" s="3" t="str">
        <f>IF(B493="","",IF(OR(E493="",H493=""),"ناقص",IF(H493="نعم","مكتمل","غائب")))</f>
        <v/>
      </c>
      <c r="L493" s="3"/>
    </row>
    <row r="494" spans="1:12" x14ac:dyDescent="0.2">
      <c r="A494" s="3">
        <v>491</v>
      </c>
      <c r="B494" s="3"/>
      <c r="C494" s="3" t="str">
        <f>IFERROR(VLOOKUP(B494,Sessions!A:J,2,FALSE),"")</f>
        <v/>
      </c>
      <c r="D494" s="3" t="str">
        <f>IFERROR(VLOOKUP(B494,Sessions!A:J,3,FALSE),"")</f>
        <v/>
      </c>
      <c r="E494" s="3"/>
      <c r="F494" s="3" t="str">
        <f>IFERROR(VLOOKUP(E494,Employees!A:L,2,FALSE),"")</f>
        <v/>
      </c>
      <c r="G494" s="3" t="str">
        <f>IFERROR(VLOOKUP(E494,Employees!A:L,3,FALSE),"")</f>
        <v/>
      </c>
      <c r="H494" s="3"/>
      <c r="I494" s="3"/>
      <c r="J494" s="3"/>
      <c r="K494" s="3" t="str">
        <f>IF(B494="","",IF(OR(E494="",H494=""),"ناقص",IF(H494="نعم","مكتمل","غائب")))</f>
        <v/>
      </c>
      <c r="L494" s="3"/>
    </row>
    <row r="495" spans="1:12" x14ac:dyDescent="0.2">
      <c r="A495" s="3">
        <v>492</v>
      </c>
      <c r="B495" s="3"/>
      <c r="C495" s="3" t="str">
        <f>IFERROR(VLOOKUP(B495,Sessions!A:J,2,FALSE),"")</f>
        <v/>
      </c>
      <c r="D495" s="3" t="str">
        <f>IFERROR(VLOOKUP(B495,Sessions!A:J,3,FALSE),"")</f>
        <v/>
      </c>
      <c r="E495" s="3"/>
      <c r="F495" s="3" t="str">
        <f>IFERROR(VLOOKUP(E495,Employees!A:L,2,FALSE),"")</f>
        <v/>
      </c>
      <c r="G495" s="3" t="str">
        <f>IFERROR(VLOOKUP(E495,Employees!A:L,3,FALSE),"")</f>
        <v/>
      </c>
      <c r="H495" s="3"/>
      <c r="I495" s="3"/>
      <c r="J495" s="3"/>
      <c r="K495" s="3" t="str">
        <f>IF(B495="","",IF(OR(E495="",H495=""),"ناقص",IF(H495="نعم","مكتمل","غائب")))</f>
        <v/>
      </c>
      <c r="L495" s="3"/>
    </row>
    <row r="496" spans="1:12" x14ac:dyDescent="0.2">
      <c r="A496" s="3">
        <v>493</v>
      </c>
      <c r="B496" s="3"/>
      <c r="C496" s="3" t="str">
        <f>IFERROR(VLOOKUP(B496,Sessions!A:J,2,FALSE),"")</f>
        <v/>
      </c>
      <c r="D496" s="3" t="str">
        <f>IFERROR(VLOOKUP(B496,Sessions!A:J,3,FALSE),"")</f>
        <v/>
      </c>
      <c r="E496" s="3"/>
      <c r="F496" s="3" t="str">
        <f>IFERROR(VLOOKUP(E496,Employees!A:L,2,FALSE),"")</f>
        <v/>
      </c>
      <c r="G496" s="3" t="str">
        <f>IFERROR(VLOOKUP(E496,Employees!A:L,3,FALSE),"")</f>
        <v/>
      </c>
      <c r="H496" s="3"/>
      <c r="I496" s="3"/>
      <c r="J496" s="3"/>
      <c r="K496" s="3" t="str">
        <f>IF(B496="","",IF(OR(E496="",H496=""),"ناقص",IF(H496="نعم","مكتمل","غائب")))</f>
        <v/>
      </c>
      <c r="L496" s="3"/>
    </row>
    <row r="497" spans="1:12" x14ac:dyDescent="0.2">
      <c r="A497" s="3">
        <v>494</v>
      </c>
      <c r="B497" s="3"/>
      <c r="C497" s="3" t="str">
        <f>IFERROR(VLOOKUP(B497,Sessions!A:J,2,FALSE),"")</f>
        <v/>
      </c>
      <c r="D497" s="3" t="str">
        <f>IFERROR(VLOOKUP(B497,Sessions!A:J,3,FALSE),"")</f>
        <v/>
      </c>
      <c r="E497" s="3"/>
      <c r="F497" s="3" t="str">
        <f>IFERROR(VLOOKUP(E497,Employees!A:L,2,FALSE),"")</f>
        <v/>
      </c>
      <c r="G497" s="3" t="str">
        <f>IFERROR(VLOOKUP(E497,Employees!A:L,3,FALSE),"")</f>
        <v/>
      </c>
      <c r="H497" s="3"/>
      <c r="I497" s="3"/>
      <c r="J497" s="3"/>
      <c r="K497" s="3" t="str">
        <f>IF(B497="","",IF(OR(E497="",H497=""),"ناقص",IF(H497="نعم","مكتمل","غائب")))</f>
        <v/>
      </c>
      <c r="L497" s="3"/>
    </row>
    <row r="498" spans="1:12" x14ac:dyDescent="0.2">
      <c r="A498" s="3">
        <v>495</v>
      </c>
      <c r="B498" s="3"/>
      <c r="C498" s="3" t="str">
        <f>IFERROR(VLOOKUP(B498,Sessions!A:J,2,FALSE),"")</f>
        <v/>
      </c>
      <c r="D498" s="3" t="str">
        <f>IFERROR(VLOOKUP(B498,Sessions!A:J,3,FALSE),"")</f>
        <v/>
      </c>
      <c r="E498" s="3"/>
      <c r="F498" s="3" t="str">
        <f>IFERROR(VLOOKUP(E498,Employees!A:L,2,FALSE),"")</f>
        <v/>
      </c>
      <c r="G498" s="3" t="str">
        <f>IFERROR(VLOOKUP(E498,Employees!A:L,3,FALSE),"")</f>
        <v/>
      </c>
      <c r="H498" s="3"/>
      <c r="I498" s="3"/>
      <c r="J498" s="3"/>
      <c r="K498" s="3" t="str">
        <f>IF(B498="","",IF(OR(E498="",H498=""),"ناقص",IF(H498="نعم","مكتمل","غائب")))</f>
        <v/>
      </c>
      <c r="L498" s="3"/>
    </row>
    <row r="499" spans="1:12" x14ac:dyDescent="0.2">
      <c r="A499" s="3">
        <v>496</v>
      </c>
      <c r="B499" s="3"/>
      <c r="C499" s="3" t="str">
        <f>IFERROR(VLOOKUP(B499,Sessions!A:J,2,FALSE),"")</f>
        <v/>
      </c>
      <c r="D499" s="3" t="str">
        <f>IFERROR(VLOOKUP(B499,Sessions!A:J,3,FALSE),"")</f>
        <v/>
      </c>
      <c r="E499" s="3"/>
      <c r="F499" s="3" t="str">
        <f>IFERROR(VLOOKUP(E499,Employees!A:L,2,FALSE),"")</f>
        <v/>
      </c>
      <c r="G499" s="3" t="str">
        <f>IFERROR(VLOOKUP(E499,Employees!A:L,3,FALSE),"")</f>
        <v/>
      </c>
      <c r="H499" s="3"/>
      <c r="I499" s="3"/>
      <c r="J499" s="3"/>
      <c r="K499" s="3" t="str">
        <f>IF(B499="","",IF(OR(E499="",H499=""),"ناقص",IF(H499="نعم","مكتمل","غائب")))</f>
        <v/>
      </c>
      <c r="L499" s="3"/>
    </row>
    <row r="500" spans="1:12" x14ac:dyDescent="0.2">
      <c r="A500" s="3">
        <v>497</v>
      </c>
      <c r="B500" s="3"/>
      <c r="C500" s="3" t="str">
        <f>IFERROR(VLOOKUP(B500,Sessions!A:J,2,FALSE),"")</f>
        <v/>
      </c>
      <c r="D500" s="3" t="str">
        <f>IFERROR(VLOOKUP(B500,Sessions!A:J,3,FALSE),"")</f>
        <v/>
      </c>
      <c r="E500" s="3"/>
      <c r="F500" s="3" t="str">
        <f>IFERROR(VLOOKUP(E500,Employees!A:L,2,FALSE),"")</f>
        <v/>
      </c>
      <c r="G500" s="3" t="str">
        <f>IFERROR(VLOOKUP(E500,Employees!A:L,3,FALSE),"")</f>
        <v/>
      </c>
      <c r="H500" s="3"/>
      <c r="I500" s="3"/>
      <c r="J500" s="3"/>
      <c r="K500" s="3" t="str">
        <f>IF(B500="","",IF(OR(E500="",H500=""),"ناقص",IF(H500="نعم","مكتمل","غائب")))</f>
        <v/>
      </c>
      <c r="L500" s="3"/>
    </row>
    <row r="501" spans="1:12" x14ac:dyDescent="0.2">
      <c r="A501" s="3">
        <v>498</v>
      </c>
      <c r="B501" s="3"/>
      <c r="C501" s="3" t="str">
        <f>IFERROR(VLOOKUP(B501,Sessions!A:J,2,FALSE),"")</f>
        <v/>
      </c>
      <c r="D501" s="3" t="str">
        <f>IFERROR(VLOOKUP(B501,Sessions!A:J,3,FALSE),"")</f>
        <v/>
      </c>
      <c r="E501" s="3"/>
      <c r="F501" s="3" t="str">
        <f>IFERROR(VLOOKUP(E501,Employees!A:L,2,FALSE),"")</f>
        <v/>
      </c>
      <c r="G501" s="3" t="str">
        <f>IFERROR(VLOOKUP(E501,Employees!A:L,3,FALSE),"")</f>
        <v/>
      </c>
      <c r="H501" s="3"/>
      <c r="I501" s="3"/>
      <c r="J501" s="3"/>
      <c r="K501" s="3" t="str">
        <f>IF(B501="","",IF(OR(E501="",H501=""),"ناقص",IF(H501="نعم","مكتمل","غائب")))</f>
        <v/>
      </c>
      <c r="L501" s="3"/>
    </row>
    <row r="502" spans="1:12" x14ac:dyDescent="0.2">
      <c r="A502" s="3">
        <v>499</v>
      </c>
      <c r="B502" s="3"/>
      <c r="C502" s="3" t="str">
        <f>IFERROR(VLOOKUP(B502,Sessions!A:J,2,FALSE),"")</f>
        <v/>
      </c>
      <c r="D502" s="3" t="str">
        <f>IFERROR(VLOOKUP(B502,Sessions!A:J,3,FALSE),"")</f>
        <v/>
      </c>
      <c r="E502" s="3"/>
      <c r="F502" s="3" t="str">
        <f>IFERROR(VLOOKUP(E502,Employees!A:L,2,FALSE),"")</f>
        <v/>
      </c>
      <c r="G502" s="3" t="str">
        <f>IFERROR(VLOOKUP(E502,Employees!A:L,3,FALSE),"")</f>
        <v/>
      </c>
      <c r="H502" s="3"/>
      <c r="I502" s="3"/>
      <c r="J502" s="3"/>
      <c r="K502" s="3" t="str">
        <f>IF(B502="","",IF(OR(E502="",H502=""),"ناقص",IF(H502="نعم","مكتمل","غائب")))</f>
        <v/>
      </c>
      <c r="L502" s="3"/>
    </row>
    <row r="503" spans="1:12" x14ac:dyDescent="0.2">
      <c r="A503" s="3">
        <v>500</v>
      </c>
      <c r="B503" s="3"/>
      <c r="C503" s="3" t="str">
        <f>IFERROR(VLOOKUP(B503,Sessions!A:J,2,FALSE),"")</f>
        <v/>
      </c>
      <c r="D503" s="3" t="str">
        <f>IFERROR(VLOOKUP(B503,Sessions!A:J,3,FALSE),"")</f>
        <v/>
      </c>
      <c r="E503" s="3"/>
      <c r="F503" s="3" t="str">
        <f>IFERROR(VLOOKUP(E503,Employees!A:L,2,FALSE),"")</f>
        <v/>
      </c>
      <c r="G503" s="3" t="str">
        <f>IFERROR(VLOOKUP(E503,Employees!A:L,3,FALSE),"")</f>
        <v/>
      </c>
      <c r="H503" s="3"/>
      <c r="I503" s="3"/>
      <c r="J503" s="3"/>
      <c r="K503" s="3" t="str">
        <f>IF(B503="","",IF(OR(E503="",H503=""),"ناقص",IF(H503="نعم","مكتمل","غائب")))</f>
        <v/>
      </c>
      <c r="L503" s="3"/>
    </row>
    <row r="504" spans="1:12" x14ac:dyDescent="0.2">
      <c r="A504" s="3">
        <v>501</v>
      </c>
      <c r="B504" s="3"/>
      <c r="C504" s="3" t="str">
        <f>IFERROR(VLOOKUP(B504,Sessions!A:J,2,FALSE),"")</f>
        <v/>
      </c>
      <c r="D504" s="3" t="str">
        <f>IFERROR(VLOOKUP(B504,Sessions!A:J,3,FALSE),"")</f>
        <v/>
      </c>
      <c r="E504" s="3"/>
      <c r="F504" s="3" t="str">
        <f>IFERROR(VLOOKUP(E504,Employees!A:L,2,FALSE),"")</f>
        <v/>
      </c>
      <c r="G504" s="3" t="str">
        <f>IFERROR(VLOOKUP(E504,Employees!A:L,3,FALSE),"")</f>
        <v/>
      </c>
      <c r="H504" s="3"/>
      <c r="I504" s="3"/>
      <c r="J504" s="3"/>
      <c r="K504" s="3" t="str">
        <f>IF(B504="","",IF(OR(E504="",H504=""),"ناقص",IF(H504="نعم","مكتمل","غائب")))</f>
        <v/>
      </c>
      <c r="L504" s="3"/>
    </row>
    <row r="505" spans="1:12" x14ac:dyDescent="0.2">
      <c r="A505" s="3">
        <v>502</v>
      </c>
      <c r="B505" s="3"/>
      <c r="C505" s="3" t="str">
        <f>IFERROR(VLOOKUP(B505,Sessions!A:J,2,FALSE),"")</f>
        <v/>
      </c>
      <c r="D505" s="3" t="str">
        <f>IFERROR(VLOOKUP(B505,Sessions!A:J,3,FALSE),"")</f>
        <v/>
      </c>
      <c r="E505" s="3"/>
      <c r="F505" s="3" t="str">
        <f>IFERROR(VLOOKUP(E505,Employees!A:L,2,FALSE),"")</f>
        <v/>
      </c>
      <c r="G505" s="3" t="str">
        <f>IFERROR(VLOOKUP(E505,Employees!A:L,3,FALSE),"")</f>
        <v/>
      </c>
      <c r="H505" s="3"/>
      <c r="I505" s="3"/>
      <c r="J505" s="3"/>
      <c r="K505" s="3" t="str">
        <f>IF(B505="","",IF(OR(E505="",H505=""),"ناقص",IF(H505="نعم","مكتمل","غائب")))</f>
        <v/>
      </c>
      <c r="L505" s="3"/>
    </row>
    <row r="506" spans="1:12" x14ac:dyDescent="0.2">
      <c r="A506" s="3">
        <v>503</v>
      </c>
      <c r="B506" s="3"/>
      <c r="C506" s="3" t="str">
        <f>IFERROR(VLOOKUP(B506,Sessions!A:J,2,FALSE),"")</f>
        <v/>
      </c>
      <c r="D506" s="3" t="str">
        <f>IFERROR(VLOOKUP(B506,Sessions!A:J,3,FALSE),"")</f>
        <v/>
      </c>
      <c r="E506" s="3"/>
      <c r="F506" s="3" t="str">
        <f>IFERROR(VLOOKUP(E506,Employees!A:L,2,FALSE),"")</f>
        <v/>
      </c>
      <c r="G506" s="3" t="str">
        <f>IFERROR(VLOOKUP(E506,Employees!A:L,3,FALSE),"")</f>
        <v/>
      </c>
      <c r="H506" s="3"/>
      <c r="I506" s="3"/>
      <c r="J506" s="3"/>
      <c r="K506" s="3" t="str">
        <f>IF(B506="","",IF(OR(E506="",H506=""),"ناقص",IF(H506="نعم","مكتمل","غائب")))</f>
        <v/>
      </c>
      <c r="L506" s="3"/>
    </row>
    <row r="507" spans="1:12" x14ac:dyDescent="0.2">
      <c r="A507" s="3">
        <v>504</v>
      </c>
      <c r="B507" s="3"/>
      <c r="C507" s="3" t="str">
        <f>IFERROR(VLOOKUP(B507,Sessions!A:J,2,FALSE),"")</f>
        <v/>
      </c>
      <c r="D507" s="3" t="str">
        <f>IFERROR(VLOOKUP(B507,Sessions!A:J,3,FALSE),"")</f>
        <v/>
      </c>
      <c r="E507" s="3"/>
      <c r="F507" s="3" t="str">
        <f>IFERROR(VLOOKUP(E507,Employees!A:L,2,FALSE),"")</f>
        <v/>
      </c>
      <c r="G507" s="3" t="str">
        <f>IFERROR(VLOOKUP(E507,Employees!A:L,3,FALSE),"")</f>
        <v/>
      </c>
      <c r="H507" s="3"/>
      <c r="I507" s="3"/>
      <c r="J507" s="3"/>
      <c r="K507" s="3" t="str">
        <f>IF(B507="","",IF(OR(E507="",H507=""),"ناقص",IF(H507="نعم","مكتمل","غائب")))</f>
        <v/>
      </c>
      <c r="L507" s="3"/>
    </row>
    <row r="508" spans="1:12" x14ac:dyDescent="0.2">
      <c r="A508" s="3">
        <v>505</v>
      </c>
      <c r="B508" s="3"/>
      <c r="C508" s="3" t="str">
        <f>IFERROR(VLOOKUP(B508,Sessions!A:J,2,FALSE),"")</f>
        <v/>
      </c>
      <c r="D508" s="3" t="str">
        <f>IFERROR(VLOOKUP(B508,Sessions!A:J,3,FALSE),"")</f>
        <v/>
      </c>
      <c r="E508" s="3"/>
      <c r="F508" s="3" t="str">
        <f>IFERROR(VLOOKUP(E508,Employees!A:L,2,FALSE),"")</f>
        <v/>
      </c>
      <c r="G508" s="3" t="str">
        <f>IFERROR(VLOOKUP(E508,Employees!A:L,3,FALSE),"")</f>
        <v/>
      </c>
      <c r="H508" s="3"/>
      <c r="I508" s="3"/>
      <c r="J508" s="3"/>
      <c r="K508" s="3" t="str">
        <f>IF(B508="","",IF(OR(E508="",H508=""),"ناقص",IF(H508="نعم","مكتمل","غائب")))</f>
        <v/>
      </c>
      <c r="L508" s="3"/>
    </row>
    <row r="509" spans="1:12" x14ac:dyDescent="0.2">
      <c r="A509" s="3">
        <v>506</v>
      </c>
      <c r="B509" s="3"/>
      <c r="C509" s="3" t="str">
        <f>IFERROR(VLOOKUP(B509,Sessions!A:J,2,FALSE),"")</f>
        <v/>
      </c>
      <c r="D509" s="3" t="str">
        <f>IFERROR(VLOOKUP(B509,Sessions!A:J,3,FALSE),"")</f>
        <v/>
      </c>
      <c r="E509" s="3"/>
      <c r="F509" s="3" t="str">
        <f>IFERROR(VLOOKUP(E509,Employees!A:L,2,FALSE),"")</f>
        <v/>
      </c>
      <c r="G509" s="3" t="str">
        <f>IFERROR(VLOOKUP(E509,Employees!A:L,3,FALSE),"")</f>
        <v/>
      </c>
      <c r="H509" s="3"/>
      <c r="I509" s="3"/>
      <c r="J509" s="3"/>
      <c r="K509" s="3" t="str">
        <f>IF(B509="","",IF(OR(E509="",H509=""),"ناقص",IF(H509="نعم","مكتمل","غائب")))</f>
        <v/>
      </c>
      <c r="L509" s="3"/>
    </row>
    <row r="510" spans="1:12" x14ac:dyDescent="0.2">
      <c r="A510" s="3">
        <v>507</v>
      </c>
      <c r="B510" s="3"/>
      <c r="C510" s="3" t="str">
        <f>IFERROR(VLOOKUP(B510,Sessions!A:J,2,FALSE),"")</f>
        <v/>
      </c>
      <c r="D510" s="3" t="str">
        <f>IFERROR(VLOOKUP(B510,Sessions!A:J,3,FALSE),"")</f>
        <v/>
      </c>
      <c r="E510" s="3"/>
      <c r="F510" s="3" t="str">
        <f>IFERROR(VLOOKUP(E510,Employees!A:L,2,FALSE),"")</f>
        <v/>
      </c>
      <c r="G510" s="3" t="str">
        <f>IFERROR(VLOOKUP(E510,Employees!A:L,3,FALSE),"")</f>
        <v/>
      </c>
      <c r="H510" s="3"/>
      <c r="I510" s="3"/>
      <c r="J510" s="3"/>
      <c r="K510" s="3" t="str">
        <f>IF(B510="","",IF(OR(E510="",H510=""),"ناقص",IF(H510="نعم","مكتمل","غائب")))</f>
        <v/>
      </c>
      <c r="L510" s="3"/>
    </row>
    <row r="511" spans="1:12" x14ac:dyDescent="0.2">
      <c r="A511" s="3">
        <v>508</v>
      </c>
      <c r="B511" s="3"/>
      <c r="C511" s="3" t="str">
        <f>IFERROR(VLOOKUP(B511,Sessions!A:J,2,FALSE),"")</f>
        <v/>
      </c>
      <c r="D511" s="3" t="str">
        <f>IFERROR(VLOOKUP(B511,Sessions!A:J,3,FALSE),"")</f>
        <v/>
      </c>
      <c r="E511" s="3"/>
      <c r="F511" s="3" t="str">
        <f>IFERROR(VLOOKUP(E511,Employees!A:L,2,FALSE),"")</f>
        <v/>
      </c>
      <c r="G511" s="3" t="str">
        <f>IFERROR(VLOOKUP(E511,Employees!A:L,3,FALSE),"")</f>
        <v/>
      </c>
      <c r="H511" s="3"/>
      <c r="I511" s="3"/>
      <c r="J511" s="3"/>
      <c r="K511" s="3" t="str">
        <f>IF(B511="","",IF(OR(E511="",H511=""),"ناقص",IF(H511="نعم","مكتمل","غائب")))</f>
        <v/>
      </c>
      <c r="L511" s="3"/>
    </row>
    <row r="512" spans="1:12" x14ac:dyDescent="0.2">
      <c r="A512" s="3">
        <v>509</v>
      </c>
      <c r="B512" s="3"/>
      <c r="C512" s="3" t="str">
        <f>IFERROR(VLOOKUP(B512,Sessions!A:J,2,FALSE),"")</f>
        <v/>
      </c>
      <c r="D512" s="3" t="str">
        <f>IFERROR(VLOOKUP(B512,Sessions!A:J,3,FALSE),"")</f>
        <v/>
      </c>
      <c r="E512" s="3"/>
      <c r="F512" s="3" t="str">
        <f>IFERROR(VLOOKUP(E512,Employees!A:L,2,FALSE),"")</f>
        <v/>
      </c>
      <c r="G512" s="3" t="str">
        <f>IFERROR(VLOOKUP(E512,Employees!A:L,3,FALSE),"")</f>
        <v/>
      </c>
      <c r="H512" s="3"/>
      <c r="I512" s="3"/>
      <c r="J512" s="3"/>
      <c r="K512" s="3" t="str">
        <f>IF(B512="","",IF(OR(E512="",H512=""),"ناقص",IF(H512="نعم","مكتمل","غائب")))</f>
        <v/>
      </c>
      <c r="L512" s="3"/>
    </row>
    <row r="513" spans="1:12" x14ac:dyDescent="0.2">
      <c r="A513" s="3">
        <v>510</v>
      </c>
      <c r="B513" s="3"/>
      <c r="C513" s="3" t="str">
        <f>IFERROR(VLOOKUP(B513,Sessions!A:J,2,FALSE),"")</f>
        <v/>
      </c>
      <c r="D513" s="3" t="str">
        <f>IFERROR(VLOOKUP(B513,Sessions!A:J,3,FALSE),"")</f>
        <v/>
      </c>
      <c r="E513" s="3"/>
      <c r="F513" s="3" t="str">
        <f>IFERROR(VLOOKUP(E513,Employees!A:L,2,FALSE),"")</f>
        <v/>
      </c>
      <c r="G513" s="3" t="str">
        <f>IFERROR(VLOOKUP(E513,Employees!A:L,3,FALSE),"")</f>
        <v/>
      </c>
      <c r="H513" s="3"/>
      <c r="I513" s="3"/>
      <c r="J513" s="3"/>
      <c r="K513" s="3" t="str">
        <f>IF(B513="","",IF(OR(E513="",H513=""),"ناقص",IF(H513="نعم","مكتمل","غائب")))</f>
        <v/>
      </c>
      <c r="L513" s="3"/>
    </row>
    <row r="514" spans="1:12" x14ac:dyDescent="0.2">
      <c r="A514" s="3">
        <v>511</v>
      </c>
      <c r="B514" s="3"/>
      <c r="C514" s="3" t="str">
        <f>IFERROR(VLOOKUP(B514,Sessions!A:J,2,FALSE),"")</f>
        <v/>
      </c>
      <c r="D514" s="3" t="str">
        <f>IFERROR(VLOOKUP(B514,Sessions!A:J,3,FALSE),"")</f>
        <v/>
      </c>
      <c r="E514" s="3"/>
      <c r="F514" s="3" t="str">
        <f>IFERROR(VLOOKUP(E514,Employees!A:L,2,FALSE),"")</f>
        <v/>
      </c>
      <c r="G514" s="3" t="str">
        <f>IFERROR(VLOOKUP(E514,Employees!A:L,3,FALSE),"")</f>
        <v/>
      </c>
      <c r="H514" s="3"/>
      <c r="I514" s="3"/>
      <c r="J514" s="3"/>
      <c r="K514" s="3" t="str">
        <f>IF(B514="","",IF(OR(E514="",H514=""),"ناقص",IF(H514="نعم","مكتمل","غائب")))</f>
        <v/>
      </c>
      <c r="L514" s="3"/>
    </row>
    <row r="515" spans="1:12" x14ac:dyDescent="0.2">
      <c r="A515" s="3">
        <v>512</v>
      </c>
      <c r="B515" s="3"/>
      <c r="C515" s="3" t="str">
        <f>IFERROR(VLOOKUP(B515,Sessions!A:J,2,FALSE),"")</f>
        <v/>
      </c>
      <c r="D515" s="3" t="str">
        <f>IFERROR(VLOOKUP(B515,Sessions!A:J,3,FALSE),"")</f>
        <v/>
      </c>
      <c r="E515" s="3"/>
      <c r="F515" s="3" t="str">
        <f>IFERROR(VLOOKUP(E515,Employees!A:L,2,FALSE),"")</f>
        <v/>
      </c>
      <c r="G515" s="3" t="str">
        <f>IFERROR(VLOOKUP(E515,Employees!A:L,3,FALSE),"")</f>
        <v/>
      </c>
      <c r="H515" s="3"/>
      <c r="I515" s="3"/>
      <c r="J515" s="3"/>
      <c r="K515" s="3" t="str">
        <f>IF(B515="","",IF(OR(E515="",H515=""),"ناقص",IF(H515="نعم","مكتمل","غائب")))</f>
        <v/>
      </c>
      <c r="L515" s="3"/>
    </row>
    <row r="516" spans="1:12" x14ac:dyDescent="0.2">
      <c r="A516" s="3">
        <v>513</v>
      </c>
      <c r="B516" s="3"/>
      <c r="C516" s="3" t="str">
        <f>IFERROR(VLOOKUP(B516,Sessions!A:J,2,FALSE),"")</f>
        <v/>
      </c>
      <c r="D516" s="3" t="str">
        <f>IFERROR(VLOOKUP(B516,Sessions!A:J,3,FALSE),"")</f>
        <v/>
      </c>
      <c r="E516" s="3"/>
      <c r="F516" s="3" t="str">
        <f>IFERROR(VLOOKUP(E516,Employees!A:L,2,FALSE),"")</f>
        <v/>
      </c>
      <c r="G516" s="3" t="str">
        <f>IFERROR(VLOOKUP(E516,Employees!A:L,3,FALSE),"")</f>
        <v/>
      </c>
      <c r="H516" s="3"/>
      <c r="I516" s="3"/>
      <c r="J516" s="3"/>
      <c r="K516" s="3" t="str">
        <f>IF(B516="","",IF(OR(E516="",H516=""),"ناقص",IF(H516="نعم","مكتمل","غائب")))</f>
        <v/>
      </c>
      <c r="L516" s="3"/>
    </row>
    <row r="517" spans="1:12" x14ac:dyDescent="0.2">
      <c r="A517" s="3">
        <v>514</v>
      </c>
      <c r="B517" s="3"/>
      <c r="C517" s="3" t="str">
        <f>IFERROR(VLOOKUP(B517,Sessions!A:J,2,FALSE),"")</f>
        <v/>
      </c>
      <c r="D517" s="3" t="str">
        <f>IFERROR(VLOOKUP(B517,Sessions!A:J,3,FALSE),"")</f>
        <v/>
      </c>
      <c r="E517" s="3"/>
      <c r="F517" s="3" t="str">
        <f>IFERROR(VLOOKUP(E517,Employees!A:L,2,FALSE),"")</f>
        <v/>
      </c>
      <c r="G517" s="3" t="str">
        <f>IFERROR(VLOOKUP(E517,Employees!A:L,3,FALSE),"")</f>
        <v/>
      </c>
      <c r="H517" s="3"/>
      <c r="I517" s="3"/>
      <c r="J517" s="3"/>
      <c r="K517" s="3" t="str">
        <f>IF(B517="","",IF(OR(E517="",H517=""),"ناقص",IF(H517="نعم","مكتمل","غائب")))</f>
        <v/>
      </c>
      <c r="L517" s="3"/>
    </row>
    <row r="518" spans="1:12" x14ac:dyDescent="0.2">
      <c r="A518" s="3">
        <v>515</v>
      </c>
      <c r="B518" s="3"/>
      <c r="C518" s="3" t="str">
        <f>IFERROR(VLOOKUP(B518,Sessions!A:J,2,FALSE),"")</f>
        <v/>
      </c>
      <c r="D518" s="3" t="str">
        <f>IFERROR(VLOOKUP(B518,Sessions!A:J,3,FALSE),"")</f>
        <v/>
      </c>
      <c r="E518" s="3"/>
      <c r="F518" s="3" t="str">
        <f>IFERROR(VLOOKUP(E518,Employees!A:L,2,FALSE),"")</f>
        <v/>
      </c>
      <c r="G518" s="3" t="str">
        <f>IFERROR(VLOOKUP(E518,Employees!A:L,3,FALSE),"")</f>
        <v/>
      </c>
      <c r="H518" s="3"/>
      <c r="I518" s="3"/>
      <c r="J518" s="3"/>
      <c r="K518" s="3" t="str">
        <f>IF(B518="","",IF(OR(E518="",H518=""),"ناقص",IF(H518="نعم","مكتمل","غائب")))</f>
        <v/>
      </c>
      <c r="L518" s="3"/>
    </row>
    <row r="519" spans="1:12" x14ac:dyDescent="0.2">
      <c r="A519" s="3">
        <v>516</v>
      </c>
      <c r="B519" s="3"/>
      <c r="C519" s="3" t="str">
        <f>IFERROR(VLOOKUP(B519,Sessions!A:J,2,FALSE),"")</f>
        <v/>
      </c>
      <c r="D519" s="3" t="str">
        <f>IFERROR(VLOOKUP(B519,Sessions!A:J,3,FALSE),"")</f>
        <v/>
      </c>
      <c r="E519" s="3"/>
      <c r="F519" s="3" t="str">
        <f>IFERROR(VLOOKUP(E519,Employees!A:L,2,FALSE),"")</f>
        <v/>
      </c>
      <c r="G519" s="3" t="str">
        <f>IFERROR(VLOOKUP(E519,Employees!A:L,3,FALSE),"")</f>
        <v/>
      </c>
      <c r="H519" s="3"/>
      <c r="I519" s="3"/>
      <c r="J519" s="3"/>
      <c r="K519" s="3" t="str">
        <f>IF(B519="","",IF(OR(E519="",H519=""),"ناقص",IF(H519="نعم","مكتمل","غائب")))</f>
        <v/>
      </c>
      <c r="L519" s="3"/>
    </row>
    <row r="520" spans="1:12" x14ac:dyDescent="0.2">
      <c r="A520" s="3">
        <v>517</v>
      </c>
      <c r="B520" s="3"/>
      <c r="C520" s="3" t="str">
        <f>IFERROR(VLOOKUP(B520,Sessions!A:J,2,FALSE),"")</f>
        <v/>
      </c>
      <c r="D520" s="3" t="str">
        <f>IFERROR(VLOOKUP(B520,Sessions!A:J,3,FALSE),"")</f>
        <v/>
      </c>
      <c r="E520" s="3"/>
      <c r="F520" s="3" t="str">
        <f>IFERROR(VLOOKUP(E520,Employees!A:L,2,FALSE),"")</f>
        <v/>
      </c>
      <c r="G520" s="3" t="str">
        <f>IFERROR(VLOOKUP(E520,Employees!A:L,3,FALSE),"")</f>
        <v/>
      </c>
      <c r="H520" s="3"/>
      <c r="I520" s="3"/>
      <c r="J520" s="3"/>
      <c r="K520" s="3" t="str">
        <f>IF(B520="","",IF(OR(E520="",H520=""),"ناقص",IF(H520="نعم","مكتمل","غائب")))</f>
        <v/>
      </c>
      <c r="L520" s="3"/>
    </row>
    <row r="521" spans="1:12" x14ac:dyDescent="0.2">
      <c r="A521" s="3">
        <v>518</v>
      </c>
      <c r="B521" s="3"/>
      <c r="C521" s="3" t="str">
        <f>IFERROR(VLOOKUP(B521,Sessions!A:J,2,FALSE),"")</f>
        <v/>
      </c>
      <c r="D521" s="3" t="str">
        <f>IFERROR(VLOOKUP(B521,Sessions!A:J,3,FALSE),"")</f>
        <v/>
      </c>
      <c r="E521" s="3"/>
      <c r="F521" s="3" t="str">
        <f>IFERROR(VLOOKUP(E521,Employees!A:L,2,FALSE),"")</f>
        <v/>
      </c>
      <c r="G521" s="3" t="str">
        <f>IFERROR(VLOOKUP(E521,Employees!A:L,3,FALSE),"")</f>
        <v/>
      </c>
      <c r="H521" s="3"/>
      <c r="I521" s="3"/>
      <c r="J521" s="3"/>
      <c r="K521" s="3" t="str">
        <f>IF(B521="","",IF(OR(E521="",H521=""),"ناقص",IF(H521="نعم","مكتمل","غائب")))</f>
        <v/>
      </c>
      <c r="L521" s="3"/>
    </row>
    <row r="522" spans="1:12" x14ac:dyDescent="0.2">
      <c r="A522" s="3">
        <v>519</v>
      </c>
      <c r="B522" s="3"/>
      <c r="C522" s="3" t="str">
        <f>IFERROR(VLOOKUP(B522,Sessions!A:J,2,FALSE),"")</f>
        <v/>
      </c>
      <c r="D522" s="3" t="str">
        <f>IFERROR(VLOOKUP(B522,Sessions!A:J,3,FALSE),"")</f>
        <v/>
      </c>
      <c r="E522" s="3"/>
      <c r="F522" s="3" t="str">
        <f>IFERROR(VLOOKUP(E522,Employees!A:L,2,FALSE),"")</f>
        <v/>
      </c>
      <c r="G522" s="3" t="str">
        <f>IFERROR(VLOOKUP(E522,Employees!A:L,3,FALSE),"")</f>
        <v/>
      </c>
      <c r="H522" s="3"/>
      <c r="I522" s="3"/>
      <c r="J522" s="3"/>
      <c r="K522" s="3" t="str">
        <f>IF(B522="","",IF(OR(E522="",H522=""),"ناقص",IF(H522="نعم","مكتمل","غائب")))</f>
        <v/>
      </c>
      <c r="L522" s="3"/>
    </row>
    <row r="523" spans="1:12" x14ac:dyDescent="0.2">
      <c r="A523" s="3">
        <v>520</v>
      </c>
      <c r="B523" s="3"/>
      <c r="C523" s="3" t="str">
        <f>IFERROR(VLOOKUP(B523,Sessions!A:J,2,FALSE),"")</f>
        <v/>
      </c>
      <c r="D523" s="3" t="str">
        <f>IFERROR(VLOOKUP(B523,Sessions!A:J,3,FALSE),"")</f>
        <v/>
      </c>
      <c r="E523" s="3"/>
      <c r="F523" s="3" t="str">
        <f>IFERROR(VLOOKUP(E523,Employees!A:L,2,FALSE),"")</f>
        <v/>
      </c>
      <c r="G523" s="3" t="str">
        <f>IFERROR(VLOOKUP(E523,Employees!A:L,3,FALSE),"")</f>
        <v/>
      </c>
      <c r="H523" s="3"/>
      <c r="I523" s="3"/>
      <c r="J523" s="3"/>
      <c r="K523" s="3" t="str">
        <f>IF(B523="","",IF(OR(E523="",H523=""),"ناقص",IF(H523="نعم","مكتمل","غائب")))</f>
        <v/>
      </c>
      <c r="L523" s="3"/>
    </row>
    <row r="524" spans="1:12" x14ac:dyDescent="0.2">
      <c r="A524" s="3">
        <v>521</v>
      </c>
      <c r="B524" s="3"/>
      <c r="C524" s="3" t="str">
        <f>IFERROR(VLOOKUP(B524,Sessions!A:J,2,FALSE),"")</f>
        <v/>
      </c>
      <c r="D524" s="3" t="str">
        <f>IFERROR(VLOOKUP(B524,Sessions!A:J,3,FALSE),"")</f>
        <v/>
      </c>
      <c r="E524" s="3"/>
      <c r="F524" s="3" t="str">
        <f>IFERROR(VLOOKUP(E524,Employees!A:L,2,FALSE),"")</f>
        <v/>
      </c>
      <c r="G524" s="3" t="str">
        <f>IFERROR(VLOOKUP(E524,Employees!A:L,3,FALSE),"")</f>
        <v/>
      </c>
      <c r="H524" s="3"/>
      <c r="I524" s="3"/>
      <c r="J524" s="3"/>
      <c r="K524" s="3" t="str">
        <f>IF(B524="","",IF(OR(E524="",H524=""),"ناقص",IF(H524="نعم","مكتمل","غائب")))</f>
        <v/>
      </c>
      <c r="L524" s="3"/>
    </row>
    <row r="525" spans="1:12" x14ac:dyDescent="0.2">
      <c r="A525" s="3">
        <v>522</v>
      </c>
      <c r="B525" s="3"/>
      <c r="C525" s="3" t="str">
        <f>IFERROR(VLOOKUP(B525,Sessions!A:J,2,FALSE),"")</f>
        <v/>
      </c>
      <c r="D525" s="3" t="str">
        <f>IFERROR(VLOOKUP(B525,Sessions!A:J,3,FALSE),"")</f>
        <v/>
      </c>
      <c r="E525" s="3"/>
      <c r="F525" s="3" t="str">
        <f>IFERROR(VLOOKUP(E525,Employees!A:L,2,FALSE),"")</f>
        <v/>
      </c>
      <c r="G525" s="3" t="str">
        <f>IFERROR(VLOOKUP(E525,Employees!A:L,3,FALSE),"")</f>
        <v/>
      </c>
      <c r="H525" s="3"/>
      <c r="I525" s="3"/>
      <c r="J525" s="3"/>
      <c r="K525" s="3" t="str">
        <f>IF(B525="","",IF(OR(E525="",H525=""),"ناقص",IF(H525="نعم","مكتمل","غائب")))</f>
        <v/>
      </c>
      <c r="L525" s="3"/>
    </row>
    <row r="526" spans="1:12" x14ac:dyDescent="0.2">
      <c r="A526" s="3">
        <v>523</v>
      </c>
      <c r="B526" s="3"/>
      <c r="C526" s="3" t="str">
        <f>IFERROR(VLOOKUP(B526,Sessions!A:J,2,FALSE),"")</f>
        <v/>
      </c>
      <c r="D526" s="3" t="str">
        <f>IFERROR(VLOOKUP(B526,Sessions!A:J,3,FALSE),"")</f>
        <v/>
      </c>
      <c r="E526" s="3"/>
      <c r="F526" s="3" t="str">
        <f>IFERROR(VLOOKUP(E526,Employees!A:L,2,FALSE),"")</f>
        <v/>
      </c>
      <c r="G526" s="3" t="str">
        <f>IFERROR(VLOOKUP(E526,Employees!A:L,3,FALSE),"")</f>
        <v/>
      </c>
      <c r="H526" s="3"/>
      <c r="I526" s="3"/>
      <c r="J526" s="3"/>
      <c r="K526" s="3" t="str">
        <f>IF(B526="","",IF(OR(E526="",H526=""),"ناقص",IF(H526="نعم","مكتمل","غائب")))</f>
        <v/>
      </c>
      <c r="L526" s="3"/>
    </row>
    <row r="527" spans="1:12" x14ac:dyDescent="0.2">
      <c r="A527" s="3">
        <v>524</v>
      </c>
      <c r="B527" s="3"/>
      <c r="C527" s="3" t="str">
        <f>IFERROR(VLOOKUP(B527,Sessions!A:J,2,FALSE),"")</f>
        <v/>
      </c>
      <c r="D527" s="3" t="str">
        <f>IFERROR(VLOOKUP(B527,Sessions!A:J,3,FALSE),"")</f>
        <v/>
      </c>
      <c r="E527" s="3"/>
      <c r="F527" s="3" t="str">
        <f>IFERROR(VLOOKUP(E527,Employees!A:L,2,FALSE),"")</f>
        <v/>
      </c>
      <c r="G527" s="3" t="str">
        <f>IFERROR(VLOOKUP(E527,Employees!A:L,3,FALSE),"")</f>
        <v/>
      </c>
      <c r="H527" s="3"/>
      <c r="I527" s="3"/>
      <c r="J527" s="3"/>
      <c r="K527" s="3" t="str">
        <f>IF(B527="","",IF(OR(E527="",H527=""),"ناقص",IF(H527="نعم","مكتمل","غائب")))</f>
        <v/>
      </c>
      <c r="L527" s="3"/>
    </row>
    <row r="528" spans="1:12" x14ac:dyDescent="0.2">
      <c r="A528" s="3">
        <v>525</v>
      </c>
      <c r="B528" s="3"/>
      <c r="C528" s="3" t="str">
        <f>IFERROR(VLOOKUP(B528,Sessions!A:J,2,FALSE),"")</f>
        <v/>
      </c>
      <c r="D528" s="3" t="str">
        <f>IFERROR(VLOOKUP(B528,Sessions!A:J,3,FALSE),"")</f>
        <v/>
      </c>
      <c r="E528" s="3"/>
      <c r="F528" s="3" t="str">
        <f>IFERROR(VLOOKUP(E528,Employees!A:L,2,FALSE),"")</f>
        <v/>
      </c>
      <c r="G528" s="3" t="str">
        <f>IFERROR(VLOOKUP(E528,Employees!A:L,3,FALSE),"")</f>
        <v/>
      </c>
      <c r="H528" s="3"/>
      <c r="I528" s="3"/>
      <c r="J528" s="3"/>
      <c r="K528" s="3" t="str">
        <f>IF(B528="","",IF(OR(E528="",H528=""),"ناقص",IF(H528="نعم","مكتمل","غائب")))</f>
        <v/>
      </c>
      <c r="L528" s="3"/>
    </row>
    <row r="529" spans="1:12" x14ac:dyDescent="0.2">
      <c r="A529" s="3">
        <v>526</v>
      </c>
      <c r="B529" s="3"/>
      <c r="C529" s="3" t="str">
        <f>IFERROR(VLOOKUP(B529,Sessions!A:J,2,FALSE),"")</f>
        <v/>
      </c>
      <c r="D529" s="3" t="str">
        <f>IFERROR(VLOOKUP(B529,Sessions!A:J,3,FALSE),"")</f>
        <v/>
      </c>
      <c r="E529" s="3"/>
      <c r="F529" s="3" t="str">
        <f>IFERROR(VLOOKUP(E529,Employees!A:L,2,FALSE),"")</f>
        <v/>
      </c>
      <c r="G529" s="3" t="str">
        <f>IFERROR(VLOOKUP(E529,Employees!A:L,3,FALSE),"")</f>
        <v/>
      </c>
      <c r="H529" s="3"/>
      <c r="I529" s="3"/>
      <c r="J529" s="3"/>
      <c r="K529" s="3" t="str">
        <f>IF(B529="","",IF(OR(E529="",H529=""),"ناقص",IF(H529="نعم","مكتمل","غائب")))</f>
        <v/>
      </c>
      <c r="L529" s="3"/>
    </row>
    <row r="530" spans="1:12" x14ac:dyDescent="0.2">
      <c r="A530" s="3">
        <v>527</v>
      </c>
      <c r="B530" s="3"/>
      <c r="C530" s="3" t="str">
        <f>IFERROR(VLOOKUP(B530,Sessions!A:J,2,FALSE),"")</f>
        <v/>
      </c>
      <c r="D530" s="3" t="str">
        <f>IFERROR(VLOOKUP(B530,Sessions!A:J,3,FALSE),"")</f>
        <v/>
      </c>
      <c r="E530" s="3"/>
      <c r="F530" s="3" t="str">
        <f>IFERROR(VLOOKUP(E530,Employees!A:L,2,FALSE),"")</f>
        <v/>
      </c>
      <c r="G530" s="3" t="str">
        <f>IFERROR(VLOOKUP(E530,Employees!A:L,3,FALSE),"")</f>
        <v/>
      </c>
      <c r="H530" s="3"/>
      <c r="I530" s="3"/>
      <c r="J530" s="3"/>
      <c r="K530" s="3" t="str">
        <f>IF(B530="","",IF(OR(E530="",H530=""),"ناقص",IF(H530="نعم","مكتمل","غائب")))</f>
        <v/>
      </c>
      <c r="L530" s="3"/>
    </row>
    <row r="531" spans="1:12" x14ac:dyDescent="0.2">
      <c r="A531" s="3">
        <v>528</v>
      </c>
      <c r="B531" s="3"/>
      <c r="C531" s="3" t="str">
        <f>IFERROR(VLOOKUP(B531,Sessions!A:J,2,FALSE),"")</f>
        <v/>
      </c>
      <c r="D531" s="3" t="str">
        <f>IFERROR(VLOOKUP(B531,Sessions!A:J,3,FALSE),"")</f>
        <v/>
      </c>
      <c r="E531" s="3"/>
      <c r="F531" s="3" t="str">
        <f>IFERROR(VLOOKUP(E531,Employees!A:L,2,FALSE),"")</f>
        <v/>
      </c>
      <c r="G531" s="3" t="str">
        <f>IFERROR(VLOOKUP(E531,Employees!A:L,3,FALSE),"")</f>
        <v/>
      </c>
      <c r="H531" s="3"/>
      <c r="I531" s="3"/>
      <c r="J531" s="3"/>
      <c r="K531" s="3" t="str">
        <f>IF(B531="","",IF(OR(E531="",H531=""),"ناقص",IF(H531="نعم","مكتمل","غائب")))</f>
        <v/>
      </c>
      <c r="L531" s="3"/>
    </row>
    <row r="532" spans="1:12" x14ac:dyDescent="0.2">
      <c r="A532" s="3">
        <v>529</v>
      </c>
      <c r="B532" s="3"/>
      <c r="C532" s="3" t="str">
        <f>IFERROR(VLOOKUP(B532,Sessions!A:J,2,FALSE),"")</f>
        <v/>
      </c>
      <c r="D532" s="3" t="str">
        <f>IFERROR(VLOOKUP(B532,Sessions!A:J,3,FALSE),"")</f>
        <v/>
      </c>
      <c r="E532" s="3"/>
      <c r="F532" s="3" t="str">
        <f>IFERROR(VLOOKUP(E532,Employees!A:L,2,FALSE),"")</f>
        <v/>
      </c>
      <c r="G532" s="3" t="str">
        <f>IFERROR(VLOOKUP(E532,Employees!A:L,3,FALSE),"")</f>
        <v/>
      </c>
      <c r="H532" s="3"/>
      <c r="I532" s="3"/>
      <c r="J532" s="3"/>
      <c r="K532" s="3" t="str">
        <f>IF(B532="","",IF(OR(E532="",H532=""),"ناقص",IF(H532="نعم","مكتمل","غائب")))</f>
        <v/>
      </c>
      <c r="L532" s="3"/>
    </row>
    <row r="533" spans="1:12" x14ac:dyDescent="0.2">
      <c r="A533" s="3">
        <v>530</v>
      </c>
      <c r="B533" s="3"/>
      <c r="C533" s="3" t="str">
        <f>IFERROR(VLOOKUP(B533,Sessions!A:J,2,FALSE),"")</f>
        <v/>
      </c>
      <c r="D533" s="3" t="str">
        <f>IFERROR(VLOOKUP(B533,Sessions!A:J,3,FALSE),"")</f>
        <v/>
      </c>
      <c r="E533" s="3"/>
      <c r="F533" s="3" t="str">
        <f>IFERROR(VLOOKUP(E533,Employees!A:L,2,FALSE),"")</f>
        <v/>
      </c>
      <c r="G533" s="3" t="str">
        <f>IFERROR(VLOOKUP(E533,Employees!A:L,3,FALSE),"")</f>
        <v/>
      </c>
      <c r="H533" s="3"/>
      <c r="I533" s="3"/>
      <c r="J533" s="3"/>
      <c r="K533" s="3" t="str">
        <f>IF(B533="","",IF(OR(E533="",H533=""),"ناقص",IF(H533="نعم","مكتمل","غائب")))</f>
        <v/>
      </c>
      <c r="L533" s="3"/>
    </row>
    <row r="534" spans="1:12" x14ac:dyDescent="0.2">
      <c r="A534" s="3">
        <v>531</v>
      </c>
      <c r="B534" s="3"/>
      <c r="C534" s="3" t="str">
        <f>IFERROR(VLOOKUP(B534,Sessions!A:J,2,FALSE),"")</f>
        <v/>
      </c>
      <c r="D534" s="3" t="str">
        <f>IFERROR(VLOOKUP(B534,Sessions!A:J,3,FALSE),"")</f>
        <v/>
      </c>
      <c r="E534" s="3"/>
      <c r="F534" s="3" t="str">
        <f>IFERROR(VLOOKUP(E534,Employees!A:L,2,FALSE),"")</f>
        <v/>
      </c>
      <c r="G534" s="3" t="str">
        <f>IFERROR(VLOOKUP(E534,Employees!A:L,3,FALSE),"")</f>
        <v/>
      </c>
      <c r="H534" s="3"/>
      <c r="I534" s="3"/>
      <c r="J534" s="3"/>
      <c r="K534" s="3" t="str">
        <f>IF(B534="","",IF(OR(E534="",H534=""),"ناقص",IF(H534="نعم","مكتمل","غائب")))</f>
        <v/>
      </c>
      <c r="L534" s="3"/>
    </row>
    <row r="535" spans="1:12" x14ac:dyDescent="0.2">
      <c r="A535" s="3">
        <v>532</v>
      </c>
      <c r="B535" s="3"/>
      <c r="C535" s="3" t="str">
        <f>IFERROR(VLOOKUP(B535,Sessions!A:J,2,FALSE),"")</f>
        <v/>
      </c>
      <c r="D535" s="3" t="str">
        <f>IFERROR(VLOOKUP(B535,Sessions!A:J,3,FALSE),"")</f>
        <v/>
      </c>
      <c r="E535" s="3"/>
      <c r="F535" s="3" t="str">
        <f>IFERROR(VLOOKUP(E535,Employees!A:L,2,FALSE),"")</f>
        <v/>
      </c>
      <c r="G535" s="3" t="str">
        <f>IFERROR(VLOOKUP(E535,Employees!A:L,3,FALSE),"")</f>
        <v/>
      </c>
      <c r="H535" s="3"/>
      <c r="I535" s="3"/>
      <c r="J535" s="3"/>
      <c r="K535" s="3" t="str">
        <f>IF(B535="","",IF(OR(E535="",H535=""),"ناقص",IF(H535="نعم","مكتمل","غائب")))</f>
        <v/>
      </c>
      <c r="L535" s="3"/>
    </row>
    <row r="536" spans="1:12" x14ac:dyDescent="0.2">
      <c r="A536" s="3">
        <v>533</v>
      </c>
      <c r="B536" s="3"/>
      <c r="C536" s="3" t="str">
        <f>IFERROR(VLOOKUP(B536,Sessions!A:J,2,FALSE),"")</f>
        <v/>
      </c>
      <c r="D536" s="3" t="str">
        <f>IFERROR(VLOOKUP(B536,Sessions!A:J,3,FALSE),"")</f>
        <v/>
      </c>
      <c r="E536" s="3"/>
      <c r="F536" s="3" t="str">
        <f>IFERROR(VLOOKUP(E536,Employees!A:L,2,FALSE),"")</f>
        <v/>
      </c>
      <c r="G536" s="3" t="str">
        <f>IFERROR(VLOOKUP(E536,Employees!A:L,3,FALSE),"")</f>
        <v/>
      </c>
      <c r="H536" s="3"/>
      <c r="I536" s="3"/>
      <c r="J536" s="3"/>
      <c r="K536" s="3" t="str">
        <f>IF(B536="","",IF(OR(E536="",H536=""),"ناقص",IF(H536="نعم","مكتمل","غائب")))</f>
        <v/>
      </c>
      <c r="L536" s="3"/>
    </row>
    <row r="537" spans="1:12" x14ac:dyDescent="0.2">
      <c r="A537" s="3">
        <v>534</v>
      </c>
      <c r="B537" s="3"/>
      <c r="C537" s="3" t="str">
        <f>IFERROR(VLOOKUP(B537,Sessions!A:J,2,FALSE),"")</f>
        <v/>
      </c>
      <c r="D537" s="3" t="str">
        <f>IFERROR(VLOOKUP(B537,Sessions!A:J,3,FALSE),"")</f>
        <v/>
      </c>
      <c r="E537" s="3"/>
      <c r="F537" s="3" t="str">
        <f>IFERROR(VLOOKUP(E537,Employees!A:L,2,FALSE),"")</f>
        <v/>
      </c>
      <c r="G537" s="3" t="str">
        <f>IFERROR(VLOOKUP(E537,Employees!A:L,3,FALSE),"")</f>
        <v/>
      </c>
      <c r="H537" s="3"/>
      <c r="I537" s="3"/>
      <c r="J537" s="3"/>
      <c r="K537" s="3" t="str">
        <f>IF(B537="","",IF(OR(E537="",H537=""),"ناقص",IF(H537="نعم","مكتمل","غائب")))</f>
        <v/>
      </c>
      <c r="L537" s="3"/>
    </row>
    <row r="538" spans="1:12" x14ac:dyDescent="0.2">
      <c r="A538" s="3">
        <v>535</v>
      </c>
      <c r="B538" s="3"/>
      <c r="C538" s="3" t="str">
        <f>IFERROR(VLOOKUP(B538,Sessions!A:J,2,FALSE),"")</f>
        <v/>
      </c>
      <c r="D538" s="3" t="str">
        <f>IFERROR(VLOOKUP(B538,Sessions!A:J,3,FALSE),"")</f>
        <v/>
      </c>
      <c r="E538" s="3"/>
      <c r="F538" s="3" t="str">
        <f>IFERROR(VLOOKUP(E538,Employees!A:L,2,FALSE),"")</f>
        <v/>
      </c>
      <c r="G538" s="3" t="str">
        <f>IFERROR(VLOOKUP(E538,Employees!A:L,3,FALSE),"")</f>
        <v/>
      </c>
      <c r="H538" s="3"/>
      <c r="I538" s="3"/>
      <c r="J538" s="3"/>
      <c r="K538" s="3" t="str">
        <f>IF(B538="","",IF(OR(E538="",H538=""),"ناقص",IF(H538="نعم","مكتمل","غائب")))</f>
        <v/>
      </c>
      <c r="L538" s="3"/>
    </row>
    <row r="539" spans="1:12" x14ac:dyDescent="0.2">
      <c r="A539" s="3">
        <v>536</v>
      </c>
      <c r="B539" s="3"/>
      <c r="C539" s="3" t="str">
        <f>IFERROR(VLOOKUP(B539,Sessions!A:J,2,FALSE),"")</f>
        <v/>
      </c>
      <c r="D539" s="3" t="str">
        <f>IFERROR(VLOOKUP(B539,Sessions!A:J,3,FALSE),"")</f>
        <v/>
      </c>
      <c r="E539" s="3"/>
      <c r="F539" s="3" t="str">
        <f>IFERROR(VLOOKUP(E539,Employees!A:L,2,FALSE),"")</f>
        <v/>
      </c>
      <c r="G539" s="3" t="str">
        <f>IFERROR(VLOOKUP(E539,Employees!A:L,3,FALSE),"")</f>
        <v/>
      </c>
      <c r="H539" s="3"/>
      <c r="I539" s="3"/>
      <c r="J539" s="3"/>
      <c r="K539" s="3" t="str">
        <f>IF(B539="","",IF(OR(E539="",H539=""),"ناقص",IF(H539="نعم","مكتمل","غائب")))</f>
        <v/>
      </c>
      <c r="L539" s="3"/>
    </row>
    <row r="540" spans="1:12" x14ac:dyDescent="0.2">
      <c r="A540" s="3">
        <v>537</v>
      </c>
      <c r="B540" s="3"/>
      <c r="C540" s="3" t="str">
        <f>IFERROR(VLOOKUP(B540,Sessions!A:J,2,FALSE),"")</f>
        <v/>
      </c>
      <c r="D540" s="3" t="str">
        <f>IFERROR(VLOOKUP(B540,Sessions!A:J,3,FALSE),"")</f>
        <v/>
      </c>
      <c r="E540" s="3"/>
      <c r="F540" s="3" t="str">
        <f>IFERROR(VLOOKUP(E540,Employees!A:L,2,FALSE),"")</f>
        <v/>
      </c>
      <c r="G540" s="3" t="str">
        <f>IFERROR(VLOOKUP(E540,Employees!A:L,3,FALSE),"")</f>
        <v/>
      </c>
      <c r="H540" s="3"/>
      <c r="I540" s="3"/>
      <c r="J540" s="3"/>
      <c r="K540" s="3" t="str">
        <f>IF(B540="","",IF(OR(E540="",H540=""),"ناقص",IF(H540="نعم","مكتمل","غائب")))</f>
        <v/>
      </c>
      <c r="L540" s="3"/>
    </row>
    <row r="541" spans="1:12" x14ac:dyDescent="0.2">
      <c r="A541" s="3">
        <v>538</v>
      </c>
      <c r="B541" s="3"/>
      <c r="C541" s="3" t="str">
        <f>IFERROR(VLOOKUP(B541,Sessions!A:J,2,FALSE),"")</f>
        <v/>
      </c>
      <c r="D541" s="3" t="str">
        <f>IFERROR(VLOOKUP(B541,Sessions!A:J,3,FALSE),"")</f>
        <v/>
      </c>
      <c r="E541" s="3"/>
      <c r="F541" s="3" t="str">
        <f>IFERROR(VLOOKUP(E541,Employees!A:L,2,FALSE),"")</f>
        <v/>
      </c>
      <c r="G541" s="3" t="str">
        <f>IFERROR(VLOOKUP(E541,Employees!A:L,3,FALSE),"")</f>
        <v/>
      </c>
      <c r="H541" s="3"/>
      <c r="I541" s="3"/>
      <c r="J541" s="3"/>
      <c r="K541" s="3" t="str">
        <f>IF(B541="","",IF(OR(E541="",H541=""),"ناقص",IF(H541="نعم","مكتمل","غائب")))</f>
        <v/>
      </c>
      <c r="L541" s="3"/>
    </row>
    <row r="542" spans="1:12" x14ac:dyDescent="0.2">
      <c r="A542" s="3">
        <v>539</v>
      </c>
      <c r="B542" s="3"/>
      <c r="C542" s="3" t="str">
        <f>IFERROR(VLOOKUP(B542,Sessions!A:J,2,FALSE),"")</f>
        <v/>
      </c>
      <c r="D542" s="3" t="str">
        <f>IFERROR(VLOOKUP(B542,Sessions!A:J,3,FALSE),"")</f>
        <v/>
      </c>
      <c r="E542" s="3"/>
      <c r="F542" s="3" t="str">
        <f>IFERROR(VLOOKUP(E542,Employees!A:L,2,FALSE),"")</f>
        <v/>
      </c>
      <c r="G542" s="3" t="str">
        <f>IFERROR(VLOOKUP(E542,Employees!A:L,3,FALSE),"")</f>
        <v/>
      </c>
      <c r="H542" s="3"/>
      <c r="I542" s="3"/>
      <c r="J542" s="3"/>
      <c r="K542" s="3" t="str">
        <f>IF(B542="","",IF(OR(E542="",H542=""),"ناقص",IF(H542="نعم","مكتمل","غائب")))</f>
        <v/>
      </c>
      <c r="L542" s="3"/>
    </row>
    <row r="543" spans="1:12" x14ac:dyDescent="0.2">
      <c r="A543" s="3">
        <v>540</v>
      </c>
      <c r="B543" s="3"/>
      <c r="C543" s="3" t="str">
        <f>IFERROR(VLOOKUP(B543,Sessions!A:J,2,FALSE),"")</f>
        <v/>
      </c>
      <c r="D543" s="3" t="str">
        <f>IFERROR(VLOOKUP(B543,Sessions!A:J,3,FALSE),"")</f>
        <v/>
      </c>
      <c r="E543" s="3"/>
      <c r="F543" s="3" t="str">
        <f>IFERROR(VLOOKUP(E543,Employees!A:L,2,FALSE),"")</f>
        <v/>
      </c>
      <c r="G543" s="3" t="str">
        <f>IFERROR(VLOOKUP(E543,Employees!A:L,3,FALSE),"")</f>
        <v/>
      </c>
      <c r="H543" s="3"/>
      <c r="I543" s="3"/>
      <c r="J543" s="3"/>
      <c r="K543" s="3" t="str">
        <f>IF(B543="","",IF(OR(E543="",H543=""),"ناقص",IF(H543="نعم","مكتمل","غائب")))</f>
        <v/>
      </c>
      <c r="L543" s="3"/>
    </row>
    <row r="544" spans="1:12" x14ac:dyDescent="0.2">
      <c r="A544" s="3">
        <v>541</v>
      </c>
      <c r="B544" s="3"/>
      <c r="C544" s="3" t="str">
        <f>IFERROR(VLOOKUP(B544,Sessions!A:J,2,FALSE),"")</f>
        <v/>
      </c>
      <c r="D544" s="3" t="str">
        <f>IFERROR(VLOOKUP(B544,Sessions!A:J,3,FALSE),"")</f>
        <v/>
      </c>
      <c r="E544" s="3"/>
      <c r="F544" s="3" t="str">
        <f>IFERROR(VLOOKUP(E544,Employees!A:L,2,FALSE),"")</f>
        <v/>
      </c>
      <c r="G544" s="3" t="str">
        <f>IFERROR(VLOOKUP(E544,Employees!A:L,3,FALSE),"")</f>
        <v/>
      </c>
      <c r="H544" s="3"/>
      <c r="I544" s="3"/>
      <c r="J544" s="3"/>
      <c r="K544" s="3" t="str">
        <f>IF(B544="","",IF(OR(E544="",H544=""),"ناقص",IF(H544="نعم","مكتمل","غائب")))</f>
        <v/>
      </c>
      <c r="L544" s="3"/>
    </row>
    <row r="545" spans="1:12" x14ac:dyDescent="0.2">
      <c r="A545" s="3">
        <v>542</v>
      </c>
      <c r="B545" s="3"/>
      <c r="C545" s="3" t="str">
        <f>IFERROR(VLOOKUP(B545,Sessions!A:J,2,FALSE),"")</f>
        <v/>
      </c>
      <c r="D545" s="3" t="str">
        <f>IFERROR(VLOOKUP(B545,Sessions!A:J,3,FALSE),"")</f>
        <v/>
      </c>
      <c r="E545" s="3"/>
      <c r="F545" s="3" t="str">
        <f>IFERROR(VLOOKUP(E545,Employees!A:L,2,FALSE),"")</f>
        <v/>
      </c>
      <c r="G545" s="3" t="str">
        <f>IFERROR(VLOOKUP(E545,Employees!A:L,3,FALSE),"")</f>
        <v/>
      </c>
      <c r="H545" s="3"/>
      <c r="I545" s="3"/>
      <c r="J545" s="3"/>
      <c r="K545" s="3" t="str">
        <f>IF(B545="","",IF(OR(E545="",H545=""),"ناقص",IF(H545="نعم","مكتمل","غائب")))</f>
        <v/>
      </c>
      <c r="L545" s="3"/>
    </row>
    <row r="546" spans="1:12" x14ac:dyDescent="0.2">
      <c r="A546" s="3">
        <v>543</v>
      </c>
      <c r="B546" s="3"/>
      <c r="C546" s="3" t="str">
        <f>IFERROR(VLOOKUP(B546,Sessions!A:J,2,FALSE),"")</f>
        <v/>
      </c>
      <c r="D546" s="3" t="str">
        <f>IFERROR(VLOOKUP(B546,Sessions!A:J,3,FALSE),"")</f>
        <v/>
      </c>
      <c r="E546" s="3"/>
      <c r="F546" s="3" t="str">
        <f>IFERROR(VLOOKUP(E546,Employees!A:L,2,FALSE),"")</f>
        <v/>
      </c>
      <c r="G546" s="3" t="str">
        <f>IFERROR(VLOOKUP(E546,Employees!A:L,3,FALSE),"")</f>
        <v/>
      </c>
      <c r="H546" s="3"/>
      <c r="I546" s="3"/>
      <c r="J546" s="3"/>
      <c r="K546" s="3" t="str">
        <f>IF(B546="","",IF(OR(E546="",H546=""),"ناقص",IF(H546="نعم","مكتمل","غائب")))</f>
        <v/>
      </c>
      <c r="L546" s="3"/>
    </row>
    <row r="547" spans="1:12" x14ac:dyDescent="0.2">
      <c r="A547" s="3">
        <v>544</v>
      </c>
      <c r="B547" s="3"/>
      <c r="C547" s="3" t="str">
        <f>IFERROR(VLOOKUP(B547,Sessions!A:J,2,FALSE),"")</f>
        <v/>
      </c>
      <c r="D547" s="3" t="str">
        <f>IFERROR(VLOOKUP(B547,Sessions!A:J,3,FALSE),"")</f>
        <v/>
      </c>
      <c r="E547" s="3"/>
      <c r="F547" s="3" t="str">
        <f>IFERROR(VLOOKUP(E547,Employees!A:L,2,FALSE),"")</f>
        <v/>
      </c>
      <c r="G547" s="3" t="str">
        <f>IFERROR(VLOOKUP(E547,Employees!A:L,3,FALSE),"")</f>
        <v/>
      </c>
      <c r="H547" s="3"/>
      <c r="I547" s="3"/>
      <c r="J547" s="3"/>
      <c r="K547" s="3" t="str">
        <f>IF(B547="","",IF(OR(E547="",H547=""),"ناقص",IF(H547="نعم","مكتمل","غائب")))</f>
        <v/>
      </c>
      <c r="L547" s="3"/>
    </row>
    <row r="548" spans="1:12" x14ac:dyDescent="0.2">
      <c r="A548" s="3">
        <v>545</v>
      </c>
      <c r="B548" s="3"/>
      <c r="C548" s="3" t="str">
        <f>IFERROR(VLOOKUP(B548,Sessions!A:J,2,FALSE),"")</f>
        <v/>
      </c>
      <c r="D548" s="3" t="str">
        <f>IFERROR(VLOOKUP(B548,Sessions!A:J,3,FALSE),"")</f>
        <v/>
      </c>
      <c r="E548" s="3"/>
      <c r="F548" s="3" t="str">
        <f>IFERROR(VLOOKUP(E548,Employees!A:L,2,FALSE),"")</f>
        <v/>
      </c>
      <c r="G548" s="3" t="str">
        <f>IFERROR(VLOOKUP(E548,Employees!A:L,3,FALSE),"")</f>
        <v/>
      </c>
      <c r="H548" s="3"/>
      <c r="I548" s="3"/>
      <c r="J548" s="3"/>
      <c r="K548" s="3" t="str">
        <f>IF(B548="","",IF(OR(E548="",H548=""),"ناقص",IF(H548="نعم","مكتمل","غائب")))</f>
        <v/>
      </c>
      <c r="L548" s="3"/>
    </row>
    <row r="549" spans="1:12" x14ac:dyDescent="0.2">
      <c r="A549" s="3">
        <v>546</v>
      </c>
      <c r="B549" s="3"/>
      <c r="C549" s="3" t="str">
        <f>IFERROR(VLOOKUP(B549,Sessions!A:J,2,FALSE),"")</f>
        <v/>
      </c>
      <c r="D549" s="3" t="str">
        <f>IFERROR(VLOOKUP(B549,Sessions!A:J,3,FALSE),"")</f>
        <v/>
      </c>
      <c r="E549" s="3"/>
      <c r="F549" s="3" t="str">
        <f>IFERROR(VLOOKUP(E549,Employees!A:L,2,FALSE),"")</f>
        <v/>
      </c>
      <c r="G549" s="3" t="str">
        <f>IFERROR(VLOOKUP(E549,Employees!A:L,3,FALSE),"")</f>
        <v/>
      </c>
      <c r="H549" s="3"/>
      <c r="I549" s="3"/>
      <c r="J549" s="3"/>
      <c r="K549" s="3" t="str">
        <f>IF(B549="","",IF(OR(E549="",H549=""),"ناقص",IF(H549="نعم","مكتمل","غائب")))</f>
        <v/>
      </c>
      <c r="L549" s="3"/>
    </row>
    <row r="550" spans="1:12" x14ac:dyDescent="0.2">
      <c r="A550" s="3">
        <v>547</v>
      </c>
      <c r="B550" s="3"/>
      <c r="C550" s="3" t="str">
        <f>IFERROR(VLOOKUP(B550,Sessions!A:J,2,FALSE),"")</f>
        <v/>
      </c>
      <c r="D550" s="3" t="str">
        <f>IFERROR(VLOOKUP(B550,Sessions!A:J,3,FALSE),"")</f>
        <v/>
      </c>
      <c r="E550" s="3"/>
      <c r="F550" s="3" t="str">
        <f>IFERROR(VLOOKUP(E550,Employees!A:L,2,FALSE),"")</f>
        <v/>
      </c>
      <c r="G550" s="3" t="str">
        <f>IFERROR(VLOOKUP(E550,Employees!A:L,3,FALSE),"")</f>
        <v/>
      </c>
      <c r="H550" s="3"/>
      <c r="I550" s="3"/>
      <c r="J550" s="3"/>
      <c r="K550" s="3" t="str">
        <f>IF(B550="","",IF(OR(E550="",H550=""),"ناقص",IF(H550="نعم","مكتمل","غائب")))</f>
        <v/>
      </c>
      <c r="L550" s="3"/>
    </row>
    <row r="551" spans="1:12" x14ac:dyDescent="0.2">
      <c r="A551" s="3">
        <v>548</v>
      </c>
      <c r="B551" s="3"/>
      <c r="C551" s="3" t="str">
        <f>IFERROR(VLOOKUP(B551,Sessions!A:J,2,FALSE),"")</f>
        <v/>
      </c>
      <c r="D551" s="3" t="str">
        <f>IFERROR(VLOOKUP(B551,Sessions!A:J,3,FALSE),"")</f>
        <v/>
      </c>
      <c r="E551" s="3"/>
      <c r="F551" s="3" t="str">
        <f>IFERROR(VLOOKUP(E551,Employees!A:L,2,FALSE),"")</f>
        <v/>
      </c>
      <c r="G551" s="3" t="str">
        <f>IFERROR(VLOOKUP(E551,Employees!A:L,3,FALSE),"")</f>
        <v/>
      </c>
      <c r="H551" s="3"/>
      <c r="I551" s="3"/>
      <c r="J551" s="3"/>
      <c r="K551" s="3" t="str">
        <f>IF(B551="","",IF(OR(E551="",H551=""),"ناقص",IF(H551="نعم","مكتمل","غائب")))</f>
        <v/>
      </c>
      <c r="L551" s="3"/>
    </row>
    <row r="552" spans="1:12" x14ac:dyDescent="0.2">
      <c r="A552" s="3">
        <v>549</v>
      </c>
      <c r="B552" s="3"/>
      <c r="C552" s="3" t="str">
        <f>IFERROR(VLOOKUP(B552,Sessions!A:J,2,FALSE),"")</f>
        <v/>
      </c>
      <c r="D552" s="3" t="str">
        <f>IFERROR(VLOOKUP(B552,Sessions!A:J,3,FALSE),"")</f>
        <v/>
      </c>
      <c r="E552" s="3"/>
      <c r="F552" s="3" t="str">
        <f>IFERROR(VLOOKUP(E552,Employees!A:L,2,FALSE),"")</f>
        <v/>
      </c>
      <c r="G552" s="3" t="str">
        <f>IFERROR(VLOOKUP(E552,Employees!A:L,3,FALSE),"")</f>
        <v/>
      </c>
      <c r="H552" s="3"/>
      <c r="I552" s="3"/>
      <c r="J552" s="3"/>
      <c r="K552" s="3" t="str">
        <f>IF(B552="","",IF(OR(E552="",H552=""),"ناقص",IF(H552="نعم","مكتمل","غائب")))</f>
        <v/>
      </c>
      <c r="L552" s="3"/>
    </row>
    <row r="553" spans="1:12" x14ac:dyDescent="0.2">
      <c r="A553" s="3">
        <v>550</v>
      </c>
      <c r="B553" s="3"/>
      <c r="C553" s="3" t="str">
        <f>IFERROR(VLOOKUP(B553,Sessions!A:J,2,FALSE),"")</f>
        <v/>
      </c>
      <c r="D553" s="3" t="str">
        <f>IFERROR(VLOOKUP(B553,Sessions!A:J,3,FALSE),"")</f>
        <v/>
      </c>
      <c r="E553" s="3"/>
      <c r="F553" s="3" t="str">
        <f>IFERROR(VLOOKUP(E553,Employees!A:L,2,FALSE),"")</f>
        <v/>
      </c>
      <c r="G553" s="3" t="str">
        <f>IFERROR(VLOOKUP(E553,Employees!A:L,3,FALSE),"")</f>
        <v/>
      </c>
      <c r="H553" s="3"/>
      <c r="I553" s="3"/>
      <c r="J553" s="3"/>
      <c r="K553" s="3" t="str">
        <f>IF(B553="","",IF(OR(E553="",H553=""),"ناقص",IF(H553="نعم","مكتمل","غائب")))</f>
        <v/>
      </c>
      <c r="L553" s="3"/>
    </row>
    <row r="554" spans="1:12" x14ac:dyDescent="0.2">
      <c r="A554" s="3">
        <v>551</v>
      </c>
      <c r="B554" s="3"/>
      <c r="C554" s="3" t="str">
        <f>IFERROR(VLOOKUP(B554,Sessions!A:J,2,FALSE),"")</f>
        <v/>
      </c>
      <c r="D554" s="3" t="str">
        <f>IFERROR(VLOOKUP(B554,Sessions!A:J,3,FALSE),"")</f>
        <v/>
      </c>
      <c r="E554" s="3"/>
      <c r="F554" s="3" t="str">
        <f>IFERROR(VLOOKUP(E554,Employees!A:L,2,FALSE),"")</f>
        <v/>
      </c>
      <c r="G554" s="3" t="str">
        <f>IFERROR(VLOOKUP(E554,Employees!A:L,3,FALSE),"")</f>
        <v/>
      </c>
      <c r="H554" s="3"/>
      <c r="I554" s="3"/>
      <c r="J554" s="3"/>
      <c r="K554" s="3" t="str">
        <f>IF(B554="","",IF(OR(E554="",H554=""),"ناقص",IF(H554="نعم","مكتمل","غائب")))</f>
        <v/>
      </c>
      <c r="L554" s="3"/>
    </row>
    <row r="555" spans="1:12" x14ac:dyDescent="0.2">
      <c r="A555" s="3">
        <v>552</v>
      </c>
      <c r="B555" s="3"/>
      <c r="C555" s="3" t="str">
        <f>IFERROR(VLOOKUP(B555,Sessions!A:J,2,FALSE),"")</f>
        <v/>
      </c>
      <c r="D555" s="3" t="str">
        <f>IFERROR(VLOOKUP(B555,Sessions!A:J,3,FALSE),"")</f>
        <v/>
      </c>
      <c r="E555" s="3"/>
      <c r="F555" s="3" t="str">
        <f>IFERROR(VLOOKUP(E555,Employees!A:L,2,FALSE),"")</f>
        <v/>
      </c>
      <c r="G555" s="3" t="str">
        <f>IFERROR(VLOOKUP(E555,Employees!A:L,3,FALSE),"")</f>
        <v/>
      </c>
      <c r="H555" s="3"/>
      <c r="I555" s="3"/>
      <c r="J555" s="3"/>
      <c r="K555" s="3" t="str">
        <f>IF(B555="","",IF(OR(E555="",H555=""),"ناقص",IF(H555="نعم","مكتمل","غائب")))</f>
        <v/>
      </c>
      <c r="L555" s="3"/>
    </row>
    <row r="556" spans="1:12" x14ac:dyDescent="0.2">
      <c r="A556" s="3">
        <v>553</v>
      </c>
      <c r="B556" s="3"/>
      <c r="C556" s="3" t="str">
        <f>IFERROR(VLOOKUP(B556,Sessions!A:J,2,FALSE),"")</f>
        <v/>
      </c>
      <c r="D556" s="3" t="str">
        <f>IFERROR(VLOOKUP(B556,Sessions!A:J,3,FALSE),"")</f>
        <v/>
      </c>
      <c r="E556" s="3"/>
      <c r="F556" s="3" t="str">
        <f>IFERROR(VLOOKUP(E556,Employees!A:L,2,FALSE),"")</f>
        <v/>
      </c>
      <c r="G556" s="3" t="str">
        <f>IFERROR(VLOOKUP(E556,Employees!A:L,3,FALSE),"")</f>
        <v/>
      </c>
      <c r="H556" s="3"/>
      <c r="I556" s="3"/>
      <c r="J556" s="3"/>
      <c r="K556" s="3" t="str">
        <f>IF(B556="","",IF(OR(E556="",H556=""),"ناقص",IF(H556="نعم","مكتمل","غائب")))</f>
        <v/>
      </c>
      <c r="L556" s="3"/>
    </row>
    <row r="557" spans="1:12" x14ac:dyDescent="0.2">
      <c r="A557" s="3">
        <v>554</v>
      </c>
      <c r="B557" s="3"/>
      <c r="C557" s="3" t="str">
        <f>IFERROR(VLOOKUP(B557,Sessions!A:J,2,FALSE),"")</f>
        <v/>
      </c>
      <c r="D557" s="3" t="str">
        <f>IFERROR(VLOOKUP(B557,Sessions!A:J,3,FALSE),"")</f>
        <v/>
      </c>
      <c r="E557" s="3"/>
      <c r="F557" s="3" t="str">
        <f>IFERROR(VLOOKUP(E557,Employees!A:L,2,FALSE),"")</f>
        <v/>
      </c>
      <c r="G557" s="3" t="str">
        <f>IFERROR(VLOOKUP(E557,Employees!A:L,3,FALSE),"")</f>
        <v/>
      </c>
      <c r="H557" s="3"/>
      <c r="I557" s="3"/>
      <c r="J557" s="3"/>
      <c r="K557" s="3" t="str">
        <f>IF(B557="","",IF(OR(E557="",H557=""),"ناقص",IF(H557="نعم","مكتمل","غائب")))</f>
        <v/>
      </c>
      <c r="L557" s="3"/>
    </row>
    <row r="558" spans="1:12" x14ac:dyDescent="0.2">
      <c r="A558" s="3">
        <v>555</v>
      </c>
      <c r="B558" s="3"/>
      <c r="C558" s="3" t="str">
        <f>IFERROR(VLOOKUP(B558,Sessions!A:J,2,FALSE),"")</f>
        <v/>
      </c>
      <c r="D558" s="3" t="str">
        <f>IFERROR(VLOOKUP(B558,Sessions!A:J,3,FALSE),"")</f>
        <v/>
      </c>
      <c r="E558" s="3"/>
      <c r="F558" s="3" t="str">
        <f>IFERROR(VLOOKUP(E558,Employees!A:L,2,FALSE),"")</f>
        <v/>
      </c>
      <c r="G558" s="3" t="str">
        <f>IFERROR(VLOOKUP(E558,Employees!A:L,3,FALSE),"")</f>
        <v/>
      </c>
      <c r="H558" s="3"/>
      <c r="I558" s="3"/>
      <c r="J558" s="3"/>
      <c r="K558" s="3" t="str">
        <f>IF(B558="","",IF(OR(E558="",H558=""),"ناقص",IF(H558="نعم","مكتمل","غائب")))</f>
        <v/>
      </c>
      <c r="L558" s="3"/>
    </row>
    <row r="559" spans="1:12" x14ac:dyDescent="0.2">
      <c r="A559" s="3">
        <v>556</v>
      </c>
      <c r="B559" s="3"/>
      <c r="C559" s="3" t="str">
        <f>IFERROR(VLOOKUP(B559,Sessions!A:J,2,FALSE),"")</f>
        <v/>
      </c>
      <c r="D559" s="3" t="str">
        <f>IFERROR(VLOOKUP(B559,Sessions!A:J,3,FALSE),"")</f>
        <v/>
      </c>
      <c r="E559" s="3"/>
      <c r="F559" s="3" t="str">
        <f>IFERROR(VLOOKUP(E559,Employees!A:L,2,FALSE),"")</f>
        <v/>
      </c>
      <c r="G559" s="3" t="str">
        <f>IFERROR(VLOOKUP(E559,Employees!A:L,3,FALSE),"")</f>
        <v/>
      </c>
      <c r="H559" s="3"/>
      <c r="I559" s="3"/>
      <c r="J559" s="3"/>
      <c r="K559" s="3" t="str">
        <f>IF(B559="","",IF(OR(E559="",H559=""),"ناقص",IF(H559="نعم","مكتمل","غائب")))</f>
        <v/>
      </c>
      <c r="L559" s="3"/>
    </row>
    <row r="560" spans="1:12" x14ac:dyDescent="0.2">
      <c r="A560" s="3">
        <v>557</v>
      </c>
      <c r="B560" s="3"/>
      <c r="C560" s="3" t="str">
        <f>IFERROR(VLOOKUP(B560,Sessions!A:J,2,FALSE),"")</f>
        <v/>
      </c>
      <c r="D560" s="3" t="str">
        <f>IFERROR(VLOOKUP(B560,Sessions!A:J,3,FALSE),"")</f>
        <v/>
      </c>
      <c r="E560" s="3"/>
      <c r="F560" s="3" t="str">
        <f>IFERROR(VLOOKUP(E560,Employees!A:L,2,FALSE),"")</f>
        <v/>
      </c>
      <c r="G560" s="3" t="str">
        <f>IFERROR(VLOOKUP(E560,Employees!A:L,3,FALSE),"")</f>
        <v/>
      </c>
      <c r="H560" s="3"/>
      <c r="I560" s="3"/>
      <c r="J560" s="3"/>
      <c r="K560" s="3" t="str">
        <f>IF(B560="","",IF(OR(E560="",H560=""),"ناقص",IF(H560="نعم","مكتمل","غائب")))</f>
        <v/>
      </c>
      <c r="L560" s="3"/>
    </row>
    <row r="561" spans="1:12" x14ac:dyDescent="0.2">
      <c r="A561" s="3">
        <v>558</v>
      </c>
      <c r="B561" s="3"/>
      <c r="C561" s="3" t="str">
        <f>IFERROR(VLOOKUP(B561,Sessions!A:J,2,FALSE),"")</f>
        <v/>
      </c>
      <c r="D561" s="3" t="str">
        <f>IFERROR(VLOOKUP(B561,Sessions!A:J,3,FALSE),"")</f>
        <v/>
      </c>
      <c r="E561" s="3"/>
      <c r="F561" s="3" t="str">
        <f>IFERROR(VLOOKUP(E561,Employees!A:L,2,FALSE),"")</f>
        <v/>
      </c>
      <c r="G561" s="3" t="str">
        <f>IFERROR(VLOOKUP(E561,Employees!A:L,3,FALSE),"")</f>
        <v/>
      </c>
      <c r="H561" s="3"/>
      <c r="I561" s="3"/>
      <c r="J561" s="3"/>
      <c r="K561" s="3" t="str">
        <f>IF(B561="","",IF(OR(E561="",H561=""),"ناقص",IF(H561="نعم","مكتمل","غائب")))</f>
        <v/>
      </c>
      <c r="L561" s="3"/>
    </row>
    <row r="562" spans="1:12" x14ac:dyDescent="0.2">
      <c r="A562" s="3">
        <v>559</v>
      </c>
      <c r="B562" s="3"/>
      <c r="C562" s="3" t="str">
        <f>IFERROR(VLOOKUP(B562,Sessions!A:J,2,FALSE),"")</f>
        <v/>
      </c>
      <c r="D562" s="3" t="str">
        <f>IFERROR(VLOOKUP(B562,Sessions!A:J,3,FALSE),"")</f>
        <v/>
      </c>
      <c r="E562" s="3"/>
      <c r="F562" s="3" t="str">
        <f>IFERROR(VLOOKUP(E562,Employees!A:L,2,FALSE),"")</f>
        <v/>
      </c>
      <c r="G562" s="3" t="str">
        <f>IFERROR(VLOOKUP(E562,Employees!A:L,3,FALSE),"")</f>
        <v/>
      </c>
      <c r="H562" s="3"/>
      <c r="I562" s="3"/>
      <c r="J562" s="3"/>
      <c r="K562" s="3" t="str">
        <f>IF(B562="","",IF(OR(E562="",H562=""),"ناقص",IF(H562="نعم","مكتمل","غائب")))</f>
        <v/>
      </c>
      <c r="L562" s="3"/>
    </row>
    <row r="563" spans="1:12" x14ac:dyDescent="0.2">
      <c r="A563" s="3">
        <v>560</v>
      </c>
      <c r="B563" s="3"/>
      <c r="C563" s="3" t="str">
        <f>IFERROR(VLOOKUP(B563,Sessions!A:J,2,FALSE),"")</f>
        <v/>
      </c>
      <c r="D563" s="3" t="str">
        <f>IFERROR(VLOOKUP(B563,Sessions!A:J,3,FALSE),"")</f>
        <v/>
      </c>
      <c r="E563" s="3"/>
      <c r="F563" s="3" t="str">
        <f>IFERROR(VLOOKUP(E563,Employees!A:L,2,FALSE),"")</f>
        <v/>
      </c>
      <c r="G563" s="3" t="str">
        <f>IFERROR(VLOOKUP(E563,Employees!A:L,3,FALSE),"")</f>
        <v/>
      </c>
      <c r="H563" s="3"/>
      <c r="I563" s="3"/>
      <c r="J563" s="3"/>
      <c r="K563" s="3" t="str">
        <f>IF(B563="","",IF(OR(E563="",H563=""),"ناقص",IF(H563="نعم","مكتمل","غائب")))</f>
        <v/>
      </c>
      <c r="L563" s="3"/>
    </row>
    <row r="564" spans="1:12" x14ac:dyDescent="0.2">
      <c r="A564" s="3">
        <v>561</v>
      </c>
      <c r="B564" s="3"/>
      <c r="C564" s="3" t="str">
        <f>IFERROR(VLOOKUP(B564,Sessions!A:J,2,FALSE),"")</f>
        <v/>
      </c>
      <c r="D564" s="3" t="str">
        <f>IFERROR(VLOOKUP(B564,Sessions!A:J,3,FALSE),"")</f>
        <v/>
      </c>
      <c r="E564" s="3"/>
      <c r="F564" s="3" t="str">
        <f>IFERROR(VLOOKUP(E564,Employees!A:L,2,FALSE),"")</f>
        <v/>
      </c>
      <c r="G564" s="3" t="str">
        <f>IFERROR(VLOOKUP(E564,Employees!A:L,3,FALSE),"")</f>
        <v/>
      </c>
      <c r="H564" s="3"/>
      <c r="I564" s="3"/>
      <c r="J564" s="3"/>
      <c r="K564" s="3" t="str">
        <f>IF(B564="","",IF(OR(E564="",H564=""),"ناقص",IF(H564="نعم","مكتمل","غائب")))</f>
        <v/>
      </c>
      <c r="L564" s="3"/>
    </row>
    <row r="565" spans="1:12" x14ac:dyDescent="0.2">
      <c r="A565" s="3">
        <v>562</v>
      </c>
      <c r="B565" s="3"/>
      <c r="C565" s="3" t="str">
        <f>IFERROR(VLOOKUP(B565,Sessions!A:J,2,FALSE),"")</f>
        <v/>
      </c>
      <c r="D565" s="3" t="str">
        <f>IFERROR(VLOOKUP(B565,Sessions!A:J,3,FALSE),"")</f>
        <v/>
      </c>
      <c r="E565" s="3"/>
      <c r="F565" s="3" t="str">
        <f>IFERROR(VLOOKUP(E565,Employees!A:L,2,FALSE),"")</f>
        <v/>
      </c>
      <c r="G565" s="3" t="str">
        <f>IFERROR(VLOOKUP(E565,Employees!A:L,3,FALSE),"")</f>
        <v/>
      </c>
      <c r="H565" s="3"/>
      <c r="I565" s="3"/>
      <c r="J565" s="3"/>
      <c r="K565" s="3" t="str">
        <f>IF(B565="","",IF(OR(E565="",H565=""),"ناقص",IF(H565="نعم","مكتمل","غائب")))</f>
        <v/>
      </c>
      <c r="L565" s="3"/>
    </row>
    <row r="566" spans="1:12" x14ac:dyDescent="0.2">
      <c r="A566" s="3">
        <v>563</v>
      </c>
      <c r="B566" s="3"/>
      <c r="C566" s="3" t="str">
        <f>IFERROR(VLOOKUP(B566,Sessions!A:J,2,FALSE),"")</f>
        <v/>
      </c>
      <c r="D566" s="3" t="str">
        <f>IFERROR(VLOOKUP(B566,Sessions!A:J,3,FALSE),"")</f>
        <v/>
      </c>
      <c r="E566" s="3"/>
      <c r="F566" s="3" t="str">
        <f>IFERROR(VLOOKUP(E566,Employees!A:L,2,FALSE),"")</f>
        <v/>
      </c>
      <c r="G566" s="3" t="str">
        <f>IFERROR(VLOOKUP(E566,Employees!A:L,3,FALSE),"")</f>
        <v/>
      </c>
      <c r="H566" s="3"/>
      <c r="I566" s="3"/>
      <c r="J566" s="3"/>
      <c r="K566" s="3" t="str">
        <f>IF(B566="","",IF(OR(E566="",H566=""),"ناقص",IF(H566="نعم","مكتمل","غائب")))</f>
        <v/>
      </c>
      <c r="L566" s="3"/>
    </row>
    <row r="567" spans="1:12" x14ac:dyDescent="0.2">
      <c r="A567" s="3">
        <v>564</v>
      </c>
      <c r="B567" s="3"/>
      <c r="C567" s="3" t="str">
        <f>IFERROR(VLOOKUP(B567,Sessions!A:J,2,FALSE),"")</f>
        <v/>
      </c>
      <c r="D567" s="3" t="str">
        <f>IFERROR(VLOOKUP(B567,Sessions!A:J,3,FALSE),"")</f>
        <v/>
      </c>
      <c r="E567" s="3"/>
      <c r="F567" s="3" t="str">
        <f>IFERROR(VLOOKUP(E567,Employees!A:L,2,FALSE),"")</f>
        <v/>
      </c>
      <c r="G567" s="3" t="str">
        <f>IFERROR(VLOOKUP(E567,Employees!A:L,3,FALSE),"")</f>
        <v/>
      </c>
      <c r="H567" s="3"/>
      <c r="I567" s="3"/>
      <c r="J567" s="3"/>
      <c r="K567" s="3" t="str">
        <f>IF(B567="","",IF(OR(E567="",H567=""),"ناقص",IF(H567="نعم","مكتمل","غائب")))</f>
        <v/>
      </c>
      <c r="L567" s="3"/>
    </row>
    <row r="568" spans="1:12" x14ac:dyDescent="0.2">
      <c r="A568" s="3">
        <v>565</v>
      </c>
      <c r="B568" s="3"/>
      <c r="C568" s="3" t="str">
        <f>IFERROR(VLOOKUP(B568,Sessions!A:J,2,FALSE),"")</f>
        <v/>
      </c>
      <c r="D568" s="3" t="str">
        <f>IFERROR(VLOOKUP(B568,Sessions!A:J,3,FALSE),"")</f>
        <v/>
      </c>
      <c r="E568" s="3"/>
      <c r="F568" s="3" t="str">
        <f>IFERROR(VLOOKUP(E568,Employees!A:L,2,FALSE),"")</f>
        <v/>
      </c>
      <c r="G568" s="3" t="str">
        <f>IFERROR(VLOOKUP(E568,Employees!A:L,3,FALSE),"")</f>
        <v/>
      </c>
      <c r="H568" s="3"/>
      <c r="I568" s="3"/>
      <c r="J568" s="3"/>
      <c r="K568" s="3" t="str">
        <f>IF(B568="","",IF(OR(E568="",H568=""),"ناقص",IF(H568="نعم","مكتمل","غائب")))</f>
        <v/>
      </c>
      <c r="L568" s="3"/>
    </row>
    <row r="569" spans="1:12" x14ac:dyDescent="0.2">
      <c r="A569" s="3">
        <v>566</v>
      </c>
      <c r="B569" s="3"/>
      <c r="C569" s="3" t="str">
        <f>IFERROR(VLOOKUP(B569,Sessions!A:J,2,FALSE),"")</f>
        <v/>
      </c>
      <c r="D569" s="3" t="str">
        <f>IFERROR(VLOOKUP(B569,Sessions!A:J,3,FALSE),"")</f>
        <v/>
      </c>
      <c r="E569" s="3"/>
      <c r="F569" s="3" t="str">
        <f>IFERROR(VLOOKUP(E569,Employees!A:L,2,FALSE),"")</f>
        <v/>
      </c>
      <c r="G569" s="3" t="str">
        <f>IFERROR(VLOOKUP(E569,Employees!A:L,3,FALSE),"")</f>
        <v/>
      </c>
      <c r="H569" s="3"/>
      <c r="I569" s="3"/>
      <c r="J569" s="3"/>
      <c r="K569" s="3" t="str">
        <f>IF(B569="","",IF(OR(E569="",H569=""),"ناقص",IF(H569="نعم","مكتمل","غائب")))</f>
        <v/>
      </c>
      <c r="L569" s="3"/>
    </row>
    <row r="570" spans="1:12" x14ac:dyDescent="0.2">
      <c r="A570" s="3">
        <v>567</v>
      </c>
      <c r="B570" s="3"/>
      <c r="C570" s="3" t="str">
        <f>IFERROR(VLOOKUP(B570,Sessions!A:J,2,FALSE),"")</f>
        <v/>
      </c>
      <c r="D570" s="3" t="str">
        <f>IFERROR(VLOOKUP(B570,Sessions!A:J,3,FALSE),"")</f>
        <v/>
      </c>
      <c r="E570" s="3"/>
      <c r="F570" s="3" t="str">
        <f>IFERROR(VLOOKUP(E570,Employees!A:L,2,FALSE),"")</f>
        <v/>
      </c>
      <c r="G570" s="3" t="str">
        <f>IFERROR(VLOOKUP(E570,Employees!A:L,3,FALSE),"")</f>
        <v/>
      </c>
      <c r="H570" s="3"/>
      <c r="I570" s="3"/>
      <c r="J570" s="3"/>
      <c r="K570" s="3" t="str">
        <f>IF(B570="","",IF(OR(E570="",H570=""),"ناقص",IF(H570="نعم","مكتمل","غائب")))</f>
        <v/>
      </c>
      <c r="L570" s="3"/>
    </row>
    <row r="571" spans="1:12" x14ac:dyDescent="0.2">
      <c r="A571" s="3">
        <v>568</v>
      </c>
      <c r="B571" s="3"/>
      <c r="C571" s="3" t="str">
        <f>IFERROR(VLOOKUP(B571,Sessions!A:J,2,FALSE),"")</f>
        <v/>
      </c>
      <c r="D571" s="3" t="str">
        <f>IFERROR(VLOOKUP(B571,Sessions!A:J,3,FALSE),"")</f>
        <v/>
      </c>
      <c r="E571" s="3"/>
      <c r="F571" s="3" t="str">
        <f>IFERROR(VLOOKUP(E571,Employees!A:L,2,FALSE),"")</f>
        <v/>
      </c>
      <c r="G571" s="3" t="str">
        <f>IFERROR(VLOOKUP(E571,Employees!A:L,3,FALSE),"")</f>
        <v/>
      </c>
      <c r="H571" s="3"/>
      <c r="I571" s="3"/>
      <c r="J571" s="3"/>
      <c r="K571" s="3" t="str">
        <f>IF(B571="","",IF(OR(E571="",H571=""),"ناقص",IF(H571="نعم","مكتمل","غائب")))</f>
        <v/>
      </c>
      <c r="L571" s="3"/>
    </row>
    <row r="572" spans="1:12" x14ac:dyDescent="0.2">
      <c r="A572" s="3">
        <v>569</v>
      </c>
      <c r="B572" s="3"/>
      <c r="C572" s="3" t="str">
        <f>IFERROR(VLOOKUP(B572,Sessions!A:J,2,FALSE),"")</f>
        <v/>
      </c>
      <c r="D572" s="3" t="str">
        <f>IFERROR(VLOOKUP(B572,Sessions!A:J,3,FALSE),"")</f>
        <v/>
      </c>
      <c r="E572" s="3"/>
      <c r="F572" s="3" t="str">
        <f>IFERROR(VLOOKUP(E572,Employees!A:L,2,FALSE),"")</f>
        <v/>
      </c>
      <c r="G572" s="3" t="str">
        <f>IFERROR(VLOOKUP(E572,Employees!A:L,3,FALSE),"")</f>
        <v/>
      </c>
      <c r="H572" s="3"/>
      <c r="I572" s="3"/>
      <c r="J572" s="3"/>
      <c r="K572" s="3" t="str">
        <f>IF(B572="","",IF(OR(E572="",H572=""),"ناقص",IF(H572="نعم","مكتمل","غائب")))</f>
        <v/>
      </c>
      <c r="L572" s="3"/>
    </row>
    <row r="573" spans="1:12" x14ac:dyDescent="0.2">
      <c r="A573" s="3">
        <v>570</v>
      </c>
      <c r="B573" s="3"/>
      <c r="C573" s="3" t="str">
        <f>IFERROR(VLOOKUP(B573,Sessions!A:J,2,FALSE),"")</f>
        <v/>
      </c>
      <c r="D573" s="3" t="str">
        <f>IFERROR(VLOOKUP(B573,Sessions!A:J,3,FALSE),"")</f>
        <v/>
      </c>
      <c r="E573" s="3"/>
      <c r="F573" s="3" t="str">
        <f>IFERROR(VLOOKUP(E573,Employees!A:L,2,FALSE),"")</f>
        <v/>
      </c>
      <c r="G573" s="3" t="str">
        <f>IFERROR(VLOOKUP(E573,Employees!A:L,3,FALSE),"")</f>
        <v/>
      </c>
      <c r="H573" s="3"/>
      <c r="I573" s="3"/>
      <c r="J573" s="3"/>
      <c r="K573" s="3" t="str">
        <f>IF(B573="","",IF(OR(E573="",H573=""),"ناقص",IF(H573="نعم","مكتمل","غائب")))</f>
        <v/>
      </c>
      <c r="L573" s="3"/>
    </row>
    <row r="574" spans="1:12" x14ac:dyDescent="0.2">
      <c r="A574" s="3">
        <v>571</v>
      </c>
      <c r="B574" s="3"/>
      <c r="C574" s="3" t="str">
        <f>IFERROR(VLOOKUP(B574,Sessions!A:J,2,FALSE),"")</f>
        <v/>
      </c>
      <c r="D574" s="3" t="str">
        <f>IFERROR(VLOOKUP(B574,Sessions!A:J,3,FALSE),"")</f>
        <v/>
      </c>
      <c r="E574" s="3"/>
      <c r="F574" s="3" t="str">
        <f>IFERROR(VLOOKUP(E574,Employees!A:L,2,FALSE),"")</f>
        <v/>
      </c>
      <c r="G574" s="3" t="str">
        <f>IFERROR(VLOOKUP(E574,Employees!A:L,3,FALSE),"")</f>
        <v/>
      </c>
      <c r="H574" s="3"/>
      <c r="I574" s="3"/>
      <c r="J574" s="3"/>
      <c r="K574" s="3" t="str">
        <f>IF(B574="","",IF(OR(E574="",H574=""),"ناقص",IF(H574="نعم","مكتمل","غائب")))</f>
        <v/>
      </c>
      <c r="L574" s="3"/>
    </row>
    <row r="575" spans="1:12" x14ac:dyDescent="0.2">
      <c r="A575" s="3">
        <v>572</v>
      </c>
      <c r="B575" s="3"/>
      <c r="C575" s="3" t="str">
        <f>IFERROR(VLOOKUP(B575,Sessions!A:J,2,FALSE),"")</f>
        <v/>
      </c>
      <c r="D575" s="3" t="str">
        <f>IFERROR(VLOOKUP(B575,Sessions!A:J,3,FALSE),"")</f>
        <v/>
      </c>
      <c r="E575" s="3"/>
      <c r="F575" s="3" t="str">
        <f>IFERROR(VLOOKUP(E575,Employees!A:L,2,FALSE),"")</f>
        <v/>
      </c>
      <c r="G575" s="3" t="str">
        <f>IFERROR(VLOOKUP(E575,Employees!A:L,3,FALSE),"")</f>
        <v/>
      </c>
      <c r="H575" s="3"/>
      <c r="I575" s="3"/>
      <c r="J575" s="3"/>
      <c r="K575" s="3" t="str">
        <f>IF(B575="","",IF(OR(E575="",H575=""),"ناقص",IF(H575="نعم","مكتمل","غائب")))</f>
        <v/>
      </c>
      <c r="L575" s="3"/>
    </row>
    <row r="576" spans="1:12" x14ac:dyDescent="0.2">
      <c r="A576" s="3">
        <v>573</v>
      </c>
      <c r="B576" s="3"/>
      <c r="C576" s="3" t="str">
        <f>IFERROR(VLOOKUP(B576,Sessions!A:J,2,FALSE),"")</f>
        <v/>
      </c>
      <c r="D576" s="3" t="str">
        <f>IFERROR(VLOOKUP(B576,Sessions!A:J,3,FALSE),"")</f>
        <v/>
      </c>
      <c r="E576" s="3"/>
      <c r="F576" s="3" t="str">
        <f>IFERROR(VLOOKUP(E576,Employees!A:L,2,FALSE),"")</f>
        <v/>
      </c>
      <c r="G576" s="3" t="str">
        <f>IFERROR(VLOOKUP(E576,Employees!A:L,3,FALSE),"")</f>
        <v/>
      </c>
      <c r="H576" s="3"/>
      <c r="I576" s="3"/>
      <c r="J576" s="3"/>
      <c r="K576" s="3" t="str">
        <f>IF(B576="","",IF(OR(E576="",H576=""),"ناقص",IF(H576="نعم","مكتمل","غائب")))</f>
        <v/>
      </c>
      <c r="L576" s="3"/>
    </row>
    <row r="577" spans="1:12" x14ac:dyDescent="0.2">
      <c r="A577" s="3">
        <v>574</v>
      </c>
      <c r="B577" s="3"/>
      <c r="C577" s="3" t="str">
        <f>IFERROR(VLOOKUP(B577,Sessions!A:J,2,FALSE),"")</f>
        <v/>
      </c>
      <c r="D577" s="3" t="str">
        <f>IFERROR(VLOOKUP(B577,Sessions!A:J,3,FALSE),"")</f>
        <v/>
      </c>
      <c r="E577" s="3"/>
      <c r="F577" s="3" t="str">
        <f>IFERROR(VLOOKUP(E577,Employees!A:L,2,FALSE),"")</f>
        <v/>
      </c>
      <c r="G577" s="3" t="str">
        <f>IFERROR(VLOOKUP(E577,Employees!A:L,3,FALSE),"")</f>
        <v/>
      </c>
      <c r="H577" s="3"/>
      <c r="I577" s="3"/>
      <c r="J577" s="3"/>
      <c r="K577" s="3" t="str">
        <f>IF(B577="","",IF(OR(E577="",H577=""),"ناقص",IF(H577="نعم","مكتمل","غائب")))</f>
        <v/>
      </c>
      <c r="L577" s="3"/>
    </row>
    <row r="578" spans="1:12" x14ac:dyDescent="0.2">
      <c r="A578" s="3">
        <v>575</v>
      </c>
      <c r="B578" s="3"/>
      <c r="C578" s="3" t="str">
        <f>IFERROR(VLOOKUP(B578,Sessions!A:J,2,FALSE),"")</f>
        <v/>
      </c>
      <c r="D578" s="3" t="str">
        <f>IFERROR(VLOOKUP(B578,Sessions!A:J,3,FALSE),"")</f>
        <v/>
      </c>
      <c r="E578" s="3"/>
      <c r="F578" s="3" t="str">
        <f>IFERROR(VLOOKUP(E578,Employees!A:L,2,FALSE),"")</f>
        <v/>
      </c>
      <c r="G578" s="3" t="str">
        <f>IFERROR(VLOOKUP(E578,Employees!A:L,3,FALSE),"")</f>
        <v/>
      </c>
      <c r="H578" s="3"/>
      <c r="I578" s="3"/>
      <c r="J578" s="3"/>
      <c r="K578" s="3" t="str">
        <f>IF(B578="","",IF(OR(E578="",H578=""),"ناقص",IF(H578="نعم","مكتمل","غائب")))</f>
        <v/>
      </c>
      <c r="L578" s="3"/>
    </row>
    <row r="579" spans="1:12" x14ac:dyDescent="0.2">
      <c r="A579" s="3">
        <v>576</v>
      </c>
      <c r="B579" s="3"/>
      <c r="C579" s="3" t="str">
        <f>IFERROR(VLOOKUP(B579,Sessions!A:J,2,FALSE),"")</f>
        <v/>
      </c>
      <c r="D579" s="3" t="str">
        <f>IFERROR(VLOOKUP(B579,Sessions!A:J,3,FALSE),"")</f>
        <v/>
      </c>
      <c r="E579" s="3"/>
      <c r="F579" s="3" t="str">
        <f>IFERROR(VLOOKUP(E579,Employees!A:L,2,FALSE),"")</f>
        <v/>
      </c>
      <c r="G579" s="3" t="str">
        <f>IFERROR(VLOOKUP(E579,Employees!A:L,3,FALSE),"")</f>
        <v/>
      </c>
      <c r="H579" s="3"/>
      <c r="I579" s="3"/>
      <c r="J579" s="3"/>
      <c r="K579" s="3" t="str">
        <f>IF(B579="","",IF(OR(E579="",H579=""),"ناقص",IF(H579="نعم","مكتمل","غائب")))</f>
        <v/>
      </c>
      <c r="L579" s="3"/>
    </row>
    <row r="580" spans="1:12" x14ac:dyDescent="0.2">
      <c r="A580" s="3">
        <v>577</v>
      </c>
      <c r="B580" s="3"/>
      <c r="C580" s="3" t="str">
        <f>IFERROR(VLOOKUP(B580,Sessions!A:J,2,FALSE),"")</f>
        <v/>
      </c>
      <c r="D580" s="3" t="str">
        <f>IFERROR(VLOOKUP(B580,Sessions!A:J,3,FALSE),"")</f>
        <v/>
      </c>
      <c r="E580" s="3"/>
      <c r="F580" s="3" t="str">
        <f>IFERROR(VLOOKUP(E580,Employees!A:L,2,FALSE),"")</f>
        <v/>
      </c>
      <c r="G580" s="3" t="str">
        <f>IFERROR(VLOOKUP(E580,Employees!A:L,3,FALSE),"")</f>
        <v/>
      </c>
      <c r="H580" s="3"/>
      <c r="I580" s="3"/>
      <c r="J580" s="3"/>
      <c r="K580" s="3" t="str">
        <f>IF(B580="","",IF(OR(E580="",H580=""),"ناقص",IF(H580="نعم","مكتمل","غائب")))</f>
        <v/>
      </c>
      <c r="L580" s="3"/>
    </row>
    <row r="581" spans="1:12" x14ac:dyDescent="0.2">
      <c r="A581" s="3">
        <v>578</v>
      </c>
      <c r="B581" s="3"/>
      <c r="C581" s="3" t="str">
        <f>IFERROR(VLOOKUP(B581,Sessions!A:J,2,FALSE),"")</f>
        <v/>
      </c>
      <c r="D581" s="3" t="str">
        <f>IFERROR(VLOOKUP(B581,Sessions!A:J,3,FALSE),"")</f>
        <v/>
      </c>
      <c r="E581" s="3"/>
      <c r="F581" s="3" t="str">
        <f>IFERROR(VLOOKUP(E581,Employees!A:L,2,FALSE),"")</f>
        <v/>
      </c>
      <c r="G581" s="3" t="str">
        <f>IFERROR(VLOOKUP(E581,Employees!A:L,3,FALSE),"")</f>
        <v/>
      </c>
      <c r="H581" s="3"/>
      <c r="I581" s="3"/>
      <c r="J581" s="3"/>
      <c r="K581" s="3" t="str">
        <f>IF(B581="","",IF(OR(E581="",H581=""),"ناقص",IF(H581="نعم","مكتمل","غائب")))</f>
        <v/>
      </c>
      <c r="L581" s="3"/>
    </row>
    <row r="582" spans="1:12" x14ac:dyDescent="0.2">
      <c r="A582" s="3">
        <v>579</v>
      </c>
      <c r="B582" s="3"/>
      <c r="C582" s="3" t="str">
        <f>IFERROR(VLOOKUP(B582,Sessions!A:J,2,FALSE),"")</f>
        <v/>
      </c>
      <c r="D582" s="3" t="str">
        <f>IFERROR(VLOOKUP(B582,Sessions!A:J,3,FALSE),"")</f>
        <v/>
      </c>
      <c r="E582" s="3"/>
      <c r="F582" s="3" t="str">
        <f>IFERROR(VLOOKUP(E582,Employees!A:L,2,FALSE),"")</f>
        <v/>
      </c>
      <c r="G582" s="3" t="str">
        <f>IFERROR(VLOOKUP(E582,Employees!A:L,3,FALSE),"")</f>
        <v/>
      </c>
      <c r="H582" s="3"/>
      <c r="I582" s="3"/>
      <c r="J582" s="3"/>
      <c r="K582" s="3" t="str">
        <f>IF(B582="","",IF(OR(E582="",H582=""),"ناقص",IF(H582="نعم","مكتمل","غائب")))</f>
        <v/>
      </c>
      <c r="L582" s="3"/>
    </row>
    <row r="583" spans="1:12" x14ac:dyDescent="0.2">
      <c r="A583" s="3">
        <v>580</v>
      </c>
      <c r="B583" s="3"/>
      <c r="C583" s="3" t="str">
        <f>IFERROR(VLOOKUP(B583,Sessions!A:J,2,FALSE),"")</f>
        <v/>
      </c>
      <c r="D583" s="3" t="str">
        <f>IFERROR(VLOOKUP(B583,Sessions!A:J,3,FALSE),"")</f>
        <v/>
      </c>
      <c r="E583" s="3"/>
      <c r="F583" s="3" t="str">
        <f>IFERROR(VLOOKUP(E583,Employees!A:L,2,FALSE),"")</f>
        <v/>
      </c>
      <c r="G583" s="3" t="str">
        <f>IFERROR(VLOOKUP(E583,Employees!A:L,3,FALSE),"")</f>
        <v/>
      </c>
      <c r="H583" s="3"/>
      <c r="I583" s="3"/>
      <c r="J583" s="3"/>
      <c r="K583" s="3" t="str">
        <f>IF(B583="","",IF(OR(E583="",H583=""),"ناقص",IF(H583="نعم","مكتمل","غائب")))</f>
        <v/>
      </c>
      <c r="L583" s="3"/>
    </row>
    <row r="584" spans="1:12" x14ac:dyDescent="0.2">
      <c r="A584" s="3">
        <v>581</v>
      </c>
      <c r="B584" s="3"/>
      <c r="C584" s="3" t="str">
        <f>IFERROR(VLOOKUP(B584,Sessions!A:J,2,FALSE),"")</f>
        <v/>
      </c>
      <c r="D584" s="3" t="str">
        <f>IFERROR(VLOOKUP(B584,Sessions!A:J,3,FALSE),"")</f>
        <v/>
      </c>
      <c r="E584" s="3"/>
      <c r="F584" s="3" t="str">
        <f>IFERROR(VLOOKUP(E584,Employees!A:L,2,FALSE),"")</f>
        <v/>
      </c>
      <c r="G584" s="3" t="str">
        <f>IFERROR(VLOOKUP(E584,Employees!A:L,3,FALSE),"")</f>
        <v/>
      </c>
      <c r="H584" s="3"/>
      <c r="I584" s="3"/>
      <c r="J584" s="3"/>
      <c r="K584" s="3" t="str">
        <f>IF(B584="","",IF(OR(E584="",H584=""),"ناقص",IF(H584="نعم","مكتمل","غائب")))</f>
        <v/>
      </c>
      <c r="L584" s="3"/>
    </row>
    <row r="585" spans="1:12" x14ac:dyDescent="0.2">
      <c r="A585" s="3">
        <v>582</v>
      </c>
      <c r="B585" s="3"/>
      <c r="C585" s="3" t="str">
        <f>IFERROR(VLOOKUP(B585,Sessions!A:J,2,FALSE),"")</f>
        <v/>
      </c>
      <c r="D585" s="3" t="str">
        <f>IFERROR(VLOOKUP(B585,Sessions!A:J,3,FALSE),"")</f>
        <v/>
      </c>
      <c r="E585" s="3"/>
      <c r="F585" s="3" t="str">
        <f>IFERROR(VLOOKUP(E585,Employees!A:L,2,FALSE),"")</f>
        <v/>
      </c>
      <c r="G585" s="3" t="str">
        <f>IFERROR(VLOOKUP(E585,Employees!A:L,3,FALSE),"")</f>
        <v/>
      </c>
      <c r="H585" s="3"/>
      <c r="I585" s="3"/>
      <c r="J585" s="3"/>
      <c r="K585" s="3" t="str">
        <f>IF(B585="","",IF(OR(E585="",H585=""),"ناقص",IF(H585="نعم","مكتمل","غائب")))</f>
        <v/>
      </c>
      <c r="L585" s="3"/>
    </row>
    <row r="586" spans="1:12" x14ac:dyDescent="0.2">
      <c r="A586" s="3">
        <v>583</v>
      </c>
      <c r="B586" s="3"/>
      <c r="C586" s="3" t="str">
        <f>IFERROR(VLOOKUP(B586,Sessions!A:J,2,FALSE),"")</f>
        <v/>
      </c>
      <c r="D586" s="3" t="str">
        <f>IFERROR(VLOOKUP(B586,Sessions!A:J,3,FALSE),"")</f>
        <v/>
      </c>
      <c r="E586" s="3"/>
      <c r="F586" s="3" t="str">
        <f>IFERROR(VLOOKUP(E586,Employees!A:L,2,FALSE),"")</f>
        <v/>
      </c>
      <c r="G586" s="3" t="str">
        <f>IFERROR(VLOOKUP(E586,Employees!A:L,3,FALSE),"")</f>
        <v/>
      </c>
      <c r="H586" s="3"/>
      <c r="I586" s="3"/>
      <c r="J586" s="3"/>
      <c r="K586" s="3" t="str">
        <f>IF(B586="","",IF(OR(E586="",H586=""),"ناقص",IF(H586="نعم","مكتمل","غائب")))</f>
        <v/>
      </c>
      <c r="L586" s="3"/>
    </row>
    <row r="587" spans="1:12" x14ac:dyDescent="0.2">
      <c r="A587" s="3">
        <v>584</v>
      </c>
      <c r="B587" s="3"/>
      <c r="C587" s="3" t="str">
        <f>IFERROR(VLOOKUP(B587,Sessions!A:J,2,FALSE),"")</f>
        <v/>
      </c>
      <c r="D587" s="3" t="str">
        <f>IFERROR(VLOOKUP(B587,Sessions!A:J,3,FALSE),"")</f>
        <v/>
      </c>
      <c r="E587" s="3"/>
      <c r="F587" s="3" t="str">
        <f>IFERROR(VLOOKUP(E587,Employees!A:L,2,FALSE),"")</f>
        <v/>
      </c>
      <c r="G587" s="3" t="str">
        <f>IFERROR(VLOOKUP(E587,Employees!A:L,3,FALSE),"")</f>
        <v/>
      </c>
      <c r="H587" s="3"/>
      <c r="I587" s="3"/>
      <c r="J587" s="3"/>
      <c r="K587" s="3" t="str">
        <f>IF(B587="","",IF(OR(E587="",H587=""),"ناقص",IF(H587="نعم","مكتمل","غائب")))</f>
        <v/>
      </c>
      <c r="L587" s="3"/>
    </row>
    <row r="588" spans="1:12" x14ac:dyDescent="0.2">
      <c r="A588" s="3">
        <v>585</v>
      </c>
      <c r="B588" s="3"/>
      <c r="C588" s="3" t="str">
        <f>IFERROR(VLOOKUP(B588,Sessions!A:J,2,FALSE),"")</f>
        <v/>
      </c>
      <c r="D588" s="3" t="str">
        <f>IFERROR(VLOOKUP(B588,Sessions!A:J,3,FALSE),"")</f>
        <v/>
      </c>
      <c r="E588" s="3"/>
      <c r="F588" s="3" t="str">
        <f>IFERROR(VLOOKUP(E588,Employees!A:L,2,FALSE),"")</f>
        <v/>
      </c>
      <c r="G588" s="3" t="str">
        <f>IFERROR(VLOOKUP(E588,Employees!A:L,3,FALSE),"")</f>
        <v/>
      </c>
      <c r="H588" s="3"/>
      <c r="I588" s="3"/>
      <c r="J588" s="3"/>
      <c r="K588" s="3" t="str">
        <f>IF(B588="","",IF(OR(E588="",H588=""),"ناقص",IF(H588="نعم","مكتمل","غائب")))</f>
        <v/>
      </c>
      <c r="L588" s="3"/>
    </row>
    <row r="589" spans="1:12" x14ac:dyDescent="0.2">
      <c r="A589" s="3">
        <v>586</v>
      </c>
      <c r="B589" s="3"/>
      <c r="C589" s="3" t="str">
        <f>IFERROR(VLOOKUP(B589,Sessions!A:J,2,FALSE),"")</f>
        <v/>
      </c>
      <c r="D589" s="3" t="str">
        <f>IFERROR(VLOOKUP(B589,Sessions!A:J,3,FALSE),"")</f>
        <v/>
      </c>
      <c r="E589" s="3"/>
      <c r="F589" s="3" t="str">
        <f>IFERROR(VLOOKUP(E589,Employees!A:L,2,FALSE),"")</f>
        <v/>
      </c>
      <c r="G589" s="3" t="str">
        <f>IFERROR(VLOOKUP(E589,Employees!A:L,3,FALSE),"")</f>
        <v/>
      </c>
      <c r="H589" s="3"/>
      <c r="I589" s="3"/>
      <c r="J589" s="3"/>
      <c r="K589" s="3" t="str">
        <f>IF(B589="","",IF(OR(E589="",H589=""),"ناقص",IF(H589="نعم","مكتمل","غائب")))</f>
        <v/>
      </c>
      <c r="L589" s="3"/>
    </row>
    <row r="590" spans="1:12" x14ac:dyDescent="0.2">
      <c r="A590" s="3">
        <v>587</v>
      </c>
      <c r="B590" s="3"/>
      <c r="C590" s="3" t="str">
        <f>IFERROR(VLOOKUP(B590,Sessions!A:J,2,FALSE),"")</f>
        <v/>
      </c>
      <c r="D590" s="3" t="str">
        <f>IFERROR(VLOOKUP(B590,Sessions!A:J,3,FALSE),"")</f>
        <v/>
      </c>
      <c r="E590" s="3"/>
      <c r="F590" s="3" t="str">
        <f>IFERROR(VLOOKUP(E590,Employees!A:L,2,FALSE),"")</f>
        <v/>
      </c>
      <c r="G590" s="3" t="str">
        <f>IFERROR(VLOOKUP(E590,Employees!A:L,3,FALSE),"")</f>
        <v/>
      </c>
      <c r="H590" s="3"/>
      <c r="I590" s="3"/>
      <c r="J590" s="3"/>
      <c r="K590" s="3" t="str">
        <f>IF(B590="","",IF(OR(E590="",H590=""),"ناقص",IF(H590="نعم","مكتمل","غائب")))</f>
        <v/>
      </c>
      <c r="L590" s="3"/>
    </row>
    <row r="591" spans="1:12" x14ac:dyDescent="0.2">
      <c r="A591" s="3">
        <v>588</v>
      </c>
      <c r="B591" s="3"/>
      <c r="C591" s="3" t="str">
        <f>IFERROR(VLOOKUP(B591,Sessions!A:J,2,FALSE),"")</f>
        <v/>
      </c>
      <c r="D591" s="3" t="str">
        <f>IFERROR(VLOOKUP(B591,Sessions!A:J,3,FALSE),"")</f>
        <v/>
      </c>
      <c r="E591" s="3"/>
      <c r="F591" s="3" t="str">
        <f>IFERROR(VLOOKUP(E591,Employees!A:L,2,FALSE),"")</f>
        <v/>
      </c>
      <c r="G591" s="3" t="str">
        <f>IFERROR(VLOOKUP(E591,Employees!A:L,3,FALSE),"")</f>
        <v/>
      </c>
      <c r="H591" s="3"/>
      <c r="I591" s="3"/>
      <c r="J591" s="3"/>
      <c r="K591" s="3" t="str">
        <f>IF(B591="","",IF(OR(E591="",H591=""),"ناقص",IF(H591="نعم","مكتمل","غائب")))</f>
        <v/>
      </c>
      <c r="L591" s="3"/>
    </row>
    <row r="592" spans="1:12" x14ac:dyDescent="0.2">
      <c r="A592" s="3">
        <v>589</v>
      </c>
      <c r="B592" s="3"/>
      <c r="C592" s="3" t="str">
        <f>IFERROR(VLOOKUP(B592,Sessions!A:J,2,FALSE),"")</f>
        <v/>
      </c>
      <c r="D592" s="3" t="str">
        <f>IFERROR(VLOOKUP(B592,Sessions!A:J,3,FALSE),"")</f>
        <v/>
      </c>
      <c r="E592" s="3"/>
      <c r="F592" s="3" t="str">
        <f>IFERROR(VLOOKUP(E592,Employees!A:L,2,FALSE),"")</f>
        <v/>
      </c>
      <c r="G592" s="3" t="str">
        <f>IFERROR(VLOOKUP(E592,Employees!A:L,3,FALSE),"")</f>
        <v/>
      </c>
      <c r="H592" s="3"/>
      <c r="I592" s="3"/>
      <c r="J592" s="3"/>
      <c r="K592" s="3" t="str">
        <f>IF(B592="","",IF(OR(E592="",H592=""),"ناقص",IF(H592="نعم","مكتمل","غائب")))</f>
        <v/>
      </c>
      <c r="L592" s="3"/>
    </row>
    <row r="593" spans="1:12" x14ac:dyDescent="0.2">
      <c r="A593" s="3">
        <v>590</v>
      </c>
      <c r="B593" s="3"/>
      <c r="C593" s="3" t="str">
        <f>IFERROR(VLOOKUP(B593,Sessions!A:J,2,FALSE),"")</f>
        <v/>
      </c>
      <c r="D593" s="3" t="str">
        <f>IFERROR(VLOOKUP(B593,Sessions!A:J,3,FALSE),"")</f>
        <v/>
      </c>
      <c r="E593" s="3"/>
      <c r="F593" s="3" t="str">
        <f>IFERROR(VLOOKUP(E593,Employees!A:L,2,FALSE),"")</f>
        <v/>
      </c>
      <c r="G593" s="3" t="str">
        <f>IFERROR(VLOOKUP(E593,Employees!A:L,3,FALSE),"")</f>
        <v/>
      </c>
      <c r="H593" s="3"/>
      <c r="I593" s="3"/>
      <c r="J593" s="3"/>
      <c r="K593" s="3" t="str">
        <f>IF(B593="","",IF(OR(E593="",H593=""),"ناقص",IF(H593="نعم","مكتمل","غائب")))</f>
        <v/>
      </c>
      <c r="L593" s="3"/>
    </row>
    <row r="594" spans="1:12" x14ac:dyDescent="0.2">
      <c r="A594" s="3">
        <v>591</v>
      </c>
      <c r="B594" s="3"/>
      <c r="C594" s="3" t="str">
        <f>IFERROR(VLOOKUP(B594,Sessions!A:J,2,FALSE),"")</f>
        <v/>
      </c>
      <c r="D594" s="3" t="str">
        <f>IFERROR(VLOOKUP(B594,Sessions!A:J,3,FALSE),"")</f>
        <v/>
      </c>
      <c r="E594" s="3"/>
      <c r="F594" s="3" t="str">
        <f>IFERROR(VLOOKUP(E594,Employees!A:L,2,FALSE),"")</f>
        <v/>
      </c>
      <c r="G594" s="3" t="str">
        <f>IFERROR(VLOOKUP(E594,Employees!A:L,3,FALSE),"")</f>
        <v/>
      </c>
      <c r="H594" s="3"/>
      <c r="I594" s="3"/>
      <c r="J594" s="3"/>
      <c r="K594" s="3" t="str">
        <f>IF(B594="","",IF(OR(E594="",H594=""),"ناقص",IF(H594="نعم","مكتمل","غائب")))</f>
        <v/>
      </c>
      <c r="L594" s="3"/>
    </row>
    <row r="595" spans="1:12" x14ac:dyDescent="0.2">
      <c r="A595" s="3">
        <v>592</v>
      </c>
      <c r="B595" s="3"/>
      <c r="C595" s="3" t="str">
        <f>IFERROR(VLOOKUP(B595,Sessions!A:J,2,FALSE),"")</f>
        <v/>
      </c>
      <c r="D595" s="3" t="str">
        <f>IFERROR(VLOOKUP(B595,Sessions!A:J,3,FALSE),"")</f>
        <v/>
      </c>
      <c r="E595" s="3"/>
      <c r="F595" s="3" t="str">
        <f>IFERROR(VLOOKUP(E595,Employees!A:L,2,FALSE),"")</f>
        <v/>
      </c>
      <c r="G595" s="3" t="str">
        <f>IFERROR(VLOOKUP(E595,Employees!A:L,3,FALSE),"")</f>
        <v/>
      </c>
      <c r="H595" s="3"/>
      <c r="I595" s="3"/>
      <c r="J595" s="3"/>
      <c r="K595" s="3" t="str">
        <f>IF(B595="","",IF(OR(E595="",H595=""),"ناقص",IF(H595="نعم","مكتمل","غائب")))</f>
        <v/>
      </c>
      <c r="L595" s="3"/>
    </row>
    <row r="596" spans="1:12" x14ac:dyDescent="0.2">
      <c r="A596" s="3">
        <v>593</v>
      </c>
      <c r="B596" s="3"/>
      <c r="C596" s="3" t="str">
        <f>IFERROR(VLOOKUP(B596,Sessions!A:J,2,FALSE),"")</f>
        <v/>
      </c>
      <c r="D596" s="3" t="str">
        <f>IFERROR(VLOOKUP(B596,Sessions!A:J,3,FALSE),"")</f>
        <v/>
      </c>
      <c r="E596" s="3"/>
      <c r="F596" s="3" t="str">
        <f>IFERROR(VLOOKUP(E596,Employees!A:L,2,FALSE),"")</f>
        <v/>
      </c>
      <c r="G596" s="3" t="str">
        <f>IFERROR(VLOOKUP(E596,Employees!A:L,3,FALSE),"")</f>
        <v/>
      </c>
      <c r="H596" s="3"/>
      <c r="I596" s="3"/>
      <c r="J596" s="3"/>
      <c r="K596" s="3" t="str">
        <f>IF(B596="","",IF(OR(E596="",H596=""),"ناقص",IF(H596="نعم","مكتمل","غائب")))</f>
        <v/>
      </c>
      <c r="L596" s="3"/>
    </row>
    <row r="597" spans="1:12" x14ac:dyDescent="0.2">
      <c r="A597" s="3">
        <v>594</v>
      </c>
      <c r="B597" s="3"/>
      <c r="C597" s="3" t="str">
        <f>IFERROR(VLOOKUP(B597,Sessions!A:J,2,FALSE),"")</f>
        <v/>
      </c>
      <c r="D597" s="3" t="str">
        <f>IFERROR(VLOOKUP(B597,Sessions!A:J,3,FALSE),"")</f>
        <v/>
      </c>
      <c r="E597" s="3"/>
      <c r="F597" s="3" t="str">
        <f>IFERROR(VLOOKUP(E597,Employees!A:L,2,FALSE),"")</f>
        <v/>
      </c>
      <c r="G597" s="3" t="str">
        <f>IFERROR(VLOOKUP(E597,Employees!A:L,3,FALSE),"")</f>
        <v/>
      </c>
      <c r="H597" s="3"/>
      <c r="I597" s="3"/>
      <c r="J597" s="3"/>
      <c r="K597" s="3" t="str">
        <f>IF(B597="","",IF(OR(E597="",H597=""),"ناقص",IF(H597="نعم","مكتمل","غائب")))</f>
        <v/>
      </c>
      <c r="L597" s="3"/>
    </row>
    <row r="598" spans="1:12" x14ac:dyDescent="0.2">
      <c r="A598" s="3">
        <v>595</v>
      </c>
      <c r="B598" s="3"/>
      <c r="C598" s="3" t="str">
        <f>IFERROR(VLOOKUP(B598,Sessions!A:J,2,FALSE),"")</f>
        <v/>
      </c>
      <c r="D598" s="3" t="str">
        <f>IFERROR(VLOOKUP(B598,Sessions!A:J,3,FALSE),"")</f>
        <v/>
      </c>
      <c r="E598" s="3"/>
      <c r="F598" s="3" t="str">
        <f>IFERROR(VLOOKUP(E598,Employees!A:L,2,FALSE),"")</f>
        <v/>
      </c>
      <c r="G598" s="3" t="str">
        <f>IFERROR(VLOOKUP(E598,Employees!A:L,3,FALSE),"")</f>
        <v/>
      </c>
      <c r="H598" s="3"/>
      <c r="I598" s="3"/>
      <c r="J598" s="3"/>
      <c r="K598" s="3" t="str">
        <f>IF(B598="","",IF(OR(E598="",H598=""),"ناقص",IF(H598="نعم","مكتمل","غائب")))</f>
        <v/>
      </c>
      <c r="L598" s="3"/>
    </row>
    <row r="599" spans="1:12" x14ac:dyDescent="0.2">
      <c r="A599" s="3">
        <v>596</v>
      </c>
      <c r="B599" s="3"/>
      <c r="C599" s="3" t="str">
        <f>IFERROR(VLOOKUP(B599,Sessions!A:J,2,FALSE),"")</f>
        <v/>
      </c>
      <c r="D599" s="3" t="str">
        <f>IFERROR(VLOOKUP(B599,Sessions!A:J,3,FALSE),"")</f>
        <v/>
      </c>
      <c r="E599" s="3"/>
      <c r="F599" s="3" t="str">
        <f>IFERROR(VLOOKUP(E599,Employees!A:L,2,FALSE),"")</f>
        <v/>
      </c>
      <c r="G599" s="3" t="str">
        <f>IFERROR(VLOOKUP(E599,Employees!A:L,3,FALSE),"")</f>
        <v/>
      </c>
      <c r="H599" s="3"/>
      <c r="I599" s="3"/>
      <c r="J599" s="3"/>
      <c r="K599" s="3" t="str">
        <f>IF(B599="","",IF(OR(E599="",H599=""),"ناقص",IF(H599="نعم","مكتمل","غائب")))</f>
        <v/>
      </c>
      <c r="L599" s="3"/>
    </row>
    <row r="600" spans="1:12" x14ac:dyDescent="0.2">
      <c r="A600" s="3">
        <v>597</v>
      </c>
      <c r="B600" s="3"/>
      <c r="C600" s="3" t="str">
        <f>IFERROR(VLOOKUP(B600,Sessions!A:J,2,FALSE),"")</f>
        <v/>
      </c>
      <c r="D600" s="3" t="str">
        <f>IFERROR(VLOOKUP(B600,Sessions!A:J,3,FALSE),"")</f>
        <v/>
      </c>
      <c r="E600" s="3"/>
      <c r="F600" s="3" t="str">
        <f>IFERROR(VLOOKUP(E600,Employees!A:L,2,FALSE),"")</f>
        <v/>
      </c>
      <c r="G600" s="3" t="str">
        <f>IFERROR(VLOOKUP(E600,Employees!A:L,3,FALSE),"")</f>
        <v/>
      </c>
      <c r="H600" s="3"/>
      <c r="I600" s="3"/>
      <c r="J600" s="3"/>
      <c r="K600" s="3" t="str">
        <f>IF(B600="","",IF(OR(E600="",H600=""),"ناقص",IF(H600="نعم","مكتمل","غائب")))</f>
        <v/>
      </c>
      <c r="L600" s="3"/>
    </row>
    <row r="601" spans="1:12" x14ac:dyDescent="0.2">
      <c r="A601" s="3">
        <v>598</v>
      </c>
      <c r="B601" s="3"/>
      <c r="C601" s="3" t="str">
        <f>IFERROR(VLOOKUP(B601,Sessions!A:J,2,FALSE),"")</f>
        <v/>
      </c>
      <c r="D601" s="3" t="str">
        <f>IFERROR(VLOOKUP(B601,Sessions!A:J,3,FALSE),"")</f>
        <v/>
      </c>
      <c r="E601" s="3"/>
      <c r="F601" s="3" t="str">
        <f>IFERROR(VLOOKUP(E601,Employees!A:L,2,FALSE),"")</f>
        <v/>
      </c>
      <c r="G601" s="3" t="str">
        <f>IFERROR(VLOOKUP(E601,Employees!A:L,3,FALSE),"")</f>
        <v/>
      </c>
      <c r="H601" s="3"/>
      <c r="I601" s="3"/>
      <c r="J601" s="3"/>
      <c r="K601" s="3" t="str">
        <f>IF(B601="","",IF(OR(E601="",H601=""),"ناقص",IF(H601="نعم","مكتمل","غائب")))</f>
        <v/>
      </c>
      <c r="L601" s="3"/>
    </row>
    <row r="602" spans="1:12" x14ac:dyDescent="0.2">
      <c r="A602" s="3">
        <v>599</v>
      </c>
      <c r="B602" s="3"/>
      <c r="C602" s="3" t="str">
        <f>IFERROR(VLOOKUP(B602,Sessions!A:J,2,FALSE),"")</f>
        <v/>
      </c>
      <c r="D602" s="3" t="str">
        <f>IFERROR(VLOOKUP(B602,Sessions!A:J,3,FALSE),"")</f>
        <v/>
      </c>
      <c r="E602" s="3"/>
      <c r="F602" s="3" t="str">
        <f>IFERROR(VLOOKUP(E602,Employees!A:L,2,FALSE),"")</f>
        <v/>
      </c>
      <c r="G602" s="3" t="str">
        <f>IFERROR(VLOOKUP(E602,Employees!A:L,3,FALSE),"")</f>
        <v/>
      </c>
      <c r="H602" s="3"/>
      <c r="I602" s="3"/>
      <c r="J602" s="3"/>
      <c r="K602" s="3" t="str">
        <f>IF(B602="","",IF(OR(E602="",H602=""),"ناقص",IF(H602="نعم","مكتمل","غائب")))</f>
        <v/>
      </c>
      <c r="L602" s="3"/>
    </row>
    <row r="603" spans="1:12" x14ac:dyDescent="0.2">
      <c r="A603" s="3">
        <v>600</v>
      </c>
      <c r="B603" s="3"/>
      <c r="C603" s="3" t="str">
        <f>IFERROR(VLOOKUP(B603,Sessions!A:J,2,FALSE),"")</f>
        <v/>
      </c>
      <c r="D603" s="3" t="str">
        <f>IFERROR(VLOOKUP(B603,Sessions!A:J,3,FALSE),"")</f>
        <v/>
      </c>
      <c r="E603" s="3"/>
      <c r="F603" s="3" t="str">
        <f>IFERROR(VLOOKUP(E603,Employees!A:L,2,FALSE),"")</f>
        <v/>
      </c>
      <c r="G603" s="3" t="str">
        <f>IFERROR(VLOOKUP(E603,Employees!A:L,3,FALSE),"")</f>
        <v/>
      </c>
      <c r="H603" s="3"/>
      <c r="I603" s="3"/>
      <c r="J603" s="3"/>
      <c r="K603" s="3" t="str">
        <f>IF(B603="","",IF(OR(E603="",H603=""),"ناقص",IF(H603="نعم","مكتمل","غائب")))</f>
        <v/>
      </c>
      <c r="L603" s="3"/>
    </row>
    <row r="604" spans="1:12" x14ac:dyDescent="0.2">
      <c r="A604" s="3">
        <v>601</v>
      </c>
      <c r="B604" s="3"/>
      <c r="C604" s="3" t="str">
        <f>IFERROR(VLOOKUP(B604,Sessions!A:J,2,FALSE),"")</f>
        <v/>
      </c>
      <c r="D604" s="3" t="str">
        <f>IFERROR(VLOOKUP(B604,Sessions!A:J,3,FALSE),"")</f>
        <v/>
      </c>
      <c r="E604" s="3"/>
      <c r="F604" s="3" t="str">
        <f>IFERROR(VLOOKUP(E604,Employees!A:L,2,FALSE),"")</f>
        <v/>
      </c>
      <c r="G604" s="3" t="str">
        <f>IFERROR(VLOOKUP(E604,Employees!A:L,3,FALSE),"")</f>
        <v/>
      </c>
      <c r="H604" s="3"/>
      <c r="I604" s="3"/>
      <c r="J604" s="3"/>
      <c r="K604" s="3" t="str">
        <f>IF(B604="","",IF(OR(E604="",H604=""),"ناقص",IF(H604="نعم","مكتمل","غائب")))</f>
        <v/>
      </c>
      <c r="L604" s="3"/>
    </row>
    <row r="605" spans="1:12" x14ac:dyDescent="0.2">
      <c r="A605" s="3">
        <v>602</v>
      </c>
      <c r="B605" s="3"/>
      <c r="C605" s="3" t="str">
        <f>IFERROR(VLOOKUP(B605,Sessions!A:J,2,FALSE),"")</f>
        <v/>
      </c>
      <c r="D605" s="3" t="str">
        <f>IFERROR(VLOOKUP(B605,Sessions!A:J,3,FALSE),"")</f>
        <v/>
      </c>
      <c r="E605" s="3"/>
      <c r="F605" s="3" t="str">
        <f>IFERROR(VLOOKUP(E605,Employees!A:L,2,FALSE),"")</f>
        <v/>
      </c>
      <c r="G605" s="3" t="str">
        <f>IFERROR(VLOOKUP(E605,Employees!A:L,3,FALSE),"")</f>
        <v/>
      </c>
      <c r="H605" s="3"/>
      <c r="I605" s="3"/>
      <c r="J605" s="3"/>
      <c r="K605" s="3" t="str">
        <f>IF(B605="","",IF(OR(E605="",H605=""),"ناقص",IF(H605="نعم","مكتمل","غائب")))</f>
        <v/>
      </c>
      <c r="L605" s="3"/>
    </row>
    <row r="606" spans="1:12" x14ac:dyDescent="0.2">
      <c r="A606" s="3">
        <v>603</v>
      </c>
      <c r="B606" s="3"/>
      <c r="C606" s="3" t="str">
        <f>IFERROR(VLOOKUP(B606,Sessions!A:J,2,FALSE),"")</f>
        <v/>
      </c>
      <c r="D606" s="3" t="str">
        <f>IFERROR(VLOOKUP(B606,Sessions!A:J,3,FALSE),"")</f>
        <v/>
      </c>
      <c r="E606" s="3"/>
      <c r="F606" s="3" t="str">
        <f>IFERROR(VLOOKUP(E606,Employees!A:L,2,FALSE),"")</f>
        <v/>
      </c>
      <c r="G606" s="3" t="str">
        <f>IFERROR(VLOOKUP(E606,Employees!A:L,3,FALSE),"")</f>
        <v/>
      </c>
      <c r="H606" s="3"/>
      <c r="I606" s="3"/>
      <c r="J606" s="3"/>
      <c r="K606" s="3" t="str">
        <f>IF(B606="","",IF(OR(E606="",H606=""),"ناقص",IF(H606="نعم","مكتمل","غائب")))</f>
        <v/>
      </c>
      <c r="L606" s="3"/>
    </row>
    <row r="607" spans="1:12" x14ac:dyDescent="0.2">
      <c r="A607" s="3">
        <v>604</v>
      </c>
      <c r="B607" s="3"/>
      <c r="C607" s="3" t="str">
        <f>IFERROR(VLOOKUP(B607,Sessions!A:J,2,FALSE),"")</f>
        <v/>
      </c>
      <c r="D607" s="3" t="str">
        <f>IFERROR(VLOOKUP(B607,Sessions!A:J,3,FALSE),"")</f>
        <v/>
      </c>
      <c r="E607" s="3"/>
      <c r="F607" s="3" t="str">
        <f>IFERROR(VLOOKUP(E607,Employees!A:L,2,FALSE),"")</f>
        <v/>
      </c>
      <c r="G607" s="3" t="str">
        <f>IFERROR(VLOOKUP(E607,Employees!A:L,3,FALSE),"")</f>
        <v/>
      </c>
      <c r="H607" s="3"/>
      <c r="I607" s="3"/>
      <c r="J607" s="3"/>
      <c r="K607" s="3" t="str">
        <f>IF(B607="","",IF(OR(E607="",H607=""),"ناقص",IF(H607="نعم","مكتمل","غائب")))</f>
        <v/>
      </c>
      <c r="L607" s="3"/>
    </row>
    <row r="608" spans="1:12" x14ac:dyDescent="0.2">
      <c r="A608" s="3">
        <v>605</v>
      </c>
      <c r="B608" s="3"/>
      <c r="C608" s="3" t="str">
        <f>IFERROR(VLOOKUP(B608,Sessions!A:J,2,FALSE),"")</f>
        <v/>
      </c>
      <c r="D608" s="3" t="str">
        <f>IFERROR(VLOOKUP(B608,Sessions!A:J,3,FALSE),"")</f>
        <v/>
      </c>
      <c r="E608" s="3"/>
      <c r="F608" s="3" t="str">
        <f>IFERROR(VLOOKUP(E608,Employees!A:L,2,FALSE),"")</f>
        <v/>
      </c>
      <c r="G608" s="3" t="str">
        <f>IFERROR(VLOOKUP(E608,Employees!A:L,3,FALSE),"")</f>
        <v/>
      </c>
      <c r="H608" s="3"/>
      <c r="I608" s="3"/>
      <c r="J608" s="3"/>
      <c r="K608" s="3" t="str">
        <f>IF(B608="","",IF(OR(E608="",H608=""),"ناقص",IF(H608="نعم","مكتمل","غائب")))</f>
        <v/>
      </c>
      <c r="L608" s="3"/>
    </row>
    <row r="609" spans="1:12" x14ac:dyDescent="0.2">
      <c r="A609" s="3">
        <v>606</v>
      </c>
      <c r="B609" s="3"/>
      <c r="C609" s="3" t="str">
        <f>IFERROR(VLOOKUP(B609,Sessions!A:J,2,FALSE),"")</f>
        <v/>
      </c>
      <c r="D609" s="3" t="str">
        <f>IFERROR(VLOOKUP(B609,Sessions!A:J,3,FALSE),"")</f>
        <v/>
      </c>
      <c r="E609" s="3"/>
      <c r="F609" s="3" t="str">
        <f>IFERROR(VLOOKUP(E609,Employees!A:L,2,FALSE),"")</f>
        <v/>
      </c>
      <c r="G609" s="3" t="str">
        <f>IFERROR(VLOOKUP(E609,Employees!A:L,3,FALSE),"")</f>
        <v/>
      </c>
      <c r="H609" s="3"/>
      <c r="I609" s="3"/>
      <c r="J609" s="3"/>
      <c r="K609" s="3" t="str">
        <f>IF(B609="","",IF(OR(E609="",H609=""),"ناقص",IF(H609="نعم","مكتمل","غائب")))</f>
        <v/>
      </c>
      <c r="L609" s="3"/>
    </row>
    <row r="610" spans="1:12" x14ac:dyDescent="0.2">
      <c r="A610" s="3">
        <v>607</v>
      </c>
      <c r="B610" s="3"/>
      <c r="C610" s="3" t="str">
        <f>IFERROR(VLOOKUP(B610,Sessions!A:J,2,FALSE),"")</f>
        <v/>
      </c>
      <c r="D610" s="3" t="str">
        <f>IFERROR(VLOOKUP(B610,Sessions!A:J,3,FALSE),"")</f>
        <v/>
      </c>
      <c r="E610" s="3"/>
      <c r="F610" s="3" t="str">
        <f>IFERROR(VLOOKUP(E610,Employees!A:L,2,FALSE),"")</f>
        <v/>
      </c>
      <c r="G610" s="3" t="str">
        <f>IFERROR(VLOOKUP(E610,Employees!A:L,3,FALSE),"")</f>
        <v/>
      </c>
      <c r="H610" s="3"/>
      <c r="I610" s="3"/>
      <c r="J610" s="3"/>
      <c r="K610" s="3" t="str">
        <f>IF(B610="","",IF(OR(E610="",H610=""),"ناقص",IF(H610="نعم","مكتمل","غائب")))</f>
        <v/>
      </c>
      <c r="L610" s="3"/>
    </row>
    <row r="611" spans="1:12" x14ac:dyDescent="0.2">
      <c r="A611" s="3">
        <v>608</v>
      </c>
      <c r="B611" s="3"/>
      <c r="C611" s="3" t="str">
        <f>IFERROR(VLOOKUP(B611,Sessions!A:J,2,FALSE),"")</f>
        <v/>
      </c>
      <c r="D611" s="3" t="str">
        <f>IFERROR(VLOOKUP(B611,Sessions!A:J,3,FALSE),"")</f>
        <v/>
      </c>
      <c r="E611" s="3"/>
      <c r="F611" s="3" t="str">
        <f>IFERROR(VLOOKUP(E611,Employees!A:L,2,FALSE),"")</f>
        <v/>
      </c>
      <c r="G611" s="3" t="str">
        <f>IFERROR(VLOOKUP(E611,Employees!A:L,3,FALSE),"")</f>
        <v/>
      </c>
      <c r="H611" s="3"/>
      <c r="I611" s="3"/>
      <c r="J611" s="3"/>
      <c r="K611" s="3" t="str">
        <f>IF(B611="","",IF(OR(E611="",H611=""),"ناقص",IF(H611="نعم","مكتمل","غائب")))</f>
        <v/>
      </c>
      <c r="L611" s="3"/>
    </row>
    <row r="612" spans="1:12" x14ac:dyDescent="0.2">
      <c r="A612" s="3">
        <v>609</v>
      </c>
      <c r="B612" s="3"/>
      <c r="C612" s="3" t="str">
        <f>IFERROR(VLOOKUP(B612,Sessions!A:J,2,FALSE),"")</f>
        <v/>
      </c>
      <c r="D612" s="3" t="str">
        <f>IFERROR(VLOOKUP(B612,Sessions!A:J,3,FALSE),"")</f>
        <v/>
      </c>
      <c r="E612" s="3"/>
      <c r="F612" s="3" t="str">
        <f>IFERROR(VLOOKUP(E612,Employees!A:L,2,FALSE),"")</f>
        <v/>
      </c>
      <c r="G612" s="3" t="str">
        <f>IFERROR(VLOOKUP(E612,Employees!A:L,3,FALSE),"")</f>
        <v/>
      </c>
      <c r="H612" s="3"/>
      <c r="I612" s="3"/>
      <c r="J612" s="3"/>
      <c r="K612" s="3" t="str">
        <f>IF(B612="","",IF(OR(E612="",H612=""),"ناقص",IF(H612="نعم","مكتمل","غائب")))</f>
        <v/>
      </c>
      <c r="L612" s="3"/>
    </row>
    <row r="613" spans="1:12" x14ac:dyDescent="0.2">
      <c r="A613" s="3">
        <v>610</v>
      </c>
      <c r="B613" s="3"/>
      <c r="C613" s="3" t="str">
        <f>IFERROR(VLOOKUP(B613,Sessions!A:J,2,FALSE),"")</f>
        <v/>
      </c>
      <c r="D613" s="3" t="str">
        <f>IFERROR(VLOOKUP(B613,Sessions!A:J,3,FALSE),"")</f>
        <v/>
      </c>
      <c r="E613" s="3"/>
      <c r="F613" s="3" t="str">
        <f>IFERROR(VLOOKUP(E613,Employees!A:L,2,FALSE),"")</f>
        <v/>
      </c>
      <c r="G613" s="3" t="str">
        <f>IFERROR(VLOOKUP(E613,Employees!A:L,3,FALSE),"")</f>
        <v/>
      </c>
      <c r="H613" s="3"/>
      <c r="I613" s="3"/>
      <c r="J613" s="3"/>
      <c r="K613" s="3" t="str">
        <f>IF(B613="","",IF(OR(E613="",H613=""),"ناقص",IF(H613="نعم","مكتمل","غائب")))</f>
        <v/>
      </c>
      <c r="L613" s="3"/>
    </row>
    <row r="614" spans="1:12" x14ac:dyDescent="0.2">
      <c r="A614" s="3">
        <v>611</v>
      </c>
      <c r="B614" s="3"/>
      <c r="C614" s="3" t="str">
        <f>IFERROR(VLOOKUP(B614,Sessions!A:J,2,FALSE),"")</f>
        <v/>
      </c>
      <c r="D614" s="3" t="str">
        <f>IFERROR(VLOOKUP(B614,Sessions!A:J,3,FALSE),"")</f>
        <v/>
      </c>
      <c r="E614" s="3"/>
      <c r="F614" s="3" t="str">
        <f>IFERROR(VLOOKUP(E614,Employees!A:L,2,FALSE),"")</f>
        <v/>
      </c>
      <c r="G614" s="3" t="str">
        <f>IFERROR(VLOOKUP(E614,Employees!A:L,3,FALSE),"")</f>
        <v/>
      </c>
      <c r="H614" s="3"/>
      <c r="I614" s="3"/>
      <c r="J614" s="3"/>
      <c r="K614" s="3" t="str">
        <f>IF(B614="","",IF(OR(E614="",H614=""),"ناقص",IF(H614="نعم","مكتمل","غائب")))</f>
        <v/>
      </c>
      <c r="L614" s="3"/>
    </row>
    <row r="615" spans="1:12" x14ac:dyDescent="0.2">
      <c r="A615" s="3">
        <v>612</v>
      </c>
      <c r="B615" s="3"/>
      <c r="C615" s="3" t="str">
        <f>IFERROR(VLOOKUP(B615,Sessions!A:J,2,FALSE),"")</f>
        <v/>
      </c>
      <c r="D615" s="3" t="str">
        <f>IFERROR(VLOOKUP(B615,Sessions!A:J,3,FALSE),"")</f>
        <v/>
      </c>
      <c r="E615" s="3"/>
      <c r="F615" s="3" t="str">
        <f>IFERROR(VLOOKUP(E615,Employees!A:L,2,FALSE),"")</f>
        <v/>
      </c>
      <c r="G615" s="3" t="str">
        <f>IFERROR(VLOOKUP(E615,Employees!A:L,3,FALSE),"")</f>
        <v/>
      </c>
      <c r="H615" s="3"/>
      <c r="I615" s="3"/>
      <c r="J615" s="3"/>
      <c r="K615" s="3" t="str">
        <f>IF(B615="","",IF(OR(E615="",H615=""),"ناقص",IF(H615="نعم","مكتمل","غائب")))</f>
        <v/>
      </c>
      <c r="L615" s="3"/>
    </row>
    <row r="616" spans="1:12" x14ac:dyDescent="0.2">
      <c r="A616" s="3">
        <v>613</v>
      </c>
      <c r="B616" s="3"/>
      <c r="C616" s="3" t="str">
        <f>IFERROR(VLOOKUP(B616,Sessions!A:J,2,FALSE),"")</f>
        <v/>
      </c>
      <c r="D616" s="3" t="str">
        <f>IFERROR(VLOOKUP(B616,Sessions!A:J,3,FALSE),"")</f>
        <v/>
      </c>
      <c r="E616" s="3"/>
      <c r="F616" s="3" t="str">
        <f>IFERROR(VLOOKUP(E616,Employees!A:L,2,FALSE),"")</f>
        <v/>
      </c>
      <c r="G616" s="3" t="str">
        <f>IFERROR(VLOOKUP(E616,Employees!A:L,3,FALSE),"")</f>
        <v/>
      </c>
      <c r="H616" s="3"/>
      <c r="I616" s="3"/>
      <c r="J616" s="3"/>
      <c r="K616" s="3" t="str">
        <f>IF(B616="","",IF(OR(E616="",H616=""),"ناقص",IF(H616="نعم","مكتمل","غائب")))</f>
        <v/>
      </c>
      <c r="L616" s="3"/>
    </row>
    <row r="617" spans="1:12" x14ac:dyDescent="0.2">
      <c r="A617" s="3">
        <v>614</v>
      </c>
      <c r="B617" s="3"/>
      <c r="C617" s="3" t="str">
        <f>IFERROR(VLOOKUP(B617,Sessions!A:J,2,FALSE),"")</f>
        <v/>
      </c>
      <c r="D617" s="3" t="str">
        <f>IFERROR(VLOOKUP(B617,Sessions!A:J,3,FALSE),"")</f>
        <v/>
      </c>
      <c r="E617" s="3"/>
      <c r="F617" s="3" t="str">
        <f>IFERROR(VLOOKUP(E617,Employees!A:L,2,FALSE),"")</f>
        <v/>
      </c>
      <c r="G617" s="3" t="str">
        <f>IFERROR(VLOOKUP(E617,Employees!A:L,3,FALSE),"")</f>
        <v/>
      </c>
      <c r="H617" s="3"/>
      <c r="I617" s="3"/>
      <c r="J617" s="3"/>
      <c r="K617" s="3" t="str">
        <f>IF(B617="","",IF(OR(E617="",H617=""),"ناقص",IF(H617="نعم","مكتمل","غائب")))</f>
        <v/>
      </c>
      <c r="L617" s="3"/>
    </row>
    <row r="618" spans="1:12" x14ac:dyDescent="0.2">
      <c r="A618" s="3">
        <v>615</v>
      </c>
      <c r="B618" s="3"/>
      <c r="C618" s="3" t="str">
        <f>IFERROR(VLOOKUP(B618,Sessions!A:J,2,FALSE),"")</f>
        <v/>
      </c>
      <c r="D618" s="3" t="str">
        <f>IFERROR(VLOOKUP(B618,Sessions!A:J,3,FALSE),"")</f>
        <v/>
      </c>
      <c r="E618" s="3"/>
      <c r="F618" s="3" t="str">
        <f>IFERROR(VLOOKUP(E618,Employees!A:L,2,FALSE),"")</f>
        <v/>
      </c>
      <c r="G618" s="3" t="str">
        <f>IFERROR(VLOOKUP(E618,Employees!A:L,3,FALSE),"")</f>
        <v/>
      </c>
      <c r="H618" s="3"/>
      <c r="I618" s="3"/>
      <c r="J618" s="3"/>
      <c r="K618" s="3" t="str">
        <f>IF(B618="","",IF(OR(E618="",H618=""),"ناقص",IF(H618="نعم","مكتمل","غائب")))</f>
        <v/>
      </c>
      <c r="L618" s="3"/>
    </row>
    <row r="619" spans="1:12" x14ac:dyDescent="0.2">
      <c r="A619" s="3">
        <v>616</v>
      </c>
      <c r="B619" s="3"/>
      <c r="C619" s="3" t="str">
        <f>IFERROR(VLOOKUP(B619,Sessions!A:J,2,FALSE),"")</f>
        <v/>
      </c>
      <c r="D619" s="3" t="str">
        <f>IFERROR(VLOOKUP(B619,Sessions!A:J,3,FALSE),"")</f>
        <v/>
      </c>
      <c r="E619" s="3"/>
      <c r="F619" s="3" t="str">
        <f>IFERROR(VLOOKUP(E619,Employees!A:L,2,FALSE),"")</f>
        <v/>
      </c>
      <c r="G619" s="3" t="str">
        <f>IFERROR(VLOOKUP(E619,Employees!A:L,3,FALSE),"")</f>
        <v/>
      </c>
      <c r="H619" s="3"/>
      <c r="I619" s="3"/>
      <c r="J619" s="3"/>
      <c r="K619" s="3" t="str">
        <f>IF(B619="","",IF(OR(E619="",H619=""),"ناقص",IF(H619="نعم","مكتمل","غائب")))</f>
        <v/>
      </c>
      <c r="L619" s="3"/>
    </row>
    <row r="620" spans="1:12" x14ac:dyDescent="0.2">
      <c r="A620" s="3">
        <v>617</v>
      </c>
      <c r="B620" s="3"/>
      <c r="C620" s="3" t="str">
        <f>IFERROR(VLOOKUP(B620,Sessions!A:J,2,FALSE),"")</f>
        <v/>
      </c>
      <c r="D620" s="3" t="str">
        <f>IFERROR(VLOOKUP(B620,Sessions!A:J,3,FALSE),"")</f>
        <v/>
      </c>
      <c r="E620" s="3"/>
      <c r="F620" s="3" t="str">
        <f>IFERROR(VLOOKUP(E620,Employees!A:L,2,FALSE),"")</f>
        <v/>
      </c>
      <c r="G620" s="3" t="str">
        <f>IFERROR(VLOOKUP(E620,Employees!A:L,3,FALSE),"")</f>
        <v/>
      </c>
      <c r="H620" s="3"/>
      <c r="I620" s="3"/>
      <c r="J620" s="3"/>
      <c r="K620" s="3" t="str">
        <f>IF(B620="","",IF(OR(E620="",H620=""),"ناقص",IF(H620="نعم","مكتمل","غائب")))</f>
        <v/>
      </c>
      <c r="L620" s="3"/>
    </row>
    <row r="621" spans="1:12" x14ac:dyDescent="0.2">
      <c r="A621" s="3">
        <v>618</v>
      </c>
      <c r="B621" s="3"/>
      <c r="C621" s="3" t="str">
        <f>IFERROR(VLOOKUP(B621,Sessions!A:J,2,FALSE),"")</f>
        <v/>
      </c>
      <c r="D621" s="3" t="str">
        <f>IFERROR(VLOOKUP(B621,Sessions!A:J,3,FALSE),"")</f>
        <v/>
      </c>
      <c r="E621" s="3"/>
      <c r="F621" s="3" t="str">
        <f>IFERROR(VLOOKUP(E621,Employees!A:L,2,FALSE),"")</f>
        <v/>
      </c>
      <c r="G621" s="3" t="str">
        <f>IFERROR(VLOOKUP(E621,Employees!A:L,3,FALSE),"")</f>
        <v/>
      </c>
      <c r="H621" s="3"/>
      <c r="I621" s="3"/>
      <c r="J621" s="3"/>
      <c r="K621" s="3" t="str">
        <f>IF(B621="","",IF(OR(E621="",H621=""),"ناقص",IF(H621="نعم","مكتمل","غائب")))</f>
        <v/>
      </c>
      <c r="L621" s="3"/>
    </row>
    <row r="622" spans="1:12" x14ac:dyDescent="0.2">
      <c r="A622" s="3">
        <v>619</v>
      </c>
      <c r="B622" s="3"/>
      <c r="C622" s="3" t="str">
        <f>IFERROR(VLOOKUP(B622,Sessions!A:J,2,FALSE),"")</f>
        <v/>
      </c>
      <c r="D622" s="3" t="str">
        <f>IFERROR(VLOOKUP(B622,Sessions!A:J,3,FALSE),"")</f>
        <v/>
      </c>
      <c r="E622" s="3"/>
      <c r="F622" s="3" t="str">
        <f>IFERROR(VLOOKUP(E622,Employees!A:L,2,FALSE),"")</f>
        <v/>
      </c>
      <c r="G622" s="3" t="str">
        <f>IFERROR(VLOOKUP(E622,Employees!A:L,3,FALSE),"")</f>
        <v/>
      </c>
      <c r="H622" s="3"/>
      <c r="I622" s="3"/>
      <c r="J622" s="3"/>
      <c r="K622" s="3" t="str">
        <f>IF(B622="","",IF(OR(E622="",H622=""),"ناقص",IF(H622="نعم","مكتمل","غائب")))</f>
        <v/>
      </c>
      <c r="L622" s="3"/>
    </row>
    <row r="623" spans="1:12" x14ac:dyDescent="0.2">
      <c r="A623" s="3">
        <v>620</v>
      </c>
      <c r="B623" s="3"/>
      <c r="C623" s="3" t="str">
        <f>IFERROR(VLOOKUP(B623,Sessions!A:J,2,FALSE),"")</f>
        <v/>
      </c>
      <c r="D623" s="3" t="str">
        <f>IFERROR(VLOOKUP(B623,Sessions!A:J,3,FALSE),"")</f>
        <v/>
      </c>
      <c r="E623" s="3"/>
      <c r="F623" s="3" t="str">
        <f>IFERROR(VLOOKUP(E623,Employees!A:L,2,FALSE),"")</f>
        <v/>
      </c>
      <c r="G623" s="3" t="str">
        <f>IFERROR(VLOOKUP(E623,Employees!A:L,3,FALSE),"")</f>
        <v/>
      </c>
      <c r="H623" s="3"/>
      <c r="I623" s="3"/>
      <c r="J623" s="3"/>
      <c r="K623" s="3" t="str">
        <f>IF(B623="","",IF(OR(E623="",H623=""),"ناقص",IF(H623="نعم","مكتمل","غائب")))</f>
        <v/>
      </c>
      <c r="L623" s="3"/>
    </row>
    <row r="624" spans="1:12" x14ac:dyDescent="0.2">
      <c r="A624" s="3">
        <v>621</v>
      </c>
      <c r="B624" s="3"/>
      <c r="C624" s="3" t="str">
        <f>IFERROR(VLOOKUP(B624,Sessions!A:J,2,FALSE),"")</f>
        <v/>
      </c>
      <c r="D624" s="3" t="str">
        <f>IFERROR(VLOOKUP(B624,Sessions!A:J,3,FALSE),"")</f>
        <v/>
      </c>
      <c r="E624" s="3"/>
      <c r="F624" s="3" t="str">
        <f>IFERROR(VLOOKUP(E624,Employees!A:L,2,FALSE),"")</f>
        <v/>
      </c>
      <c r="G624" s="3" t="str">
        <f>IFERROR(VLOOKUP(E624,Employees!A:L,3,FALSE),"")</f>
        <v/>
      </c>
      <c r="H624" s="3"/>
      <c r="I624" s="3"/>
      <c r="J624" s="3"/>
      <c r="K624" s="3" t="str">
        <f>IF(B624="","",IF(OR(E624="",H624=""),"ناقص",IF(H624="نعم","مكتمل","غائب")))</f>
        <v/>
      </c>
      <c r="L624" s="3"/>
    </row>
    <row r="625" spans="1:12" x14ac:dyDescent="0.2">
      <c r="A625" s="3">
        <v>622</v>
      </c>
      <c r="B625" s="3"/>
      <c r="C625" s="3" t="str">
        <f>IFERROR(VLOOKUP(B625,Sessions!A:J,2,FALSE),"")</f>
        <v/>
      </c>
      <c r="D625" s="3" t="str">
        <f>IFERROR(VLOOKUP(B625,Sessions!A:J,3,FALSE),"")</f>
        <v/>
      </c>
      <c r="E625" s="3"/>
      <c r="F625" s="3" t="str">
        <f>IFERROR(VLOOKUP(E625,Employees!A:L,2,FALSE),"")</f>
        <v/>
      </c>
      <c r="G625" s="3" t="str">
        <f>IFERROR(VLOOKUP(E625,Employees!A:L,3,FALSE),"")</f>
        <v/>
      </c>
      <c r="H625" s="3"/>
      <c r="I625" s="3"/>
      <c r="J625" s="3"/>
      <c r="K625" s="3" t="str">
        <f>IF(B625="","",IF(OR(E625="",H625=""),"ناقص",IF(H625="نعم","مكتمل","غائب")))</f>
        <v/>
      </c>
      <c r="L625" s="3"/>
    </row>
    <row r="626" spans="1:12" x14ac:dyDescent="0.2">
      <c r="A626" s="3">
        <v>623</v>
      </c>
      <c r="B626" s="3"/>
      <c r="C626" s="3" t="str">
        <f>IFERROR(VLOOKUP(B626,Sessions!A:J,2,FALSE),"")</f>
        <v/>
      </c>
      <c r="D626" s="3" t="str">
        <f>IFERROR(VLOOKUP(B626,Sessions!A:J,3,FALSE),"")</f>
        <v/>
      </c>
      <c r="E626" s="3"/>
      <c r="F626" s="3" t="str">
        <f>IFERROR(VLOOKUP(E626,Employees!A:L,2,FALSE),"")</f>
        <v/>
      </c>
      <c r="G626" s="3" t="str">
        <f>IFERROR(VLOOKUP(E626,Employees!A:L,3,FALSE),"")</f>
        <v/>
      </c>
      <c r="H626" s="3"/>
      <c r="I626" s="3"/>
      <c r="J626" s="3"/>
      <c r="K626" s="3" t="str">
        <f>IF(B626="","",IF(OR(E626="",H626=""),"ناقص",IF(H626="نعم","مكتمل","غائب")))</f>
        <v/>
      </c>
      <c r="L626" s="3"/>
    </row>
    <row r="627" spans="1:12" x14ac:dyDescent="0.2">
      <c r="A627" s="3">
        <v>624</v>
      </c>
      <c r="B627" s="3"/>
      <c r="C627" s="3" t="str">
        <f>IFERROR(VLOOKUP(B627,Sessions!A:J,2,FALSE),"")</f>
        <v/>
      </c>
      <c r="D627" s="3" t="str">
        <f>IFERROR(VLOOKUP(B627,Sessions!A:J,3,FALSE),"")</f>
        <v/>
      </c>
      <c r="E627" s="3"/>
      <c r="F627" s="3" t="str">
        <f>IFERROR(VLOOKUP(E627,Employees!A:L,2,FALSE),"")</f>
        <v/>
      </c>
      <c r="G627" s="3" t="str">
        <f>IFERROR(VLOOKUP(E627,Employees!A:L,3,FALSE),"")</f>
        <v/>
      </c>
      <c r="H627" s="3"/>
      <c r="I627" s="3"/>
      <c r="J627" s="3"/>
      <c r="K627" s="3" t="str">
        <f>IF(B627="","",IF(OR(E627="",H627=""),"ناقص",IF(H627="نعم","مكتمل","غائب")))</f>
        <v/>
      </c>
      <c r="L627" s="3"/>
    </row>
    <row r="628" spans="1:12" x14ac:dyDescent="0.2">
      <c r="A628" s="3">
        <v>625</v>
      </c>
      <c r="B628" s="3"/>
      <c r="C628" s="3" t="str">
        <f>IFERROR(VLOOKUP(B628,Sessions!A:J,2,FALSE),"")</f>
        <v/>
      </c>
      <c r="D628" s="3" t="str">
        <f>IFERROR(VLOOKUP(B628,Sessions!A:J,3,FALSE),"")</f>
        <v/>
      </c>
      <c r="E628" s="3"/>
      <c r="F628" s="3" t="str">
        <f>IFERROR(VLOOKUP(E628,Employees!A:L,2,FALSE),"")</f>
        <v/>
      </c>
      <c r="G628" s="3" t="str">
        <f>IFERROR(VLOOKUP(E628,Employees!A:L,3,FALSE),"")</f>
        <v/>
      </c>
      <c r="H628" s="3"/>
      <c r="I628" s="3"/>
      <c r="J628" s="3"/>
      <c r="K628" s="3" t="str">
        <f>IF(B628="","",IF(OR(E628="",H628=""),"ناقص",IF(H628="نعم","مكتمل","غائب")))</f>
        <v/>
      </c>
      <c r="L628" s="3"/>
    </row>
    <row r="629" spans="1:12" x14ac:dyDescent="0.2">
      <c r="A629" s="3">
        <v>626</v>
      </c>
      <c r="B629" s="3"/>
      <c r="C629" s="3" t="str">
        <f>IFERROR(VLOOKUP(B629,Sessions!A:J,2,FALSE),"")</f>
        <v/>
      </c>
      <c r="D629" s="3" t="str">
        <f>IFERROR(VLOOKUP(B629,Sessions!A:J,3,FALSE),"")</f>
        <v/>
      </c>
      <c r="E629" s="3"/>
      <c r="F629" s="3" t="str">
        <f>IFERROR(VLOOKUP(E629,Employees!A:L,2,FALSE),"")</f>
        <v/>
      </c>
      <c r="G629" s="3" t="str">
        <f>IFERROR(VLOOKUP(E629,Employees!A:L,3,FALSE),"")</f>
        <v/>
      </c>
      <c r="H629" s="3"/>
      <c r="I629" s="3"/>
      <c r="J629" s="3"/>
      <c r="K629" s="3" t="str">
        <f>IF(B629="","",IF(OR(E629="",H629=""),"ناقص",IF(H629="نعم","مكتمل","غائب")))</f>
        <v/>
      </c>
      <c r="L629" s="3"/>
    </row>
    <row r="630" spans="1:12" x14ac:dyDescent="0.2">
      <c r="A630" s="3">
        <v>627</v>
      </c>
      <c r="B630" s="3"/>
      <c r="C630" s="3" t="str">
        <f>IFERROR(VLOOKUP(B630,Sessions!A:J,2,FALSE),"")</f>
        <v/>
      </c>
      <c r="D630" s="3" t="str">
        <f>IFERROR(VLOOKUP(B630,Sessions!A:J,3,FALSE),"")</f>
        <v/>
      </c>
      <c r="E630" s="3"/>
      <c r="F630" s="3" t="str">
        <f>IFERROR(VLOOKUP(E630,Employees!A:L,2,FALSE),"")</f>
        <v/>
      </c>
      <c r="G630" s="3" t="str">
        <f>IFERROR(VLOOKUP(E630,Employees!A:L,3,FALSE),"")</f>
        <v/>
      </c>
      <c r="H630" s="3"/>
      <c r="I630" s="3"/>
      <c r="J630" s="3"/>
      <c r="K630" s="3" t="str">
        <f>IF(B630="","",IF(OR(E630="",H630=""),"ناقص",IF(H630="نعم","مكتمل","غائب")))</f>
        <v/>
      </c>
      <c r="L630" s="3"/>
    </row>
    <row r="631" spans="1:12" x14ac:dyDescent="0.2">
      <c r="A631" s="3">
        <v>628</v>
      </c>
      <c r="B631" s="3"/>
      <c r="C631" s="3" t="str">
        <f>IFERROR(VLOOKUP(B631,Sessions!A:J,2,FALSE),"")</f>
        <v/>
      </c>
      <c r="D631" s="3" t="str">
        <f>IFERROR(VLOOKUP(B631,Sessions!A:J,3,FALSE),"")</f>
        <v/>
      </c>
      <c r="E631" s="3"/>
      <c r="F631" s="3" t="str">
        <f>IFERROR(VLOOKUP(E631,Employees!A:L,2,FALSE),"")</f>
        <v/>
      </c>
      <c r="G631" s="3" t="str">
        <f>IFERROR(VLOOKUP(E631,Employees!A:L,3,FALSE),"")</f>
        <v/>
      </c>
      <c r="H631" s="3"/>
      <c r="I631" s="3"/>
      <c r="J631" s="3"/>
      <c r="K631" s="3" t="str">
        <f>IF(B631="","",IF(OR(E631="",H631=""),"ناقص",IF(H631="نعم","مكتمل","غائب")))</f>
        <v/>
      </c>
      <c r="L631" s="3"/>
    </row>
    <row r="632" spans="1:12" x14ac:dyDescent="0.2">
      <c r="A632" s="3">
        <v>629</v>
      </c>
      <c r="B632" s="3"/>
      <c r="C632" s="3" t="str">
        <f>IFERROR(VLOOKUP(B632,Sessions!A:J,2,FALSE),"")</f>
        <v/>
      </c>
      <c r="D632" s="3" t="str">
        <f>IFERROR(VLOOKUP(B632,Sessions!A:J,3,FALSE),"")</f>
        <v/>
      </c>
      <c r="E632" s="3"/>
      <c r="F632" s="3" t="str">
        <f>IFERROR(VLOOKUP(E632,Employees!A:L,2,FALSE),"")</f>
        <v/>
      </c>
      <c r="G632" s="3" t="str">
        <f>IFERROR(VLOOKUP(E632,Employees!A:L,3,FALSE),"")</f>
        <v/>
      </c>
      <c r="H632" s="3"/>
      <c r="I632" s="3"/>
      <c r="J632" s="3"/>
      <c r="K632" s="3" t="str">
        <f>IF(B632="","",IF(OR(E632="",H632=""),"ناقص",IF(H632="نعم","مكتمل","غائب")))</f>
        <v/>
      </c>
      <c r="L632" s="3"/>
    </row>
    <row r="633" spans="1:12" x14ac:dyDescent="0.2">
      <c r="A633" s="3">
        <v>630</v>
      </c>
      <c r="B633" s="3"/>
      <c r="C633" s="3" t="str">
        <f>IFERROR(VLOOKUP(B633,Sessions!A:J,2,FALSE),"")</f>
        <v/>
      </c>
      <c r="D633" s="3" t="str">
        <f>IFERROR(VLOOKUP(B633,Sessions!A:J,3,FALSE),"")</f>
        <v/>
      </c>
      <c r="E633" s="3"/>
      <c r="F633" s="3" t="str">
        <f>IFERROR(VLOOKUP(E633,Employees!A:L,2,FALSE),"")</f>
        <v/>
      </c>
      <c r="G633" s="3" t="str">
        <f>IFERROR(VLOOKUP(E633,Employees!A:L,3,FALSE),"")</f>
        <v/>
      </c>
      <c r="H633" s="3"/>
      <c r="I633" s="3"/>
      <c r="J633" s="3"/>
      <c r="K633" s="3" t="str">
        <f>IF(B633="","",IF(OR(E633="",H633=""),"ناقص",IF(H633="نعم","مكتمل","غائب")))</f>
        <v/>
      </c>
      <c r="L633" s="3"/>
    </row>
    <row r="634" spans="1:12" x14ac:dyDescent="0.2">
      <c r="A634" s="3">
        <v>631</v>
      </c>
      <c r="B634" s="3"/>
      <c r="C634" s="3" t="str">
        <f>IFERROR(VLOOKUP(B634,Sessions!A:J,2,FALSE),"")</f>
        <v/>
      </c>
      <c r="D634" s="3" t="str">
        <f>IFERROR(VLOOKUP(B634,Sessions!A:J,3,FALSE),"")</f>
        <v/>
      </c>
      <c r="E634" s="3"/>
      <c r="F634" s="3" t="str">
        <f>IFERROR(VLOOKUP(E634,Employees!A:L,2,FALSE),"")</f>
        <v/>
      </c>
      <c r="G634" s="3" t="str">
        <f>IFERROR(VLOOKUP(E634,Employees!A:L,3,FALSE),"")</f>
        <v/>
      </c>
      <c r="H634" s="3"/>
      <c r="I634" s="3"/>
      <c r="J634" s="3"/>
      <c r="K634" s="3" t="str">
        <f>IF(B634="","",IF(OR(E634="",H634=""),"ناقص",IF(H634="نعم","مكتمل","غائب")))</f>
        <v/>
      </c>
      <c r="L634" s="3"/>
    </row>
    <row r="635" spans="1:12" x14ac:dyDescent="0.2">
      <c r="A635" s="3">
        <v>632</v>
      </c>
      <c r="B635" s="3"/>
      <c r="C635" s="3" t="str">
        <f>IFERROR(VLOOKUP(B635,Sessions!A:J,2,FALSE),"")</f>
        <v/>
      </c>
      <c r="D635" s="3" t="str">
        <f>IFERROR(VLOOKUP(B635,Sessions!A:J,3,FALSE),"")</f>
        <v/>
      </c>
      <c r="E635" s="3"/>
      <c r="F635" s="3" t="str">
        <f>IFERROR(VLOOKUP(E635,Employees!A:L,2,FALSE),"")</f>
        <v/>
      </c>
      <c r="G635" s="3" t="str">
        <f>IFERROR(VLOOKUP(E635,Employees!A:L,3,FALSE),"")</f>
        <v/>
      </c>
      <c r="H635" s="3"/>
      <c r="I635" s="3"/>
      <c r="J635" s="3"/>
      <c r="K635" s="3" t="str">
        <f>IF(B635="","",IF(OR(E635="",H635=""),"ناقص",IF(H635="نعم","مكتمل","غائب")))</f>
        <v/>
      </c>
      <c r="L635" s="3"/>
    </row>
    <row r="636" spans="1:12" x14ac:dyDescent="0.2">
      <c r="A636" s="3">
        <v>633</v>
      </c>
      <c r="B636" s="3"/>
      <c r="C636" s="3" t="str">
        <f>IFERROR(VLOOKUP(B636,Sessions!A:J,2,FALSE),"")</f>
        <v/>
      </c>
      <c r="D636" s="3" t="str">
        <f>IFERROR(VLOOKUP(B636,Sessions!A:J,3,FALSE),"")</f>
        <v/>
      </c>
      <c r="E636" s="3"/>
      <c r="F636" s="3" t="str">
        <f>IFERROR(VLOOKUP(E636,Employees!A:L,2,FALSE),"")</f>
        <v/>
      </c>
      <c r="G636" s="3" t="str">
        <f>IFERROR(VLOOKUP(E636,Employees!A:L,3,FALSE),"")</f>
        <v/>
      </c>
      <c r="H636" s="3"/>
      <c r="I636" s="3"/>
      <c r="J636" s="3"/>
      <c r="K636" s="3" t="str">
        <f>IF(B636="","",IF(OR(E636="",H636=""),"ناقص",IF(H636="نعم","مكتمل","غائب")))</f>
        <v/>
      </c>
      <c r="L636" s="3"/>
    </row>
    <row r="637" spans="1:12" x14ac:dyDescent="0.2">
      <c r="A637" s="3">
        <v>634</v>
      </c>
      <c r="B637" s="3"/>
      <c r="C637" s="3" t="str">
        <f>IFERROR(VLOOKUP(B637,Sessions!A:J,2,FALSE),"")</f>
        <v/>
      </c>
      <c r="D637" s="3" t="str">
        <f>IFERROR(VLOOKUP(B637,Sessions!A:J,3,FALSE),"")</f>
        <v/>
      </c>
      <c r="E637" s="3"/>
      <c r="F637" s="3" t="str">
        <f>IFERROR(VLOOKUP(E637,Employees!A:L,2,FALSE),"")</f>
        <v/>
      </c>
      <c r="G637" s="3" t="str">
        <f>IFERROR(VLOOKUP(E637,Employees!A:L,3,FALSE),"")</f>
        <v/>
      </c>
      <c r="H637" s="3"/>
      <c r="I637" s="3"/>
      <c r="J637" s="3"/>
      <c r="K637" s="3" t="str">
        <f>IF(B637="","",IF(OR(E637="",H637=""),"ناقص",IF(H637="نعم","مكتمل","غائب")))</f>
        <v/>
      </c>
      <c r="L637" s="3"/>
    </row>
    <row r="638" spans="1:12" x14ac:dyDescent="0.2">
      <c r="A638" s="3">
        <v>635</v>
      </c>
      <c r="B638" s="3"/>
      <c r="C638" s="3" t="str">
        <f>IFERROR(VLOOKUP(B638,Sessions!A:J,2,FALSE),"")</f>
        <v/>
      </c>
      <c r="D638" s="3" t="str">
        <f>IFERROR(VLOOKUP(B638,Sessions!A:J,3,FALSE),"")</f>
        <v/>
      </c>
      <c r="E638" s="3"/>
      <c r="F638" s="3" t="str">
        <f>IFERROR(VLOOKUP(E638,Employees!A:L,2,FALSE),"")</f>
        <v/>
      </c>
      <c r="G638" s="3" t="str">
        <f>IFERROR(VLOOKUP(E638,Employees!A:L,3,FALSE),"")</f>
        <v/>
      </c>
      <c r="H638" s="3"/>
      <c r="I638" s="3"/>
      <c r="J638" s="3"/>
      <c r="K638" s="3" t="str">
        <f>IF(B638="","",IF(OR(E638="",H638=""),"ناقص",IF(H638="نعم","مكتمل","غائب")))</f>
        <v/>
      </c>
      <c r="L638" s="3"/>
    </row>
    <row r="639" spans="1:12" x14ac:dyDescent="0.2">
      <c r="A639" s="3">
        <v>636</v>
      </c>
      <c r="B639" s="3"/>
      <c r="C639" s="3" t="str">
        <f>IFERROR(VLOOKUP(B639,Sessions!A:J,2,FALSE),"")</f>
        <v/>
      </c>
      <c r="D639" s="3" t="str">
        <f>IFERROR(VLOOKUP(B639,Sessions!A:J,3,FALSE),"")</f>
        <v/>
      </c>
      <c r="E639" s="3"/>
      <c r="F639" s="3" t="str">
        <f>IFERROR(VLOOKUP(E639,Employees!A:L,2,FALSE),"")</f>
        <v/>
      </c>
      <c r="G639" s="3" t="str">
        <f>IFERROR(VLOOKUP(E639,Employees!A:L,3,FALSE),"")</f>
        <v/>
      </c>
      <c r="H639" s="3"/>
      <c r="I639" s="3"/>
      <c r="J639" s="3"/>
      <c r="K639" s="3" t="str">
        <f>IF(B639="","",IF(OR(E639="",H639=""),"ناقص",IF(H639="نعم","مكتمل","غائب")))</f>
        <v/>
      </c>
      <c r="L639" s="3"/>
    </row>
    <row r="640" spans="1:12" x14ac:dyDescent="0.2">
      <c r="A640" s="3">
        <v>637</v>
      </c>
      <c r="B640" s="3"/>
      <c r="C640" s="3" t="str">
        <f>IFERROR(VLOOKUP(B640,Sessions!A:J,2,FALSE),"")</f>
        <v/>
      </c>
      <c r="D640" s="3" t="str">
        <f>IFERROR(VLOOKUP(B640,Sessions!A:J,3,FALSE),"")</f>
        <v/>
      </c>
      <c r="E640" s="3"/>
      <c r="F640" s="3" t="str">
        <f>IFERROR(VLOOKUP(E640,Employees!A:L,2,FALSE),"")</f>
        <v/>
      </c>
      <c r="G640" s="3" t="str">
        <f>IFERROR(VLOOKUP(E640,Employees!A:L,3,FALSE),"")</f>
        <v/>
      </c>
      <c r="H640" s="3"/>
      <c r="I640" s="3"/>
      <c r="J640" s="3"/>
      <c r="K640" s="3" t="str">
        <f>IF(B640="","",IF(OR(E640="",H640=""),"ناقص",IF(H640="نعم","مكتمل","غائب")))</f>
        <v/>
      </c>
      <c r="L640" s="3"/>
    </row>
    <row r="641" spans="1:12" x14ac:dyDescent="0.2">
      <c r="A641" s="3">
        <v>638</v>
      </c>
      <c r="B641" s="3"/>
      <c r="C641" s="3" t="str">
        <f>IFERROR(VLOOKUP(B641,Sessions!A:J,2,FALSE),"")</f>
        <v/>
      </c>
      <c r="D641" s="3" t="str">
        <f>IFERROR(VLOOKUP(B641,Sessions!A:J,3,FALSE),"")</f>
        <v/>
      </c>
      <c r="E641" s="3"/>
      <c r="F641" s="3" t="str">
        <f>IFERROR(VLOOKUP(E641,Employees!A:L,2,FALSE),"")</f>
        <v/>
      </c>
      <c r="G641" s="3" t="str">
        <f>IFERROR(VLOOKUP(E641,Employees!A:L,3,FALSE),"")</f>
        <v/>
      </c>
      <c r="H641" s="3"/>
      <c r="I641" s="3"/>
      <c r="J641" s="3"/>
      <c r="K641" s="3" t="str">
        <f>IF(B641="","",IF(OR(E641="",H641=""),"ناقص",IF(H641="نعم","مكتمل","غائب")))</f>
        <v/>
      </c>
      <c r="L641" s="3"/>
    </row>
    <row r="642" spans="1:12" x14ac:dyDescent="0.2">
      <c r="A642" s="3">
        <v>639</v>
      </c>
      <c r="B642" s="3"/>
      <c r="C642" s="3" t="str">
        <f>IFERROR(VLOOKUP(B642,Sessions!A:J,2,FALSE),"")</f>
        <v/>
      </c>
      <c r="D642" s="3" t="str">
        <f>IFERROR(VLOOKUP(B642,Sessions!A:J,3,FALSE),"")</f>
        <v/>
      </c>
      <c r="E642" s="3"/>
      <c r="F642" s="3" t="str">
        <f>IFERROR(VLOOKUP(E642,Employees!A:L,2,FALSE),"")</f>
        <v/>
      </c>
      <c r="G642" s="3" t="str">
        <f>IFERROR(VLOOKUP(E642,Employees!A:L,3,FALSE),"")</f>
        <v/>
      </c>
      <c r="H642" s="3"/>
      <c r="I642" s="3"/>
      <c r="J642" s="3"/>
      <c r="K642" s="3" t="str">
        <f>IF(B642="","",IF(OR(E642="",H642=""),"ناقص",IF(H642="نعم","مكتمل","غائب")))</f>
        <v/>
      </c>
      <c r="L642" s="3"/>
    </row>
    <row r="643" spans="1:12" x14ac:dyDescent="0.2">
      <c r="A643" s="3">
        <v>640</v>
      </c>
      <c r="B643" s="3"/>
      <c r="C643" s="3" t="str">
        <f>IFERROR(VLOOKUP(B643,Sessions!A:J,2,FALSE),"")</f>
        <v/>
      </c>
      <c r="D643" s="3" t="str">
        <f>IFERROR(VLOOKUP(B643,Sessions!A:J,3,FALSE),"")</f>
        <v/>
      </c>
      <c r="E643" s="3"/>
      <c r="F643" s="3" t="str">
        <f>IFERROR(VLOOKUP(E643,Employees!A:L,2,FALSE),"")</f>
        <v/>
      </c>
      <c r="G643" s="3" t="str">
        <f>IFERROR(VLOOKUP(E643,Employees!A:L,3,FALSE),"")</f>
        <v/>
      </c>
      <c r="H643" s="3"/>
      <c r="I643" s="3"/>
      <c r="J643" s="3"/>
      <c r="K643" s="3" t="str">
        <f>IF(B643="","",IF(OR(E643="",H643=""),"ناقص",IF(H643="نعم","مكتمل","غائب")))</f>
        <v/>
      </c>
      <c r="L643" s="3"/>
    </row>
    <row r="644" spans="1:12" x14ac:dyDescent="0.2">
      <c r="A644" s="3">
        <v>641</v>
      </c>
      <c r="B644" s="3"/>
      <c r="C644" s="3" t="str">
        <f>IFERROR(VLOOKUP(B644,Sessions!A:J,2,FALSE),"")</f>
        <v/>
      </c>
      <c r="D644" s="3" t="str">
        <f>IFERROR(VLOOKUP(B644,Sessions!A:J,3,FALSE),"")</f>
        <v/>
      </c>
      <c r="E644" s="3"/>
      <c r="F644" s="3" t="str">
        <f>IFERROR(VLOOKUP(E644,Employees!A:L,2,FALSE),"")</f>
        <v/>
      </c>
      <c r="G644" s="3" t="str">
        <f>IFERROR(VLOOKUP(E644,Employees!A:L,3,FALSE),"")</f>
        <v/>
      </c>
      <c r="H644" s="3"/>
      <c r="I644" s="3"/>
      <c r="J644" s="3"/>
      <c r="K644" s="3" t="str">
        <f>IF(B644="","",IF(OR(E644="",H644=""),"ناقص",IF(H644="نعم","مكتمل","غائب")))</f>
        <v/>
      </c>
      <c r="L644" s="3"/>
    </row>
    <row r="645" spans="1:12" x14ac:dyDescent="0.2">
      <c r="A645" s="3">
        <v>642</v>
      </c>
      <c r="B645" s="3"/>
      <c r="C645" s="3" t="str">
        <f>IFERROR(VLOOKUP(B645,Sessions!A:J,2,FALSE),"")</f>
        <v/>
      </c>
      <c r="D645" s="3" t="str">
        <f>IFERROR(VLOOKUP(B645,Sessions!A:J,3,FALSE),"")</f>
        <v/>
      </c>
      <c r="E645" s="3"/>
      <c r="F645" s="3" t="str">
        <f>IFERROR(VLOOKUP(E645,Employees!A:L,2,FALSE),"")</f>
        <v/>
      </c>
      <c r="G645" s="3" t="str">
        <f>IFERROR(VLOOKUP(E645,Employees!A:L,3,FALSE),"")</f>
        <v/>
      </c>
      <c r="H645" s="3"/>
      <c r="I645" s="3"/>
      <c r="J645" s="3"/>
      <c r="K645" s="3" t="str">
        <f>IF(B645="","",IF(OR(E645="",H645=""),"ناقص",IF(H645="نعم","مكتمل","غائب")))</f>
        <v/>
      </c>
      <c r="L645" s="3"/>
    </row>
    <row r="646" spans="1:12" x14ac:dyDescent="0.2">
      <c r="A646" s="3">
        <v>643</v>
      </c>
      <c r="B646" s="3"/>
      <c r="C646" s="3" t="str">
        <f>IFERROR(VLOOKUP(B646,Sessions!A:J,2,FALSE),"")</f>
        <v/>
      </c>
      <c r="D646" s="3" t="str">
        <f>IFERROR(VLOOKUP(B646,Sessions!A:J,3,FALSE),"")</f>
        <v/>
      </c>
      <c r="E646" s="3"/>
      <c r="F646" s="3" t="str">
        <f>IFERROR(VLOOKUP(E646,Employees!A:L,2,FALSE),"")</f>
        <v/>
      </c>
      <c r="G646" s="3" t="str">
        <f>IFERROR(VLOOKUP(E646,Employees!A:L,3,FALSE),"")</f>
        <v/>
      </c>
      <c r="H646" s="3"/>
      <c r="I646" s="3"/>
      <c r="J646" s="3"/>
      <c r="K646" s="3" t="str">
        <f>IF(B646="","",IF(OR(E646="",H646=""),"ناقص",IF(H646="نعم","مكتمل","غائب")))</f>
        <v/>
      </c>
      <c r="L646" s="3"/>
    </row>
    <row r="647" spans="1:12" x14ac:dyDescent="0.2">
      <c r="A647" s="3">
        <v>644</v>
      </c>
      <c r="B647" s="3"/>
      <c r="C647" s="3" t="str">
        <f>IFERROR(VLOOKUP(B647,Sessions!A:J,2,FALSE),"")</f>
        <v/>
      </c>
      <c r="D647" s="3" t="str">
        <f>IFERROR(VLOOKUP(B647,Sessions!A:J,3,FALSE),"")</f>
        <v/>
      </c>
      <c r="E647" s="3"/>
      <c r="F647" s="3" t="str">
        <f>IFERROR(VLOOKUP(E647,Employees!A:L,2,FALSE),"")</f>
        <v/>
      </c>
      <c r="G647" s="3" t="str">
        <f>IFERROR(VLOOKUP(E647,Employees!A:L,3,FALSE),"")</f>
        <v/>
      </c>
      <c r="H647" s="3"/>
      <c r="I647" s="3"/>
      <c r="J647" s="3"/>
      <c r="K647" s="3" t="str">
        <f>IF(B647="","",IF(OR(E647="",H647=""),"ناقص",IF(H647="نعم","مكتمل","غائب")))</f>
        <v/>
      </c>
      <c r="L647" s="3"/>
    </row>
    <row r="648" spans="1:12" x14ac:dyDescent="0.2">
      <c r="A648" s="3">
        <v>645</v>
      </c>
      <c r="B648" s="3"/>
      <c r="C648" s="3" t="str">
        <f>IFERROR(VLOOKUP(B648,Sessions!A:J,2,FALSE),"")</f>
        <v/>
      </c>
      <c r="D648" s="3" t="str">
        <f>IFERROR(VLOOKUP(B648,Sessions!A:J,3,FALSE),"")</f>
        <v/>
      </c>
      <c r="E648" s="3"/>
      <c r="F648" s="3" t="str">
        <f>IFERROR(VLOOKUP(E648,Employees!A:L,2,FALSE),"")</f>
        <v/>
      </c>
      <c r="G648" s="3" t="str">
        <f>IFERROR(VLOOKUP(E648,Employees!A:L,3,FALSE),"")</f>
        <v/>
      </c>
      <c r="H648" s="3"/>
      <c r="I648" s="3"/>
      <c r="J648" s="3"/>
      <c r="K648" s="3" t="str">
        <f>IF(B648="","",IF(OR(E648="",H648=""),"ناقص",IF(H648="نعم","مكتمل","غائب")))</f>
        <v/>
      </c>
      <c r="L648" s="3"/>
    </row>
    <row r="649" spans="1:12" x14ac:dyDescent="0.2">
      <c r="A649" s="3">
        <v>646</v>
      </c>
      <c r="B649" s="3"/>
      <c r="C649" s="3" t="str">
        <f>IFERROR(VLOOKUP(B649,Sessions!A:J,2,FALSE),"")</f>
        <v/>
      </c>
      <c r="D649" s="3" t="str">
        <f>IFERROR(VLOOKUP(B649,Sessions!A:J,3,FALSE),"")</f>
        <v/>
      </c>
      <c r="E649" s="3"/>
      <c r="F649" s="3" t="str">
        <f>IFERROR(VLOOKUP(E649,Employees!A:L,2,FALSE),"")</f>
        <v/>
      </c>
      <c r="G649" s="3" t="str">
        <f>IFERROR(VLOOKUP(E649,Employees!A:L,3,FALSE),"")</f>
        <v/>
      </c>
      <c r="H649" s="3"/>
      <c r="I649" s="3"/>
      <c r="J649" s="3"/>
      <c r="K649" s="3" t="str">
        <f>IF(B649="","",IF(OR(E649="",H649=""),"ناقص",IF(H649="نعم","مكتمل","غائب")))</f>
        <v/>
      </c>
      <c r="L649" s="3"/>
    </row>
    <row r="650" spans="1:12" x14ac:dyDescent="0.2">
      <c r="A650" s="3">
        <v>647</v>
      </c>
      <c r="B650" s="3"/>
      <c r="C650" s="3" t="str">
        <f>IFERROR(VLOOKUP(B650,Sessions!A:J,2,FALSE),"")</f>
        <v/>
      </c>
      <c r="D650" s="3" t="str">
        <f>IFERROR(VLOOKUP(B650,Sessions!A:J,3,FALSE),"")</f>
        <v/>
      </c>
      <c r="E650" s="3"/>
      <c r="F650" s="3" t="str">
        <f>IFERROR(VLOOKUP(E650,Employees!A:L,2,FALSE),"")</f>
        <v/>
      </c>
      <c r="G650" s="3" t="str">
        <f>IFERROR(VLOOKUP(E650,Employees!A:L,3,FALSE),"")</f>
        <v/>
      </c>
      <c r="H650" s="3"/>
      <c r="I650" s="3"/>
      <c r="J650" s="3"/>
      <c r="K650" s="3" t="str">
        <f>IF(B650="","",IF(OR(E650="",H650=""),"ناقص",IF(H650="نعم","مكتمل","غائب")))</f>
        <v/>
      </c>
      <c r="L650" s="3"/>
    </row>
    <row r="651" spans="1:12" x14ac:dyDescent="0.2">
      <c r="A651" s="3">
        <v>648</v>
      </c>
      <c r="B651" s="3"/>
      <c r="C651" s="3" t="str">
        <f>IFERROR(VLOOKUP(B651,Sessions!A:J,2,FALSE),"")</f>
        <v/>
      </c>
      <c r="D651" s="3" t="str">
        <f>IFERROR(VLOOKUP(B651,Sessions!A:J,3,FALSE),"")</f>
        <v/>
      </c>
      <c r="E651" s="3"/>
      <c r="F651" s="3" t="str">
        <f>IFERROR(VLOOKUP(E651,Employees!A:L,2,FALSE),"")</f>
        <v/>
      </c>
      <c r="G651" s="3" t="str">
        <f>IFERROR(VLOOKUP(E651,Employees!A:L,3,FALSE),"")</f>
        <v/>
      </c>
      <c r="H651" s="3"/>
      <c r="I651" s="3"/>
      <c r="J651" s="3"/>
      <c r="K651" s="3" t="str">
        <f>IF(B651="","",IF(OR(E651="",H651=""),"ناقص",IF(H651="نعم","مكتمل","غائب")))</f>
        <v/>
      </c>
      <c r="L651" s="3"/>
    </row>
    <row r="652" spans="1:12" x14ac:dyDescent="0.2">
      <c r="A652" s="3">
        <v>649</v>
      </c>
      <c r="B652" s="3"/>
      <c r="C652" s="3" t="str">
        <f>IFERROR(VLOOKUP(B652,Sessions!A:J,2,FALSE),"")</f>
        <v/>
      </c>
      <c r="D652" s="3" t="str">
        <f>IFERROR(VLOOKUP(B652,Sessions!A:J,3,FALSE),"")</f>
        <v/>
      </c>
      <c r="E652" s="3"/>
      <c r="F652" s="3" t="str">
        <f>IFERROR(VLOOKUP(E652,Employees!A:L,2,FALSE),"")</f>
        <v/>
      </c>
      <c r="G652" s="3" t="str">
        <f>IFERROR(VLOOKUP(E652,Employees!A:L,3,FALSE),"")</f>
        <v/>
      </c>
      <c r="H652" s="3"/>
      <c r="I652" s="3"/>
      <c r="J652" s="3"/>
      <c r="K652" s="3" t="str">
        <f>IF(B652="","",IF(OR(E652="",H652=""),"ناقص",IF(H652="نعم","مكتمل","غائب")))</f>
        <v/>
      </c>
      <c r="L652" s="3"/>
    </row>
    <row r="653" spans="1:12" x14ac:dyDescent="0.2">
      <c r="A653" s="3">
        <v>650</v>
      </c>
      <c r="B653" s="3"/>
      <c r="C653" s="3" t="str">
        <f>IFERROR(VLOOKUP(B653,Sessions!A:J,2,FALSE),"")</f>
        <v/>
      </c>
      <c r="D653" s="3" t="str">
        <f>IFERROR(VLOOKUP(B653,Sessions!A:J,3,FALSE),"")</f>
        <v/>
      </c>
      <c r="E653" s="3"/>
      <c r="F653" s="3" t="str">
        <f>IFERROR(VLOOKUP(E653,Employees!A:L,2,FALSE),"")</f>
        <v/>
      </c>
      <c r="G653" s="3" t="str">
        <f>IFERROR(VLOOKUP(E653,Employees!A:L,3,FALSE),"")</f>
        <v/>
      </c>
      <c r="H653" s="3"/>
      <c r="I653" s="3"/>
      <c r="J653" s="3"/>
      <c r="K653" s="3" t="str">
        <f>IF(B653="","",IF(OR(E653="",H653=""),"ناقص",IF(H653="نعم","مكتمل","غائب")))</f>
        <v/>
      </c>
      <c r="L653" s="3"/>
    </row>
    <row r="654" spans="1:12" x14ac:dyDescent="0.2">
      <c r="A654" s="3">
        <v>651</v>
      </c>
      <c r="B654" s="3"/>
      <c r="C654" s="3" t="str">
        <f>IFERROR(VLOOKUP(B654,Sessions!A:J,2,FALSE),"")</f>
        <v/>
      </c>
      <c r="D654" s="3" t="str">
        <f>IFERROR(VLOOKUP(B654,Sessions!A:J,3,FALSE),"")</f>
        <v/>
      </c>
      <c r="E654" s="3"/>
      <c r="F654" s="3" t="str">
        <f>IFERROR(VLOOKUP(E654,Employees!A:L,2,FALSE),"")</f>
        <v/>
      </c>
      <c r="G654" s="3" t="str">
        <f>IFERROR(VLOOKUP(E654,Employees!A:L,3,FALSE),"")</f>
        <v/>
      </c>
      <c r="H654" s="3"/>
      <c r="I654" s="3"/>
      <c r="J654" s="3"/>
      <c r="K654" s="3" t="str">
        <f>IF(B654="","",IF(OR(E654="",H654=""),"ناقص",IF(H654="نعم","مكتمل","غائب")))</f>
        <v/>
      </c>
      <c r="L654" s="3"/>
    </row>
    <row r="655" spans="1:12" x14ac:dyDescent="0.2">
      <c r="A655" s="3">
        <v>652</v>
      </c>
      <c r="B655" s="3"/>
      <c r="C655" s="3" t="str">
        <f>IFERROR(VLOOKUP(B655,Sessions!A:J,2,FALSE),"")</f>
        <v/>
      </c>
      <c r="D655" s="3" t="str">
        <f>IFERROR(VLOOKUP(B655,Sessions!A:J,3,FALSE),"")</f>
        <v/>
      </c>
      <c r="E655" s="3"/>
      <c r="F655" s="3" t="str">
        <f>IFERROR(VLOOKUP(E655,Employees!A:L,2,FALSE),"")</f>
        <v/>
      </c>
      <c r="G655" s="3" t="str">
        <f>IFERROR(VLOOKUP(E655,Employees!A:L,3,FALSE),"")</f>
        <v/>
      </c>
      <c r="H655" s="3"/>
      <c r="I655" s="3"/>
      <c r="J655" s="3"/>
      <c r="K655" s="3" t="str">
        <f>IF(B655="","",IF(OR(E655="",H655=""),"ناقص",IF(H655="نعم","مكتمل","غائب")))</f>
        <v/>
      </c>
      <c r="L655" s="3"/>
    </row>
    <row r="656" spans="1:12" x14ac:dyDescent="0.2">
      <c r="A656" s="3">
        <v>653</v>
      </c>
      <c r="B656" s="3"/>
      <c r="C656" s="3" t="str">
        <f>IFERROR(VLOOKUP(B656,Sessions!A:J,2,FALSE),"")</f>
        <v/>
      </c>
      <c r="D656" s="3" t="str">
        <f>IFERROR(VLOOKUP(B656,Sessions!A:J,3,FALSE),"")</f>
        <v/>
      </c>
      <c r="E656" s="3"/>
      <c r="F656" s="3" t="str">
        <f>IFERROR(VLOOKUP(E656,Employees!A:L,2,FALSE),"")</f>
        <v/>
      </c>
      <c r="G656" s="3" t="str">
        <f>IFERROR(VLOOKUP(E656,Employees!A:L,3,FALSE),"")</f>
        <v/>
      </c>
      <c r="H656" s="3"/>
      <c r="I656" s="3"/>
      <c r="J656" s="3"/>
      <c r="K656" s="3" t="str">
        <f>IF(B656="","",IF(OR(E656="",H656=""),"ناقص",IF(H656="نعم","مكتمل","غائب")))</f>
        <v/>
      </c>
      <c r="L656" s="3"/>
    </row>
    <row r="657" spans="1:12" x14ac:dyDescent="0.2">
      <c r="A657" s="3">
        <v>654</v>
      </c>
      <c r="B657" s="3"/>
      <c r="C657" s="3" t="str">
        <f>IFERROR(VLOOKUP(B657,Sessions!A:J,2,FALSE),"")</f>
        <v/>
      </c>
      <c r="D657" s="3" t="str">
        <f>IFERROR(VLOOKUP(B657,Sessions!A:J,3,FALSE),"")</f>
        <v/>
      </c>
      <c r="E657" s="3"/>
      <c r="F657" s="3" t="str">
        <f>IFERROR(VLOOKUP(E657,Employees!A:L,2,FALSE),"")</f>
        <v/>
      </c>
      <c r="G657" s="3" t="str">
        <f>IFERROR(VLOOKUP(E657,Employees!A:L,3,FALSE),"")</f>
        <v/>
      </c>
      <c r="H657" s="3"/>
      <c r="I657" s="3"/>
      <c r="J657" s="3"/>
      <c r="K657" s="3" t="str">
        <f>IF(B657="","",IF(OR(E657="",H657=""),"ناقص",IF(H657="نعم","مكتمل","غائب")))</f>
        <v/>
      </c>
      <c r="L657" s="3"/>
    </row>
    <row r="658" spans="1:12" x14ac:dyDescent="0.2">
      <c r="A658" s="3">
        <v>655</v>
      </c>
      <c r="B658" s="3"/>
      <c r="C658" s="3" t="str">
        <f>IFERROR(VLOOKUP(B658,Sessions!A:J,2,FALSE),"")</f>
        <v/>
      </c>
      <c r="D658" s="3" t="str">
        <f>IFERROR(VLOOKUP(B658,Sessions!A:J,3,FALSE),"")</f>
        <v/>
      </c>
      <c r="E658" s="3"/>
      <c r="F658" s="3" t="str">
        <f>IFERROR(VLOOKUP(E658,Employees!A:L,2,FALSE),"")</f>
        <v/>
      </c>
      <c r="G658" s="3" t="str">
        <f>IFERROR(VLOOKUP(E658,Employees!A:L,3,FALSE),"")</f>
        <v/>
      </c>
      <c r="H658" s="3"/>
      <c r="I658" s="3"/>
      <c r="J658" s="3"/>
      <c r="K658" s="3" t="str">
        <f>IF(B658="","",IF(OR(E658="",H658=""),"ناقص",IF(H658="نعم","مكتمل","غائب")))</f>
        <v/>
      </c>
      <c r="L658" s="3"/>
    </row>
    <row r="659" spans="1:12" x14ac:dyDescent="0.2">
      <c r="A659" s="3">
        <v>656</v>
      </c>
      <c r="B659" s="3"/>
      <c r="C659" s="3" t="str">
        <f>IFERROR(VLOOKUP(B659,Sessions!A:J,2,FALSE),"")</f>
        <v/>
      </c>
      <c r="D659" s="3" t="str">
        <f>IFERROR(VLOOKUP(B659,Sessions!A:J,3,FALSE),"")</f>
        <v/>
      </c>
      <c r="E659" s="3"/>
      <c r="F659" s="3" t="str">
        <f>IFERROR(VLOOKUP(E659,Employees!A:L,2,FALSE),"")</f>
        <v/>
      </c>
      <c r="G659" s="3" t="str">
        <f>IFERROR(VLOOKUP(E659,Employees!A:L,3,FALSE),"")</f>
        <v/>
      </c>
      <c r="H659" s="3"/>
      <c r="I659" s="3"/>
      <c r="J659" s="3"/>
      <c r="K659" s="3" t="str">
        <f>IF(B659="","",IF(OR(E659="",H659=""),"ناقص",IF(H659="نعم","مكتمل","غائب")))</f>
        <v/>
      </c>
      <c r="L659" s="3"/>
    </row>
    <row r="660" spans="1:12" x14ac:dyDescent="0.2">
      <c r="A660" s="3">
        <v>657</v>
      </c>
      <c r="B660" s="3"/>
      <c r="C660" s="3" t="str">
        <f>IFERROR(VLOOKUP(B660,Sessions!A:J,2,FALSE),"")</f>
        <v/>
      </c>
      <c r="D660" s="3" t="str">
        <f>IFERROR(VLOOKUP(B660,Sessions!A:J,3,FALSE),"")</f>
        <v/>
      </c>
      <c r="E660" s="3"/>
      <c r="F660" s="3" t="str">
        <f>IFERROR(VLOOKUP(E660,Employees!A:L,2,FALSE),"")</f>
        <v/>
      </c>
      <c r="G660" s="3" t="str">
        <f>IFERROR(VLOOKUP(E660,Employees!A:L,3,FALSE),"")</f>
        <v/>
      </c>
      <c r="H660" s="3"/>
      <c r="I660" s="3"/>
      <c r="J660" s="3"/>
      <c r="K660" s="3" t="str">
        <f>IF(B660="","",IF(OR(E660="",H660=""),"ناقص",IF(H660="نعم","مكتمل","غائب")))</f>
        <v/>
      </c>
      <c r="L660" s="3"/>
    </row>
    <row r="661" spans="1:12" x14ac:dyDescent="0.2">
      <c r="A661" s="3">
        <v>658</v>
      </c>
      <c r="B661" s="3"/>
      <c r="C661" s="3" t="str">
        <f>IFERROR(VLOOKUP(B661,Sessions!A:J,2,FALSE),"")</f>
        <v/>
      </c>
      <c r="D661" s="3" t="str">
        <f>IFERROR(VLOOKUP(B661,Sessions!A:J,3,FALSE),"")</f>
        <v/>
      </c>
      <c r="E661" s="3"/>
      <c r="F661" s="3" t="str">
        <f>IFERROR(VLOOKUP(E661,Employees!A:L,2,FALSE),"")</f>
        <v/>
      </c>
      <c r="G661" s="3" t="str">
        <f>IFERROR(VLOOKUP(E661,Employees!A:L,3,FALSE),"")</f>
        <v/>
      </c>
      <c r="H661" s="3"/>
      <c r="I661" s="3"/>
      <c r="J661" s="3"/>
      <c r="K661" s="3" t="str">
        <f>IF(B661="","",IF(OR(E661="",H661=""),"ناقص",IF(H661="نعم","مكتمل","غائب")))</f>
        <v/>
      </c>
      <c r="L661" s="3"/>
    </row>
    <row r="662" spans="1:12" x14ac:dyDescent="0.2">
      <c r="A662" s="3">
        <v>659</v>
      </c>
      <c r="B662" s="3"/>
      <c r="C662" s="3" t="str">
        <f>IFERROR(VLOOKUP(B662,Sessions!A:J,2,FALSE),"")</f>
        <v/>
      </c>
      <c r="D662" s="3" t="str">
        <f>IFERROR(VLOOKUP(B662,Sessions!A:J,3,FALSE),"")</f>
        <v/>
      </c>
      <c r="E662" s="3"/>
      <c r="F662" s="3" t="str">
        <f>IFERROR(VLOOKUP(E662,Employees!A:L,2,FALSE),"")</f>
        <v/>
      </c>
      <c r="G662" s="3" t="str">
        <f>IFERROR(VLOOKUP(E662,Employees!A:L,3,FALSE),"")</f>
        <v/>
      </c>
      <c r="H662" s="3"/>
      <c r="I662" s="3"/>
      <c r="J662" s="3"/>
      <c r="K662" s="3" t="str">
        <f>IF(B662="","",IF(OR(E662="",H662=""),"ناقص",IF(H662="نعم","مكتمل","غائب")))</f>
        <v/>
      </c>
      <c r="L662" s="3"/>
    </row>
    <row r="663" spans="1:12" x14ac:dyDescent="0.2">
      <c r="A663" s="3">
        <v>660</v>
      </c>
      <c r="B663" s="3"/>
      <c r="C663" s="3" t="str">
        <f>IFERROR(VLOOKUP(B663,Sessions!A:J,2,FALSE),"")</f>
        <v/>
      </c>
      <c r="D663" s="3" t="str">
        <f>IFERROR(VLOOKUP(B663,Sessions!A:J,3,FALSE),"")</f>
        <v/>
      </c>
      <c r="E663" s="3"/>
      <c r="F663" s="3" t="str">
        <f>IFERROR(VLOOKUP(E663,Employees!A:L,2,FALSE),"")</f>
        <v/>
      </c>
      <c r="G663" s="3" t="str">
        <f>IFERROR(VLOOKUP(E663,Employees!A:L,3,FALSE),"")</f>
        <v/>
      </c>
      <c r="H663" s="3"/>
      <c r="I663" s="3"/>
      <c r="J663" s="3"/>
      <c r="K663" s="3" t="str">
        <f>IF(B663="","",IF(OR(E663="",H663=""),"ناقص",IF(H663="نعم","مكتمل","غائب")))</f>
        <v/>
      </c>
      <c r="L663" s="3"/>
    </row>
    <row r="664" spans="1:12" x14ac:dyDescent="0.2">
      <c r="A664" s="3">
        <v>661</v>
      </c>
      <c r="B664" s="3"/>
      <c r="C664" s="3" t="str">
        <f>IFERROR(VLOOKUP(B664,Sessions!A:J,2,FALSE),"")</f>
        <v/>
      </c>
      <c r="D664" s="3" t="str">
        <f>IFERROR(VLOOKUP(B664,Sessions!A:J,3,FALSE),"")</f>
        <v/>
      </c>
      <c r="E664" s="3"/>
      <c r="F664" s="3" t="str">
        <f>IFERROR(VLOOKUP(E664,Employees!A:L,2,FALSE),"")</f>
        <v/>
      </c>
      <c r="G664" s="3" t="str">
        <f>IFERROR(VLOOKUP(E664,Employees!A:L,3,FALSE),"")</f>
        <v/>
      </c>
      <c r="H664" s="3"/>
      <c r="I664" s="3"/>
      <c r="J664" s="3"/>
      <c r="K664" s="3" t="str">
        <f>IF(B664="","",IF(OR(E664="",H664=""),"ناقص",IF(H664="نعم","مكتمل","غائب")))</f>
        <v/>
      </c>
      <c r="L664" s="3"/>
    </row>
    <row r="665" spans="1:12" x14ac:dyDescent="0.2">
      <c r="A665" s="3">
        <v>662</v>
      </c>
      <c r="B665" s="3"/>
      <c r="C665" s="3" t="str">
        <f>IFERROR(VLOOKUP(B665,Sessions!A:J,2,FALSE),"")</f>
        <v/>
      </c>
      <c r="D665" s="3" t="str">
        <f>IFERROR(VLOOKUP(B665,Sessions!A:J,3,FALSE),"")</f>
        <v/>
      </c>
      <c r="E665" s="3"/>
      <c r="F665" s="3" t="str">
        <f>IFERROR(VLOOKUP(E665,Employees!A:L,2,FALSE),"")</f>
        <v/>
      </c>
      <c r="G665" s="3" t="str">
        <f>IFERROR(VLOOKUP(E665,Employees!A:L,3,FALSE),"")</f>
        <v/>
      </c>
      <c r="H665" s="3"/>
      <c r="I665" s="3"/>
      <c r="J665" s="3"/>
      <c r="K665" s="3" t="str">
        <f>IF(B665="","",IF(OR(E665="",H665=""),"ناقص",IF(H665="نعم","مكتمل","غائب")))</f>
        <v/>
      </c>
      <c r="L665" s="3"/>
    </row>
    <row r="666" spans="1:12" x14ac:dyDescent="0.2">
      <c r="A666" s="3">
        <v>663</v>
      </c>
      <c r="B666" s="3"/>
      <c r="C666" s="3" t="str">
        <f>IFERROR(VLOOKUP(B666,Sessions!A:J,2,FALSE),"")</f>
        <v/>
      </c>
      <c r="D666" s="3" t="str">
        <f>IFERROR(VLOOKUP(B666,Sessions!A:J,3,FALSE),"")</f>
        <v/>
      </c>
      <c r="E666" s="3"/>
      <c r="F666" s="3" t="str">
        <f>IFERROR(VLOOKUP(E666,Employees!A:L,2,FALSE),"")</f>
        <v/>
      </c>
      <c r="G666" s="3" t="str">
        <f>IFERROR(VLOOKUP(E666,Employees!A:L,3,FALSE),"")</f>
        <v/>
      </c>
      <c r="H666" s="3"/>
      <c r="I666" s="3"/>
      <c r="J666" s="3"/>
      <c r="K666" s="3" t="str">
        <f>IF(B666="","",IF(OR(E666="",H666=""),"ناقص",IF(H666="نعم","مكتمل","غائب")))</f>
        <v/>
      </c>
      <c r="L666" s="3"/>
    </row>
    <row r="667" spans="1:12" x14ac:dyDescent="0.2">
      <c r="A667" s="3">
        <v>664</v>
      </c>
      <c r="B667" s="3"/>
      <c r="C667" s="3" t="str">
        <f>IFERROR(VLOOKUP(B667,Sessions!A:J,2,FALSE),"")</f>
        <v/>
      </c>
      <c r="D667" s="3" t="str">
        <f>IFERROR(VLOOKUP(B667,Sessions!A:J,3,FALSE),"")</f>
        <v/>
      </c>
      <c r="E667" s="3"/>
      <c r="F667" s="3" t="str">
        <f>IFERROR(VLOOKUP(E667,Employees!A:L,2,FALSE),"")</f>
        <v/>
      </c>
      <c r="G667" s="3" t="str">
        <f>IFERROR(VLOOKUP(E667,Employees!A:L,3,FALSE),"")</f>
        <v/>
      </c>
      <c r="H667" s="3"/>
      <c r="I667" s="3"/>
      <c r="J667" s="3"/>
      <c r="K667" s="3" t="str">
        <f>IF(B667="","",IF(OR(E667="",H667=""),"ناقص",IF(H667="نعم","مكتمل","غائب")))</f>
        <v/>
      </c>
      <c r="L667" s="3"/>
    </row>
    <row r="668" spans="1:12" x14ac:dyDescent="0.2">
      <c r="A668" s="3">
        <v>665</v>
      </c>
      <c r="B668" s="3"/>
      <c r="C668" s="3" t="str">
        <f>IFERROR(VLOOKUP(B668,Sessions!A:J,2,FALSE),"")</f>
        <v/>
      </c>
      <c r="D668" s="3" t="str">
        <f>IFERROR(VLOOKUP(B668,Sessions!A:J,3,FALSE),"")</f>
        <v/>
      </c>
      <c r="E668" s="3"/>
      <c r="F668" s="3" t="str">
        <f>IFERROR(VLOOKUP(E668,Employees!A:L,2,FALSE),"")</f>
        <v/>
      </c>
      <c r="G668" s="3" t="str">
        <f>IFERROR(VLOOKUP(E668,Employees!A:L,3,FALSE),"")</f>
        <v/>
      </c>
      <c r="H668" s="3"/>
      <c r="I668" s="3"/>
      <c r="J668" s="3"/>
      <c r="K668" s="3" t="str">
        <f>IF(B668="","",IF(OR(E668="",H668=""),"ناقص",IF(H668="نعم","مكتمل","غائب")))</f>
        <v/>
      </c>
      <c r="L668" s="3"/>
    </row>
    <row r="669" spans="1:12" x14ac:dyDescent="0.2">
      <c r="A669" s="3">
        <v>666</v>
      </c>
      <c r="B669" s="3"/>
      <c r="C669" s="3" t="str">
        <f>IFERROR(VLOOKUP(B669,Sessions!A:J,2,FALSE),"")</f>
        <v/>
      </c>
      <c r="D669" s="3" t="str">
        <f>IFERROR(VLOOKUP(B669,Sessions!A:J,3,FALSE),"")</f>
        <v/>
      </c>
      <c r="E669" s="3"/>
      <c r="F669" s="3" t="str">
        <f>IFERROR(VLOOKUP(E669,Employees!A:L,2,FALSE),"")</f>
        <v/>
      </c>
      <c r="G669" s="3" t="str">
        <f>IFERROR(VLOOKUP(E669,Employees!A:L,3,FALSE),"")</f>
        <v/>
      </c>
      <c r="H669" s="3"/>
      <c r="I669" s="3"/>
      <c r="J669" s="3"/>
      <c r="K669" s="3" t="str">
        <f>IF(B669="","",IF(OR(E669="",H669=""),"ناقص",IF(H669="نعم","مكتمل","غائب")))</f>
        <v/>
      </c>
      <c r="L669" s="3"/>
    </row>
    <row r="670" spans="1:12" x14ac:dyDescent="0.2">
      <c r="A670" s="3">
        <v>667</v>
      </c>
      <c r="B670" s="3"/>
      <c r="C670" s="3" t="str">
        <f>IFERROR(VLOOKUP(B670,Sessions!A:J,2,FALSE),"")</f>
        <v/>
      </c>
      <c r="D670" s="3" t="str">
        <f>IFERROR(VLOOKUP(B670,Sessions!A:J,3,FALSE),"")</f>
        <v/>
      </c>
      <c r="E670" s="3"/>
      <c r="F670" s="3" t="str">
        <f>IFERROR(VLOOKUP(E670,Employees!A:L,2,FALSE),"")</f>
        <v/>
      </c>
      <c r="G670" s="3" t="str">
        <f>IFERROR(VLOOKUP(E670,Employees!A:L,3,FALSE),"")</f>
        <v/>
      </c>
      <c r="H670" s="3"/>
      <c r="I670" s="3"/>
      <c r="J670" s="3"/>
      <c r="K670" s="3" t="str">
        <f>IF(B670="","",IF(OR(E670="",H670=""),"ناقص",IF(H670="نعم","مكتمل","غائب")))</f>
        <v/>
      </c>
      <c r="L670" s="3"/>
    </row>
    <row r="671" spans="1:12" x14ac:dyDescent="0.2">
      <c r="A671" s="3">
        <v>668</v>
      </c>
      <c r="B671" s="3"/>
      <c r="C671" s="3" t="str">
        <f>IFERROR(VLOOKUP(B671,Sessions!A:J,2,FALSE),"")</f>
        <v/>
      </c>
      <c r="D671" s="3" t="str">
        <f>IFERROR(VLOOKUP(B671,Sessions!A:J,3,FALSE),"")</f>
        <v/>
      </c>
      <c r="E671" s="3"/>
      <c r="F671" s="3" t="str">
        <f>IFERROR(VLOOKUP(E671,Employees!A:L,2,FALSE),"")</f>
        <v/>
      </c>
      <c r="G671" s="3" t="str">
        <f>IFERROR(VLOOKUP(E671,Employees!A:L,3,FALSE),"")</f>
        <v/>
      </c>
      <c r="H671" s="3"/>
      <c r="I671" s="3"/>
      <c r="J671" s="3"/>
      <c r="K671" s="3" t="str">
        <f>IF(B671="","",IF(OR(E671="",H671=""),"ناقص",IF(H671="نعم","مكتمل","غائب")))</f>
        <v/>
      </c>
      <c r="L671" s="3"/>
    </row>
    <row r="672" spans="1:12" x14ac:dyDescent="0.2">
      <c r="A672" s="3">
        <v>669</v>
      </c>
      <c r="B672" s="3"/>
      <c r="C672" s="3" t="str">
        <f>IFERROR(VLOOKUP(B672,Sessions!A:J,2,FALSE),"")</f>
        <v/>
      </c>
      <c r="D672" s="3" t="str">
        <f>IFERROR(VLOOKUP(B672,Sessions!A:J,3,FALSE),"")</f>
        <v/>
      </c>
      <c r="E672" s="3"/>
      <c r="F672" s="3" t="str">
        <f>IFERROR(VLOOKUP(E672,Employees!A:L,2,FALSE),"")</f>
        <v/>
      </c>
      <c r="G672" s="3" t="str">
        <f>IFERROR(VLOOKUP(E672,Employees!A:L,3,FALSE),"")</f>
        <v/>
      </c>
      <c r="H672" s="3"/>
      <c r="I672" s="3"/>
      <c r="J672" s="3"/>
      <c r="K672" s="3" t="str">
        <f>IF(B672="","",IF(OR(E672="",H672=""),"ناقص",IF(H672="نعم","مكتمل","غائب")))</f>
        <v/>
      </c>
      <c r="L672" s="3"/>
    </row>
    <row r="673" spans="1:12" x14ac:dyDescent="0.2">
      <c r="A673" s="3">
        <v>670</v>
      </c>
      <c r="B673" s="3"/>
      <c r="C673" s="3" t="str">
        <f>IFERROR(VLOOKUP(B673,Sessions!A:J,2,FALSE),"")</f>
        <v/>
      </c>
      <c r="D673" s="3" t="str">
        <f>IFERROR(VLOOKUP(B673,Sessions!A:J,3,FALSE),"")</f>
        <v/>
      </c>
      <c r="E673" s="3"/>
      <c r="F673" s="3" t="str">
        <f>IFERROR(VLOOKUP(E673,Employees!A:L,2,FALSE),"")</f>
        <v/>
      </c>
      <c r="G673" s="3" t="str">
        <f>IFERROR(VLOOKUP(E673,Employees!A:L,3,FALSE),"")</f>
        <v/>
      </c>
      <c r="H673" s="3"/>
      <c r="I673" s="3"/>
      <c r="J673" s="3"/>
      <c r="K673" s="3" t="str">
        <f>IF(B673="","",IF(OR(E673="",H673=""),"ناقص",IF(H673="نعم","مكتمل","غائب")))</f>
        <v/>
      </c>
      <c r="L673" s="3"/>
    </row>
    <row r="674" spans="1:12" x14ac:dyDescent="0.2">
      <c r="A674" s="3">
        <v>671</v>
      </c>
      <c r="B674" s="3"/>
      <c r="C674" s="3" t="str">
        <f>IFERROR(VLOOKUP(B674,Sessions!A:J,2,FALSE),"")</f>
        <v/>
      </c>
      <c r="D674" s="3" t="str">
        <f>IFERROR(VLOOKUP(B674,Sessions!A:J,3,FALSE),"")</f>
        <v/>
      </c>
      <c r="E674" s="3"/>
      <c r="F674" s="3" t="str">
        <f>IFERROR(VLOOKUP(E674,Employees!A:L,2,FALSE),"")</f>
        <v/>
      </c>
      <c r="G674" s="3" t="str">
        <f>IFERROR(VLOOKUP(E674,Employees!A:L,3,FALSE),"")</f>
        <v/>
      </c>
      <c r="H674" s="3"/>
      <c r="I674" s="3"/>
      <c r="J674" s="3"/>
      <c r="K674" s="3" t="str">
        <f>IF(B674="","",IF(OR(E674="",H674=""),"ناقص",IF(H674="نعم","مكتمل","غائب")))</f>
        <v/>
      </c>
      <c r="L674" s="3"/>
    </row>
    <row r="675" spans="1:12" x14ac:dyDescent="0.2">
      <c r="A675" s="3">
        <v>672</v>
      </c>
      <c r="B675" s="3"/>
      <c r="C675" s="3" t="str">
        <f>IFERROR(VLOOKUP(B675,Sessions!A:J,2,FALSE),"")</f>
        <v/>
      </c>
      <c r="D675" s="3" t="str">
        <f>IFERROR(VLOOKUP(B675,Sessions!A:J,3,FALSE),"")</f>
        <v/>
      </c>
      <c r="E675" s="3"/>
      <c r="F675" s="3" t="str">
        <f>IFERROR(VLOOKUP(E675,Employees!A:L,2,FALSE),"")</f>
        <v/>
      </c>
      <c r="G675" s="3" t="str">
        <f>IFERROR(VLOOKUP(E675,Employees!A:L,3,FALSE),"")</f>
        <v/>
      </c>
      <c r="H675" s="3"/>
      <c r="I675" s="3"/>
      <c r="J675" s="3"/>
      <c r="K675" s="3" t="str">
        <f>IF(B675="","",IF(OR(E675="",H675=""),"ناقص",IF(H675="نعم","مكتمل","غائب")))</f>
        <v/>
      </c>
      <c r="L675" s="3"/>
    </row>
    <row r="676" spans="1:12" x14ac:dyDescent="0.2">
      <c r="A676" s="3">
        <v>673</v>
      </c>
      <c r="B676" s="3"/>
      <c r="C676" s="3" t="str">
        <f>IFERROR(VLOOKUP(B676,Sessions!A:J,2,FALSE),"")</f>
        <v/>
      </c>
      <c r="D676" s="3" t="str">
        <f>IFERROR(VLOOKUP(B676,Sessions!A:J,3,FALSE),"")</f>
        <v/>
      </c>
      <c r="E676" s="3"/>
      <c r="F676" s="3" t="str">
        <f>IFERROR(VLOOKUP(E676,Employees!A:L,2,FALSE),"")</f>
        <v/>
      </c>
      <c r="G676" s="3" t="str">
        <f>IFERROR(VLOOKUP(E676,Employees!A:L,3,FALSE),"")</f>
        <v/>
      </c>
      <c r="H676" s="3"/>
      <c r="I676" s="3"/>
      <c r="J676" s="3"/>
      <c r="K676" s="3" t="str">
        <f>IF(B676="","",IF(OR(E676="",H676=""),"ناقص",IF(H676="نعم","مكتمل","غائب")))</f>
        <v/>
      </c>
      <c r="L676" s="3"/>
    </row>
    <row r="677" spans="1:12" x14ac:dyDescent="0.2">
      <c r="A677" s="3">
        <v>674</v>
      </c>
      <c r="B677" s="3"/>
      <c r="C677" s="3" t="str">
        <f>IFERROR(VLOOKUP(B677,Sessions!A:J,2,FALSE),"")</f>
        <v/>
      </c>
      <c r="D677" s="3" t="str">
        <f>IFERROR(VLOOKUP(B677,Sessions!A:J,3,FALSE),"")</f>
        <v/>
      </c>
      <c r="E677" s="3"/>
      <c r="F677" s="3" t="str">
        <f>IFERROR(VLOOKUP(E677,Employees!A:L,2,FALSE),"")</f>
        <v/>
      </c>
      <c r="G677" s="3" t="str">
        <f>IFERROR(VLOOKUP(E677,Employees!A:L,3,FALSE),"")</f>
        <v/>
      </c>
      <c r="H677" s="3"/>
      <c r="I677" s="3"/>
      <c r="J677" s="3"/>
      <c r="K677" s="3" t="str">
        <f>IF(B677="","",IF(OR(E677="",H677=""),"ناقص",IF(H677="نعم","مكتمل","غائب")))</f>
        <v/>
      </c>
      <c r="L677" s="3"/>
    </row>
    <row r="678" spans="1:12" x14ac:dyDescent="0.2">
      <c r="A678" s="3">
        <v>675</v>
      </c>
      <c r="B678" s="3"/>
      <c r="C678" s="3" t="str">
        <f>IFERROR(VLOOKUP(B678,Sessions!A:J,2,FALSE),"")</f>
        <v/>
      </c>
      <c r="D678" s="3" t="str">
        <f>IFERROR(VLOOKUP(B678,Sessions!A:J,3,FALSE),"")</f>
        <v/>
      </c>
      <c r="E678" s="3"/>
      <c r="F678" s="3" t="str">
        <f>IFERROR(VLOOKUP(E678,Employees!A:L,2,FALSE),"")</f>
        <v/>
      </c>
      <c r="G678" s="3" t="str">
        <f>IFERROR(VLOOKUP(E678,Employees!A:L,3,FALSE),"")</f>
        <v/>
      </c>
      <c r="H678" s="3"/>
      <c r="I678" s="3"/>
      <c r="J678" s="3"/>
      <c r="K678" s="3" t="str">
        <f>IF(B678="","",IF(OR(E678="",H678=""),"ناقص",IF(H678="نعم","مكتمل","غائب")))</f>
        <v/>
      </c>
      <c r="L678" s="3"/>
    </row>
    <row r="679" spans="1:12" x14ac:dyDescent="0.2">
      <c r="A679" s="3">
        <v>676</v>
      </c>
      <c r="B679" s="3"/>
      <c r="C679" s="3" t="str">
        <f>IFERROR(VLOOKUP(B679,Sessions!A:J,2,FALSE),"")</f>
        <v/>
      </c>
      <c r="D679" s="3" t="str">
        <f>IFERROR(VLOOKUP(B679,Sessions!A:J,3,FALSE),"")</f>
        <v/>
      </c>
      <c r="E679" s="3"/>
      <c r="F679" s="3" t="str">
        <f>IFERROR(VLOOKUP(E679,Employees!A:L,2,FALSE),"")</f>
        <v/>
      </c>
      <c r="G679" s="3" t="str">
        <f>IFERROR(VLOOKUP(E679,Employees!A:L,3,FALSE),"")</f>
        <v/>
      </c>
      <c r="H679" s="3"/>
      <c r="I679" s="3"/>
      <c r="J679" s="3"/>
      <c r="K679" s="3" t="str">
        <f>IF(B679="","",IF(OR(E679="",H679=""),"ناقص",IF(H679="نعم","مكتمل","غائب")))</f>
        <v/>
      </c>
      <c r="L679" s="3"/>
    </row>
    <row r="680" spans="1:12" x14ac:dyDescent="0.2">
      <c r="A680" s="3">
        <v>677</v>
      </c>
      <c r="B680" s="3"/>
      <c r="C680" s="3" t="str">
        <f>IFERROR(VLOOKUP(B680,Sessions!A:J,2,FALSE),"")</f>
        <v/>
      </c>
      <c r="D680" s="3" t="str">
        <f>IFERROR(VLOOKUP(B680,Sessions!A:J,3,FALSE),"")</f>
        <v/>
      </c>
      <c r="E680" s="3"/>
      <c r="F680" s="3" t="str">
        <f>IFERROR(VLOOKUP(E680,Employees!A:L,2,FALSE),"")</f>
        <v/>
      </c>
      <c r="G680" s="3" t="str">
        <f>IFERROR(VLOOKUP(E680,Employees!A:L,3,FALSE),"")</f>
        <v/>
      </c>
      <c r="H680" s="3"/>
      <c r="I680" s="3"/>
      <c r="J680" s="3"/>
      <c r="K680" s="3" t="str">
        <f>IF(B680="","",IF(OR(E680="",H680=""),"ناقص",IF(H680="نعم","مكتمل","غائب")))</f>
        <v/>
      </c>
      <c r="L680" s="3"/>
    </row>
    <row r="681" spans="1:12" x14ac:dyDescent="0.2">
      <c r="A681" s="3">
        <v>678</v>
      </c>
      <c r="B681" s="3"/>
      <c r="C681" s="3" t="str">
        <f>IFERROR(VLOOKUP(B681,Sessions!A:J,2,FALSE),"")</f>
        <v/>
      </c>
      <c r="D681" s="3" t="str">
        <f>IFERROR(VLOOKUP(B681,Sessions!A:J,3,FALSE),"")</f>
        <v/>
      </c>
      <c r="E681" s="3"/>
      <c r="F681" s="3" t="str">
        <f>IFERROR(VLOOKUP(E681,Employees!A:L,2,FALSE),"")</f>
        <v/>
      </c>
      <c r="G681" s="3" t="str">
        <f>IFERROR(VLOOKUP(E681,Employees!A:L,3,FALSE),"")</f>
        <v/>
      </c>
      <c r="H681" s="3"/>
      <c r="I681" s="3"/>
      <c r="J681" s="3"/>
      <c r="K681" s="3" t="str">
        <f>IF(B681="","",IF(OR(E681="",H681=""),"ناقص",IF(H681="نعم","مكتمل","غائب")))</f>
        <v/>
      </c>
      <c r="L681" s="3"/>
    </row>
    <row r="682" spans="1:12" x14ac:dyDescent="0.2">
      <c r="A682" s="3">
        <v>679</v>
      </c>
      <c r="B682" s="3"/>
      <c r="C682" s="3" t="str">
        <f>IFERROR(VLOOKUP(B682,Sessions!A:J,2,FALSE),"")</f>
        <v/>
      </c>
      <c r="D682" s="3" t="str">
        <f>IFERROR(VLOOKUP(B682,Sessions!A:J,3,FALSE),"")</f>
        <v/>
      </c>
      <c r="E682" s="3"/>
      <c r="F682" s="3" t="str">
        <f>IFERROR(VLOOKUP(E682,Employees!A:L,2,FALSE),"")</f>
        <v/>
      </c>
      <c r="G682" s="3" t="str">
        <f>IFERROR(VLOOKUP(E682,Employees!A:L,3,FALSE),"")</f>
        <v/>
      </c>
      <c r="H682" s="3"/>
      <c r="I682" s="3"/>
      <c r="J682" s="3"/>
      <c r="K682" s="3" t="str">
        <f>IF(B682="","",IF(OR(E682="",H682=""),"ناقص",IF(H682="نعم","مكتمل","غائب")))</f>
        <v/>
      </c>
      <c r="L682" s="3"/>
    </row>
    <row r="683" spans="1:12" x14ac:dyDescent="0.2">
      <c r="A683" s="3">
        <v>680</v>
      </c>
      <c r="B683" s="3"/>
      <c r="C683" s="3" t="str">
        <f>IFERROR(VLOOKUP(B683,Sessions!A:J,2,FALSE),"")</f>
        <v/>
      </c>
      <c r="D683" s="3" t="str">
        <f>IFERROR(VLOOKUP(B683,Sessions!A:J,3,FALSE),"")</f>
        <v/>
      </c>
      <c r="E683" s="3"/>
      <c r="F683" s="3" t="str">
        <f>IFERROR(VLOOKUP(E683,Employees!A:L,2,FALSE),"")</f>
        <v/>
      </c>
      <c r="G683" s="3" t="str">
        <f>IFERROR(VLOOKUP(E683,Employees!A:L,3,FALSE),"")</f>
        <v/>
      </c>
      <c r="H683" s="3"/>
      <c r="I683" s="3"/>
      <c r="J683" s="3"/>
      <c r="K683" s="3" t="str">
        <f>IF(B683="","",IF(OR(E683="",H683=""),"ناقص",IF(H683="نعم","مكتمل","غائب")))</f>
        <v/>
      </c>
      <c r="L683" s="3"/>
    </row>
    <row r="684" spans="1:12" x14ac:dyDescent="0.2">
      <c r="A684" s="3">
        <v>681</v>
      </c>
      <c r="B684" s="3"/>
      <c r="C684" s="3" t="str">
        <f>IFERROR(VLOOKUP(B684,Sessions!A:J,2,FALSE),"")</f>
        <v/>
      </c>
      <c r="D684" s="3" t="str">
        <f>IFERROR(VLOOKUP(B684,Sessions!A:J,3,FALSE),"")</f>
        <v/>
      </c>
      <c r="E684" s="3"/>
      <c r="F684" s="3" t="str">
        <f>IFERROR(VLOOKUP(E684,Employees!A:L,2,FALSE),"")</f>
        <v/>
      </c>
      <c r="G684" s="3" t="str">
        <f>IFERROR(VLOOKUP(E684,Employees!A:L,3,FALSE),"")</f>
        <v/>
      </c>
      <c r="H684" s="3"/>
      <c r="I684" s="3"/>
      <c r="J684" s="3"/>
      <c r="K684" s="3" t="str">
        <f>IF(B684="","",IF(OR(E684="",H684=""),"ناقص",IF(H684="نعم","مكتمل","غائب")))</f>
        <v/>
      </c>
      <c r="L684" s="3"/>
    </row>
    <row r="685" spans="1:12" x14ac:dyDescent="0.2">
      <c r="A685" s="3">
        <v>682</v>
      </c>
      <c r="B685" s="3"/>
      <c r="C685" s="3" t="str">
        <f>IFERROR(VLOOKUP(B685,Sessions!A:J,2,FALSE),"")</f>
        <v/>
      </c>
      <c r="D685" s="3" t="str">
        <f>IFERROR(VLOOKUP(B685,Sessions!A:J,3,FALSE),"")</f>
        <v/>
      </c>
      <c r="E685" s="3"/>
      <c r="F685" s="3" t="str">
        <f>IFERROR(VLOOKUP(E685,Employees!A:L,2,FALSE),"")</f>
        <v/>
      </c>
      <c r="G685" s="3" t="str">
        <f>IFERROR(VLOOKUP(E685,Employees!A:L,3,FALSE),"")</f>
        <v/>
      </c>
      <c r="H685" s="3"/>
      <c r="I685" s="3"/>
      <c r="J685" s="3"/>
      <c r="K685" s="3" t="str">
        <f>IF(B685="","",IF(OR(E685="",H685=""),"ناقص",IF(H685="نعم","مكتمل","غائب")))</f>
        <v/>
      </c>
      <c r="L685" s="3"/>
    </row>
    <row r="686" spans="1:12" x14ac:dyDescent="0.2">
      <c r="A686" s="3">
        <v>683</v>
      </c>
      <c r="B686" s="3"/>
      <c r="C686" s="3" t="str">
        <f>IFERROR(VLOOKUP(B686,Sessions!A:J,2,FALSE),"")</f>
        <v/>
      </c>
      <c r="D686" s="3" t="str">
        <f>IFERROR(VLOOKUP(B686,Sessions!A:J,3,FALSE),"")</f>
        <v/>
      </c>
      <c r="E686" s="3"/>
      <c r="F686" s="3" t="str">
        <f>IFERROR(VLOOKUP(E686,Employees!A:L,2,FALSE),"")</f>
        <v/>
      </c>
      <c r="G686" s="3" t="str">
        <f>IFERROR(VLOOKUP(E686,Employees!A:L,3,FALSE),"")</f>
        <v/>
      </c>
      <c r="H686" s="3"/>
      <c r="I686" s="3"/>
      <c r="J686" s="3"/>
      <c r="K686" s="3" t="str">
        <f>IF(B686="","",IF(OR(E686="",H686=""),"ناقص",IF(H686="نعم","مكتمل","غائب")))</f>
        <v/>
      </c>
      <c r="L686" s="3"/>
    </row>
    <row r="687" spans="1:12" x14ac:dyDescent="0.2">
      <c r="A687" s="3">
        <v>684</v>
      </c>
      <c r="B687" s="3"/>
      <c r="C687" s="3" t="str">
        <f>IFERROR(VLOOKUP(B687,Sessions!A:J,2,FALSE),"")</f>
        <v/>
      </c>
      <c r="D687" s="3" t="str">
        <f>IFERROR(VLOOKUP(B687,Sessions!A:J,3,FALSE),"")</f>
        <v/>
      </c>
      <c r="E687" s="3"/>
      <c r="F687" s="3" t="str">
        <f>IFERROR(VLOOKUP(E687,Employees!A:L,2,FALSE),"")</f>
        <v/>
      </c>
      <c r="G687" s="3" t="str">
        <f>IFERROR(VLOOKUP(E687,Employees!A:L,3,FALSE),"")</f>
        <v/>
      </c>
      <c r="H687" s="3"/>
      <c r="I687" s="3"/>
      <c r="J687" s="3"/>
      <c r="K687" s="3" t="str">
        <f>IF(B687="","",IF(OR(E687="",H687=""),"ناقص",IF(H687="نعم","مكتمل","غائب")))</f>
        <v/>
      </c>
      <c r="L687" s="3"/>
    </row>
    <row r="688" spans="1:12" x14ac:dyDescent="0.2">
      <c r="A688" s="3">
        <v>685</v>
      </c>
      <c r="B688" s="3"/>
      <c r="C688" s="3" t="str">
        <f>IFERROR(VLOOKUP(B688,Sessions!A:J,2,FALSE),"")</f>
        <v/>
      </c>
      <c r="D688" s="3" t="str">
        <f>IFERROR(VLOOKUP(B688,Sessions!A:J,3,FALSE),"")</f>
        <v/>
      </c>
      <c r="E688" s="3"/>
      <c r="F688" s="3" t="str">
        <f>IFERROR(VLOOKUP(E688,Employees!A:L,2,FALSE),"")</f>
        <v/>
      </c>
      <c r="G688" s="3" t="str">
        <f>IFERROR(VLOOKUP(E688,Employees!A:L,3,FALSE),"")</f>
        <v/>
      </c>
      <c r="H688" s="3"/>
      <c r="I688" s="3"/>
      <c r="J688" s="3"/>
      <c r="K688" s="3" t="str">
        <f>IF(B688="","",IF(OR(E688="",H688=""),"ناقص",IF(H688="نعم","مكتمل","غائب")))</f>
        <v/>
      </c>
      <c r="L688" s="3"/>
    </row>
    <row r="689" spans="1:12" x14ac:dyDescent="0.2">
      <c r="A689" s="3">
        <v>686</v>
      </c>
      <c r="B689" s="3"/>
      <c r="C689" s="3" t="str">
        <f>IFERROR(VLOOKUP(B689,Sessions!A:J,2,FALSE),"")</f>
        <v/>
      </c>
      <c r="D689" s="3" t="str">
        <f>IFERROR(VLOOKUP(B689,Sessions!A:J,3,FALSE),"")</f>
        <v/>
      </c>
      <c r="E689" s="3"/>
      <c r="F689" s="3" t="str">
        <f>IFERROR(VLOOKUP(E689,Employees!A:L,2,FALSE),"")</f>
        <v/>
      </c>
      <c r="G689" s="3" t="str">
        <f>IFERROR(VLOOKUP(E689,Employees!A:L,3,FALSE),"")</f>
        <v/>
      </c>
      <c r="H689" s="3"/>
      <c r="I689" s="3"/>
      <c r="J689" s="3"/>
      <c r="K689" s="3" t="str">
        <f>IF(B689="","",IF(OR(E689="",H689=""),"ناقص",IF(H689="نعم","مكتمل","غائب")))</f>
        <v/>
      </c>
      <c r="L689" s="3"/>
    </row>
    <row r="690" spans="1:12" x14ac:dyDescent="0.2">
      <c r="A690" s="3">
        <v>687</v>
      </c>
      <c r="B690" s="3"/>
      <c r="C690" s="3" t="str">
        <f>IFERROR(VLOOKUP(B690,Sessions!A:J,2,FALSE),"")</f>
        <v/>
      </c>
      <c r="D690" s="3" t="str">
        <f>IFERROR(VLOOKUP(B690,Sessions!A:J,3,FALSE),"")</f>
        <v/>
      </c>
      <c r="E690" s="3"/>
      <c r="F690" s="3" t="str">
        <f>IFERROR(VLOOKUP(E690,Employees!A:L,2,FALSE),"")</f>
        <v/>
      </c>
      <c r="G690" s="3" t="str">
        <f>IFERROR(VLOOKUP(E690,Employees!A:L,3,FALSE),"")</f>
        <v/>
      </c>
      <c r="H690" s="3"/>
      <c r="I690" s="3"/>
      <c r="J690" s="3"/>
      <c r="K690" s="3" t="str">
        <f>IF(B690="","",IF(OR(E690="",H690=""),"ناقص",IF(H690="نعم","مكتمل","غائب")))</f>
        <v/>
      </c>
      <c r="L690" s="3"/>
    </row>
    <row r="691" spans="1:12" x14ac:dyDescent="0.2">
      <c r="A691" s="3">
        <v>688</v>
      </c>
      <c r="B691" s="3"/>
      <c r="C691" s="3" t="str">
        <f>IFERROR(VLOOKUP(B691,Sessions!A:J,2,FALSE),"")</f>
        <v/>
      </c>
      <c r="D691" s="3" t="str">
        <f>IFERROR(VLOOKUP(B691,Sessions!A:J,3,FALSE),"")</f>
        <v/>
      </c>
      <c r="E691" s="3"/>
      <c r="F691" s="3" t="str">
        <f>IFERROR(VLOOKUP(E691,Employees!A:L,2,FALSE),"")</f>
        <v/>
      </c>
      <c r="G691" s="3" t="str">
        <f>IFERROR(VLOOKUP(E691,Employees!A:L,3,FALSE),"")</f>
        <v/>
      </c>
      <c r="H691" s="3"/>
      <c r="I691" s="3"/>
      <c r="J691" s="3"/>
      <c r="K691" s="3" t="str">
        <f>IF(B691="","",IF(OR(E691="",H691=""),"ناقص",IF(H691="نعم","مكتمل","غائب")))</f>
        <v/>
      </c>
      <c r="L691" s="3"/>
    </row>
    <row r="692" spans="1:12" x14ac:dyDescent="0.2">
      <c r="A692" s="3">
        <v>689</v>
      </c>
      <c r="B692" s="3"/>
      <c r="C692" s="3" t="str">
        <f>IFERROR(VLOOKUP(B692,Sessions!A:J,2,FALSE),"")</f>
        <v/>
      </c>
      <c r="D692" s="3" t="str">
        <f>IFERROR(VLOOKUP(B692,Sessions!A:J,3,FALSE),"")</f>
        <v/>
      </c>
      <c r="E692" s="3"/>
      <c r="F692" s="3" t="str">
        <f>IFERROR(VLOOKUP(E692,Employees!A:L,2,FALSE),"")</f>
        <v/>
      </c>
      <c r="G692" s="3" t="str">
        <f>IFERROR(VLOOKUP(E692,Employees!A:L,3,FALSE),"")</f>
        <v/>
      </c>
      <c r="H692" s="3"/>
      <c r="I692" s="3"/>
      <c r="J692" s="3"/>
      <c r="K692" s="3" t="str">
        <f>IF(B692="","",IF(OR(E692="",H692=""),"ناقص",IF(H692="نعم","مكتمل","غائب")))</f>
        <v/>
      </c>
      <c r="L692" s="3"/>
    </row>
    <row r="693" spans="1:12" x14ac:dyDescent="0.2">
      <c r="A693" s="3">
        <v>690</v>
      </c>
      <c r="B693" s="3"/>
      <c r="C693" s="3" t="str">
        <f>IFERROR(VLOOKUP(B693,Sessions!A:J,2,FALSE),"")</f>
        <v/>
      </c>
      <c r="D693" s="3" t="str">
        <f>IFERROR(VLOOKUP(B693,Sessions!A:J,3,FALSE),"")</f>
        <v/>
      </c>
      <c r="E693" s="3"/>
      <c r="F693" s="3" t="str">
        <f>IFERROR(VLOOKUP(E693,Employees!A:L,2,FALSE),"")</f>
        <v/>
      </c>
      <c r="G693" s="3" t="str">
        <f>IFERROR(VLOOKUP(E693,Employees!A:L,3,FALSE),"")</f>
        <v/>
      </c>
      <c r="H693" s="3"/>
      <c r="I693" s="3"/>
      <c r="J693" s="3"/>
      <c r="K693" s="3" t="str">
        <f>IF(B693="","",IF(OR(E693="",H693=""),"ناقص",IF(H693="نعم","مكتمل","غائب")))</f>
        <v/>
      </c>
      <c r="L693" s="3"/>
    </row>
    <row r="694" spans="1:12" x14ac:dyDescent="0.2">
      <c r="A694" s="3">
        <v>691</v>
      </c>
      <c r="B694" s="3"/>
      <c r="C694" s="3" t="str">
        <f>IFERROR(VLOOKUP(B694,Sessions!A:J,2,FALSE),"")</f>
        <v/>
      </c>
      <c r="D694" s="3" t="str">
        <f>IFERROR(VLOOKUP(B694,Sessions!A:J,3,FALSE),"")</f>
        <v/>
      </c>
      <c r="E694" s="3"/>
      <c r="F694" s="3" t="str">
        <f>IFERROR(VLOOKUP(E694,Employees!A:L,2,FALSE),"")</f>
        <v/>
      </c>
      <c r="G694" s="3" t="str">
        <f>IFERROR(VLOOKUP(E694,Employees!A:L,3,FALSE),"")</f>
        <v/>
      </c>
      <c r="H694" s="3"/>
      <c r="I694" s="3"/>
      <c r="J694" s="3"/>
      <c r="K694" s="3" t="str">
        <f>IF(B694="","",IF(OR(E694="",H694=""),"ناقص",IF(H694="نعم","مكتمل","غائب")))</f>
        <v/>
      </c>
      <c r="L694" s="3"/>
    </row>
    <row r="695" spans="1:12" x14ac:dyDescent="0.2">
      <c r="A695" s="3">
        <v>692</v>
      </c>
      <c r="B695" s="3"/>
      <c r="C695" s="3" t="str">
        <f>IFERROR(VLOOKUP(B695,Sessions!A:J,2,FALSE),"")</f>
        <v/>
      </c>
      <c r="D695" s="3" t="str">
        <f>IFERROR(VLOOKUP(B695,Sessions!A:J,3,FALSE),"")</f>
        <v/>
      </c>
      <c r="E695" s="3"/>
      <c r="F695" s="3" t="str">
        <f>IFERROR(VLOOKUP(E695,Employees!A:L,2,FALSE),"")</f>
        <v/>
      </c>
      <c r="G695" s="3" t="str">
        <f>IFERROR(VLOOKUP(E695,Employees!A:L,3,FALSE),"")</f>
        <v/>
      </c>
      <c r="H695" s="3"/>
      <c r="I695" s="3"/>
      <c r="J695" s="3"/>
      <c r="K695" s="3" t="str">
        <f>IF(B695="","",IF(OR(E695="",H695=""),"ناقص",IF(H695="نعم","مكتمل","غائب")))</f>
        <v/>
      </c>
      <c r="L695" s="3"/>
    </row>
    <row r="696" spans="1:12" x14ac:dyDescent="0.2">
      <c r="A696" s="3">
        <v>693</v>
      </c>
      <c r="B696" s="3"/>
      <c r="C696" s="3" t="str">
        <f>IFERROR(VLOOKUP(B696,Sessions!A:J,2,FALSE),"")</f>
        <v/>
      </c>
      <c r="D696" s="3" t="str">
        <f>IFERROR(VLOOKUP(B696,Sessions!A:J,3,FALSE),"")</f>
        <v/>
      </c>
      <c r="E696" s="3"/>
      <c r="F696" s="3" t="str">
        <f>IFERROR(VLOOKUP(E696,Employees!A:L,2,FALSE),"")</f>
        <v/>
      </c>
      <c r="G696" s="3" t="str">
        <f>IFERROR(VLOOKUP(E696,Employees!A:L,3,FALSE),"")</f>
        <v/>
      </c>
      <c r="H696" s="3"/>
      <c r="I696" s="3"/>
      <c r="J696" s="3"/>
      <c r="K696" s="3" t="str">
        <f>IF(B696="","",IF(OR(E696="",H696=""),"ناقص",IF(H696="نعم","مكتمل","غائب")))</f>
        <v/>
      </c>
      <c r="L696" s="3"/>
    </row>
    <row r="697" spans="1:12" x14ac:dyDescent="0.2">
      <c r="A697" s="3">
        <v>694</v>
      </c>
      <c r="B697" s="3"/>
      <c r="C697" s="3" t="str">
        <f>IFERROR(VLOOKUP(B697,Sessions!A:J,2,FALSE),"")</f>
        <v/>
      </c>
      <c r="D697" s="3" t="str">
        <f>IFERROR(VLOOKUP(B697,Sessions!A:J,3,FALSE),"")</f>
        <v/>
      </c>
      <c r="E697" s="3"/>
      <c r="F697" s="3" t="str">
        <f>IFERROR(VLOOKUP(E697,Employees!A:L,2,FALSE),"")</f>
        <v/>
      </c>
      <c r="G697" s="3" t="str">
        <f>IFERROR(VLOOKUP(E697,Employees!A:L,3,FALSE),"")</f>
        <v/>
      </c>
      <c r="H697" s="3"/>
      <c r="I697" s="3"/>
      <c r="J697" s="3"/>
      <c r="K697" s="3" t="str">
        <f>IF(B697="","",IF(OR(E697="",H697=""),"ناقص",IF(H697="نعم","مكتمل","غائب")))</f>
        <v/>
      </c>
      <c r="L697" s="3"/>
    </row>
    <row r="698" spans="1:12" x14ac:dyDescent="0.2">
      <c r="A698" s="3">
        <v>695</v>
      </c>
      <c r="B698" s="3"/>
      <c r="C698" s="3" t="str">
        <f>IFERROR(VLOOKUP(B698,Sessions!A:J,2,FALSE),"")</f>
        <v/>
      </c>
      <c r="D698" s="3" t="str">
        <f>IFERROR(VLOOKUP(B698,Sessions!A:J,3,FALSE),"")</f>
        <v/>
      </c>
      <c r="E698" s="3"/>
      <c r="F698" s="3" t="str">
        <f>IFERROR(VLOOKUP(E698,Employees!A:L,2,FALSE),"")</f>
        <v/>
      </c>
      <c r="G698" s="3" t="str">
        <f>IFERROR(VLOOKUP(E698,Employees!A:L,3,FALSE),"")</f>
        <v/>
      </c>
      <c r="H698" s="3"/>
      <c r="I698" s="3"/>
      <c r="J698" s="3"/>
      <c r="K698" s="3" t="str">
        <f>IF(B698="","",IF(OR(E698="",H698=""),"ناقص",IF(H698="نعم","مكتمل","غائب")))</f>
        <v/>
      </c>
      <c r="L698" s="3"/>
    </row>
    <row r="699" spans="1:12" x14ac:dyDescent="0.2">
      <c r="A699" s="3">
        <v>696</v>
      </c>
      <c r="B699" s="3"/>
      <c r="C699" s="3" t="str">
        <f>IFERROR(VLOOKUP(B699,Sessions!A:J,2,FALSE),"")</f>
        <v/>
      </c>
      <c r="D699" s="3" t="str">
        <f>IFERROR(VLOOKUP(B699,Sessions!A:J,3,FALSE),"")</f>
        <v/>
      </c>
      <c r="E699" s="3"/>
      <c r="F699" s="3" t="str">
        <f>IFERROR(VLOOKUP(E699,Employees!A:L,2,FALSE),"")</f>
        <v/>
      </c>
      <c r="G699" s="3" t="str">
        <f>IFERROR(VLOOKUP(E699,Employees!A:L,3,FALSE),"")</f>
        <v/>
      </c>
      <c r="H699" s="3"/>
      <c r="I699" s="3"/>
      <c r="J699" s="3"/>
      <c r="K699" s="3" t="str">
        <f>IF(B699="","",IF(OR(E699="",H699=""),"ناقص",IF(H699="نعم","مكتمل","غائب")))</f>
        <v/>
      </c>
      <c r="L699" s="3"/>
    </row>
    <row r="700" spans="1:12" x14ac:dyDescent="0.2">
      <c r="A700" s="3">
        <v>697</v>
      </c>
      <c r="B700" s="3"/>
      <c r="C700" s="3" t="str">
        <f>IFERROR(VLOOKUP(B700,Sessions!A:J,2,FALSE),"")</f>
        <v/>
      </c>
      <c r="D700" s="3" t="str">
        <f>IFERROR(VLOOKUP(B700,Sessions!A:J,3,FALSE),"")</f>
        <v/>
      </c>
      <c r="E700" s="3"/>
      <c r="F700" s="3" t="str">
        <f>IFERROR(VLOOKUP(E700,Employees!A:L,2,FALSE),"")</f>
        <v/>
      </c>
      <c r="G700" s="3" t="str">
        <f>IFERROR(VLOOKUP(E700,Employees!A:L,3,FALSE),"")</f>
        <v/>
      </c>
      <c r="H700" s="3"/>
      <c r="I700" s="3"/>
      <c r="J700" s="3"/>
      <c r="K700" s="3" t="str">
        <f>IF(B700="","",IF(OR(E700="",H700=""),"ناقص",IF(H700="نعم","مكتمل","غائب")))</f>
        <v/>
      </c>
      <c r="L700" s="3"/>
    </row>
    <row r="701" spans="1:12" x14ac:dyDescent="0.2">
      <c r="A701" s="3">
        <v>698</v>
      </c>
      <c r="B701" s="3"/>
      <c r="C701" s="3" t="str">
        <f>IFERROR(VLOOKUP(B701,Sessions!A:J,2,FALSE),"")</f>
        <v/>
      </c>
      <c r="D701" s="3" t="str">
        <f>IFERROR(VLOOKUP(B701,Sessions!A:J,3,FALSE),"")</f>
        <v/>
      </c>
      <c r="E701" s="3"/>
      <c r="F701" s="3" t="str">
        <f>IFERROR(VLOOKUP(E701,Employees!A:L,2,FALSE),"")</f>
        <v/>
      </c>
      <c r="G701" s="3" t="str">
        <f>IFERROR(VLOOKUP(E701,Employees!A:L,3,FALSE),"")</f>
        <v/>
      </c>
      <c r="H701" s="3"/>
      <c r="I701" s="3"/>
      <c r="J701" s="3"/>
      <c r="K701" s="3" t="str">
        <f>IF(B701="","",IF(OR(E701="",H701=""),"ناقص",IF(H701="نعم","مكتمل","غائب")))</f>
        <v/>
      </c>
      <c r="L701" s="3"/>
    </row>
    <row r="702" spans="1:12" x14ac:dyDescent="0.2">
      <c r="A702" s="3">
        <v>699</v>
      </c>
      <c r="B702" s="3"/>
      <c r="C702" s="3" t="str">
        <f>IFERROR(VLOOKUP(B702,Sessions!A:J,2,FALSE),"")</f>
        <v/>
      </c>
      <c r="D702" s="3" t="str">
        <f>IFERROR(VLOOKUP(B702,Sessions!A:J,3,FALSE),"")</f>
        <v/>
      </c>
      <c r="E702" s="3"/>
      <c r="F702" s="3" t="str">
        <f>IFERROR(VLOOKUP(E702,Employees!A:L,2,FALSE),"")</f>
        <v/>
      </c>
      <c r="G702" s="3" t="str">
        <f>IFERROR(VLOOKUP(E702,Employees!A:L,3,FALSE),"")</f>
        <v/>
      </c>
      <c r="H702" s="3"/>
      <c r="I702" s="3"/>
      <c r="J702" s="3"/>
      <c r="K702" s="3" t="str">
        <f>IF(B702="","",IF(OR(E702="",H702=""),"ناقص",IF(H702="نعم","مكتمل","غائب")))</f>
        <v/>
      </c>
      <c r="L702" s="3"/>
    </row>
    <row r="703" spans="1:12" x14ac:dyDescent="0.2">
      <c r="A703" s="3">
        <v>700</v>
      </c>
      <c r="B703" s="3"/>
      <c r="C703" s="3" t="str">
        <f>IFERROR(VLOOKUP(B703,Sessions!A:J,2,FALSE),"")</f>
        <v/>
      </c>
      <c r="D703" s="3" t="str">
        <f>IFERROR(VLOOKUP(B703,Sessions!A:J,3,FALSE),"")</f>
        <v/>
      </c>
      <c r="E703" s="3"/>
      <c r="F703" s="3" t="str">
        <f>IFERROR(VLOOKUP(E703,Employees!A:L,2,FALSE),"")</f>
        <v/>
      </c>
      <c r="G703" s="3" t="str">
        <f>IFERROR(VLOOKUP(E703,Employees!A:L,3,FALSE),"")</f>
        <v/>
      </c>
      <c r="H703" s="3"/>
      <c r="I703" s="3"/>
      <c r="J703" s="3"/>
      <c r="K703" s="3" t="str">
        <f>IF(B703="","",IF(OR(E703="",H703=""),"ناقص",IF(H703="نعم","مكتمل","غائب")))</f>
        <v/>
      </c>
      <c r="L703" s="3"/>
    </row>
    <row r="704" spans="1:12" x14ac:dyDescent="0.2">
      <c r="A704" s="3">
        <v>701</v>
      </c>
      <c r="B704" s="3"/>
      <c r="C704" s="3" t="str">
        <f>IFERROR(VLOOKUP(B704,Sessions!A:J,2,FALSE),"")</f>
        <v/>
      </c>
      <c r="D704" s="3" t="str">
        <f>IFERROR(VLOOKUP(B704,Sessions!A:J,3,FALSE),"")</f>
        <v/>
      </c>
      <c r="E704" s="3"/>
      <c r="F704" s="3" t="str">
        <f>IFERROR(VLOOKUP(E704,Employees!A:L,2,FALSE),"")</f>
        <v/>
      </c>
      <c r="G704" s="3" t="str">
        <f>IFERROR(VLOOKUP(E704,Employees!A:L,3,FALSE),"")</f>
        <v/>
      </c>
      <c r="H704" s="3"/>
      <c r="I704" s="3"/>
      <c r="J704" s="3"/>
      <c r="K704" s="3" t="str">
        <f>IF(B704="","",IF(OR(E704="",H704=""),"ناقص",IF(H704="نعم","مكتمل","غائب")))</f>
        <v/>
      </c>
      <c r="L704" s="3"/>
    </row>
    <row r="705" spans="1:12" x14ac:dyDescent="0.2">
      <c r="A705" s="3">
        <v>702</v>
      </c>
      <c r="B705" s="3"/>
      <c r="C705" s="3" t="str">
        <f>IFERROR(VLOOKUP(B705,Sessions!A:J,2,FALSE),"")</f>
        <v/>
      </c>
      <c r="D705" s="3" t="str">
        <f>IFERROR(VLOOKUP(B705,Sessions!A:J,3,FALSE),"")</f>
        <v/>
      </c>
      <c r="E705" s="3"/>
      <c r="F705" s="3" t="str">
        <f>IFERROR(VLOOKUP(E705,Employees!A:L,2,FALSE),"")</f>
        <v/>
      </c>
      <c r="G705" s="3" t="str">
        <f>IFERROR(VLOOKUP(E705,Employees!A:L,3,FALSE),"")</f>
        <v/>
      </c>
      <c r="H705" s="3"/>
      <c r="I705" s="3"/>
      <c r="J705" s="3"/>
      <c r="K705" s="3" t="str">
        <f>IF(B705="","",IF(OR(E705="",H705=""),"ناقص",IF(H705="نعم","مكتمل","غائب")))</f>
        <v/>
      </c>
      <c r="L705" s="3"/>
    </row>
    <row r="706" spans="1:12" x14ac:dyDescent="0.2">
      <c r="A706" s="3">
        <v>703</v>
      </c>
      <c r="B706" s="3"/>
      <c r="C706" s="3" t="str">
        <f>IFERROR(VLOOKUP(B706,Sessions!A:J,2,FALSE),"")</f>
        <v/>
      </c>
      <c r="D706" s="3" t="str">
        <f>IFERROR(VLOOKUP(B706,Sessions!A:J,3,FALSE),"")</f>
        <v/>
      </c>
      <c r="E706" s="3"/>
      <c r="F706" s="3" t="str">
        <f>IFERROR(VLOOKUP(E706,Employees!A:L,2,FALSE),"")</f>
        <v/>
      </c>
      <c r="G706" s="3" t="str">
        <f>IFERROR(VLOOKUP(E706,Employees!A:L,3,FALSE),"")</f>
        <v/>
      </c>
      <c r="H706" s="3"/>
      <c r="I706" s="3"/>
      <c r="J706" s="3"/>
      <c r="K706" s="3" t="str">
        <f>IF(B706="","",IF(OR(E706="",H706=""),"ناقص",IF(H706="نعم","مكتمل","غائب")))</f>
        <v/>
      </c>
      <c r="L706" s="3"/>
    </row>
    <row r="707" spans="1:12" x14ac:dyDescent="0.2">
      <c r="A707" s="3">
        <v>704</v>
      </c>
      <c r="B707" s="3"/>
      <c r="C707" s="3" t="str">
        <f>IFERROR(VLOOKUP(B707,Sessions!A:J,2,FALSE),"")</f>
        <v/>
      </c>
      <c r="D707" s="3" t="str">
        <f>IFERROR(VLOOKUP(B707,Sessions!A:J,3,FALSE),"")</f>
        <v/>
      </c>
      <c r="E707" s="3"/>
      <c r="F707" s="3" t="str">
        <f>IFERROR(VLOOKUP(E707,Employees!A:L,2,FALSE),"")</f>
        <v/>
      </c>
      <c r="G707" s="3" t="str">
        <f>IFERROR(VLOOKUP(E707,Employees!A:L,3,FALSE),"")</f>
        <v/>
      </c>
      <c r="H707" s="3"/>
      <c r="I707" s="3"/>
      <c r="J707" s="3"/>
      <c r="K707" s="3" t="str">
        <f>IF(B707="","",IF(OR(E707="",H707=""),"ناقص",IF(H707="نعم","مكتمل","غائب")))</f>
        <v/>
      </c>
      <c r="L707" s="3"/>
    </row>
    <row r="708" spans="1:12" x14ac:dyDescent="0.2">
      <c r="A708" s="3">
        <v>705</v>
      </c>
      <c r="B708" s="3"/>
      <c r="C708" s="3" t="str">
        <f>IFERROR(VLOOKUP(B708,Sessions!A:J,2,FALSE),"")</f>
        <v/>
      </c>
      <c r="D708" s="3" t="str">
        <f>IFERROR(VLOOKUP(B708,Sessions!A:J,3,FALSE),"")</f>
        <v/>
      </c>
      <c r="E708" s="3"/>
      <c r="F708" s="3" t="str">
        <f>IFERROR(VLOOKUP(E708,Employees!A:L,2,FALSE),"")</f>
        <v/>
      </c>
      <c r="G708" s="3" t="str">
        <f>IFERROR(VLOOKUP(E708,Employees!A:L,3,FALSE),"")</f>
        <v/>
      </c>
      <c r="H708" s="3"/>
      <c r="I708" s="3"/>
      <c r="J708" s="3"/>
      <c r="K708" s="3" t="str">
        <f>IF(B708="","",IF(OR(E708="",H708=""),"ناقص",IF(H708="نعم","مكتمل","غائب")))</f>
        <v/>
      </c>
      <c r="L708" s="3"/>
    </row>
    <row r="709" spans="1:12" x14ac:dyDescent="0.2">
      <c r="A709" s="3">
        <v>706</v>
      </c>
      <c r="B709" s="3"/>
      <c r="C709" s="3" t="str">
        <f>IFERROR(VLOOKUP(B709,Sessions!A:J,2,FALSE),"")</f>
        <v/>
      </c>
      <c r="D709" s="3" t="str">
        <f>IFERROR(VLOOKUP(B709,Sessions!A:J,3,FALSE),"")</f>
        <v/>
      </c>
      <c r="E709" s="3"/>
      <c r="F709" s="3" t="str">
        <f>IFERROR(VLOOKUP(E709,Employees!A:L,2,FALSE),"")</f>
        <v/>
      </c>
      <c r="G709" s="3" t="str">
        <f>IFERROR(VLOOKUP(E709,Employees!A:L,3,FALSE),"")</f>
        <v/>
      </c>
      <c r="H709" s="3"/>
      <c r="I709" s="3"/>
      <c r="J709" s="3"/>
      <c r="K709" s="3" t="str">
        <f>IF(B709="","",IF(OR(E709="",H709=""),"ناقص",IF(H709="نعم","مكتمل","غائب")))</f>
        <v/>
      </c>
      <c r="L709" s="3"/>
    </row>
    <row r="710" spans="1:12" x14ac:dyDescent="0.2">
      <c r="A710" s="3">
        <v>707</v>
      </c>
      <c r="B710" s="3"/>
      <c r="C710" s="3" t="str">
        <f>IFERROR(VLOOKUP(B710,Sessions!A:J,2,FALSE),"")</f>
        <v/>
      </c>
      <c r="D710" s="3" t="str">
        <f>IFERROR(VLOOKUP(B710,Sessions!A:J,3,FALSE),"")</f>
        <v/>
      </c>
      <c r="E710" s="3"/>
      <c r="F710" s="3" t="str">
        <f>IFERROR(VLOOKUP(E710,Employees!A:L,2,FALSE),"")</f>
        <v/>
      </c>
      <c r="G710" s="3" t="str">
        <f>IFERROR(VLOOKUP(E710,Employees!A:L,3,FALSE),"")</f>
        <v/>
      </c>
      <c r="H710" s="3"/>
      <c r="I710" s="3"/>
      <c r="J710" s="3"/>
      <c r="K710" s="3" t="str">
        <f>IF(B710="","",IF(OR(E710="",H710=""),"ناقص",IF(H710="نعم","مكتمل","غائب")))</f>
        <v/>
      </c>
      <c r="L710" s="3"/>
    </row>
    <row r="711" spans="1:12" x14ac:dyDescent="0.2">
      <c r="A711" s="3">
        <v>708</v>
      </c>
      <c r="B711" s="3"/>
      <c r="C711" s="3" t="str">
        <f>IFERROR(VLOOKUP(B711,Sessions!A:J,2,FALSE),"")</f>
        <v/>
      </c>
      <c r="D711" s="3" t="str">
        <f>IFERROR(VLOOKUP(B711,Sessions!A:J,3,FALSE),"")</f>
        <v/>
      </c>
      <c r="E711" s="3"/>
      <c r="F711" s="3" t="str">
        <f>IFERROR(VLOOKUP(E711,Employees!A:L,2,FALSE),"")</f>
        <v/>
      </c>
      <c r="G711" s="3" t="str">
        <f>IFERROR(VLOOKUP(E711,Employees!A:L,3,FALSE),"")</f>
        <v/>
      </c>
      <c r="H711" s="3"/>
      <c r="I711" s="3"/>
      <c r="J711" s="3"/>
      <c r="K711" s="3" t="str">
        <f>IF(B711="","",IF(OR(E711="",H711=""),"ناقص",IF(H711="نعم","مكتمل","غائب")))</f>
        <v/>
      </c>
      <c r="L711" s="3"/>
    </row>
    <row r="712" spans="1:12" x14ac:dyDescent="0.2">
      <c r="A712" s="3">
        <v>709</v>
      </c>
      <c r="B712" s="3"/>
      <c r="C712" s="3" t="str">
        <f>IFERROR(VLOOKUP(B712,Sessions!A:J,2,FALSE),"")</f>
        <v/>
      </c>
      <c r="D712" s="3" t="str">
        <f>IFERROR(VLOOKUP(B712,Sessions!A:J,3,FALSE),"")</f>
        <v/>
      </c>
      <c r="E712" s="3"/>
      <c r="F712" s="3" t="str">
        <f>IFERROR(VLOOKUP(E712,Employees!A:L,2,FALSE),"")</f>
        <v/>
      </c>
      <c r="G712" s="3" t="str">
        <f>IFERROR(VLOOKUP(E712,Employees!A:L,3,FALSE),"")</f>
        <v/>
      </c>
      <c r="H712" s="3"/>
      <c r="I712" s="3"/>
      <c r="J712" s="3"/>
      <c r="K712" s="3" t="str">
        <f>IF(B712="","",IF(OR(E712="",H712=""),"ناقص",IF(H712="نعم","مكتمل","غائب")))</f>
        <v/>
      </c>
      <c r="L712" s="3"/>
    </row>
    <row r="713" spans="1:12" x14ac:dyDescent="0.2">
      <c r="A713" s="3">
        <v>710</v>
      </c>
      <c r="B713" s="3"/>
      <c r="C713" s="3" t="str">
        <f>IFERROR(VLOOKUP(B713,Sessions!A:J,2,FALSE),"")</f>
        <v/>
      </c>
      <c r="D713" s="3" t="str">
        <f>IFERROR(VLOOKUP(B713,Sessions!A:J,3,FALSE),"")</f>
        <v/>
      </c>
      <c r="E713" s="3"/>
      <c r="F713" s="3" t="str">
        <f>IFERROR(VLOOKUP(E713,Employees!A:L,2,FALSE),"")</f>
        <v/>
      </c>
      <c r="G713" s="3" t="str">
        <f>IFERROR(VLOOKUP(E713,Employees!A:L,3,FALSE),"")</f>
        <v/>
      </c>
      <c r="H713" s="3"/>
      <c r="I713" s="3"/>
      <c r="J713" s="3"/>
      <c r="K713" s="3" t="str">
        <f>IF(B713="","",IF(OR(E713="",H713=""),"ناقص",IF(H713="نعم","مكتمل","غائب")))</f>
        <v/>
      </c>
      <c r="L713" s="3"/>
    </row>
    <row r="714" spans="1:12" x14ac:dyDescent="0.2">
      <c r="A714" s="3">
        <v>711</v>
      </c>
      <c r="B714" s="3"/>
      <c r="C714" s="3" t="str">
        <f>IFERROR(VLOOKUP(B714,Sessions!A:J,2,FALSE),"")</f>
        <v/>
      </c>
      <c r="D714" s="3" t="str">
        <f>IFERROR(VLOOKUP(B714,Sessions!A:J,3,FALSE),"")</f>
        <v/>
      </c>
      <c r="E714" s="3"/>
      <c r="F714" s="3" t="str">
        <f>IFERROR(VLOOKUP(E714,Employees!A:L,2,FALSE),"")</f>
        <v/>
      </c>
      <c r="G714" s="3" t="str">
        <f>IFERROR(VLOOKUP(E714,Employees!A:L,3,FALSE),"")</f>
        <v/>
      </c>
      <c r="H714" s="3"/>
      <c r="I714" s="3"/>
      <c r="J714" s="3"/>
      <c r="K714" s="3" t="str">
        <f>IF(B714="","",IF(OR(E714="",H714=""),"ناقص",IF(H714="نعم","مكتمل","غائب")))</f>
        <v/>
      </c>
      <c r="L714" s="3"/>
    </row>
    <row r="715" spans="1:12" x14ac:dyDescent="0.2">
      <c r="A715" s="3">
        <v>712</v>
      </c>
      <c r="B715" s="3"/>
      <c r="C715" s="3" t="str">
        <f>IFERROR(VLOOKUP(B715,Sessions!A:J,2,FALSE),"")</f>
        <v/>
      </c>
      <c r="D715" s="3" t="str">
        <f>IFERROR(VLOOKUP(B715,Sessions!A:J,3,FALSE),"")</f>
        <v/>
      </c>
      <c r="E715" s="3"/>
      <c r="F715" s="3" t="str">
        <f>IFERROR(VLOOKUP(E715,Employees!A:L,2,FALSE),"")</f>
        <v/>
      </c>
      <c r="G715" s="3" t="str">
        <f>IFERROR(VLOOKUP(E715,Employees!A:L,3,FALSE),"")</f>
        <v/>
      </c>
      <c r="H715" s="3"/>
      <c r="I715" s="3"/>
      <c r="J715" s="3"/>
      <c r="K715" s="3" t="str">
        <f>IF(B715="","",IF(OR(E715="",H715=""),"ناقص",IF(H715="نعم","مكتمل","غائب")))</f>
        <v/>
      </c>
      <c r="L715" s="3"/>
    </row>
    <row r="716" spans="1:12" x14ac:dyDescent="0.2">
      <c r="A716" s="3">
        <v>713</v>
      </c>
      <c r="B716" s="3"/>
      <c r="C716" s="3" t="str">
        <f>IFERROR(VLOOKUP(B716,Sessions!A:J,2,FALSE),"")</f>
        <v/>
      </c>
      <c r="D716" s="3" t="str">
        <f>IFERROR(VLOOKUP(B716,Sessions!A:J,3,FALSE),"")</f>
        <v/>
      </c>
      <c r="E716" s="3"/>
      <c r="F716" s="3" t="str">
        <f>IFERROR(VLOOKUP(E716,Employees!A:L,2,FALSE),"")</f>
        <v/>
      </c>
      <c r="G716" s="3" t="str">
        <f>IFERROR(VLOOKUP(E716,Employees!A:L,3,FALSE),"")</f>
        <v/>
      </c>
      <c r="H716" s="3"/>
      <c r="I716" s="3"/>
      <c r="J716" s="3"/>
      <c r="K716" s="3" t="str">
        <f>IF(B716="","",IF(OR(E716="",H716=""),"ناقص",IF(H716="نعم","مكتمل","غائب")))</f>
        <v/>
      </c>
      <c r="L716" s="3"/>
    </row>
    <row r="717" spans="1:12" x14ac:dyDescent="0.2">
      <c r="A717" s="3">
        <v>714</v>
      </c>
      <c r="B717" s="3"/>
      <c r="C717" s="3" t="str">
        <f>IFERROR(VLOOKUP(B717,Sessions!A:J,2,FALSE),"")</f>
        <v/>
      </c>
      <c r="D717" s="3" t="str">
        <f>IFERROR(VLOOKUP(B717,Sessions!A:J,3,FALSE),"")</f>
        <v/>
      </c>
      <c r="E717" s="3"/>
      <c r="F717" s="3" t="str">
        <f>IFERROR(VLOOKUP(E717,Employees!A:L,2,FALSE),"")</f>
        <v/>
      </c>
      <c r="G717" s="3" t="str">
        <f>IFERROR(VLOOKUP(E717,Employees!A:L,3,FALSE),"")</f>
        <v/>
      </c>
      <c r="H717" s="3"/>
      <c r="I717" s="3"/>
      <c r="J717" s="3"/>
      <c r="K717" s="3" t="str">
        <f>IF(B717="","",IF(OR(E717="",H717=""),"ناقص",IF(H717="نعم","مكتمل","غائب")))</f>
        <v/>
      </c>
      <c r="L717" s="3"/>
    </row>
    <row r="718" spans="1:12" x14ac:dyDescent="0.2">
      <c r="A718" s="3">
        <v>715</v>
      </c>
      <c r="B718" s="3"/>
      <c r="C718" s="3" t="str">
        <f>IFERROR(VLOOKUP(B718,Sessions!A:J,2,FALSE),"")</f>
        <v/>
      </c>
      <c r="D718" s="3" t="str">
        <f>IFERROR(VLOOKUP(B718,Sessions!A:J,3,FALSE),"")</f>
        <v/>
      </c>
      <c r="E718" s="3"/>
      <c r="F718" s="3" t="str">
        <f>IFERROR(VLOOKUP(E718,Employees!A:L,2,FALSE),"")</f>
        <v/>
      </c>
      <c r="G718" s="3" t="str">
        <f>IFERROR(VLOOKUP(E718,Employees!A:L,3,FALSE),"")</f>
        <v/>
      </c>
      <c r="H718" s="3"/>
      <c r="I718" s="3"/>
      <c r="J718" s="3"/>
      <c r="K718" s="3" t="str">
        <f>IF(B718="","",IF(OR(E718="",H718=""),"ناقص",IF(H718="نعم","مكتمل","غائب")))</f>
        <v/>
      </c>
      <c r="L718" s="3"/>
    </row>
    <row r="719" spans="1:12" x14ac:dyDescent="0.2">
      <c r="A719" s="3">
        <v>716</v>
      </c>
      <c r="B719" s="3"/>
      <c r="C719" s="3" t="str">
        <f>IFERROR(VLOOKUP(B719,Sessions!A:J,2,FALSE),"")</f>
        <v/>
      </c>
      <c r="D719" s="3" t="str">
        <f>IFERROR(VLOOKUP(B719,Sessions!A:J,3,FALSE),"")</f>
        <v/>
      </c>
      <c r="E719" s="3"/>
      <c r="F719" s="3" t="str">
        <f>IFERROR(VLOOKUP(E719,Employees!A:L,2,FALSE),"")</f>
        <v/>
      </c>
      <c r="G719" s="3" t="str">
        <f>IFERROR(VLOOKUP(E719,Employees!A:L,3,FALSE),"")</f>
        <v/>
      </c>
      <c r="H719" s="3"/>
      <c r="I719" s="3"/>
      <c r="J719" s="3"/>
      <c r="K719" s="3" t="str">
        <f>IF(B719="","",IF(OR(E719="",H719=""),"ناقص",IF(H719="نعم","مكتمل","غائب")))</f>
        <v/>
      </c>
      <c r="L719" s="3"/>
    </row>
    <row r="720" spans="1:12" x14ac:dyDescent="0.2">
      <c r="A720" s="3">
        <v>717</v>
      </c>
      <c r="B720" s="3"/>
      <c r="C720" s="3" t="str">
        <f>IFERROR(VLOOKUP(B720,Sessions!A:J,2,FALSE),"")</f>
        <v/>
      </c>
      <c r="D720" s="3" t="str">
        <f>IFERROR(VLOOKUP(B720,Sessions!A:J,3,FALSE),"")</f>
        <v/>
      </c>
      <c r="E720" s="3"/>
      <c r="F720" s="3" t="str">
        <f>IFERROR(VLOOKUP(E720,Employees!A:L,2,FALSE),"")</f>
        <v/>
      </c>
      <c r="G720" s="3" t="str">
        <f>IFERROR(VLOOKUP(E720,Employees!A:L,3,FALSE),"")</f>
        <v/>
      </c>
      <c r="H720" s="3"/>
      <c r="I720" s="3"/>
      <c r="J720" s="3"/>
      <c r="K720" s="3" t="str">
        <f>IF(B720="","",IF(OR(E720="",H720=""),"ناقص",IF(H720="نعم","مكتمل","غائب")))</f>
        <v/>
      </c>
      <c r="L720" s="3"/>
    </row>
    <row r="721" spans="1:12" x14ac:dyDescent="0.2">
      <c r="A721" s="3">
        <v>718</v>
      </c>
      <c r="B721" s="3"/>
      <c r="C721" s="3" t="str">
        <f>IFERROR(VLOOKUP(B721,Sessions!A:J,2,FALSE),"")</f>
        <v/>
      </c>
      <c r="D721" s="3" t="str">
        <f>IFERROR(VLOOKUP(B721,Sessions!A:J,3,FALSE),"")</f>
        <v/>
      </c>
      <c r="E721" s="3"/>
      <c r="F721" s="3" t="str">
        <f>IFERROR(VLOOKUP(E721,Employees!A:L,2,FALSE),"")</f>
        <v/>
      </c>
      <c r="G721" s="3" t="str">
        <f>IFERROR(VLOOKUP(E721,Employees!A:L,3,FALSE),"")</f>
        <v/>
      </c>
      <c r="H721" s="3"/>
      <c r="I721" s="3"/>
      <c r="J721" s="3"/>
      <c r="K721" s="3" t="str">
        <f>IF(B721="","",IF(OR(E721="",H721=""),"ناقص",IF(H721="نعم","مكتمل","غائب")))</f>
        <v/>
      </c>
      <c r="L721" s="3"/>
    </row>
    <row r="722" spans="1:12" x14ac:dyDescent="0.2">
      <c r="A722" s="3">
        <v>719</v>
      </c>
      <c r="B722" s="3"/>
      <c r="C722" s="3" t="str">
        <f>IFERROR(VLOOKUP(B722,Sessions!A:J,2,FALSE),"")</f>
        <v/>
      </c>
      <c r="D722" s="3" t="str">
        <f>IFERROR(VLOOKUP(B722,Sessions!A:J,3,FALSE),"")</f>
        <v/>
      </c>
      <c r="E722" s="3"/>
      <c r="F722" s="3" t="str">
        <f>IFERROR(VLOOKUP(E722,Employees!A:L,2,FALSE),"")</f>
        <v/>
      </c>
      <c r="G722" s="3" t="str">
        <f>IFERROR(VLOOKUP(E722,Employees!A:L,3,FALSE),"")</f>
        <v/>
      </c>
      <c r="H722" s="3"/>
      <c r="I722" s="3"/>
      <c r="J722" s="3"/>
      <c r="K722" s="3" t="str">
        <f>IF(B722="","",IF(OR(E722="",H722=""),"ناقص",IF(H722="نعم","مكتمل","غائب")))</f>
        <v/>
      </c>
      <c r="L722" s="3"/>
    </row>
    <row r="723" spans="1:12" x14ac:dyDescent="0.2">
      <c r="A723" s="3">
        <v>720</v>
      </c>
      <c r="B723" s="3"/>
      <c r="C723" s="3" t="str">
        <f>IFERROR(VLOOKUP(B723,Sessions!A:J,2,FALSE),"")</f>
        <v/>
      </c>
      <c r="D723" s="3" t="str">
        <f>IFERROR(VLOOKUP(B723,Sessions!A:J,3,FALSE),"")</f>
        <v/>
      </c>
      <c r="E723" s="3"/>
      <c r="F723" s="3" t="str">
        <f>IFERROR(VLOOKUP(E723,Employees!A:L,2,FALSE),"")</f>
        <v/>
      </c>
      <c r="G723" s="3" t="str">
        <f>IFERROR(VLOOKUP(E723,Employees!A:L,3,FALSE),"")</f>
        <v/>
      </c>
      <c r="H723" s="3"/>
      <c r="I723" s="3"/>
      <c r="J723" s="3"/>
      <c r="K723" s="3" t="str">
        <f>IF(B723="","",IF(OR(E723="",H723=""),"ناقص",IF(H723="نعم","مكتمل","غائب")))</f>
        <v/>
      </c>
      <c r="L723" s="3"/>
    </row>
    <row r="724" spans="1:12" x14ac:dyDescent="0.2">
      <c r="A724" s="3">
        <v>721</v>
      </c>
      <c r="B724" s="3"/>
      <c r="C724" s="3" t="str">
        <f>IFERROR(VLOOKUP(B724,Sessions!A:J,2,FALSE),"")</f>
        <v/>
      </c>
      <c r="D724" s="3" t="str">
        <f>IFERROR(VLOOKUP(B724,Sessions!A:J,3,FALSE),"")</f>
        <v/>
      </c>
      <c r="E724" s="3"/>
      <c r="F724" s="3" t="str">
        <f>IFERROR(VLOOKUP(E724,Employees!A:L,2,FALSE),"")</f>
        <v/>
      </c>
      <c r="G724" s="3" t="str">
        <f>IFERROR(VLOOKUP(E724,Employees!A:L,3,FALSE),"")</f>
        <v/>
      </c>
      <c r="H724" s="3"/>
      <c r="I724" s="3"/>
      <c r="J724" s="3"/>
      <c r="K724" s="3" t="str">
        <f>IF(B724="","",IF(OR(E724="",H724=""),"ناقص",IF(H724="نعم","مكتمل","غائب")))</f>
        <v/>
      </c>
      <c r="L724" s="3"/>
    </row>
    <row r="725" spans="1:12" x14ac:dyDescent="0.2">
      <c r="A725" s="3">
        <v>722</v>
      </c>
      <c r="B725" s="3"/>
      <c r="C725" s="3" t="str">
        <f>IFERROR(VLOOKUP(B725,Sessions!A:J,2,FALSE),"")</f>
        <v/>
      </c>
      <c r="D725" s="3" t="str">
        <f>IFERROR(VLOOKUP(B725,Sessions!A:J,3,FALSE),"")</f>
        <v/>
      </c>
      <c r="E725" s="3"/>
      <c r="F725" s="3" t="str">
        <f>IFERROR(VLOOKUP(E725,Employees!A:L,2,FALSE),"")</f>
        <v/>
      </c>
      <c r="G725" s="3" t="str">
        <f>IFERROR(VLOOKUP(E725,Employees!A:L,3,FALSE),"")</f>
        <v/>
      </c>
      <c r="H725" s="3"/>
      <c r="I725" s="3"/>
      <c r="J725" s="3"/>
      <c r="K725" s="3" t="str">
        <f>IF(B725="","",IF(OR(E725="",H725=""),"ناقص",IF(H725="نعم","مكتمل","غائب")))</f>
        <v/>
      </c>
      <c r="L725" s="3"/>
    </row>
    <row r="726" spans="1:12" x14ac:dyDescent="0.2">
      <c r="A726" s="3">
        <v>723</v>
      </c>
      <c r="B726" s="3"/>
      <c r="C726" s="3" t="str">
        <f>IFERROR(VLOOKUP(B726,Sessions!A:J,2,FALSE),"")</f>
        <v/>
      </c>
      <c r="D726" s="3" t="str">
        <f>IFERROR(VLOOKUP(B726,Sessions!A:J,3,FALSE),"")</f>
        <v/>
      </c>
      <c r="E726" s="3"/>
      <c r="F726" s="3" t="str">
        <f>IFERROR(VLOOKUP(E726,Employees!A:L,2,FALSE),"")</f>
        <v/>
      </c>
      <c r="G726" s="3" t="str">
        <f>IFERROR(VLOOKUP(E726,Employees!A:L,3,FALSE),"")</f>
        <v/>
      </c>
      <c r="H726" s="3"/>
      <c r="I726" s="3"/>
      <c r="J726" s="3"/>
      <c r="K726" s="3" t="str">
        <f>IF(B726="","",IF(OR(E726="",H726=""),"ناقص",IF(H726="نعم","مكتمل","غائب")))</f>
        <v/>
      </c>
      <c r="L726" s="3"/>
    </row>
    <row r="727" spans="1:12" x14ac:dyDescent="0.2">
      <c r="A727" s="3">
        <v>724</v>
      </c>
      <c r="B727" s="3"/>
      <c r="C727" s="3" t="str">
        <f>IFERROR(VLOOKUP(B727,Sessions!A:J,2,FALSE),"")</f>
        <v/>
      </c>
      <c r="D727" s="3" t="str">
        <f>IFERROR(VLOOKUP(B727,Sessions!A:J,3,FALSE),"")</f>
        <v/>
      </c>
      <c r="E727" s="3"/>
      <c r="F727" s="3" t="str">
        <f>IFERROR(VLOOKUP(E727,Employees!A:L,2,FALSE),"")</f>
        <v/>
      </c>
      <c r="G727" s="3" t="str">
        <f>IFERROR(VLOOKUP(E727,Employees!A:L,3,FALSE),"")</f>
        <v/>
      </c>
      <c r="H727" s="3"/>
      <c r="I727" s="3"/>
      <c r="J727" s="3"/>
      <c r="K727" s="3" t="str">
        <f>IF(B727="","",IF(OR(E727="",H727=""),"ناقص",IF(H727="نعم","مكتمل","غائب")))</f>
        <v/>
      </c>
      <c r="L727" s="3"/>
    </row>
    <row r="728" spans="1:12" x14ac:dyDescent="0.2">
      <c r="A728" s="3">
        <v>725</v>
      </c>
      <c r="B728" s="3"/>
      <c r="C728" s="3" t="str">
        <f>IFERROR(VLOOKUP(B728,Sessions!A:J,2,FALSE),"")</f>
        <v/>
      </c>
      <c r="D728" s="3" t="str">
        <f>IFERROR(VLOOKUP(B728,Sessions!A:J,3,FALSE),"")</f>
        <v/>
      </c>
      <c r="E728" s="3"/>
      <c r="F728" s="3" t="str">
        <f>IFERROR(VLOOKUP(E728,Employees!A:L,2,FALSE),"")</f>
        <v/>
      </c>
      <c r="G728" s="3" t="str">
        <f>IFERROR(VLOOKUP(E728,Employees!A:L,3,FALSE),"")</f>
        <v/>
      </c>
      <c r="H728" s="3"/>
      <c r="I728" s="3"/>
      <c r="J728" s="3"/>
      <c r="K728" s="3" t="str">
        <f>IF(B728="","",IF(OR(E728="",H728=""),"ناقص",IF(H728="نعم","مكتمل","غائب")))</f>
        <v/>
      </c>
      <c r="L728" s="3"/>
    </row>
    <row r="729" spans="1:12" x14ac:dyDescent="0.2">
      <c r="A729" s="3">
        <v>726</v>
      </c>
      <c r="B729" s="3"/>
      <c r="C729" s="3" t="str">
        <f>IFERROR(VLOOKUP(B729,Sessions!A:J,2,FALSE),"")</f>
        <v/>
      </c>
      <c r="D729" s="3" t="str">
        <f>IFERROR(VLOOKUP(B729,Sessions!A:J,3,FALSE),"")</f>
        <v/>
      </c>
      <c r="E729" s="3"/>
      <c r="F729" s="3" t="str">
        <f>IFERROR(VLOOKUP(E729,Employees!A:L,2,FALSE),"")</f>
        <v/>
      </c>
      <c r="G729" s="3" t="str">
        <f>IFERROR(VLOOKUP(E729,Employees!A:L,3,FALSE),"")</f>
        <v/>
      </c>
      <c r="H729" s="3"/>
      <c r="I729" s="3"/>
      <c r="J729" s="3"/>
      <c r="K729" s="3" t="str">
        <f>IF(B729="","",IF(OR(E729="",H729=""),"ناقص",IF(H729="نعم","مكتمل","غائب")))</f>
        <v/>
      </c>
      <c r="L729" s="3"/>
    </row>
    <row r="730" spans="1:12" x14ac:dyDescent="0.2">
      <c r="A730" s="3">
        <v>727</v>
      </c>
      <c r="B730" s="3"/>
      <c r="C730" s="3" t="str">
        <f>IFERROR(VLOOKUP(B730,Sessions!A:J,2,FALSE),"")</f>
        <v/>
      </c>
      <c r="D730" s="3" t="str">
        <f>IFERROR(VLOOKUP(B730,Sessions!A:J,3,FALSE),"")</f>
        <v/>
      </c>
      <c r="E730" s="3"/>
      <c r="F730" s="3" t="str">
        <f>IFERROR(VLOOKUP(E730,Employees!A:L,2,FALSE),"")</f>
        <v/>
      </c>
      <c r="G730" s="3" t="str">
        <f>IFERROR(VLOOKUP(E730,Employees!A:L,3,FALSE),"")</f>
        <v/>
      </c>
      <c r="H730" s="3"/>
      <c r="I730" s="3"/>
      <c r="J730" s="3"/>
      <c r="K730" s="3" t="str">
        <f>IF(B730="","",IF(OR(E730="",H730=""),"ناقص",IF(H730="نعم","مكتمل","غائب")))</f>
        <v/>
      </c>
      <c r="L730" s="3"/>
    </row>
    <row r="731" spans="1:12" x14ac:dyDescent="0.2">
      <c r="A731" s="3">
        <v>728</v>
      </c>
      <c r="B731" s="3"/>
      <c r="C731" s="3" t="str">
        <f>IFERROR(VLOOKUP(B731,Sessions!A:J,2,FALSE),"")</f>
        <v/>
      </c>
      <c r="D731" s="3" t="str">
        <f>IFERROR(VLOOKUP(B731,Sessions!A:J,3,FALSE),"")</f>
        <v/>
      </c>
      <c r="E731" s="3"/>
      <c r="F731" s="3" t="str">
        <f>IFERROR(VLOOKUP(E731,Employees!A:L,2,FALSE),"")</f>
        <v/>
      </c>
      <c r="G731" s="3" t="str">
        <f>IFERROR(VLOOKUP(E731,Employees!A:L,3,FALSE),"")</f>
        <v/>
      </c>
      <c r="H731" s="3"/>
      <c r="I731" s="3"/>
      <c r="J731" s="3"/>
      <c r="K731" s="3" t="str">
        <f>IF(B731="","",IF(OR(E731="",H731=""),"ناقص",IF(H731="نعم","مكتمل","غائب")))</f>
        <v/>
      </c>
      <c r="L731" s="3"/>
    </row>
    <row r="732" spans="1:12" x14ac:dyDescent="0.2">
      <c r="A732" s="3">
        <v>729</v>
      </c>
      <c r="B732" s="3"/>
      <c r="C732" s="3" t="str">
        <f>IFERROR(VLOOKUP(B732,Sessions!A:J,2,FALSE),"")</f>
        <v/>
      </c>
      <c r="D732" s="3" t="str">
        <f>IFERROR(VLOOKUP(B732,Sessions!A:J,3,FALSE),"")</f>
        <v/>
      </c>
      <c r="E732" s="3"/>
      <c r="F732" s="3" t="str">
        <f>IFERROR(VLOOKUP(E732,Employees!A:L,2,FALSE),"")</f>
        <v/>
      </c>
      <c r="G732" s="3" t="str">
        <f>IFERROR(VLOOKUP(E732,Employees!A:L,3,FALSE),"")</f>
        <v/>
      </c>
      <c r="H732" s="3"/>
      <c r="I732" s="3"/>
      <c r="J732" s="3"/>
      <c r="K732" s="3" t="str">
        <f>IF(B732="","",IF(OR(E732="",H732=""),"ناقص",IF(H732="نعم","مكتمل","غائب")))</f>
        <v/>
      </c>
      <c r="L732" s="3"/>
    </row>
    <row r="733" spans="1:12" x14ac:dyDescent="0.2">
      <c r="A733" s="3">
        <v>730</v>
      </c>
      <c r="B733" s="3"/>
      <c r="C733" s="3" t="str">
        <f>IFERROR(VLOOKUP(B733,Sessions!A:J,2,FALSE),"")</f>
        <v/>
      </c>
      <c r="D733" s="3" t="str">
        <f>IFERROR(VLOOKUP(B733,Sessions!A:J,3,FALSE),"")</f>
        <v/>
      </c>
      <c r="E733" s="3"/>
      <c r="F733" s="3" t="str">
        <f>IFERROR(VLOOKUP(E733,Employees!A:L,2,FALSE),"")</f>
        <v/>
      </c>
      <c r="G733" s="3" t="str">
        <f>IFERROR(VLOOKUP(E733,Employees!A:L,3,FALSE),"")</f>
        <v/>
      </c>
      <c r="H733" s="3"/>
      <c r="I733" s="3"/>
      <c r="J733" s="3"/>
      <c r="K733" s="3" t="str">
        <f>IF(B733="","",IF(OR(E733="",H733=""),"ناقص",IF(H733="نعم","مكتمل","غائب")))</f>
        <v/>
      </c>
      <c r="L733" s="3"/>
    </row>
    <row r="734" spans="1:12" x14ac:dyDescent="0.2">
      <c r="A734" s="3">
        <v>731</v>
      </c>
      <c r="B734" s="3"/>
      <c r="C734" s="3" t="str">
        <f>IFERROR(VLOOKUP(B734,Sessions!A:J,2,FALSE),"")</f>
        <v/>
      </c>
      <c r="D734" s="3" t="str">
        <f>IFERROR(VLOOKUP(B734,Sessions!A:J,3,FALSE),"")</f>
        <v/>
      </c>
      <c r="E734" s="3"/>
      <c r="F734" s="3" t="str">
        <f>IFERROR(VLOOKUP(E734,Employees!A:L,2,FALSE),"")</f>
        <v/>
      </c>
      <c r="G734" s="3" t="str">
        <f>IFERROR(VLOOKUP(E734,Employees!A:L,3,FALSE),"")</f>
        <v/>
      </c>
      <c r="H734" s="3"/>
      <c r="I734" s="3"/>
      <c r="J734" s="3"/>
      <c r="K734" s="3" t="str">
        <f>IF(B734="","",IF(OR(E734="",H734=""),"ناقص",IF(H734="نعم","مكتمل","غائب")))</f>
        <v/>
      </c>
      <c r="L734" s="3"/>
    </row>
    <row r="735" spans="1:12" x14ac:dyDescent="0.2">
      <c r="A735" s="3">
        <v>732</v>
      </c>
      <c r="B735" s="3"/>
      <c r="C735" s="3" t="str">
        <f>IFERROR(VLOOKUP(B735,Sessions!A:J,2,FALSE),"")</f>
        <v/>
      </c>
      <c r="D735" s="3" t="str">
        <f>IFERROR(VLOOKUP(B735,Sessions!A:J,3,FALSE),"")</f>
        <v/>
      </c>
      <c r="E735" s="3"/>
      <c r="F735" s="3" t="str">
        <f>IFERROR(VLOOKUP(E735,Employees!A:L,2,FALSE),"")</f>
        <v/>
      </c>
      <c r="G735" s="3" t="str">
        <f>IFERROR(VLOOKUP(E735,Employees!A:L,3,FALSE),"")</f>
        <v/>
      </c>
      <c r="H735" s="3"/>
      <c r="I735" s="3"/>
      <c r="J735" s="3"/>
      <c r="K735" s="3" t="str">
        <f>IF(B735="","",IF(OR(E735="",H735=""),"ناقص",IF(H735="نعم","مكتمل","غائب")))</f>
        <v/>
      </c>
      <c r="L735" s="3"/>
    </row>
    <row r="736" spans="1:12" x14ac:dyDescent="0.2">
      <c r="A736" s="3">
        <v>733</v>
      </c>
      <c r="B736" s="3"/>
      <c r="C736" s="3" t="str">
        <f>IFERROR(VLOOKUP(B736,Sessions!A:J,2,FALSE),"")</f>
        <v/>
      </c>
      <c r="D736" s="3" t="str">
        <f>IFERROR(VLOOKUP(B736,Sessions!A:J,3,FALSE),"")</f>
        <v/>
      </c>
      <c r="E736" s="3"/>
      <c r="F736" s="3" t="str">
        <f>IFERROR(VLOOKUP(E736,Employees!A:L,2,FALSE),"")</f>
        <v/>
      </c>
      <c r="G736" s="3" t="str">
        <f>IFERROR(VLOOKUP(E736,Employees!A:L,3,FALSE),"")</f>
        <v/>
      </c>
      <c r="H736" s="3"/>
      <c r="I736" s="3"/>
      <c r="J736" s="3"/>
      <c r="K736" s="3" t="str">
        <f>IF(B736="","",IF(OR(E736="",H736=""),"ناقص",IF(H736="نعم","مكتمل","غائب")))</f>
        <v/>
      </c>
      <c r="L736" s="3"/>
    </row>
    <row r="737" spans="1:12" x14ac:dyDescent="0.2">
      <c r="A737" s="3">
        <v>734</v>
      </c>
      <c r="B737" s="3"/>
      <c r="C737" s="3" t="str">
        <f>IFERROR(VLOOKUP(B737,Sessions!A:J,2,FALSE),"")</f>
        <v/>
      </c>
      <c r="D737" s="3" t="str">
        <f>IFERROR(VLOOKUP(B737,Sessions!A:J,3,FALSE),"")</f>
        <v/>
      </c>
      <c r="E737" s="3"/>
      <c r="F737" s="3" t="str">
        <f>IFERROR(VLOOKUP(E737,Employees!A:L,2,FALSE),"")</f>
        <v/>
      </c>
      <c r="G737" s="3" t="str">
        <f>IFERROR(VLOOKUP(E737,Employees!A:L,3,FALSE),"")</f>
        <v/>
      </c>
      <c r="H737" s="3"/>
      <c r="I737" s="3"/>
      <c r="J737" s="3"/>
      <c r="K737" s="3" t="str">
        <f>IF(B737="","",IF(OR(E737="",H737=""),"ناقص",IF(H737="نعم","مكتمل","غائب")))</f>
        <v/>
      </c>
      <c r="L737" s="3"/>
    </row>
    <row r="738" spans="1:12" x14ac:dyDescent="0.2">
      <c r="A738" s="3">
        <v>735</v>
      </c>
      <c r="B738" s="3"/>
      <c r="C738" s="3" t="str">
        <f>IFERROR(VLOOKUP(B738,Sessions!A:J,2,FALSE),"")</f>
        <v/>
      </c>
      <c r="D738" s="3" t="str">
        <f>IFERROR(VLOOKUP(B738,Sessions!A:J,3,FALSE),"")</f>
        <v/>
      </c>
      <c r="E738" s="3"/>
      <c r="F738" s="3" t="str">
        <f>IFERROR(VLOOKUP(E738,Employees!A:L,2,FALSE),"")</f>
        <v/>
      </c>
      <c r="G738" s="3" t="str">
        <f>IFERROR(VLOOKUP(E738,Employees!A:L,3,FALSE),"")</f>
        <v/>
      </c>
      <c r="H738" s="3"/>
      <c r="I738" s="3"/>
      <c r="J738" s="3"/>
      <c r="K738" s="3" t="str">
        <f>IF(B738="","",IF(OR(E738="",H738=""),"ناقص",IF(H738="نعم","مكتمل","غائب")))</f>
        <v/>
      </c>
      <c r="L738" s="3"/>
    </row>
    <row r="739" spans="1:12" x14ac:dyDescent="0.2">
      <c r="A739" s="3">
        <v>736</v>
      </c>
      <c r="B739" s="3"/>
      <c r="C739" s="3" t="str">
        <f>IFERROR(VLOOKUP(B739,Sessions!A:J,2,FALSE),"")</f>
        <v/>
      </c>
      <c r="D739" s="3" t="str">
        <f>IFERROR(VLOOKUP(B739,Sessions!A:J,3,FALSE),"")</f>
        <v/>
      </c>
      <c r="E739" s="3"/>
      <c r="F739" s="3" t="str">
        <f>IFERROR(VLOOKUP(E739,Employees!A:L,2,FALSE),"")</f>
        <v/>
      </c>
      <c r="G739" s="3" t="str">
        <f>IFERROR(VLOOKUP(E739,Employees!A:L,3,FALSE),"")</f>
        <v/>
      </c>
      <c r="H739" s="3"/>
      <c r="I739" s="3"/>
      <c r="J739" s="3"/>
      <c r="K739" s="3" t="str">
        <f>IF(B739="","",IF(OR(E739="",H739=""),"ناقص",IF(H739="نعم","مكتمل","غائب")))</f>
        <v/>
      </c>
      <c r="L739" s="3"/>
    </row>
    <row r="740" spans="1:12" x14ac:dyDescent="0.2">
      <c r="A740" s="3">
        <v>737</v>
      </c>
      <c r="B740" s="3"/>
      <c r="C740" s="3" t="str">
        <f>IFERROR(VLOOKUP(B740,Sessions!A:J,2,FALSE),"")</f>
        <v/>
      </c>
      <c r="D740" s="3" t="str">
        <f>IFERROR(VLOOKUP(B740,Sessions!A:J,3,FALSE),"")</f>
        <v/>
      </c>
      <c r="E740" s="3"/>
      <c r="F740" s="3" t="str">
        <f>IFERROR(VLOOKUP(E740,Employees!A:L,2,FALSE),"")</f>
        <v/>
      </c>
      <c r="G740" s="3" t="str">
        <f>IFERROR(VLOOKUP(E740,Employees!A:L,3,FALSE),"")</f>
        <v/>
      </c>
      <c r="H740" s="3"/>
      <c r="I740" s="3"/>
      <c r="J740" s="3"/>
      <c r="K740" s="3" t="str">
        <f>IF(B740="","",IF(OR(E740="",H740=""),"ناقص",IF(H740="نعم","مكتمل","غائب")))</f>
        <v/>
      </c>
      <c r="L740" s="3"/>
    </row>
    <row r="741" spans="1:12" x14ac:dyDescent="0.2">
      <c r="A741" s="3">
        <v>738</v>
      </c>
      <c r="B741" s="3"/>
      <c r="C741" s="3" t="str">
        <f>IFERROR(VLOOKUP(B741,Sessions!A:J,2,FALSE),"")</f>
        <v/>
      </c>
      <c r="D741" s="3" t="str">
        <f>IFERROR(VLOOKUP(B741,Sessions!A:J,3,FALSE),"")</f>
        <v/>
      </c>
      <c r="E741" s="3"/>
      <c r="F741" s="3" t="str">
        <f>IFERROR(VLOOKUP(E741,Employees!A:L,2,FALSE),"")</f>
        <v/>
      </c>
      <c r="G741" s="3" t="str">
        <f>IFERROR(VLOOKUP(E741,Employees!A:L,3,FALSE),"")</f>
        <v/>
      </c>
      <c r="H741" s="3"/>
      <c r="I741" s="3"/>
      <c r="J741" s="3"/>
      <c r="K741" s="3" t="str">
        <f>IF(B741="","",IF(OR(E741="",H741=""),"ناقص",IF(H741="نعم","مكتمل","غائب")))</f>
        <v/>
      </c>
      <c r="L741" s="3"/>
    </row>
    <row r="742" spans="1:12" x14ac:dyDescent="0.2">
      <c r="A742" s="3">
        <v>739</v>
      </c>
      <c r="B742" s="3"/>
      <c r="C742" s="3" t="str">
        <f>IFERROR(VLOOKUP(B742,Sessions!A:J,2,FALSE),"")</f>
        <v/>
      </c>
      <c r="D742" s="3" t="str">
        <f>IFERROR(VLOOKUP(B742,Sessions!A:J,3,FALSE),"")</f>
        <v/>
      </c>
      <c r="E742" s="3"/>
      <c r="F742" s="3" t="str">
        <f>IFERROR(VLOOKUP(E742,Employees!A:L,2,FALSE),"")</f>
        <v/>
      </c>
      <c r="G742" s="3" t="str">
        <f>IFERROR(VLOOKUP(E742,Employees!A:L,3,FALSE),"")</f>
        <v/>
      </c>
      <c r="H742" s="3"/>
      <c r="I742" s="3"/>
      <c r="J742" s="3"/>
      <c r="K742" s="3" t="str">
        <f>IF(B742="","",IF(OR(E742="",H742=""),"ناقص",IF(H742="نعم","مكتمل","غائب")))</f>
        <v/>
      </c>
      <c r="L742" s="3"/>
    </row>
    <row r="743" spans="1:12" x14ac:dyDescent="0.2">
      <c r="A743" s="3">
        <v>740</v>
      </c>
      <c r="B743" s="3"/>
      <c r="C743" s="3" t="str">
        <f>IFERROR(VLOOKUP(B743,Sessions!A:J,2,FALSE),"")</f>
        <v/>
      </c>
      <c r="D743" s="3" t="str">
        <f>IFERROR(VLOOKUP(B743,Sessions!A:J,3,FALSE),"")</f>
        <v/>
      </c>
      <c r="E743" s="3"/>
      <c r="F743" s="3" t="str">
        <f>IFERROR(VLOOKUP(E743,Employees!A:L,2,FALSE),"")</f>
        <v/>
      </c>
      <c r="G743" s="3" t="str">
        <f>IFERROR(VLOOKUP(E743,Employees!A:L,3,FALSE),"")</f>
        <v/>
      </c>
      <c r="H743" s="3"/>
      <c r="I743" s="3"/>
      <c r="J743" s="3"/>
      <c r="K743" s="3" t="str">
        <f>IF(B743="","",IF(OR(E743="",H743=""),"ناقص",IF(H743="نعم","مكتمل","غائب")))</f>
        <v/>
      </c>
      <c r="L743" s="3"/>
    </row>
    <row r="744" spans="1:12" x14ac:dyDescent="0.2">
      <c r="A744" s="3">
        <v>741</v>
      </c>
      <c r="B744" s="3"/>
      <c r="C744" s="3" t="str">
        <f>IFERROR(VLOOKUP(B744,Sessions!A:J,2,FALSE),"")</f>
        <v/>
      </c>
      <c r="D744" s="3" t="str">
        <f>IFERROR(VLOOKUP(B744,Sessions!A:J,3,FALSE),"")</f>
        <v/>
      </c>
      <c r="E744" s="3"/>
      <c r="F744" s="3" t="str">
        <f>IFERROR(VLOOKUP(E744,Employees!A:L,2,FALSE),"")</f>
        <v/>
      </c>
      <c r="G744" s="3" t="str">
        <f>IFERROR(VLOOKUP(E744,Employees!A:L,3,FALSE),"")</f>
        <v/>
      </c>
      <c r="H744" s="3"/>
      <c r="I744" s="3"/>
      <c r="J744" s="3"/>
      <c r="K744" s="3" t="str">
        <f>IF(B744="","",IF(OR(E744="",H744=""),"ناقص",IF(H744="نعم","مكتمل","غائب")))</f>
        <v/>
      </c>
      <c r="L744" s="3"/>
    </row>
    <row r="745" spans="1:12" x14ac:dyDescent="0.2">
      <c r="A745" s="3">
        <v>742</v>
      </c>
      <c r="B745" s="3"/>
      <c r="C745" s="3" t="str">
        <f>IFERROR(VLOOKUP(B745,Sessions!A:J,2,FALSE),"")</f>
        <v/>
      </c>
      <c r="D745" s="3" t="str">
        <f>IFERROR(VLOOKUP(B745,Sessions!A:J,3,FALSE),"")</f>
        <v/>
      </c>
      <c r="E745" s="3"/>
      <c r="F745" s="3" t="str">
        <f>IFERROR(VLOOKUP(E745,Employees!A:L,2,FALSE),"")</f>
        <v/>
      </c>
      <c r="G745" s="3" t="str">
        <f>IFERROR(VLOOKUP(E745,Employees!A:L,3,FALSE),"")</f>
        <v/>
      </c>
      <c r="H745" s="3"/>
      <c r="I745" s="3"/>
      <c r="J745" s="3"/>
      <c r="K745" s="3" t="str">
        <f>IF(B745="","",IF(OR(E745="",H745=""),"ناقص",IF(H745="نعم","مكتمل","غائب")))</f>
        <v/>
      </c>
      <c r="L745" s="3"/>
    </row>
    <row r="746" spans="1:12" x14ac:dyDescent="0.2">
      <c r="A746" s="3">
        <v>743</v>
      </c>
      <c r="B746" s="3"/>
      <c r="C746" s="3" t="str">
        <f>IFERROR(VLOOKUP(B746,Sessions!A:J,2,FALSE),"")</f>
        <v/>
      </c>
      <c r="D746" s="3" t="str">
        <f>IFERROR(VLOOKUP(B746,Sessions!A:J,3,FALSE),"")</f>
        <v/>
      </c>
      <c r="E746" s="3"/>
      <c r="F746" s="3" t="str">
        <f>IFERROR(VLOOKUP(E746,Employees!A:L,2,FALSE),"")</f>
        <v/>
      </c>
      <c r="G746" s="3" t="str">
        <f>IFERROR(VLOOKUP(E746,Employees!A:L,3,FALSE),"")</f>
        <v/>
      </c>
      <c r="H746" s="3"/>
      <c r="I746" s="3"/>
      <c r="J746" s="3"/>
      <c r="K746" s="3" t="str">
        <f>IF(B746="","",IF(OR(E746="",H746=""),"ناقص",IF(H746="نعم","مكتمل","غائب")))</f>
        <v/>
      </c>
      <c r="L746" s="3"/>
    </row>
    <row r="747" spans="1:12" x14ac:dyDescent="0.2">
      <c r="A747" s="3">
        <v>744</v>
      </c>
      <c r="B747" s="3"/>
      <c r="C747" s="3" t="str">
        <f>IFERROR(VLOOKUP(B747,Sessions!A:J,2,FALSE),"")</f>
        <v/>
      </c>
      <c r="D747" s="3" t="str">
        <f>IFERROR(VLOOKUP(B747,Sessions!A:J,3,FALSE),"")</f>
        <v/>
      </c>
      <c r="E747" s="3"/>
      <c r="F747" s="3" t="str">
        <f>IFERROR(VLOOKUP(E747,Employees!A:L,2,FALSE),"")</f>
        <v/>
      </c>
      <c r="G747" s="3" t="str">
        <f>IFERROR(VLOOKUP(E747,Employees!A:L,3,FALSE),"")</f>
        <v/>
      </c>
      <c r="H747" s="3"/>
      <c r="I747" s="3"/>
      <c r="J747" s="3"/>
      <c r="K747" s="3" t="str">
        <f>IF(B747="","",IF(OR(E747="",H747=""),"ناقص",IF(H747="نعم","مكتمل","غائب")))</f>
        <v/>
      </c>
      <c r="L747" s="3"/>
    </row>
    <row r="748" spans="1:12" x14ac:dyDescent="0.2">
      <c r="A748" s="3">
        <v>745</v>
      </c>
      <c r="B748" s="3"/>
      <c r="C748" s="3" t="str">
        <f>IFERROR(VLOOKUP(B748,Sessions!A:J,2,FALSE),"")</f>
        <v/>
      </c>
      <c r="D748" s="3" t="str">
        <f>IFERROR(VLOOKUP(B748,Sessions!A:J,3,FALSE),"")</f>
        <v/>
      </c>
      <c r="E748" s="3"/>
      <c r="F748" s="3" t="str">
        <f>IFERROR(VLOOKUP(E748,Employees!A:L,2,FALSE),"")</f>
        <v/>
      </c>
      <c r="G748" s="3" t="str">
        <f>IFERROR(VLOOKUP(E748,Employees!A:L,3,FALSE),"")</f>
        <v/>
      </c>
      <c r="H748" s="3"/>
      <c r="I748" s="3"/>
      <c r="J748" s="3"/>
      <c r="K748" s="3" t="str">
        <f>IF(B748="","",IF(OR(E748="",H748=""),"ناقص",IF(H748="نعم","مكتمل","غائب")))</f>
        <v/>
      </c>
      <c r="L748" s="3"/>
    </row>
    <row r="749" spans="1:12" x14ac:dyDescent="0.2">
      <c r="A749" s="3">
        <v>746</v>
      </c>
      <c r="B749" s="3"/>
      <c r="C749" s="3" t="str">
        <f>IFERROR(VLOOKUP(B749,Sessions!A:J,2,FALSE),"")</f>
        <v/>
      </c>
      <c r="D749" s="3" t="str">
        <f>IFERROR(VLOOKUP(B749,Sessions!A:J,3,FALSE),"")</f>
        <v/>
      </c>
      <c r="E749" s="3"/>
      <c r="F749" s="3" t="str">
        <f>IFERROR(VLOOKUP(E749,Employees!A:L,2,FALSE),"")</f>
        <v/>
      </c>
      <c r="G749" s="3" t="str">
        <f>IFERROR(VLOOKUP(E749,Employees!A:L,3,FALSE),"")</f>
        <v/>
      </c>
      <c r="H749" s="3"/>
      <c r="I749" s="3"/>
      <c r="J749" s="3"/>
      <c r="K749" s="3" t="str">
        <f>IF(B749="","",IF(OR(E749="",H749=""),"ناقص",IF(H749="نعم","مكتمل","غائب")))</f>
        <v/>
      </c>
      <c r="L749" s="3"/>
    </row>
    <row r="750" spans="1:12" x14ac:dyDescent="0.2">
      <c r="A750" s="3">
        <v>747</v>
      </c>
      <c r="B750" s="3"/>
      <c r="C750" s="3" t="str">
        <f>IFERROR(VLOOKUP(B750,Sessions!A:J,2,FALSE),"")</f>
        <v/>
      </c>
      <c r="D750" s="3" t="str">
        <f>IFERROR(VLOOKUP(B750,Sessions!A:J,3,FALSE),"")</f>
        <v/>
      </c>
      <c r="E750" s="3"/>
      <c r="F750" s="3" t="str">
        <f>IFERROR(VLOOKUP(E750,Employees!A:L,2,FALSE),"")</f>
        <v/>
      </c>
      <c r="G750" s="3" t="str">
        <f>IFERROR(VLOOKUP(E750,Employees!A:L,3,FALSE),"")</f>
        <v/>
      </c>
      <c r="H750" s="3"/>
      <c r="I750" s="3"/>
      <c r="J750" s="3"/>
      <c r="K750" s="3" t="str">
        <f>IF(B750="","",IF(OR(E750="",H750=""),"ناقص",IF(H750="نعم","مكتمل","غائب")))</f>
        <v/>
      </c>
      <c r="L750" s="3"/>
    </row>
    <row r="751" spans="1:12" x14ac:dyDescent="0.2">
      <c r="A751" s="3">
        <v>748</v>
      </c>
      <c r="B751" s="3"/>
      <c r="C751" s="3" t="str">
        <f>IFERROR(VLOOKUP(B751,Sessions!A:J,2,FALSE),"")</f>
        <v/>
      </c>
      <c r="D751" s="3" t="str">
        <f>IFERROR(VLOOKUP(B751,Sessions!A:J,3,FALSE),"")</f>
        <v/>
      </c>
      <c r="E751" s="3"/>
      <c r="F751" s="3" t="str">
        <f>IFERROR(VLOOKUP(E751,Employees!A:L,2,FALSE),"")</f>
        <v/>
      </c>
      <c r="G751" s="3" t="str">
        <f>IFERROR(VLOOKUP(E751,Employees!A:L,3,FALSE),"")</f>
        <v/>
      </c>
      <c r="H751" s="3"/>
      <c r="I751" s="3"/>
      <c r="J751" s="3"/>
      <c r="K751" s="3" t="str">
        <f>IF(B751="","",IF(OR(E751="",H751=""),"ناقص",IF(H751="نعم","مكتمل","غائب")))</f>
        <v/>
      </c>
      <c r="L751" s="3"/>
    </row>
    <row r="752" spans="1:12" x14ac:dyDescent="0.2">
      <c r="A752" s="3">
        <v>749</v>
      </c>
      <c r="B752" s="3"/>
      <c r="C752" s="3" t="str">
        <f>IFERROR(VLOOKUP(B752,Sessions!A:J,2,FALSE),"")</f>
        <v/>
      </c>
      <c r="D752" s="3" t="str">
        <f>IFERROR(VLOOKUP(B752,Sessions!A:J,3,FALSE),"")</f>
        <v/>
      </c>
      <c r="E752" s="3"/>
      <c r="F752" s="3" t="str">
        <f>IFERROR(VLOOKUP(E752,Employees!A:L,2,FALSE),"")</f>
        <v/>
      </c>
      <c r="G752" s="3" t="str">
        <f>IFERROR(VLOOKUP(E752,Employees!A:L,3,FALSE),"")</f>
        <v/>
      </c>
      <c r="H752" s="3"/>
      <c r="I752" s="3"/>
      <c r="J752" s="3"/>
      <c r="K752" s="3" t="str">
        <f>IF(B752="","",IF(OR(E752="",H752=""),"ناقص",IF(H752="نعم","مكتمل","غائب")))</f>
        <v/>
      </c>
      <c r="L752" s="3"/>
    </row>
    <row r="753" spans="1:12" x14ac:dyDescent="0.2">
      <c r="A753" s="3">
        <v>750</v>
      </c>
      <c r="B753" s="3"/>
      <c r="C753" s="3" t="str">
        <f>IFERROR(VLOOKUP(B753,Sessions!A:J,2,FALSE),"")</f>
        <v/>
      </c>
      <c r="D753" s="3" t="str">
        <f>IFERROR(VLOOKUP(B753,Sessions!A:J,3,FALSE),"")</f>
        <v/>
      </c>
      <c r="E753" s="3"/>
      <c r="F753" s="3" t="str">
        <f>IFERROR(VLOOKUP(E753,Employees!A:L,2,FALSE),"")</f>
        <v/>
      </c>
      <c r="G753" s="3" t="str">
        <f>IFERROR(VLOOKUP(E753,Employees!A:L,3,FALSE),"")</f>
        <v/>
      </c>
      <c r="H753" s="3"/>
      <c r="I753" s="3"/>
      <c r="J753" s="3"/>
      <c r="K753" s="3" t="str">
        <f>IF(B753="","",IF(OR(E753="",H753=""),"ناقص",IF(H753="نعم","مكتمل","غائب")))</f>
        <v/>
      </c>
      <c r="L753" s="3"/>
    </row>
    <row r="754" spans="1:12" x14ac:dyDescent="0.2">
      <c r="A754" s="3">
        <v>751</v>
      </c>
      <c r="B754" s="3"/>
      <c r="C754" s="3" t="str">
        <f>IFERROR(VLOOKUP(B754,Sessions!A:J,2,FALSE),"")</f>
        <v/>
      </c>
      <c r="D754" s="3" t="str">
        <f>IFERROR(VLOOKUP(B754,Sessions!A:J,3,FALSE),"")</f>
        <v/>
      </c>
      <c r="E754" s="3"/>
      <c r="F754" s="3" t="str">
        <f>IFERROR(VLOOKUP(E754,Employees!A:L,2,FALSE),"")</f>
        <v/>
      </c>
      <c r="G754" s="3" t="str">
        <f>IFERROR(VLOOKUP(E754,Employees!A:L,3,FALSE),"")</f>
        <v/>
      </c>
      <c r="H754" s="3"/>
      <c r="I754" s="3"/>
      <c r="J754" s="3"/>
      <c r="K754" s="3" t="str">
        <f>IF(B754="","",IF(OR(E754="",H754=""),"ناقص",IF(H754="نعم","مكتمل","غائب")))</f>
        <v/>
      </c>
      <c r="L754" s="3"/>
    </row>
    <row r="755" spans="1:12" x14ac:dyDescent="0.2">
      <c r="A755" s="3">
        <v>752</v>
      </c>
      <c r="B755" s="3"/>
      <c r="C755" s="3" t="str">
        <f>IFERROR(VLOOKUP(B755,Sessions!A:J,2,FALSE),"")</f>
        <v/>
      </c>
      <c r="D755" s="3" t="str">
        <f>IFERROR(VLOOKUP(B755,Sessions!A:J,3,FALSE),"")</f>
        <v/>
      </c>
      <c r="E755" s="3"/>
      <c r="F755" s="3" t="str">
        <f>IFERROR(VLOOKUP(E755,Employees!A:L,2,FALSE),"")</f>
        <v/>
      </c>
      <c r="G755" s="3" t="str">
        <f>IFERROR(VLOOKUP(E755,Employees!A:L,3,FALSE),"")</f>
        <v/>
      </c>
      <c r="H755" s="3"/>
      <c r="I755" s="3"/>
      <c r="J755" s="3"/>
      <c r="K755" s="3" t="str">
        <f>IF(B755="","",IF(OR(E755="",H755=""),"ناقص",IF(H755="نعم","مكتمل","غائب")))</f>
        <v/>
      </c>
      <c r="L755" s="3"/>
    </row>
    <row r="756" spans="1:12" x14ac:dyDescent="0.2">
      <c r="A756" s="3">
        <v>753</v>
      </c>
      <c r="B756" s="3"/>
      <c r="C756" s="3" t="str">
        <f>IFERROR(VLOOKUP(B756,Sessions!A:J,2,FALSE),"")</f>
        <v/>
      </c>
      <c r="D756" s="3" t="str">
        <f>IFERROR(VLOOKUP(B756,Sessions!A:J,3,FALSE),"")</f>
        <v/>
      </c>
      <c r="E756" s="3"/>
      <c r="F756" s="3" t="str">
        <f>IFERROR(VLOOKUP(E756,Employees!A:L,2,FALSE),"")</f>
        <v/>
      </c>
      <c r="G756" s="3" t="str">
        <f>IFERROR(VLOOKUP(E756,Employees!A:L,3,FALSE),"")</f>
        <v/>
      </c>
      <c r="H756" s="3"/>
      <c r="I756" s="3"/>
      <c r="J756" s="3"/>
      <c r="K756" s="3" t="str">
        <f>IF(B756="","",IF(OR(E756="",H756=""),"ناقص",IF(H756="نعم","مكتمل","غائب")))</f>
        <v/>
      </c>
      <c r="L756" s="3"/>
    </row>
    <row r="757" spans="1:12" x14ac:dyDescent="0.2">
      <c r="A757" s="3">
        <v>754</v>
      </c>
      <c r="B757" s="3"/>
      <c r="C757" s="3" t="str">
        <f>IFERROR(VLOOKUP(B757,Sessions!A:J,2,FALSE),"")</f>
        <v/>
      </c>
      <c r="D757" s="3" t="str">
        <f>IFERROR(VLOOKUP(B757,Sessions!A:J,3,FALSE),"")</f>
        <v/>
      </c>
      <c r="E757" s="3"/>
      <c r="F757" s="3" t="str">
        <f>IFERROR(VLOOKUP(E757,Employees!A:L,2,FALSE),"")</f>
        <v/>
      </c>
      <c r="G757" s="3" t="str">
        <f>IFERROR(VLOOKUP(E757,Employees!A:L,3,FALSE),"")</f>
        <v/>
      </c>
      <c r="H757" s="3"/>
      <c r="I757" s="3"/>
      <c r="J757" s="3"/>
      <c r="K757" s="3" t="str">
        <f>IF(B757="","",IF(OR(E757="",H757=""),"ناقص",IF(H757="نعم","مكتمل","غائب")))</f>
        <v/>
      </c>
      <c r="L757" s="3"/>
    </row>
    <row r="758" spans="1:12" x14ac:dyDescent="0.2">
      <c r="A758" s="3">
        <v>755</v>
      </c>
      <c r="B758" s="3"/>
      <c r="C758" s="3" t="str">
        <f>IFERROR(VLOOKUP(B758,Sessions!A:J,2,FALSE),"")</f>
        <v/>
      </c>
      <c r="D758" s="3" t="str">
        <f>IFERROR(VLOOKUP(B758,Sessions!A:J,3,FALSE),"")</f>
        <v/>
      </c>
      <c r="E758" s="3"/>
      <c r="F758" s="3" t="str">
        <f>IFERROR(VLOOKUP(E758,Employees!A:L,2,FALSE),"")</f>
        <v/>
      </c>
      <c r="G758" s="3" t="str">
        <f>IFERROR(VLOOKUP(E758,Employees!A:L,3,FALSE),"")</f>
        <v/>
      </c>
      <c r="H758" s="3"/>
      <c r="I758" s="3"/>
      <c r="J758" s="3"/>
      <c r="K758" s="3" t="str">
        <f>IF(B758="","",IF(OR(E758="",H758=""),"ناقص",IF(H758="نعم","مكتمل","غائب")))</f>
        <v/>
      </c>
      <c r="L758" s="3"/>
    </row>
    <row r="759" spans="1:12" x14ac:dyDescent="0.2">
      <c r="A759" s="3">
        <v>756</v>
      </c>
      <c r="B759" s="3"/>
      <c r="C759" s="3" t="str">
        <f>IFERROR(VLOOKUP(B759,Sessions!A:J,2,FALSE),"")</f>
        <v/>
      </c>
      <c r="D759" s="3" t="str">
        <f>IFERROR(VLOOKUP(B759,Sessions!A:J,3,FALSE),"")</f>
        <v/>
      </c>
      <c r="E759" s="3"/>
      <c r="F759" s="3" t="str">
        <f>IFERROR(VLOOKUP(E759,Employees!A:L,2,FALSE),"")</f>
        <v/>
      </c>
      <c r="G759" s="3" t="str">
        <f>IFERROR(VLOOKUP(E759,Employees!A:L,3,FALSE),"")</f>
        <v/>
      </c>
      <c r="H759" s="3"/>
      <c r="I759" s="3"/>
      <c r="J759" s="3"/>
      <c r="K759" s="3" t="str">
        <f>IF(B759="","",IF(OR(E759="",H759=""),"ناقص",IF(H759="نعم","مكتمل","غائب")))</f>
        <v/>
      </c>
      <c r="L759" s="3"/>
    </row>
    <row r="760" spans="1:12" x14ac:dyDescent="0.2">
      <c r="A760" s="3">
        <v>757</v>
      </c>
      <c r="B760" s="3"/>
      <c r="C760" s="3" t="str">
        <f>IFERROR(VLOOKUP(B760,Sessions!A:J,2,FALSE),"")</f>
        <v/>
      </c>
      <c r="D760" s="3" t="str">
        <f>IFERROR(VLOOKUP(B760,Sessions!A:J,3,FALSE),"")</f>
        <v/>
      </c>
      <c r="E760" s="3"/>
      <c r="F760" s="3" t="str">
        <f>IFERROR(VLOOKUP(E760,Employees!A:L,2,FALSE),"")</f>
        <v/>
      </c>
      <c r="G760" s="3" t="str">
        <f>IFERROR(VLOOKUP(E760,Employees!A:L,3,FALSE),"")</f>
        <v/>
      </c>
      <c r="H760" s="3"/>
      <c r="I760" s="3"/>
      <c r="J760" s="3"/>
      <c r="K760" s="3" t="str">
        <f>IF(B760="","",IF(OR(E760="",H760=""),"ناقص",IF(H760="نعم","مكتمل","غائب")))</f>
        <v/>
      </c>
      <c r="L760" s="3"/>
    </row>
    <row r="761" spans="1:12" x14ac:dyDescent="0.2">
      <c r="A761" s="3">
        <v>758</v>
      </c>
      <c r="B761" s="3"/>
      <c r="C761" s="3" t="str">
        <f>IFERROR(VLOOKUP(B761,Sessions!A:J,2,FALSE),"")</f>
        <v/>
      </c>
      <c r="D761" s="3" t="str">
        <f>IFERROR(VLOOKUP(B761,Sessions!A:J,3,FALSE),"")</f>
        <v/>
      </c>
      <c r="E761" s="3"/>
      <c r="F761" s="3" t="str">
        <f>IFERROR(VLOOKUP(E761,Employees!A:L,2,FALSE),"")</f>
        <v/>
      </c>
      <c r="G761" s="3" t="str">
        <f>IFERROR(VLOOKUP(E761,Employees!A:L,3,FALSE),"")</f>
        <v/>
      </c>
      <c r="H761" s="3"/>
      <c r="I761" s="3"/>
      <c r="J761" s="3"/>
      <c r="K761" s="3" t="str">
        <f>IF(B761="","",IF(OR(E761="",H761=""),"ناقص",IF(H761="نعم","مكتمل","غائب")))</f>
        <v/>
      </c>
      <c r="L761" s="3"/>
    </row>
    <row r="762" spans="1:12" x14ac:dyDescent="0.2">
      <c r="A762" s="3">
        <v>759</v>
      </c>
      <c r="B762" s="3"/>
      <c r="C762" s="3" t="str">
        <f>IFERROR(VLOOKUP(B762,Sessions!A:J,2,FALSE),"")</f>
        <v/>
      </c>
      <c r="D762" s="3" t="str">
        <f>IFERROR(VLOOKUP(B762,Sessions!A:J,3,FALSE),"")</f>
        <v/>
      </c>
      <c r="E762" s="3"/>
      <c r="F762" s="3" t="str">
        <f>IFERROR(VLOOKUP(E762,Employees!A:L,2,FALSE),"")</f>
        <v/>
      </c>
      <c r="G762" s="3" t="str">
        <f>IFERROR(VLOOKUP(E762,Employees!A:L,3,FALSE),"")</f>
        <v/>
      </c>
      <c r="H762" s="3"/>
      <c r="I762" s="3"/>
      <c r="J762" s="3"/>
      <c r="K762" s="3" t="str">
        <f>IF(B762="","",IF(OR(E762="",H762=""),"ناقص",IF(H762="نعم","مكتمل","غائب")))</f>
        <v/>
      </c>
      <c r="L762" s="3"/>
    </row>
    <row r="763" spans="1:12" x14ac:dyDescent="0.2">
      <c r="A763" s="3">
        <v>760</v>
      </c>
      <c r="B763" s="3"/>
      <c r="C763" s="3" t="str">
        <f>IFERROR(VLOOKUP(B763,Sessions!A:J,2,FALSE),"")</f>
        <v/>
      </c>
      <c r="D763" s="3" t="str">
        <f>IFERROR(VLOOKUP(B763,Sessions!A:J,3,FALSE),"")</f>
        <v/>
      </c>
      <c r="E763" s="3"/>
      <c r="F763" s="3" t="str">
        <f>IFERROR(VLOOKUP(E763,Employees!A:L,2,FALSE),"")</f>
        <v/>
      </c>
      <c r="G763" s="3" t="str">
        <f>IFERROR(VLOOKUP(E763,Employees!A:L,3,FALSE),"")</f>
        <v/>
      </c>
      <c r="H763" s="3"/>
      <c r="I763" s="3"/>
      <c r="J763" s="3"/>
      <c r="K763" s="3" t="str">
        <f>IF(B763="","",IF(OR(E763="",H763=""),"ناقص",IF(H763="نعم","مكتمل","غائب")))</f>
        <v/>
      </c>
      <c r="L763" s="3"/>
    </row>
    <row r="764" spans="1:12" x14ac:dyDescent="0.2">
      <c r="A764" s="3">
        <v>761</v>
      </c>
      <c r="B764" s="3"/>
      <c r="C764" s="3" t="str">
        <f>IFERROR(VLOOKUP(B764,Sessions!A:J,2,FALSE),"")</f>
        <v/>
      </c>
      <c r="D764" s="3" t="str">
        <f>IFERROR(VLOOKUP(B764,Sessions!A:J,3,FALSE),"")</f>
        <v/>
      </c>
      <c r="E764" s="3"/>
      <c r="F764" s="3" t="str">
        <f>IFERROR(VLOOKUP(E764,Employees!A:L,2,FALSE),"")</f>
        <v/>
      </c>
      <c r="G764" s="3" t="str">
        <f>IFERROR(VLOOKUP(E764,Employees!A:L,3,FALSE),"")</f>
        <v/>
      </c>
      <c r="H764" s="3"/>
      <c r="I764" s="3"/>
      <c r="J764" s="3"/>
      <c r="K764" s="3" t="str">
        <f>IF(B764="","",IF(OR(E764="",H764=""),"ناقص",IF(H764="نعم","مكتمل","غائب")))</f>
        <v/>
      </c>
      <c r="L764" s="3"/>
    </row>
    <row r="765" spans="1:12" x14ac:dyDescent="0.2">
      <c r="A765" s="3">
        <v>762</v>
      </c>
      <c r="B765" s="3"/>
      <c r="C765" s="3" t="str">
        <f>IFERROR(VLOOKUP(B765,Sessions!A:J,2,FALSE),"")</f>
        <v/>
      </c>
      <c r="D765" s="3" t="str">
        <f>IFERROR(VLOOKUP(B765,Sessions!A:J,3,FALSE),"")</f>
        <v/>
      </c>
      <c r="E765" s="3"/>
      <c r="F765" s="3" t="str">
        <f>IFERROR(VLOOKUP(E765,Employees!A:L,2,FALSE),"")</f>
        <v/>
      </c>
      <c r="G765" s="3" t="str">
        <f>IFERROR(VLOOKUP(E765,Employees!A:L,3,FALSE),"")</f>
        <v/>
      </c>
      <c r="H765" s="3"/>
      <c r="I765" s="3"/>
      <c r="J765" s="3"/>
      <c r="K765" s="3" t="str">
        <f>IF(B765="","",IF(OR(E765="",H765=""),"ناقص",IF(H765="نعم","مكتمل","غائب")))</f>
        <v/>
      </c>
      <c r="L765" s="3"/>
    </row>
    <row r="766" spans="1:12" x14ac:dyDescent="0.2">
      <c r="A766" s="3">
        <v>763</v>
      </c>
      <c r="B766" s="3"/>
      <c r="C766" s="3" t="str">
        <f>IFERROR(VLOOKUP(B766,Sessions!A:J,2,FALSE),"")</f>
        <v/>
      </c>
      <c r="D766" s="3" t="str">
        <f>IFERROR(VLOOKUP(B766,Sessions!A:J,3,FALSE),"")</f>
        <v/>
      </c>
      <c r="E766" s="3"/>
      <c r="F766" s="3" t="str">
        <f>IFERROR(VLOOKUP(E766,Employees!A:L,2,FALSE),"")</f>
        <v/>
      </c>
      <c r="G766" s="3" t="str">
        <f>IFERROR(VLOOKUP(E766,Employees!A:L,3,FALSE),"")</f>
        <v/>
      </c>
      <c r="H766" s="3"/>
      <c r="I766" s="3"/>
      <c r="J766" s="3"/>
      <c r="K766" s="3" t="str">
        <f>IF(B766="","",IF(OR(E766="",H766=""),"ناقص",IF(H766="نعم","مكتمل","غائب")))</f>
        <v/>
      </c>
      <c r="L766" s="3"/>
    </row>
    <row r="767" spans="1:12" x14ac:dyDescent="0.2">
      <c r="A767" s="3">
        <v>764</v>
      </c>
      <c r="B767" s="3"/>
      <c r="C767" s="3" t="str">
        <f>IFERROR(VLOOKUP(B767,Sessions!A:J,2,FALSE),"")</f>
        <v/>
      </c>
      <c r="D767" s="3" t="str">
        <f>IFERROR(VLOOKUP(B767,Sessions!A:J,3,FALSE),"")</f>
        <v/>
      </c>
      <c r="E767" s="3"/>
      <c r="F767" s="3" t="str">
        <f>IFERROR(VLOOKUP(E767,Employees!A:L,2,FALSE),"")</f>
        <v/>
      </c>
      <c r="G767" s="3" t="str">
        <f>IFERROR(VLOOKUP(E767,Employees!A:L,3,FALSE),"")</f>
        <v/>
      </c>
      <c r="H767" s="3"/>
      <c r="I767" s="3"/>
      <c r="J767" s="3"/>
      <c r="K767" s="3" t="str">
        <f>IF(B767="","",IF(OR(E767="",H767=""),"ناقص",IF(H767="نعم","مكتمل","غائب")))</f>
        <v/>
      </c>
      <c r="L767" s="3"/>
    </row>
    <row r="768" spans="1:12" x14ac:dyDescent="0.2">
      <c r="A768" s="3">
        <v>765</v>
      </c>
      <c r="B768" s="3"/>
      <c r="C768" s="3" t="str">
        <f>IFERROR(VLOOKUP(B768,Sessions!A:J,2,FALSE),"")</f>
        <v/>
      </c>
      <c r="D768" s="3" t="str">
        <f>IFERROR(VLOOKUP(B768,Sessions!A:J,3,FALSE),"")</f>
        <v/>
      </c>
      <c r="E768" s="3"/>
      <c r="F768" s="3" t="str">
        <f>IFERROR(VLOOKUP(E768,Employees!A:L,2,FALSE),"")</f>
        <v/>
      </c>
      <c r="G768" s="3" t="str">
        <f>IFERROR(VLOOKUP(E768,Employees!A:L,3,FALSE),"")</f>
        <v/>
      </c>
      <c r="H768" s="3"/>
      <c r="I768" s="3"/>
      <c r="J768" s="3"/>
      <c r="K768" s="3" t="str">
        <f>IF(B768="","",IF(OR(E768="",H768=""),"ناقص",IF(H768="نعم","مكتمل","غائب")))</f>
        <v/>
      </c>
      <c r="L768" s="3"/>
    </row>
    <row r="769" spans="1:12" x14ac:dyDescent="0.2">
      <c r="A769" s="3">
        <v>766</v>
      </c>
      <c r="B769" s="3"/>
      <c r="C769" s="3" t="str">
        <f>IFERROR(VLOOKUP(B769,Sessions!A:J,2,FALSE),"")</f>
        <v/>
      </c>
      <c r="D769" s="3" t="str">
        <f>IFERROR(VLOOKUP(B769,Sessions!A:J,3,FALSE),"")</f>
        <v/>
      </c>
      <c r="E769" s="3"/>
      <c r="F769" s="3" t="str">
        <f>IFERROR(VLOOKUP(E769,Employees!A:L,2,FALSE),"")</f>
        <v/>
      </c>
      <c r="G769" s="3" t="str">
        <f>IFERROR(VLOOKUP(E769,Employees!A:L,3,FALSE),"")</f>
        <v/>
      </c>
      <c r="H769" s="3"/>
      <c r="I769" s="3"/>
      <c r="J769" s="3"/>
      <c r="K769" s="3" t="str">
        <f>IF(B769="","",IF(OR(E769="",H769=""),"ناقص",IF(H769="نعم","مكتمل","غائب")))</f>
        <v/>
      </c>
      <c r="L769" s="3"/>
    </row>
    <row r="770" spans="1:12" x14ac:dyDescent="0.2">
      <c r="A770" s="3">
        <v>767</v>
      </c>
      <c r="B770" s="3"/>
      <c r="C770" s="3" t="str">
        <f>IFERROR(VLOOKUP(B770,Sessions!A:J,2,FALSE),"")</f>
        <v/>
      </c>
      <c r="D770" s="3" t="str">
        <f>IFERROR(VLOOKUP(B770,Sessions!A:J,3,FALSE),"")</f>
        <v/>
      </c>
      <c r="E770" s="3"/>
      <c r="F770" s="3" t="str">
        <f>IFERROR(VLOOKUP(E770,Employees!A:L,2,FALSE),"")</f>
        <v/>
      </c>
      <c r="G770" s="3" t="str">
        <f>IFERROR(VLOOKUP(E770,Employees!A:L,3,FALSE),"")</f>
        <v/>
      </c>
      <c r="H770" s="3"/>
      <c r="I770" s="3"/>
      <c r="J770" s="3"/>
      <c r="K770" s="3" t="str">
        <f>IF(B770="","",IF(OR(E770="",H770=""),"ناقص",IF(H770="نعم","مكتمل","غائب")))</f>
        <v/>
      </c>
      <c r="L770" s="3"/>
    </row>
    <row r="771" spans="1:12" x14ac:dyDescent="0.2">
      <c r="A771" s="3">
        <v>768</v>
      </c>
      <c r="B771" s="3"/>
      <c r="C771" s="3" t="str">
        <f>IFERROR(VLOOKUP(B771,Sessions!A:J,2,FALSE),"")</f>
        <v/>
      </c>
      <c r="D771" s="3" t="str">
        <f>IFERROR(VLOOKUP(B771,Sessions!A:J,3,FALSE),"")</f>
        <v/>
      </c>
      <c r="E771" s="3"/>
      <c r="F771" s="3" t="str">
        <f>IFERROR(VLOOKUP(E771,Employees!A:L,2,FALSE),"")</f>
        <v/>
      </c>
      <c r="G771" s="3" t="str">
        <f>IFERROR(VLOOKUP(E771,Employees!A:L,3,FALSE),"")</f>
        <v/>
      </c>
      <c r="H771" s="3"/>
      <c r="I771" s="3"/>
      <c r="J771" s="3"/>
      <c r="K771" s="3" t="str">
        <f>IF(B771="","",IF(OR(E771="",H771=""),"ناقص",IF(H771="نعم","مكتمل","غائب")))</f>
        <v/>
      </c>
      <c r="L771" s="3"/>
    </row>
    <row r="772" spans="1:12" x14ac:dyDescent="0.2">
      <c r="A772" s="3">
        <v>769</v>
      </c>
      <c r="B772" s="3"/>
      <c r="C772" s="3" t="str">
        <f>IFERROR(VLOOKUP(B772,Sessions!A:J,2,FALSE),"")</f>
        <v/>
      </c>
      <c r="D772" s="3" t="str">
        <f>IFERROR(VLOOKUP(B772,Sessions!A:J,3,FALSE),"")</f>
        <v/>
      </c>
      <c r="E772" s="3"/>
      <c r="F772" s="3" t="str">
        <f>IFERROR(VLOOKUP(E772,Employees!A:L,2,FALSE),"")</f>
        <v/>
      </c>
      <c r="G772" s="3" t="str">
        <f>IFERROR(VLOOKUP(E772,Employees!A:L,3,FALSE),"")</f>
        <v/>
      </c>
      <c r="H772" s="3"/>
      <c r="I772" s="3"/>
      <c r="J772" s="3"/>
      <c r="K772" s="3" t="str">
        <f>IF(B772="","",IF(OR(E772="",H772=""),"ناقص",IF(H772="نعم","مكتمل","غائب")))</f>
        <v/>
      </c>
      <c r="L772" s="3"/>
    </row>
    <row r="773" spans="1:12" x14ac:dyDescent="0.2">
      <c r="A773" s="3">
        <v>770</v>
      </c>
      <c r="B773" s="3"/>
      <c r="C773" s="3" t="str">
        <f>IFERROR(VLOOKUP(B773,Sessions!A:J,2,FALSE),"")</f>
        <v/>
      </c>
      <c r="D773" s="3" t="str">
        <f>IFERROR(VLOOKUP(B773,Sessions!A:J,3,FALSE),"")</f>
        <v/>
      </c>
      <c r="E773" s="3"/>
      <c r="F773" s="3" t="str">
        <f>IFERROR(VLOOKUP(E773,Employees!A:L,2,FALSE),"")</f>
        <v/>
      </c>
      <c r="G773" s="3" t="str">
        <f>IFERROR(VLOOKUP(E773,Employees!A:L,3,FALSE),"")</f>
        <v/>
      </c>
      <c r="H773" s="3"/>
      <c r="I773" s="3"/>
      <c r="J773" s="3"/>
      <c r="K773" s="3" t="str">
        <f>IF(B773="","",IF(OR(E773="",H773=""),"ناقص",IF(H773="نعم","مكتمل","غائب")))</f>
        <v/>
      </c>
      <c r="L773" s="3"/>
    </row>
    <row r="774" spans="1:12" x14ac:dyDescent="0.2">
      <c r="A774" s="3">
        <v>771</v>
      </c>
      <c r="B774" s="3"/>
      <c r="C774" s="3" t="str">
        <f>IFERROR(VLOOKUP(B774,Sessions!A:J,2,FALSE),"")</f>
        <v/>
      </c>
      <c r="D774" s="3" t="str">
        <f>IFERROR(VLOOKUP(B774,Sessions!A:J,3,FALSE),"")</f>
        <v/>
      </c>
      <c r="E774" s="3"/>
      <c r="F774" s="3" t="str">
        <f>IFERROR(VLOOKUP(E774,Employees!A:L,2,FALSE),"")</f>
        <v/>
      </c>
      <c r="G774" s="3" t="str">
        <f>IFERROR(VLOOKUP(E774,Employees!A:L,3,FALSE),"")</f>
        <v/>
      </c>
      <c r="H774" s="3"/>
      <c r="I774" s="3"/>
      <c r="J774" s="3"/>
      <c r="K774" s="3" t="str">
        <f>IF(B774="","",IF(OR(E774="",H774=""),"ناقص",IF(H774="نعم","مكتمل","غائب")))</f>
        <v/>
      </c>
      <c r="L774" s="3"/>
    </row>
    <row r="775" spans="1:12" x14ac:dyDescent="0.2">
      <c r="A775" s="3">
        <v>772</v>
      </c>
      <c r="B775" s="3"/>
      <c r="C775" s="3" t="str">
        <f>IFERROR(VLOOKUP(B775,Sessions!A:J,2,FALSE),"")</f>
        <v/>
      </c>
      <c r="D775" s="3" t="str">
        <f>IFERROR(VLOOKUP(B775,Sessions!A:J,3,FALSE),"")</f>
        <v/>
      </c>
      <c r="E775" s="3"/>
      <c r="F775" s="3" t="str">
        <f>IFERROR(VLOOKUP(E775,Employees!A:L,2,FALSE),"")</f>
        <v/>
      </c>
      <c r="G775" s="3" t="str">
        <f>IFERROR(VLOOKUP(E775,Employees!A:L,3,FALSE),"")</f>
        <v/>
      </c>
      <c r="H775" s="3"/>
      <c r="I775" s="3"/>
      <c r="J775" s="3"/>
      <c r="K775" s="3" t="str">
        <f>IF(B775="","",IF(OR(E775="",H775=""),"ناقص",IF(H775="نعم","مكتمل","غائب")))</f>
        <v/>
      </c>
      <c r="L775" s="3"/>
    </row>
    <row r="776" spans="1:12" x14ac:dyDescent="0.2">
      <c r="A776" s="3">
        <v>773</v>
      </c>
      <c r="B776" s="3"/>
      <c r="C776" s="3" t="str">
        <f>IFERROR(VLOOKUP(B776,Sessions!A:J,2,FALSE),"")</f>
        <v/>
      </c>
      <c r="D776" s="3" t="str">
        <f>IFERROR(VLOOKUP(B776,Sessions!A:J,3,FALSE),"")</f>
        <v/>
      </c>
      <c r="E776" s="3"/>
      <c r="F776" s="3" t="str">
        <f>IFERROR(VLOOKUP(E776,Employees!A:L,2,FALSE),"")</f>
        <v/>
      </c>
      <c r="G776" s="3" t="str">
        <f>IFERROR(VLOOKUP(E776,Employees!A:L,3,FALSE),"")</f>
        <v/>
      </c>
      <c r="H776" s="3"/>
      <c r="I776" s="3"/>
      <c r="J776" s="3"/>
      <c r="K776" s="3" t="str">
        <f>IF(B776="","",IF(OR(E776="",H776=""),"ناقص",IF(H776="نعم","مكتمل","غائب")))</f>
        <v/>
      </c>
      <c r="L776" s="3"/>
    </row>
    <row r="777" spans="1:12" x14ac:dyDescent="0.2">
      <c r="A777" s="3">
        <v>774</v>
      </c>
      <c r="B777" s="3"/>
      <c r="C777" s="3" t="str">
        <f>IFERROR(VLOOKUP(B777,Sessions!A:J,2,FALSE),"")</f>
        <v/>
      </c>
      <c r="D777" s="3" t="str">
        <f>IFERROR(VLOOKUP(B777,Sessions!A:J,3,FALSE),"")</f>
        <v/>
      </c>
      <c r="E777" s="3"/>
      <c r="F777" s="3" t="str">
        <f>IFERROR(VLOOKUP(E777,Employees!A:L,2,FALSE),"")</f>
        <v/>
      </c>
      <c r="G777" s="3" t="str">
        <f>IFERROR(VLOOKUP(E777,Employees!A:L,3,FALSE),"")</f>
        <v/>
      </c>
      <c r="H777" s="3"/>
      <c r="I777" s="3"/>
      <c r="J777" s="3"/>
      <c r="K777" s="3" t="str">
        <f>IF(B777="","",IF(OR(E777="",H777=""),"ناقص",IF(H777="نعم","مكتمل","غائب")))</f>
        <v/>
      </c>
      <c r="L777" s="3"/>
    </row>
    <row r="778" spans="1:12" x14ac:dyDescent="0.2">
      <c r="A778" s="3">
        <v>775</v>
      </c>
      <c r="B778" s="3"/>
      <c r="C778" s="3" t="str">
        <f>IFERROR(VLOOKUP(B778,Sessions!A:J,2,FALSE),"")</f>
        <v/>
      </c>
      <c r="D778" s="3" t="str">
        <f>IFERROR(VLOOKUP(B778,Sessions!A:J,3,FALSE),"")</f>
        <v/>
      </c>
      <c r="E778" s="3"/>
      <c r="F778" s="3" t="str">
        <f>IFERROR(VLOOKUP(E778,Employees!A:L,2,FALSE),"")</f>
        <v/>
      </c>
      <c r="G778" s="3" t="str">
        <f>IFERROR(VLOOKUP(E778,Employees!A:L,3,FALSE),"")</f>
        <v/>
      </c>
      <c r="H778" s="3"/>
      <c r="I778" s="3"/>
      <c r="J778" s="3"/>
      <c r="K778" s="3" t="str">
        <f>IF(B778="","",IF(OR(E778="",H778=""),"ناقص",IF(H778="نعم","مكتمل","غائب")))</f>
        <v/>
      </c>
      <c r="L778" s="3"/>
    </row>
    <row r="779" spans="1:12" x14ac:dyDescent="0.2">
      <c r="A779" s="3">
        <v>776</v>
      </c>
      <c r="B779" s="3"/>
      <c r="C779" s="3" t="str">
        <f>IFERROR(VLOOKUP(B779,Sessions!A:J,2,FALSE),"")</f>
        <v/>
      </c>
      <c r="D779" s="3" t="str">
        <f>IFERROR(VLOOKUP(B779,Sessions!A:J,3,FALSE),"")</f>
        <v/>
      </c>
      <c r="E779" s="3"/>
      <c r="F779" s="3" t="str">
        <f>IFERROR(VLOOKUP(E779,Employees!A:L,2,FALSE),"")</f>
        <v/>
      </c>
      <c r="G779" s="3" t="str">
        <f>IFERROR(VLOOKUP(E779,Employees!A:L,3,FALSE),"")</f>
        <v/>
      </c>
      <c r="H779" s="3"/>
      <c r="I779" s="3"/>
      <c r="J779" s="3"/>
      <c r="K779" s="3" t="str">
        <f>IF(B779="","",IF(OR(E779="",H779=""),"ناقص",IF(H779="نعم","مكتمل","غائب")))</f>
        <v/>
      </c>
      <c r="L779" s="3"/>
    </row>
    <row r="780" spans="1:12" x14ac:dyDescent="0.2">
      <c r="A780" s="3">
        <v>777</v>
      </c>
      <c r="B780" s="3"/>
      <c r="C780" s="3" t="str">
        <f>IFERROR(VLOOKUP(B780,Sessions!A:J,2,FALSE),"")</f>
        <v/>
      </c>
      <c r="D780" s="3" t="str">
        <f>IFERROR(VLOOKUP(B780,Sessions!A:J,3,FALSE),"")</f>
        <v/>
      </c>
      <c r="E780" s="3"/>
      <c r="F780" s="3" t="str">
        <f>IFERROR(VLOOKUP(E780,Employees!A:L,2,FALSE),"")</f>
        <v/>
      </c>
      <c r="G780" s="3" t="str">
        <f>IFERROR(VLOOKUP(E780,Employees!A:L,3,FALSE),"")</f>
        <v/>
      </c>
      <c r="H780" s="3"/>
      <c r="I780" s="3"/>
      <c r="J780" s="3"/>
      <c r="K780" s="3" t="str">
        <f>IF(B780="","",IF(OR(E780="",H780=""),"ناقص",IF(H780="نعم","مكتمل","غائب")))</f>
        <v/>
      </c>
      <c r="L780" s="3"/>
    </row>
    <row r="781" spans="1:12" x14ac:dyDescent="0.2">
      <c r="A781" s="3">
        <v>778</v>
      </c>
      <c r="B781" s="3"/>
      <c r="C781" s="3" t="str">
        <f>IFERROR(VLOOKUP(B781,Sessions!A:J,2,FALSE),"")</f>
        <v/>
      </c>
      <c r="D781" s="3" t="str">
        <f>IFERROR(VLOOKUP(B781,Sessions!A:J,3,FALSE),"")</f>
        <v/>
      </c>
      <c r="E781" s="3"/>
      <c r="F781" s="3" t="str">
        <f>IFERROR(VLOOKUP(E781,Employees!A:L,2,FALSE),"")</f>
        <v/>
      </c>
      <c r="G781" s="3" t="str">
        <f>IFERROR(VLOOKUP(E781,Employees!A:L,3,FALSE),"")</f>
        <v/>
      </c>
      <c r="H781" s="3"/>
      <c r="I781" s="3"/>
      <c r="J781" s="3"/>
      <c r="K781" s="3" t="str">
        <f>IF(B781="","",IF(OR(E781="",H781=""),"ناقص",IF(H781="نعم","مكتمل","غائب")))</f>
        <v/>
      </c>
      <c r="L781" s="3"/>
    </row>
    <row r="782" spans="1:12" x14ac:dyDescent="0.2">
      <c r="A782" s="3">
        <v>779</v>
      </c>
      <c r="B782" s="3"/>
      <c r="C782" s="3" t="str">
        <f>IFERROR(VLOOKUP(B782,Sessions!A:J,2,FALSE),"")</f>
        <v/>
      </c>
      <c r="D782" s="3" t="str">
        <f>IFERROR(VLOOKUP(B782,Sessions!A:J,3,FALSE),"")</f>
        <v/>
      </c>
      <c r="E782" s="3"/>
      <c r="F782" s="3" t="str">
        <f>IFERROR(VLOOKUP(E782,Employees!A:L,2,FALSE),"")</f>
        <v/>
      </c>
      <c r="G782" s="3" t="str">
        <f>IFERROR(VLOOKUP(E782,Employees!A:L,3,FALSE),"")</f>
        <v/>
      </c>
      <c r="H782" s="3"/>
      <c r="I782" s="3"/>
      <c r="J782" s="3"/>
      <c r="K782" s="3" t="str">
        <f>IF(B782="","",IF(OR(E782="",H782=""),"ناقص",IF(H782="نعم","مكتمل","غائب")))</f>
        <v/>
      </c>
      <c r="L782" s="3"/>
    </row>
    <row r="783" spans="1:12" x14ac:dyDescent="0.2">
      <c r="A783" s="3">
        <v>780</v>
      </c>
      <c r="B783" s="3"/>
      <c r="C783" s="3" t="str">
        <f>IFERROR(VLOOKUP(B783,Sessions!A:J,2,FALSE),"")</f>
        <v/>
      </c>
      <c r="D783" s="3" t="str">
        <f>IFERROR(VLOOKUP(B783,Sessions!A:J,3,FALSE),"")</f>
        <v/>
      </c>
      <c r="E783" s="3"/>
      <c r="F783" s="3" t="str">
        <f>IFERROR(VLOOKUP(E783,Employees!A:L,2,FALSE),"")</f>
        <v/>
      </c>
      <c r="G783" s="3" t="str">
        <f>IFERROR(VLOOKUP(E783,Employees!A:L,3,FALSE),"")</f>
        <v/>
      </c>
      <c r="H783" s="3"/>
      <c r="I783" s="3"/>
      <c r="J783" s="3"/>
      <c r="K783" s="3" t="str">
        <f>IF(B783="","",IF(OR(E783="",H783=""),"ناقص",IF(H783="نعم","مكتمل","غائب")))</f>
        <v/>
      </c>
      <c r="L783" s="3"/>
    </row>
    <row r="784" spans="1:12" x14ac:dyDescent="0.2">
      <c r="A784" s="3">
        <v>781</v>
      </c>
      <c r="B784" s="3"/>
      <c r="C784" s="3" t="str">
        <f>IFERROR(VLOOKUP(B784,Sessions!A:J,2,FALSE),"")</f>
        <v/>
      </c>
      <c r="D784" s="3" t="str">
        <f>IFERROR(VLOOKUP(B784,Sessions!A:J,3,FALSE),"")</f>
        <v/>
      </c>
      <c r="E784" s="3"/>
      <c r="F784" s="3" t="str">
        <f>IFERROR(VLOOKUP(E784,Employees!A:L,2,FALSE),"")</f>
        <v/>
      </c>
      <c r="G784" s="3" t="str">
        <f>IFERROR(VLOOKUP(E784,Employees!A:L,3,FALSE),"")</f>
        <v/>
      </c>
      <c r="H784" s="3"/>
      <c r="I784" s="3"/>
      <c r="J784" s="3"/>
      <c r="K784" s="3" t="str">
        <f>IF(B784="","",IF(OR(E784="",H784=""),"ناقص",IF(H784="نعم","مكتمل","غائب")))</f>
        <v/>
      </c>
      <c r="L784" s="3"/>
    </row>
    <row r="785" spans="1:12" x14ac:dyDescent="0.2">
      <c r="A785" s="3">
        <v>782</v>
      </c>
      <c r="B785" s="3"/>
      <c r="C785" s="3" t="str">
        <f>IFERROR(VLOOKUP(B785,Sessions!A:J,2,FALSE),"")</f>
        <v/>
      </c>
      <c r="D785" s="3" t="str">
        <f>IFERROR(VLOOKUP(B785,Sessions!A:J,3,FALSE),"")</f>
        <v/>
      </c>
      <c r="E785" s="3"/>
      <c r="F785" s="3" t="str">
        <f>IFERROR(VLOOKUP(E785,Employees!A:L,2,FALSE),"")</f>
        <v/>
      </c>
      <c r="G785" s="3" t="str">
        <f>IFERROR(VLOOKUP(E785,Employees!A:L,3,FALSE),"")</f>
        <v/>
      </c>
      <c r="H785" s="3"/>
      <c r="I785" s="3"/>
      <c r="J785" s="3"/>
      <c r="K785" s="3" t="str">
        <f>IF(B785="","",IF(OR(E785="",H785=""),"ناقص",IF(H785="نعم","مكتمل","غائب")))</f>
        <v/>
      </c>
      <c r="L785" s="3"/>
    </row>
    <row r="786" spans="1:12" x14ac:dyDescent="0.2">
      <c r="A786" s="3">
        <v>783</v>
      </c>
      <c r="B786" s="3"/>
      <c r="C786" s="3" t="str">
        <f>IFERROR(VLOOKUP(B786,Sessions!A:J,2,FALSE),"")</f>
        <v/>
      </c>
      <c r="D786" s="3" t="str">
        <f>IFERROR(VLOOKUP(B786,Sessions!A:J,3,FALSE),"")</f>
        <v/>
      </c>
      <c r="E786" s="3"/>
      <c r="F786" s="3" t="str">
        <f>IFERROR(VLOOKUP(E786,Employees!A:L,2,FALSE),"")</f>
        <v/>
      </c>
      <c r="G786" s="3" t="str">
        <f>IFERROR(VLOOKUP(E786,Employees!A:L,3,FALSE),"")</f>
        <v/>
      </c>
      <c r="H786" s="3"/>
      <c r="I786" s="3"/>
      <c r="J786" s="3"/>
      <c r="K786" s="3" t="str">
        <f>IF(B786="","",IF(OR(E786="",H786=""),"ناقص",IF(H786="نعم","مكتمل","غائب")))</f>
        <v/>
      </c>
      <c r="L786" s="3"/>
    </row>
    <row r="787" spans="1:12" x14ac:dyDescent="0.2">
      <c r="A787" s="3">
        <v>784</v>
      </c>
      <c r="B787" s="3"/>
      <c r="C787" s="3" t="str">
        <f>IFERROR(VLOOKUP(B787,Sessions!A:J,2,FALSE),"")</f>
        <v/>
      </c>
      <c r="D787" s="3" t="str">
        <f>IFERROR(VLOOKUP(B787,Sessions!A:J,3,FALSE),"")</f>
        <v/>
      </c>
      <c r="E787" s="3"/>
      <c r="F787" s="3" t="str">
        <f>IFERROR(VLOOKUP(E787,Employees!A:L,2,FALSE),"")</f>
        <v/>
      </c>
      <c r="G787" s="3" t="str">
        <f>IFERROR(VLOOKUP(E787,Employees!A:L,3,FALSE),"")</f>
        <v/>
      </c>
      <c r="H787" s="3"/>
      <c r="I787" s="3"/>
      <c r="J787" s="3"/>
      <c r="K787" s="3" t="str">
        <f>IF(B787="","",IF(OR(E787="",H787=""),"ناقص",IF(H787="نعم","مكتمل","غائب")))</f>
        <v/>
      </c>
      <c r="L787" s="3"/>
    </row>
    <row r="788" spans="1:12" x14ac:dyDescent="0.2">
      <c r="A788" s="3">
        <v>785</v>
      </c>
      <c r="B788" s="3"/>
      <c r="C788" s="3" t="str">
        <f>IFERROR(VLOOKUP(B788,Sessions!A:J,2,FALSE),"")</f>
        <v/>
      </c>
      <c r="D788" s="3" t="str">
        <f>IFERROR(VLOOKUP(B788,Sessions!A:J,3,FALSE),"")</f>
        <v/>
      </c>
      <c r="E788" s="3"/>
      <c r="F788" s="3" t="str">
        <f>IFERROR(VLOOKUP(E788,Employees!A:L,2,FALSE),"")</f>
        <v/>
      </c>
      <c r="G788" s="3" t="str">
        <f>IFERROR(VLOOKUP(E788,Employees!A:L,3,FALSE),"")</f>
        <v/>
      </c>
      <c r="H788" s="3"/>
      <c r="I788" s="3"/>
      <c r="J788" s="3"/>
      <c r="K788" s="3" t="str">
        <f>IF(B788="","",IF(OR(E788="",H788=""),"ناقص",IF(H788="نعم","مكتمل","غائب")))</f>
        <v/>
      </c>
      <c r="L788" s="3"/>
    </row>
    <row r="789" spans="1:12" x14ac:dyDescent="0.2">
      <c r="A789" s="3">
        <v>786</v>
      </c>
      <c r="B789" s="3"/>
      <c r="C789" s="3" t="str">
        <f>IFERROR(VLOOKUP(B789,Sessions!A:J,2,FALSE),"")</f>
        <v/>
      </c>
      <c r="D789" s="3" t="str">
        <f>IFERROR(VLOOKUP(B789,Sessions!A:J,3,FALSE),"")</f>
        <v/>
      </c>
      <c r="E789" s="3"/>
      <c r="F789" s="3" t="str">
        <f>IFERROR(VLOOKUP(E789,Employees!A:L,2,FALSE),"")</f>
        <v/>
      </c>
      <c r="G789" s="3" t="str">
        <f>IFERROR(VLOOKUP(E789,Employees!A:L,3,FALSE),"")</f>
        <v/>
      </c>
      <c r="H789" s="3"/>
      <c r="I789" s="3"/>
      <c r="J789" s="3"/>
      <c r="K789" s="3" t="str">
        <f>IF(B789="","",IF(OR(E789="",H789=""),"ناقص",IF(H789="نعم","مكتمل","غائب")))</f>
        <v/>
      </c>
      <c r="L789" s="3"/>
    </row>
    <row r="790" spans="1:12" x14ac:dyDescent="0.2">
      <c r="A790" s="3">
        <v>787</v>
      </c>
      <c r="B790" s="3"/>
      <c r="C790" s="3" t="str">
        <f>IFERROR(VLOOKUP(B790,Sessions!A:J,2,FALSE),"")</f>
        <v/>
      </c>
      <c r="D790" s="3" t="str">
        <f>IFERROR(VLOOKUP(B790,Sessions!A:J,3,FALSE),"")</f>
        <v/>
      </c>
      <c r="E790" s="3"/>
      <c r="F790" s="3" t="str">
        <f>IFERROR(VLOOKUP(E790,Employees!A:L,2,FALSE),"")</f>
        <v/>
      </c>
      <c r="G790" s="3" t="str">
        <f>IFERROR(VLOOKUP(E790,Employees!A:L,3,FALSE),"")</f>
        <v/>
      </c>
      <c r="H790" s="3"/>
      <c r="I790" s="3"/>
      <c r="J790" s="3"/>
      <c r="K790" s="3" t="str">
        <f>IF(B790="","",IF(OR(E790="",H790=""),"ناقص",IF(H790="نعم","مكتمل","غائب")))</f>
        <v/>
      </c>
      <c r="L790" s="3"/>
    </row>
    <row r="791" spans="1:12" x14ac:dyDescent="0.2">
      <c r="A791" s="3">
        <v>788</v>
      </c>
      <c r="B791" s="3"/>
      <c r="C791" s="3" t="str">
        <f>IFERROR(VLOOKUP(B791,Sessions!A:J,2,FALSE),"")</f>
        <v/>
      </c>
      <c r="D791" s="3" t="str">
        <f>IFERROR(VLOOKUP(B791,Sessions!A:J,3,FALSE),"")</f>
        <v/>
      </c>
      <c r="E791" s="3"/>
      <c r="F791" s="3" t="str">
        <f>IFERROR(VLOOKUP(E791,Employees!A:L,2,FALSE),"")</f>
        <v/>
      </c>
      <c r="G791" s="3" t="str">
        <f>IFERROR(VLOOKUP(E791,Employees!A:L,3,FALSE),"")</f>
        <v/>
      </c>
      <c r="H791" s="3"/>
      <c r="I791" s="3"/>
      <c r="J791" s="3"/>
      <c r="K791" s="3" t="str">
        <f>IF(B791="","",IF(OR(E791="",H791=""),"ناقص",IF(H791="نعم","مكتمل","غائب")))</f>
        <v/>
      </c>
      <c r="L791" s="3"/>
    </row>
    <row r="792" spans="1:12" x14ac:dyDescent="0.2">
      <c r="A792" s="3">
        <v>789</v>
      </c>
      <c r="B792" s="3"/>
      <c r="C792" s="3" t="str">
        <f>IFERROR(VLOOKUP(B792,Sessions!A:J,2,FALSE),"")</f>
        <v/>
      </c>
      <c r="D792" s="3" t="str">
        <f>IFERROR(VLOOKUP(B792,Sessions!A:J,3,FALSE),"")</f>
        <v/>
      </c>
      <c r="E792" s="3"/>
      <c r="F792" s="3" t="str">
        <f>IFERROR(VLOOKUP(E792,Employees!A:L,2,FALSE),"")</f>
        <v/>
      </c>
      <c r="G792" s="3" t="str">
        <f>IFERROR(VLOOKUP(E792,Employees!A:L,3,FALSE),"")</f>
        <v/>
      </c>
      <c r="H792" s="3"/>
      <c r="I792" s="3"/>
      <c r="J792" s="3"/>
      <c r="K792" s="3" t="str">
        <f>IF(B792="","",IF(OR(E792="",H792=""),"ناقص",IF(H792="نعم","مكتمل","غائب")))</f>
        <v/>
      </c>
      <c r="L792" s="3"/>
    </row>
    <row r="793" spans="1:12" x14ac:dyDescent="0.2">
      <c r="A793" s="3">
        <v>790</v>
      </c>
      <c r="B793" s="3"/>
      <c r="C793" s="3" t="str">
        <f>IFERROR(VLOOKUP(B793,Sessions!A:J,2,FALSE),"")</f>
        <v/>
      </c>
      <c r="D793" s="3" t="str">
        <f>IFERROR(VLOOKUP(B793,Sessions!A:J,3,FALSE),"")</f>
        <v/>
      </c>
      <c r="E793" s="3"/>
      <c r="F793" s="3" t="str">
        <f>IFERROR(VLOOKUP(E793,Employees!A:L,2,FALSE),"")</f>
        <v/>
      </c>
      <c r="G793" s="3" t="str">
        <f>IFERROR(VLOOKUP(E793,Employees!A:L,3,FALSE),"")</f>
        <v/>
      </c>
      <c r="H793" s="3"/>
      <c r="I793" s="3"/>
      <c r="J793" s="3"/>
      <c r="K793" s="3" t="str">
        <f>IF(B793="","",IF(OR(E793="",H793=""),"ناقص",IF(H793="نعم","مكتمل","غائب")))</f>
        <v/>
      </c>
      <c r="L793" s="3"/>
    </row>
    <row r="794" spans="1:12" x14ac:dyDescent="0.2">
      <c r="A794" s="3">
        <v>791</v>
      </c>
      <c r="B794" s="3"/>
      <c r="C794" s="3" t="str">
        <f>IFERROR(VLOOKUP(B794,Sessions!A:J,2,FALSE),"")</f>
        <v/>
      </c>
      <c r="D794" s="3" t="str">
        <f>IFERROR(VLOOKUP(B794,Sessions!A:J,3,FALSE),"")</f>
        <v/>
      </c>
      <c r="E794" s="3"/>
      <c r="F794" s="3" t="str">
        <f>IFERROR(VLOOKUP(E794,Employees!A:L,2,FALSE),"")</f>
        <v/>
      </c>
      <c r="G794" s="3" t="str">
        <f>IFERROR(VLOOKUP(E794,Employees!A:L,3,FALSE),"")</f>
        <v/>
      </c>
      <c r="H794" s="3"/>
      <c r="I794" s="3"/>
      <c r="J794" s="3"/>
      <c r="K794" s="3" t="str">
        <f>IF(B794="","",IF(OR(E794="",H794=""),"ناقص",IF(H794="نعم","مكتمل","غائب")))</f>
        <v/>
      </c>
      <c r="L794" s="3"/>
    </row>
    <row r="795" spans="1:12" x14ac:dyDescent="0.2">
      <c r="A795" s="3">
        <v>792</v>
      </c>
      <c r="B795" s="3"/>
      <c r="C795" s="3" t="str">
        <f>IFERROR(VLOOKUP(B795,Sessions!A:J,2,FALSE),"")</f>
        <v/>
      </c>
      <c r="D795" s="3" t="str">
        <f>IFERROR(VLOOKUP(B795,Sessions!A:J,3,FALSE),"")</f>
        <v/>
      </c>
      <c r="E795" s="3"/>
      <c r="F795" s="3" t="str">
        <f>IFERROR(VLOOKUP(E795,Employees!A:L,2,FALSE),"")</f>
        <v/>
      </c>
      <c r="G795" s="3" t="str">
        <f>IFERROR(VLOOKUP(E795,Employees!A:L,3,FALSE),"")</f>
        <v/>
      </c>
      <c r="H795" s="3"/>
      <c r="I795" s="3"/>
      <c r="J795" s="3"/>
      <c r="K795" s="3" t="str">
        <f>IF(B795="","",IF(OR(E795="",H795=""),"ناقص",IF(H795="نعم","مكتمل","غائب")))</f>
        <v/>
      </c>
      <c r="L795" s="3"/>
    </row>
    <row r="796" spans="1:12" x14ac:dyDescent="0.2">
      <c r="A796" s="3">
        <v>793</v>
      </c>
      <c r="B796" s="3"/>
      <c r="C796" s="3" t="str">
        <f>IFERROR(VLOOKUP(B796,Sessions!A:J,2,FALSE),"")</f>
        <v/>
      </c>
      <c r="D796" s="3" t="str">
        <f>IFERROR(VLOOKUP(B796,Sessions!A:J,3,FALSE),"")</f>
        <v/>
      </c>
      <c r="E796" s="3"/>
      <c r="F796" s="3" t="str">
        <f>IFERROR(VLOOKUP(E796,Employees!A:L,2,FALSE),"")</f>
        <v/>
      </c>
      <c r="G796" s="3" t="str">
        <f>IFERROR(VLOOKUP(E796,Employees!A:L,3,FALSE),"")</f>
        <v/>
      </c>
      <c r="H796" s="3"/>
      <c r="I796" s="3"/>
      <c r="J796" s="3"/>
      <c r="K796" s="3" t="str">
        <f>IF(B796="","",IF(OR(E796="",H796=""),"ناقص",IF(H796="نعم","مكتمل","غائب")))</f>
        <v/>
      </c>
      <c r="L796" s="3"/>
    </row>
    <row r="797" spans="1:12" x14ac:dyDescent="0.2">
      <c r="A797" s="3">
        <v>794</v>
      </c>
      <c r="B797" s="3"/>
      <c r="C797" s="3" t="str">
        <f>IFERROR(VLOOKUP(B797,Sessions!A:J,2,FALSE),"")</f>
        <v/>
      </c>
      <c r="D797" s="3" t="str">
        <f>IFERROR(VLOOKUP(B797,Sessions!A:J,3,FALSE),"")</f>
        <v/>
      </c>
      <c r="E797" s="3"/>
      <c r="F797" s="3" t="str">
        <f>IFERROR(VLOOKUP(E797,Employees!A:L,2,FALSE),"")</f>
        <v/>
      </c>
      <c r="G797" s="3" t="str">
        <f>IFERROR(VLOOKUP(E797,Employees!A:L,3,FALSE),"")</f>
        <v/>
      </c>
      <c r="H797" s="3"/>
      <c r="I797" s="3"/>
      <c r="J797" s="3"/>
      <c r="K797" s="3" t="str">
        <f>IF(B797="","",IF(OR(E797="",H797=""),"ناقص",IF(H797="نعم","مكتمل","غائب")))</f>
        <v/>
      </c>
      <c r="L797" s="3"/>
    </row>
    <row r="798" spans="1:12" x14ac:dyDescent="0.2">
      <c r="A798" s="3">
        <v>795</v>
      </c>
      <c r="B798" s="3"/>
      <c r="C798" s="3" t="str">
        <f>IFERROR(VLOOKUP(B798,Sessions!A:J,2,FALSE),"")</f>
        <v/>
      </c>
      <c r="D798" s="3" t="str">
        <f>IFERROR(VLOOKUP(B798,Sessions!A:J,3,FALSE),"")</f>
        <v/>
      </c>
      <c r="E798" s="3"/>
      <c r="F798" s="3" t="str">
        <f>IFERROR(VLOOKUP(E798,Employees!A:L,2,FALSE),"")</f>
        <v/>
      </c>
      <c r="G798" s="3" t="str">
        <f>IFERROR(VLOOKUP(E798,Employees!A:L,3,FALSE),"")</f>
        <v/>
      </c>
      <c r="H798" s="3"/>
      <c r="I798" s="3"/>
      <c r="J798" s="3"/>
      <c r="K798" s="3" t="str">
        <f>IF(B798="","",IF(OR(E798="",H798=""),"ناقص",IF(H798="نعم","مكتمل","غائب")))</f>
        <v/>
      </c>
      <c r="L798" s="3"/>
    </row>
    <row r="799" spans="1:12" x14ac:dyDescent="0.2">
      <c r="A799" s="3">
        <v>796</v>
      </c>
      <c r="B799" s="3"/>
      <c r="C799" s="3" t="str">
        <f>IFERROR(VLOOKUP(B799,Sessions!A:J,2,FALSE),"")</f>
        <v/>
      </c>
      <c r="D799" s="3" t="str">
        <f>IFERROR(VLOOKUP(B799,Sessions!A:J,3,FALSE),"")</f>
        <v/>
      </c>
      <c r="E799" s="3"/>
      <c r="F799" s="3" t="str">
        <f>IFERROR(VLOOKUP(E799,Employees!A:L,2,FALSE),"")</f>
        <v/>
      </c>
      <c r="G799" s="3" t="str">
        <f>IFERROR(VLOOKUP(E799,Employees!A:L,3,FALSE),"")</f>
        <v/>
      </c>
      <c r="H799" s="3"/>
      <c r="I799" s="3"/>
      <c r="J799" s="3"/>
      <c r="K799" s="3" t="str">
        <f>IF(B799="","",IF(OR(E799="",H799=""),"ناقص",IF(H799="نعم","مكتمل","غائب")))</f>
        <v/>
      </c>
      <c r="L799" s="3"/>
    </row>
    <row r="800" spans="1:12" x14ac:dyDescent="0.2">
      <c r="A800" s="3">
        <v>797</v>
      </c>
      <c r="B800" s="3"/>
      <c r="C800" s="3" t="str">
        <f>IFERROR(VLOOKUP(B800,Sessions!A:J,2,FALSE),"")</f>
        <v/>
      </c>
      <c r="D800" s="3" t="str">
        <f>IFERROR(VLOOKUP(B800,Sessions!A:J,3,FALSE),"")</f>
        <v/>
      </c>
      <c r="E800" s="3"/>
      <c r="F800" s="3" t="str">
        <f>IFERROR(VLOOKUP(E800,Employees!A:L,2,FALSE),"")</f>
        <v/>
      </c>
      <c r="G800" s="3" t="str">
        <f>IFERROR(VLOOKUP(E800,Employees!A:L,3,FALSE),"")</f>
        <v/>
      </c>
      <c r="H800" s="3"/>
      <c r="I800" s="3"/>
      <c r="J800" s="3"/>
      <c r="K800" s="3" t="str">
        <f>IF(B800="","",IF(OR(E800="",H800=""),"ناقص",IF(H800="نعم","مكتمل","غائب")))</f>
        <v/>
      </c>
      <c r="L800" s="3"/>
    </row>
    <row r="801" spans="1:12" x14ac:dyDescent="0.2">
      <c r="A801" s="3">
        <v>798</v>
      </c>
      <c r="B801" s="3"/>
      <c r="C801" s="3" t="str">
        <f>IFERROR(VLOOKUP(B801,Sessions!A:J,2,FALSE),"")</f>
        <v/>
      </c>
      <c r="D801" s="3" t="str">
        <f>IFERROR(VLOOKUP(B801,Sessions!A:J,3,FALSE),"")</f>
        <v/>
      </c>
      <c r="E801" s="3"/>
      <c r="F801" s="3" t="str">
        <f>IFERROR(VLOOKUP(E801,Employees!A:L,2,FALSE),"")</f>
        <v/>
      </c>
      <c r="G801" s="3" t="str">
        <f>IFERROR(VLOOKUP(E801,Employees!A:L,3,FALSE),"")</f>
        <v/>
      </c>
      <c r="H801" s="3"/>
      <c r="I801" s="3"/>
      <c r="J801" s="3"/>
      <c r="K801" s="3" t="str">
        <f>IF(B801="","",IF(OR(E801="",H801=""),"ناقص",IF(H801="نعم","مكتمل","غائب")))</f>
        <v/>
      </c>
      <c r="L801" s="3"/>
    </row>
    <row r="802" spans="1:12" x14ac:dyDescent="0.2">
      <c r="A802" s="3">
        <v>799</v>
      </c>
      <c r="B802" s="3"/>
      <c r="C802" s="3" t="str">
        <f>IFERROR(VLOOKUP(B802,Sessions!A:J,2,FALSE),"")</f>
        <v/>
      </c>
      <c r="D802" s="3" t="str">
        <f>IFERROR(VLOOKUP(B802,Sessions!A:J,3,FALSE),"")</f>
        <v/>
      </c>
      <c r="E802" s="3"/>
      <c r="F802" s="3" t="str">
        <f>IFERROR(VLOOKUP(E802,Employees!A:L,2,FALSE),"")</f>
        <v/>
      </c>
      <c r="G802" s="3" t="str">
        <f>IFERROR(VLOOKUP(E802,Employees!A:L,3,FALSE),"")</f>
        <v/>
      </c>
      <c r="H802" s="3"/>
      <c r="I802" s="3"/>
      <c r="J802" s="3"/>
      <c r="K802" s="3" t="str">
        <f>IF(B802="","",IF(OR(E802="",H802=""),"ناقص",IF(H802="نعم","مكتمل","غائب")))</f>
        <v/>
      </c>
      <c r="L802" s="3"/>
    </row>
    <row r="803" spans="1:12" x14ac:dyDescent="0.2">
      <c r="A803" s="3">
        <v>800</v>
      </c>
      <c r="B803" s="3"/>
      <c r="C803" s="3" t="str">
        <f>IFERROR(VLOOKUP(B803,Sessions!A:J,2,FALSE),"")</f>
        <v/>
      </c>
      <c r="D803" s="3" t="str">
        <f>IFERROR(VLOOKUP(B803,Sessions!A:J,3,FALSE),"")</f>
        <v/>
      </c>
      <c r="E803" s="3"/>
      <c r="F803" s="3" t="str">
        <f>IFERROR(VLOOKUP(E803,Employees!A:L,2,FALSE),"")</f>
        <v/>
      </c>
      <c r="G803" s="3" t="str">
        <f>IFERROR(VLOOKUP(E803,Employees!A:L,3,FALSE),"")</f>
        <v/>
      </c>
      <c r="H803" s="3"/>
      <c r="I803" s="3"/>
      <c r="J803" s="3"/>
      <c r="K803" s="3" t="str">
        <f>IF(B803="","",IF(OR(E803="",H803=""),"ناقص",IF(H803="نعم","مكتمل","غائب")))</f>
        <v/>
      </c>
      <c r="L803" s="3"/>
    </row>
    <row r="804" spans="1:12" x14ac:dyDescent="0.2">
      <c r="A804" s="3">
        <v>801</v>
      </c>
      <c r="B804" s="3"/>
      <c r="C804" s="3" t="str">
        <f>IFERROR(VLOOKUP(B804,Sessions!A:J,2,FALSE),"")</f>
        <v/>
      </c>
      <c r="D804" s="3" t="str">
        <f>IFERROR(VLOOKUP(B804,Sessions!A:J,3,FALSE),"")</f>
        <v/>
      </c>
      <c r="E804" s="3"/>
      <c r="F804" s="3" t="str">
        <f>IFERROR(VLOOKUP(E804,Employees!A:L,2,FALSE),"")</f>
        <v/>
      </c>
      <c r="G804" s="3" t="str">
        <f>IFERROR(VLOOKUP(E804,Employees!A:L,3,FALSE),"")</f>
        <v/>
      </c>
      <c r="H804" s="3"/>
      <c r="I804" s="3"/>
      <c r="J804" s="3"/>
      <c r="K804" s="3" t="str">
        <f>IF(B804="","",IF(OR(E804="",H804=""),"ناقص",IF(H804="نعم","مكتمل","غائب")))</f>
        <v/>
      </c>
      <c r="L804" s="3"/>
    </row>
    <row r="805" spans="1:12" x14ac:dyDescent="0.2">
      <c r="A805" s="3">
        <v>802</v>
      </c>
      <c r="B805" s="3"/>
      <c r="C805" s="3" t="str">
        <f>IFERROR(VLOOKUP(B805,Sessions!A:J,2,FALSE),"")</f>
        <v/>
      </c>
      <c r="D805" s="3" t="str">
        <f>IFERROR(VLOOKUP(B805,Sessions!A:J,3,FALSE),"")</f>
        <v/>
      </c>
      <c r="E805" s="3"/>
      <c r="F805" s="3" t="str">
        <f>IFERROR(VLOOKUP(E805,Employees!A:L,2,FALSE),"")</f>
        <v/>
      </c>
      <c r="G805" s="3" t="str">
        <f>IFERROR(VLOOKUP(E805,Employees!A:L,3,FALSE),"")</f>
        <v/>
      </c>
      <c r="H805" s="3"/>
      <c r="I805" s="3"/>
      <c r="J805" s="3"/>
      <c r="K805" s="3" t="str">
        <f>IF(B805="","",IF(OR(E805="",H805=""),"ناقص",IF(H805="نعم","مكتمل","غائب")))</f>
        <v/>
      </c>
      <c r="L805" s="3"/>
    </row>
    <row r="806" spans="1:12" x14ac:dyDescent="0.2">
      <c r="A806" s="3">
        <v>803</v>
      </c>
      <c r="B806" s="3"/>
      <c r="C806" s="3" t="str">
        <f>IFERROR(VLOOKUP(B806,Sessions!A:J,2,FALSE),"")</f>
        <v/>
      </c>
      <c r="D806" s="3" t="str">
        <f>IFERROR(VLOOKUP(B806,Sessions!A:J,3,FALSE),"")</f>
        <v/>
      </c>
      <c r="E806" s="3"/>
      <c r="F806" s="3" t="str">
        <f>IFERROR(VLOOKUP(E806,Employees!A:L,2,FALSE),"")</f>
        <v/>
      </c>
      <c r="G806" s="3" t="str">
        <f>IFERROR(VLOOKUP(E806,Employees!A:L,3,FALSE),"")</f>
        <v/>
      </c>
      <c r="H806" s="3"/>
      <c r="I806" s="3"/>
      <c r="J806" s="3"/>
      <c r="K806" s="3" t="str">
        <f>IF(B806="","",IF(OR(E806="",H806=""),"ناقص",IF(H806="نعم","مكتمل","غائب")))</f>
        <v/>
      </c>
      <c r="L806" s="3"/>
    </row>
    <row r="807" spans="1:12" x14ac:dyDescent="0.2">
      <c r="A807" s="3">
        <v>804</v>
      </c>
      <c r="B807" s="3"/>
      <c r="C807" s="3" t="str">
        <f>IFERROR(VLOOKUP(B807,Sessions!A:J,2,FALSE),"")</f>
        <v/>
      </c>
      <c r="D807" s="3" t="str">
        <f>IFERROR(VLOOKUP(B807,Sessions!A:J,3,FALSE),"")</f>
        <v/>
      </c>
      <c r="E807" s="3"/>
      <c r="F807" s="3" t="str">
        <f>IFERROR(VLOOKUP(E807,Employees!A:L,2,FALSE),"")</f>
        <v/>
      </c>
      <c r="G807" s="3" t="str">
        <f>IFERROR(VLOOKUP(E807,Employees!A:L,3,FALSE),"")</f>
        <v/>
      </c>
      <c r="H807" s="3"/>
      <c r="I807" s="3"/>
      <c r="J807" s="3"/>
      <c r="K807" s="3" t="str">
        <f>IF(B807="","",IF(OR(E807="",H807=""),"ناقص",IF(H807="نعم","مكتمل","غائب")))</f>
        <v/>
      </c>
      <c r="L807" s="3"/>
    </row>
    <row r="808" spans="1:12" x14ac:dyDescent="0.2">
      <c r="A808" s="3">
        <v>805</v>
      </c>
      <c r="B808" s="3"/>
      <c r="C808" s="3" t="str">
        <f>IFERROR(VLOOKUP(B808,Sessions!A:J,2,FALSE),"")</f>
        <v/>
      </c>
      <c r="D808" s="3" t="str">
        <f>IFERROR(VLOOKUP(B808,Sessions!A:J,3,FALSE),"")</f>
        <v/>
      </c>
      <c r="E808" s="3"/>
      <c r="F808" s="3" t="str">
        <f>IFERROR(VLOOKUP(E808,Employees!A:L,2,FALSE),"")</f>
        <v/>
      </c>
      <c r="G808" s="3" t="str">
        <f>IFERROR(VLOOKUP(E808,Employees!A:L,3,FALSE),"")</f>
        <v/>
      </c>
      <c r="H808" s="3"/>
      <c r="I808" s="3"/>
      <c r="J808" s="3"/>
      <c r="K808" s="3" t="str">
        <f>IF(B808="","",IF(OR(E808="",H808=""),"ناقص",IF(H808="نعم","مكتمل","غائب")))</f>
        <v/>
      </c>
      <c r="L808" s="3"/>
    </row>
    <row r="809" spans="1:12" x14ac:dyDescent="0.2">
      <c r="A809" s="3">
        <v>806</v>
      </c>
      <c r="B809" s="3"/>
      <c r="C809" s="3" t="str">
        <f>IFERROR(VLOOKUP(B809,Sessions!A:J,2,FALSE),"")</f>
        <v/>
      </c>
      <c r="D809" s="3" t="str">
        <f>IFERROR(VLOOKUP(B809,Sessions!A:J,3,FALSE),"")</f>
        <v/>
      </c>
      <c r="E809" s="3"/>
      <c r="F809" s="3" t="str">
        <f>IFERROR(VLOOKUP(E809,Employees!A:L,2,FALSE),"")</f>
        <v/>
      </c>
      <c r="G809" s="3" t="str">
        <f>IFERROR(VLOOKUP(E809,Employees!A:L,3,FALSE),"")</f>
        <v/>
      </c>
      <c r="H809" s="3"/>
      <c r="I809" s="3"/>
      <c r="J809" s="3"/>
      <c r="K809" s="3" t="str">
        <f>IF(B809="","",IF(OR(E809="",H809=""),"ناقص",IF(H809="نعم","مكتمل","غائب")))</f>
        <v/>
      </c>
      <c r="L809" s="3"/>
    </row>
    <row r="810" spans="1:12" x14ac:dyDescent="0.2">
      <c r="A810" s="3">
        <v>807</v>
      </c>
      <c r="B810" s="3"/>
      <c r="C810" s="3" t="str">
        <f>IFERROR(VLOOKUP(B810,Sessions!A:J,2,FALSE),"")</f>
        <v/>
      </c>
      <c r="D810" s="3" t="str">
        <f>IFERROR(VLOOKUP(B810,Sessions!A:J,3,FALSE),"")</f>
        <v/>
      </c>
      <c r="E810" s="3"/>
      <c r="F810" s="3" t="str">
        <f>IFERROR(VLOOKUP(E810,Employees!A:L,2,FALSE),"")</f>
        <v/>
      </c>
      <c r="G810" s="3" t="str">
        <f>IFERROR(VLOOKUP(E810,Employees!A:L,3,FALSE),"")</f>
        <v/>
      </c>
      <c r="H810" s="3"/>
      <c r="I810" s="3"/>
      <c r="J810" s="3"/>
      <c r="K810" s="3" t="str">
        <f>IF(B810="","",IF(OR(E810="",H810=""),"ناقص",IF(H810="نعم","مكتمل","غائب")))</f>
        <v/>
      </c>
      <c r="L810" s="3"/>
    </row>
    <row r="811" spans="1:12" x14ac:dyDescent="0.2">
      <c r="A811" s="3">
        <v>808</v>
      </c>
      <c r="B811" s="3"/>
      <c r="C811" s="3" t="str">
        <f>IFERROR(VLOOKUP(B811,Sessions!A:J,2,FALSE),"")</f>
        <v/>
      </c>
      <c r="D811" s="3" t="str">
        <f>IFERROR(VLOOKUP(B811,Sessions!A:J,3,FALSE),"")</f>
        <v/>
      </c>
      <c r="E811" s="3"/>
      <c r="F811" s="3" t="str">
        <f>IFERROR(VLOOKUP(E811,Employees!A:L,2,FALSE),"")</f>
        <v/>
      </c>
      <c r="G811" s="3" t="str">
        <f>IFERROR(VLOOKUP(E811,Employees!A:L,3,FALSE),"")</f>
        <v/>
      </c>
      <c r="H811" s="3"/>
      <c r="I811" s="3"/>
      <c r="J811" s="3"/>
      <c r="K811" s="3" t="str">
        <f>IF(B811="","",IF(OR(E811="",H811=""),"ناقص",IF(H811="نعم","مكتمل","غائب")))</f>
        <v/>
      </c>
      <c r="L811" s="3"/>
    </row>
    <row r="812" spans="1:12" x14ac:dyDescent="0.2">
      <c r="A812" s="3">
        <v>809</v>
      </c>
      <c r="B812" s="3"/>
      <c r="C812" s="3" t="str">
        <f>IFERROR(VLOOKUP(B812,Sessions!A:J,2,FALSE),"")</f>
        <v/>
      </c>
      <c r="D812" s="3" t="str">
        <f>IFERROR(VLOOKUP(B812,Sessions!A:J,3,FALSE),"")</f>
        <v/>
      </c>
      <c r="E812" s="3"/>
      <c r="F812" s="3" t="str">
        <f>IFERROR(VLOOKUP(E812,Employees!A:L,2,FALSE),"")</f>
        <v/>
      </c>
      <c r="G812" s="3" t="str">
        <f>IFERROR(VLOOKUP(E812,Employees!A:L,3,FALSE),"")</f>
        <v/>
      </c>
      <c r="H812" s="3"/>
      <c r="I812" s="3"/>
      <c r="J812" s="3"/>
      <c r="K812" s="3" t="str">
        <f>IF(B812="","",IF(OR(E812="",H812=""),"ناقص",IF(H812="نعم","مكتمل","غائب")))</f>
        <v/>
      </c>
      <c r="L812" s="3"/>
    </row>
    <row r="813" spans="1:12" x14ac:dyDescent="0.2">
      <c r="A813" s="3">
        <v>810</v>
      </c>
      <c r="B813" s="3"/>
      <c r="C813" s="3" t="str">
        <f>IFERROR(VLOOKUP(B813,Sessions!A:J,2,FALSE),"")</f>
        <v/>
      </c>
      <c r="D813" s="3" t="str">
        <f>IFERROR(VLOOKUP(B813,Sessions!A:J,3,FALSE),"")</f>
        <v/>
      </c>
      <c r="E813" s="3"/>
      <c r="F813" s="3" t="str">
        <f>IFERROR(VLOOKUP(E813,Employees!A:L,2,FALSE),"")</f>
        <v/>
      </c>
      <c r="G813" s="3" t="str">
        <f>IFERROR(VLOOKUP(E813,Employees!A:L,3,FALSE),"")</f>
        <v/>
      </c>
      <c r="H813" s="3"/>
      <c r="I813" s="3"/>
      <c r="J813" s="3"/>
      <c r="K813" s="3" t="str">
        <f>IF(B813="","",IF(OR(E813="",H813=""),"ناقص",IF(H813="نعم","مكتمل","غائب")))</f>
        <v/>
      </c>
      <c r="L813" s="3"/>
    </row>
    <row r="814" spans="1:12" x14ac:dyDescent="0.2">
      <c r="A814" s="3">
        <v>811</v>
      </c>
      <c r="B814" s="3"/>
      <c r="C814" s="3" t="str">
        <f>IFERROR(VLOOKUP(B814,Sessions!A:J,2,FALSE),"")</f>
        <v/>
      </c>
      <c r="D814" s="3" t="str">
        <f>IFERROR(VLOOKUP(B814,Sessions!A:J,3,FALSE),"")</f>
        <v/>
      </c>
      <c r="E814" s="3"/>
      <c r="F814" s="3" t="str">
        <f>IFERROR(VLOOKUP(E814,Employees!A:L,2,FALSE),"")</f>
        <v/>
      </c>
      <c r="G814" s="3" t="str">
        <f>IFERROR(VLOOKUP(E814,Employees!A:L,3,FALSE),"")</f>
        <v/>
      </c>
      <c r="H814" s="3"/>
      <c r="I814" s="3"/>
      <c r="J814" s="3"/>
      <c r="K814" s="3" t="str">
        <f>IF(B814="","",IF(OR(E814="",H814=""),"ناقص",IF(H814="نعم","مكتمل","غائب")))</f>
        <v/>
      </c>
      <c r="L814" s="3"/>
    </row>
    <row r="815" spans="1:12" x14ac:dyDescent="0.2">
      <c r="A815" s="3">
        <v>812</v>
      </c>
      <c r="B815" s="3"/>
      <c r="C815" s="3" t="str">
        <f>IFERROR(VLOOKUP(B815,Sessions!A:J,2,FALSE),"")</f>
        <v/>
      </c>
      <c r="D815" s="3" t="str">
        <f>IFERROR(VLOOKUP(B815,Sessions!A:J,3,FALSE),"")</f>
        <v/>
      </c>
      <c r="E815" s="3"/>
      <c r="F815" s="3" t="str">
        <f>IFERROR(VLOOKUP(E815,Employees!A:L,2,FALSE),"")</f>
        <v/>
      </c>
      <c r="G815" s="3" t="str">
        <f>IFERROR(VLOOKUP(E815,Employees!A:L,3,FALSE),"")</f>
        <v/>
      </c>
      <c r="H815" s="3"/>
      <c r="I815" s="3"/>
      <c r="J815" s="3"/>
      <c r="K815" s="3" t="str">
        <f>IF(B815="","",IF(OR(E815="",H815=""),"ناقص",IF(H815="نعم","مكتمل","غائب")))</f>
        <v/>
      </c>
      <c r="L815" s="3"/>
    </row>
    <row r="816" spans="1:12" x14ac:dyDescent="0.2">
      <c r="A816" s="3">
        <v>813</v>
      </c>
      <c r="B816" s="3"/>
      <c r="C816" s="3" t="str">
        <f>IFERROR(VLOOKUP(B816,Sessions!A:J,2,FALSE),"")</f>
        <v/>
      </c>
      <c r="D816" s="3" t="str">
        <f>IFERROR(VLOOKUP(B816,Sessions!A:J,3,FALSE),"")</f>
        <v/>
      </c>
      <c r="E816" s="3"/>
      <c r="F816" s="3" t="str">
        <f>IFERROR(VLOOKUP(E816,Employees!A:L,2,FALSE),"")</f>
        <v/>
      </c>
      <c r="G816" s="3" t="str">
        <f>IFERROR(VLOOKUP(E816,Employees!A:L,3,FALSE),"")</f>
        <v/>
      </c>
      <c r="H816" s="3"/>
      <c r="I816" s="3"/>
      <c r="J816" s="3"/>
      <c r="K816" s="3" t="str">
        <f>IF(B816="","",IF(OR(E816="",H816=""),"ناقص",IF(H816="نعم","مكتمل","غائب")))</f>
        <v/>
      </c>
      <c r="L816" s="3"/>
    </row>
    <row r="817" spans="1:12" x14ac:dyDescent="0.2">
      <c r="A817" s="3">
        <v>814</v>
      </c>
      <c r="B817" s="3"/>
      <c r="C817" s="3" t="str">
        <f>IFERROR(VLOOKUP(B817,Sessions!A:J,2,FALSE),"")</f>
        <v/>
      </c>
      <c r="D817" s="3" t="str">
        <f>IFERROR(VLOOKUP(B817,Sessions!A:J,3,FALSE),"")</f>
        <v/>
      </c>
      <c r="E817" s="3"/>
      <c r="F817" s="3" t="str">
        <f>IFERROR(VLOOKUP(E817,Employees!A:L,2,FALSE),"")</f>
        <v/>
      </c>
      <c r="G817" s="3" t="str">
        <f>IFERROR(VLOOKUP(E817,Employees!A:L,3,FALSE),"")</f>
        <v/>
      </c>
      <c r="H817" s="3"/>
      <c r="I817" s="3"/>
      <c r="J817" s="3"/>
      <c r="K817" s="3" t="str">
        <f>IF(B817="","",IF(OR(E817="",H817=""),"ناقص",IF(H817="نعم","مكتمل","غائب")))</f>
        <v/>
      </c>
      <c r="L817" s="3"/>
    </row>
    <row r="818" spans="1:12" x14ac:dyDescent="0.2">
      <c r="A818" s="3">
        <v>815</v>
      </c>
      <c r="B818" s="3"/>
      <c r="C818" s="3" t="str">
        <f>IFERROR(VLOOKUP(B818,Sessions!A:J,2,FALSE),"")</f>
        <v/>
      </c>
      <c r="D818" s="3" t="str">
        <f>IFERROR(VLOOKUP(B818,Sessions!A:J,3,FALSE),"")</f>
        <v/>
      </c>
      <c r="E818" s="3"/>
      <c r="F818" s="3" t="str">
        <f>IFERROR(VLOOKUP(E818,Employees!A:L,2,FALSE),"")</f>
        <v/>
      </c>
      <c r="G818" s="3" t="str">
        <f>IFERROR(VLOOKUP(E818,Employees!A:L,3,FALSE),"")</f>
        <v/>
      </c>
      <c r="H818" s="3"/>
      <c r="I818" s="3"/>
      <c r="J818" s="3"/>
      <c r="K818" s="3" t="str">
        <f>IF(B818="","",IF(OR(E818="",H818=""),"ناقص",IF(H818="نعم","مكتمل","غائب")))</f>
        <v/>
      </c>
      <c r="L818" s="3"/>
    </row>
    <row r="819" spans="1:12" x14ac:dyDescent="0.2">
      <c r="A819" s="3">
        <v>816</v>
      </c>
      <c r="B819" s="3"/>
      <c r="C819" s="3" t="str">
        <f>IFERROR(VLOOKUP(B819,Sessions!A:J,2,FALSE),"")</f>
        <v/>
      </c>
      <c r="D819" s="3" t="str">
        <f>IFERROR(VLOOKUP(B819,Sessions!A:J,3,FALSE),"")</f>
        <v/>
      </c>
      <c r="E819" s="3"/>
      <c r="F819" s="3" t="str">
        <f>IFERROR(VLOOKUP(E819,Employees!A:L,2,FALSE),"")</f>
        <v/>
      </c>
      <c r="G819" s="3" t="str">
        <f>IFERROR(VLOOKUP(E819,Employees!A:L,3,FALSE),"")</f>
        <v/>
      </c>
      <c r="H819" s="3"/>
      <c r="I819" s="3"/>
      <c r="J819" s="3"/>
      <c r="K819" s="3" t="str">
        <f>IF(B819="","",IF(OR(E819="",H819=""),"ناقص",IF(H819="نعم","مكتمل","غائب")))</f>
        <v/>
      </c>
      <c r="L819" s="3"/>
    </row>
    <row r="820" spans="1:12" x14ac:dyDescent="0.2">
      <c r="A820" s="3">
        <v>817</v>
      </c>
      <c r="B820" s="3"/>
      <c r="C820" s="3" t="str">
        <f>IFERROR(VLOOKUP(B820,Sessions!A:J,2,FALSE),"")</f>
        <v/>
      </c>
      <c r="D820" s="3" t="str">
        <f>IFERROR(VLOOKUP(B820,Sessions!A:J,3,FALSE),"")</f>
        <v/>
      </c>
      <c r="E820" s="3"/>
      <c r="F820" s="3" t="str">
        <f>IFERROR(VLOOKUP(E820,Employees!A:L,2,FALSE),"")</f>
        <v/>
      </c>
      <c r="G820" s="3" t="str">
        <f>IFERROR(VLOOKUP(E820,Employees!A:L,3,FALSE),"")</f>
        <v/>
      </c>
      <c r="H820" s="3"/>
      <c r="I820" s="3"/>
      <c r="J820" s="3"/>
      <c r="K820" s="3" t="str">
        <f>IF(B820="","",IF(OR(E820="",H820=""),"ناقص",IF(H820="نعم","مكتمل","غائب")))</f>
        <v/>
      </c>
      <c r="L820" s="3"/>
    </row>
    <row r="821" spans="1:12" x14ac:dyDescent="0.2">
      <c r="A821" s="3">
        <v>818</v>
      </c>
      <c r="B821" s="3"/>
      <c r="C821" s="3" t="str">
        <f>IFERROR(VLOOKUP(B821,Sessions!A:J,2,FALSE),"")</f>
        <v/>
      </c>
      <c r="D821" s="3" t="str">
        <f>IFERROR(VLOOKUP(B821,Sessions!A:J,3,FALSE),"")</f>
        <v/>
      </c>
      <c r="E821" s="3"/>
      <c r="F821" s="3" t="str">
        <f>IFERROR(VLOOKUP(E821,Employees!A:L,2,FALSE),"")</f>
        <v/>
      </c>
      <c r="G821" s="3" t="str">
        <f>IFERROR(VLOOKUP(E821,Employees!A:L,3,FALSE),"")</f>
        <v/>
      </c>
      <c r="H821" s="3"/>
      <c r="I821" s="3"/>
      <c r="J821" s="3"/>
      <c r="K821" s="3" t="str">
        <f>IF(B821="","",IF(OR(E821="",H821=""),"ناقص",IF(H821="نعم","مكتمل","غائب")))</f>
        <v/>
      </c>
      <c r="L821" s="3"/>
    </row>
    <row r="822" spans="1:12" x14ac:dyDescent="0.2">
      <c r="A822" s="3">
        <v>819</v>
      </c>
      <c r="B822" s="3"/>
      <c r="C822" s="3" t="str">
        <f>IFERROR(VLOOKUP(B822,Sessions!A:J,2,FALSE),"")</f>
        <v/>
      </c>
      <c r="D822" s="3" t="str">
        <f>IFERROR(VLOOKUP(B822,Sessions!A:J,3,FALSE),"")</f>
        <v/>
      </c>
      <c r="E822" s="3"/>
      <c r="F822" s="3" t="str">
        <f>IFERROR(VLOOKUP(E822,Employees!A:L,2,FALSE),"")</f>
        <v/>
      </c>
      <c r="G822" s="3" t="str">
        <f>IFERROR(VLOOKUP(E822,Employees!A:L,3,FALSE),"")</f>
        <v/>
      </c>
      <c r="H822" s="3"/>
      <c r="I822" s="3"/>
      <c r="J822" s="3"/>
      <c r="K822" s="3" t="str">
        <f>IF(B822="","",IF(OR(E822="",H822=""),"ناقص",IF(H822="نعم","مكتمل","غائب")))</f>
        <v/>
      </c>
      <c r="L822" s="3"/>
    </row>
    <row r="823" spans="1:12" x14ac:dyDescent="0.2">
      <c r="A823" s="3">
        <v>820</v>
      </c>
      <c r="B823" s="3"/>
      <c r="C823" s="3" t="str">
        <f>IFERROR(VLOOKUP(B823,Sessions!A:J,2,FALSE),"")</f>
        <v/>
      </c>
      <c r="D823" s="3" t="str">
        <f>IFERROR(VLOOKUP(B823,Sessions!A:J,3,FALSE),"")</f>
        <v/>
      </c>
      <c r="E823" s="3"/>
      <c r="F823" s="3" t="str">
        <f>IFERROR(VLOOKUP(E823,Employees!A:L,2,FALSE),"")</f>
        <v/>
      </c>
      <c r="G823" s="3" t="str">
        <f>IFERROR(VLOOKUP(E823,Employees!A:L,3,FALSE),"")</f>
        <v/>
      </c>
      <c r="H823" s="3"/>
      <c r="I823" s="3"/>
      <c r="J823" s="3"/>
      <c r="K823" s="3" t="str">
        <f>IF(B823="","",IF(OR(E823="",H823=""),"ناقص",IF(H823="نعم","مكتمل","غائب")))</f>
        <v/>
      </c>
      <c r="L823" s="3"/>
    </row>
    <row r="824" spans="1:12" x14ac:dyDescent="0.2">
      <c r="A824" s="3">
        <v>821</v>
      </c>
      <c r="B824" s="3"/>
      <c r="C824" s="3" t="str">
        <f>IFERROR(VLOOKUP(B824,Sessions!A:J,2,FALSE),"")</f>
        <v/>
      </c>
      <c r="D824" s="3" t="str">
        <f>IFERROR(VLOOKUP(B824,Sessions!A:J,3,FALSE),"")</f>
        <v/>
      </c>
      <c r="E824" s="3"/>
      <c r="F824" s="3" t="str">
        <f>IFERROR(VLOOKUP(E824,Employees!A:L,2,FALSE),"")</f>
        <v/>
      </c>
      <c r="G824" s="3" t="str">
        <f>IFERROR(VLOOKUP(E824,Employees!A:L,3,FALSE),"")</f>
        <v/>
      </c>
      <c r="H824" s="3"/>
      <c r="I824" s="3"/>
      <c r="J824" s="3"/>
      <c r="K824" s="3" t="str">
        <f>IF(B824="","",IF(OR(E824="",H824=""),"ناقص",IF(H824="نعم","مكتمل","غائب")))</f>
        <v/>
      </c>
      <c r="L824" s="3"/>
    </row>
    <row r="825" spans="1:12" x14ac:dyDescent="0.2">
      <c r="A825" s="3">
        <v>822</v>
      </c>
      <c r="B825" s="3"/>
      <c r="C825" s="3" t="str">
        <f>IFERROR(VLOOKUP(B825,Sessions!A:J,2,FALSE),"")</f>
        <v/>
      </c>
      <c r="D825" s="3" t="str">
        <f>IFERROR(VLOOKUP(B825,Sessions!A:J,3,FALSE),"")</f>
        <v/>
      </c>
      <c r="E825" s="3"/>
      <c r="F825" s="3" t="str">
        <f>IFERROR(VLOOKUP(E825,Employees!A:L,2,FALSE),"")</f>
        <v/>
      </c>
      <c r="G825" s="3" t="str">
        <f>IFERROR(VLOOKUP(E825,Employees!A:L,3,FALSE),"")</f>
        <v/>
      </c>
      <c r="H825" s="3"/>
      <c r="I825" s="3"/>
      <c r="J825" s="3"/>
      <c r="K825" s="3" t="str">
        <f>IF(B825="","",IF(OR(E825="",H825=""),"ناقص",IF(H825="نعم","مكتمل","غائب")))</f>
        <v/>
      </c>
      <c r="L825" s="3"/>
    </row>
    <row r="826" spans="1:12" x14ac:dyDescent="0.2">
      <c r="A826" s="3">
        <v>823</v>
      </c>
      <c r="B826" s="3"/>
      <c r="C826" s="3" t="str">
        <f>IFERROR(VLOOKUP(B826,Sessions!A:J,2,FALSE),"")</f>
        <v/>
      </c>
      <c r="D826" s="3" t="str">
        <f>IFERROR(VLOOKUP(B826,Sessions!A:J,3,FALSE),"")</f>
        <v/>
      </c>
      <c r="E826" s="3"/>
      <c r="F826" s="3" t="str">
        <f>IFERROR(VLOOKUP(E826,Employees!A:L,2,FALSE),"")</f>
        <v/>
      </c>
      <c r="G826" s="3" t="str">
        <f>IFERROR(VLOOKUP(E826,Employees!A:L,3,FALSE),"")</f>
        <v/>
      </c>
      <c r="H826" s="3"/>
      <c r="I826" s="3"/>
      <c r="J826" s="3"/>
      <c r="K826" s="3" t="str">
        <f>IF(B826="","",IF(OR(E826="",H826=""),"ناقص",IF(H826="نعم","مكتمل","غائب")))</f>
        <v/>
      </c>
      <c r="L826" s="3"/>
    </row>
    <row r="827" spans="1:12" x14ac:dyDescent="0.2">
      <c r="A827" s="3">
        <v>824</v>
      </c>
      <c r="B827" s="3"/>
      <c r="C827" s="3" t="str">
        <f>IFERROR(VLOOKUP(B827,Sessions!A:J,2,FALSE),"")</f>
        <v/>
      </c>
      <c r="D827" s="3" t="str">
        <f>IFERROR(VLOOKUP(B827,Sessions!A:J,3,FALSE),"")</f>
        <v/>
      </c>
      <c r="E827" s="3"/>
      <c r="F827" s="3" t="str">
        <f>IFERROR(VLOOKUP(E827,Employees!A:L,2,FALSE),"")</f>
        <v/>
      </c>
      <c r="G827" s="3" t="str">
        <f>IFERROR(VLOOKUP(E827,Employees!A:L,3,FALSE),"")</f>
        <v/>
      </c>
      <c r="H827" s="3"/>
      <c r="I827" s="3"/>
      <c r="J827" s="3"/>
      <c r="K827" s="3" t="str">
        <f>IF(B827="","",IF(OR(E827="",H827=""),"ناقص",IF(H827="نعم","مكتمل","غائب")))</f>
        <v/>
      </c>
      <c r="L827" s="3"/>
    </row>
    <row r="828" spans="1:12" x14ac:dyDescent="0.2">
      <c r="A828" s="3">
        <v>825</v>
      </c>
      <c r="B828" s="3"/>
      <c r="C828" s="3" t="str">
        <f>IFERROR(VLOOKUP(B828,Sessions!A:J,2,FALSE),"")</f>
        <v/>
      </c>
      <c r="D828" s="3" t="str">
        <f>IFERROR(VLOOKUP(B828,Sessions!A:J,3,FALSE),"")</f>
        <v/>
      </c>
      <c r="E828" s="3"/>
      <c r="F828" s="3" t="str">
        <f>IFERROR(VLOOKUP(E828,Employees!A:L,2,FALSE),"")</f>
        <v/>
      </c>
      <c r="G828" s="3" t="str">
        <f>IFERROR(VLOOKUP(E828,Employees!A:L,3,FALSE),"")</f>
        <v/>
      </c>
      <c r="H828" s="3"/>
      <c r="I828" s="3"/>
      <c r="J828" s="3"/>
      <c r="K828" s="3" t="str">
        <f>IF(B828="","",IF(OR(E828="",H828=""),"ناقص",IF(H828="نعم","مكتمل","غائب")))</f>
        <v/>
      </c>
      <c r="L828" s="3"/>
    </row>
    <row r="829" spans="1:12" x14ac:dyDescent="0.2">
      <c r="A829" s="3">
        <v>826</v>
      </c>
      <c r="B829" s="3"/>
      <c r="C829" s="3" t="str">
        <f>IFERROR(VLOOKUP(B829,Sessions!A:J,2,FALSE),"")</f>
        <v/>
      </c>
      <c r="D829" s="3" t="str">
        <f>IFERROR(VLOOKUP(B829,Sessions!A:J,3,FALSE),"")</f>
        <v/>
      </c>
      <c r="E829" s="3"/>
      <c r="F829" s="3" t="str">
        <f>IFERROR(VLOOKUP(E829,Employees!A:L,2,FALSE),"")</f>
        <v/>
      </c>
      <c r="G829" s="3" t="str">
        <f>IFERROR(VLOOKUP(E829,Employees!A:L,3,FALSE),"")</f>
        <v/>
      </c>
      <c r="H829" s="3"/>
      <c r="I829" s="3"/>
      <c r="J829" s="3"/>
      <c r="K829" s="3" t="str">
        <f>IF(B829="","",IF(OR(E829="",H829=""),"ناقص",IF(H829="نعم","مكتمل","غائب")))</f>
        <v/>
      </c>
      <c r="L829" s="3"/>
    </row>
    <row r="830" spans="1:12" x14ac:dyDescent="0.2">
      <c r="A830" s="3">
        <v>827</v>
      </c>
      <c r="B830" s="3"/>
      <c r="C830" s="3" t="str">
        <f>IFERROR(VLOOKUP(B830,Sessions!A:J,2,FALSE),"")</f>
        <v/>
      </c>
      <c r="D830" s="3" t="str">
        <f>IFERROR(VLOOKUP(B830,Sessions!A:J,3,FALSE),"")</f>
        <v/>
      </c>
      <c r="E830" s="3"/>
      <c r="F830" s="3" t="str">
        <f>IFERROR(VLOOKUP(E830,Employees!A:L,2,FALSE),"")</f>
        <v/>
      </c>
      <c r="G830" s="3" t="str">
        <f>IFERROR(VLOOKUP(E830,Employees!A:L,3,FALSE),"")</f>
        <v/>
      </c>
      <c r="H830" s="3"/>
      <c r="I830" s="3"/>
      <c r="J830" s="3"/>
      <c r="K830" s="3" t="str">
        <f>IF(B830="","",IF(OR(E830="",H830=""),"ناقص",IF(H830="نعم","مكتمل","غائب")))</f>
        <v/>
      </c>
      <c r="L830" s="3"/>
    </row>
    <row r="831" spans="1:12" x14ac:dyDescent="0.2">
      <c r="A831" s="3">
        <v>828</v>
      </c>
      <c r="B831" s="3"/>
      <c r="C831" s="3" t="str">
        <f>IFERROR(VLOOKUP(B831,Sessions!A:J,2,FALSE),"")</f>
        <v/>
      </c>
      <c r="D831" s="3" t="str">
        <f>IFERROR(VLOOKUP(B831,Sessions!A:J,3,FALSE),"")</f>
        <v/>
      </c>
      <c r="E831" s="3"/>
      <c r="F831" s="3" t="str">
        <f>IFERROR(VLOOKUP(E831,Employees!A:L,2,FALSE),"")</f>
        <v/>
      </c>
      <c r="G831" s="3" t="str">
        <f>IFERROR(VLOOKUP(E831,Employees!A:L,3,FALSE),"")</f>
        <v/>
      </c>
      <c r="H831" s="3"/>
      <c r="I831" s="3"/>
      <c r="J831" s="3"/>
      <c r="K831" s="3" t="str">
        <f>IF(B831="","",IF(OR(E831="",H831=""),"ناقص",IF(H831="نعم","مكتمل","غائب")))</f>
        <v/>
      </c>
      <c r="L831" s="3"/>
    </row>
    <row r="832" spans="1:12" x14ac:dyDescent="0.2">
      <c r="A832" s="3">
        <v>829</v>
      </c>
      <c r="B832" s="3"/>
      <c r="C832" s="3" t="str">
        <f>IFERROR(VLOOKUP(B832,Sessions!A:J,2,FALSE),"")</f>
        <v/>
      </c>
      <c r="D832" s="3" t="str">
        <f>IFERROR(VLOOKUP(B832,Sessions!A:J,3,FALSE),"")</f>
        <v/>
      </c>
      <c r="E832" s="3"/>
      <c r="F832" s="3" t="str">
        <f>IFERROR(VLOOKUP(E832,Employees!A:L,2,FALSE),"")</f>
        <v/>
      </c>
      <c r="G832" s="3" t="str">
        <f>IFERROR(VLOOKUP(E832,Employees!A:L,3,FALSE),"")</f>
        <v/>
      </c>
      <c r="H832" s="3"/>
      <c r="I832" s="3"/>
      <c r="J832" s="3"/>
      <c r="K832" s="3" t="str">
        <f>IF(B832="","",IF(OR(E832="",H832=""),"ناقص",IF(H832="نعم","مكتمل","غائب")))</f>
        <v/>
      </c>
      <c r="L832" s="3"/>
    </row>
    <row r="833" spans="1:12" x14ac:dyDescent="0.2">
      <c r="A833" s="3">
        <v>830</v>
      </c>
      <c r="B833" s="3"/>
      <c r="C833" s="3" t="str">
        <f>IFERROR(VLOOKUP(B833,Sessions!A:J,2,FALSE),"")</f>
        <v/>
      </c>
      <c r="D833" s="3" t="str">
        <f>IFERROR(VLOOKUP(B833,Sessions!A:J,3,FALSE),"")</f>
        <v/>
      </c>
      <c r="E833" s="3"/>
      <c r="F833" s="3" t="str">
        <f>IFERROR(VLOOKUP(E833,Employees!A:L,2,FALSE),"")</f>
        <v/>
      </c>
      <c r="G833" s="3" t="str">
        <f>IFERROR(VLOOKUP(E833,Employees!A:L,3,FALSE),"")</f>
        <v/>
      </c>
      <c r="H833" s="3"/>
      <c r="I833" s="3"/>
      <c r="J833" s="3"/>
      <c r="K833" s="3" t="str">
        <f>IF(B833="","",IF(OR(E833="",H833=""),"ناقص",IF(H833="نعم","مكتمل","غائب")))</f>
        <v/>
      </c>
      <c r="L833" s="3"/>
    </row>
    <row r="834" spans="1:12" x14ac:dyDescent="0.2">
      <c r="A834" s="3">
        <v>831</v>
      </c>
      <c r="B834" s="3"/>
      <c r="C834" s="3" t="str">
        <f>IFERROR(VLOOKUP(B834,Sessions!A:J,2,FALSE),"")</f>
        <v/>
      </c>
      <c r="D834" s="3" t="str">
        <f>IFERROR(VLOOKUP(B834,Sessions!A:J,3,FALSE),"")</f>
        <v/>
      </c>
      <c r="E834" s="3"/>
      <c r="F834" s="3" t="str">
        <f>IFERROR(VLOOKUP(E834,Employees!A:L,2,FALSE),"")</f>
        <v/>
      </c>
      <c r="G834" s="3" t="str">
        <f>IFERROR(VLOOKUP(E834,Employees!A:L,3,FALSE),"")</f>
        <v/>
      </c>
      <c r="H834" s="3"/>
      <c r="I834" s="3"/>
      <c r="J834" s="3"/>
      <c r="K834" s="3" t="str">
        <f>IF(B834="","",IF(OR(E834="",H834=""),"ناقص",IF(H834="نعم","مكتمل","غائب")))</f>
        <v/>
      </c>
      <c r="L834" s="3"/>
    </row>
    <row r="835" spans="1:12" x14ac:dyDescent="0.2">
      <c r="A835" s="3">
        <v>832</v>
      </c>
      <c r="B835" s="3"/>
      <c r="C835" s="3" t="str">
        <f>IFERROR(VLOOKUP(B835,Sessions!A:J,2,FALSE),"")</f>
        <v/>
      </c>
      <c r="D835" s="3" t="str">
        <f>IFERROR(VLOOKUP(B835,Sessions!A:J,3,FALSE),"")</f>
        <v/>
      </c>
      <c r="E835" s="3"/>
      <c r="F835" s="3" t="str">
        <f>IFERROR(VLOOKUP(E835,Employees!A:L,2,FALSE),"")</f>
        <v/>
      </c>
      <c r="G835" s="3" t="str">
        <f>IFERROR(VLOOKUP(E835,Employees!A:L,3,FALSE),"")</f>
        <v/>
      </c>
      <c r="H835" s="3"/>
      <c r="I835" s="3"/>
      <c r="J835" s="3"/>
      <c r="K835" s="3" t="str">
        <f>IF(B835="","",IF(OR(E835="",H835=""),"ناقص",IF(H835="نعم","مكتمل","غائب")))</f>
        <v/>
      </c>
      <c r="L835" s="3"/>
    </row>
    <row r="836" spans="1:12" x14ac:dyDescent="0.2">
      <c r="A836" s="3">
        <v>833</v>
      </c>
      <c r="B836" s="3"/>
      <c r="C836" s="3" t="str">
        <f>IFERROR(VLOOKUP(B836,Sessions!A:J,2,FALSE),"")</f>
        <v/>
      </c>
      <c r="D836" s="3" t="str">
        <f>IFERROR(VLOOKUP(B836,Sessions!A:J,3,FALSE),"")</f>
        <v/>
      </c>
      <c r="E836" s="3"/>
      <c r="F836" s="3" t="str">
        <f>IFERROR(VLOOKUP(E836,Employees!A:L,2,FALSE),"")</f>
        <v/>
      </c>
      <c r="G836" s="3" t="str">
        <f>IFERROR(VLOOKUP(E836,Employees!A:L,3,FALSE),"")</f>
        <v/>
      </c>
      <c r="H836" s="3"/>
      <c r="I836" s="3"/>
      <c r="J836" s="3"/>
      <c r="K836" s="3" t="str">
        <f>IF(B836="","",IF(OR(E836="",H836=""),"ناقص",IF(H836="نعم","مكتمل","غائب")))</f>
        <v/>
      </c>
      <c r="L836" s="3"/>
    </row>
    <row r="837" spans="1:12" x14ac:dyDescent="0.2">
      <c r="A837" s="3">
        <v>834</v>
      </c>
      <c r="B837" s="3"/>
      <c r="C837" s="3" t="str">
        <f>IFERROR(VLOOKUP(B837,Sessions!A:J,2,FALSE),"")</f>
        <v/>
      </c>
      <c r="D837" s="3" t="str">
        <f>IFERROR(VLOOKUP(B837,Sessions!A:J,3,FALSE),"")</f>
        <v/>
      </c>
      <c r="E837" s="3"/>
      <c r="F837" s="3" t="str">
        <f>IFERROR(VLOOKUP(E837,Employees!A:L,2,FALSE),"")</f>
        <v/>
      </c>
      <c r="G837" s="3" t="str">
        <f>IFERROR(VLOOKUP(E837,Employees!A:L,3,FALSE),"")</f>
        <v/>
      </c>
      <c r="H837" s="3"/>
      <c r="I837" s="3"/>
      <c r="J837" s="3"/>
      <c r="K837" s="3" t="str">
        <f>IF(B837="","",IF(OR(E837="",H837=""),"ناقص",IF(H837="نعم","مكتمل","غائب")))</f>
        <v/>
      </c>
      <c r="L837" s="3"/>
    </row>
    <row r="838" spans="1:12" x14ac:dyDescent="0.2">
      <c r="A838" s="3">
        <v>835</v>
      </c>
      <c r="B838" s="3"/>
      <c r="C838" s="3" t="str">
        <f>IFERROR(VLOOKUP(B838,Sessions!A:J,2,FALSE),"")</f>
        <v/>
      </c>
      <c r="D838" s="3" t="str">
        <f>IFERROR(VLOOKUP(B838,Sessions!A:J,3,FALSE),"")</f>
        <v/>
      </c>
      <c r="E838" s="3"/>
      <c r="F838" s="3" t="str">
        <f>IFERROR(VLOOKUP(E838,Employees!A:L,2,FALSE),"")</f>
        <v/>
      </c>
      <c r="G838" s="3" t="str">
        <f>IFERROR(VLOOKUP(E838,Employees!A:L,3,FALSE),"")</f>
        <v/>
      </c>
      <c r="H838" s="3"/>
      <c r="I838" s="3"/>
      <c r="J838" s="3"/>
      <c r="K838" s="3" t="str">
        <f>IF(B838="","",IF(OR(E838="",H838=""),"ناقص",IF(H838="نعم","مكتمل","غائب")))</f>
        <v/>
      </c>
      <c r="L838" s="3"/>
    </row>
    <row r="839" spans="1:12" x14ac:dyDescent="0.2">
      <c r="A839" s="3">
        <v>836</v>
      </c>
      <c r="B839" s="3"/>
      <c r="C839" s="3" t="str">
        <f>IFERROR(VLOOKUP(B839,Sessions!A:J,2,FALSE),"")</f>
        <v/>
      </c>
      <c r="D839" s="3" t="str">
        <f>IFERROR(VLOOKUP(B839,Sessions!A:J,3,FALSE),"")</f>
        <v/>
      </c>
      <c r="E839" s="3"/>
      <c r="F839" s="3" t="str">
        <f>IFERROR(VLOOKUP(E839,Employees!A:L,2,FALSE),"")</f>
        <v/>
      </c>
      <c r="G839" s="3" t="str">
        <f>IFERROR(VLOOKUP(E839,Employees!A:L,3,FALSE),"")</f>
        <v/>
      </c>
      <c r="H839" s="3"/>
      <c r="I839" s="3"/>
      <c r="J839" s="3"/>
      <c r="K839" s="3" t="str">
        <f>IF(B839="","",IF(OR(E839="",H839=""),"ناقص",IF(H839="نعم","مكتمل","غائب")))</f>
        <v/>
      </c>
      <c r="L839" s="3"/>
    </row>
    <row r="840" spans="1:12" x14ac:dyDescent="0.2">
      <c r="A840" s="3">
        <v>837</v>
      </c>
      <c r="B840" s="3"/>
      <c r="C840" s="3" t="str">
        <f>IFERROR(VLOOKUP(B840,Sessions!A:J,2,FALSE),"")</f>
        <v/>
      </c>
      <c r="D840" s="3" t="str">
        <f>IFERROR(VLOOKUP(B840,Sessions!A:J,3,FALSE),"")</f>
        <v/>
      </c>
      <c r="E840" s="3"/>
      <c r="F840" s="3" t="str">
        <f>IFERROR(VLOOKUP(E840,Employees!A:L,2,FALSE),"")</f>
        <v/>
      </c>
      <c r="G840" s="3" t="str">
        <f>IFERROR(VLOOKUP(E840,Employees!A:L,3,FALSE),"")</f>
        <v/>
      </c>
      <c r="H840" s="3"/>
      <c r="I840" s="3"/>
      <c r="J840" s="3"/>
      <c r="K840" s="3" t="str">
        <f>IF(B840="","",IF(OR(E840="",H840=""),"ناقص",IF(H840="نعم","مكتمل","غائب")))</f>
        <v/>
      </c>
      <c r="L840" s="3"/>
    </row>
    <row r="841" spans="1:12" x14ac:dyDescent="0.2">
      <c r="A841" s="3">
        <v>838</v>
      </c>
      <c r="B841" s="3"/>
      <c r="C841" s="3" t="str">
        <f>IFERROR(VLOOKUP(B841,Sessions!A:J,2,FALSE),"")</f>
        <v/>
      </c>
      <c r="D841" s="3" t="str">
        <f>IFERROR(VLOOKUP(B841,Sessions!A:J,3,FALSE),"")</f>
        <v/>
      </c>
      <c r="E841" s="3"/>
      <c r="F841" s="3" t="str">
        <f>IFERROR(VLOOKUP(E841,Employees!A:L,2,FALSE),"")</f>
        <v/>
      </c>
      <c r="G841" s="3" t="str">
        <f>IFERROR(VLOOKUP(E841,Employees!A:L,3,FALSE),"")</f>
        <v/>
      </c>
      <c r="H841" s="3"/>
      <c r="I841" s="3"/>
      <c r="J841" s="3"/>
      <c r="K841" s="3" t="str">
        <f>IF(B841="","",IF(OR(E841="",H841=""),"ناقص",IF(H841="نعم","مكتمل","غائب")))</f>
        <v/>
      </c>
      <c r="L841" s="3"/>
    </row>
    <row r="842" spans="1:12" x14ac:dyDescent="0.2">
      <c r="A842" s="3">
        <v>839</v>
      </c>
      <c r="B842" s="3"/>
      <c r="C842" s="3" t="str">
        <f>IFERROR(VLOOKUP(B842,Sessions!A:J,2,FALSE),"")</f>
        <v/>
      </c>
      <c r="D842" s="3" t="str">
        <f>IFERROR(VLOOKUP(B842,Sessions!A:J,3,FALSE),"")</f>
        <v/>
      </c>
      <c r="E842" s="3"/>
      <c r="F842" s="3" t="str">
        <f>IFERROR(VLOOKUP(E842,Employees!A:L,2,FALSE),"")</f>
        <v/>
      </c>
      <c r="G842" s="3" t="str">
        <f>IFERROR(VLOOKUP(E842,Employees!A:L,3,FALSE),"")</f>
        <v/>
      </c>
      <c r="H842" s="3"/>
      <c r="I842" s="3"/>
      <c r="J842" s="3"/>
      <c r="K842" s="3" t="str">
        <f>IF(B842="","",IF(OR(E842="",H842=""),"ناقص",IF(H842="نعم","مكتمل","غائب")))</f>
        <v/>
      </c>
      <c r="L842" s="3"/>
    </row>
    <row r="843" spans="1:12" x14ac:dyDescent="0.2">
      <c r="A843" s="3">
        <v>840</v>
      </c>
      <c r="B843" s="3"/>
      <c r="C843" s="3" t="str">
        <f>IFERROR(VLOOKUP(B843,Sessions!A:J,2,FALSE),"")</f>
        <v/>
      </c>
      <c r="D843" s="3" t="str">
        <f>IFERROR(VLOOKUP(B843,Sessions!A:J,3,FALSE),"")</f>
        <v/>
      </c>
      <c r="E843" s="3"/>
      <c r="F843" s="3" t="str">
        <f>IFERROR(VLOOKUP(E843,Employees!A:L,2,FALSE),"")</f>
        <v/>
      </c>
      <c r="G843" s="3" t="str">
        <f>IFERROR(VLOOKUP(E843,Employees!A:L,3,FALSE),"")</f>
        <v/>
      </c>
      <c r="H843" s="3"/>
      <c r="I843" s="3"/>
      <c r="J843" s="3"/>
      <c r="K843" s="3" t="str">
        <f>IF(B843="","",IF(OR(E843="",H843=""),"ناقص",IF(H843="نعم","مكتمل","غائب")))</f>
        <v/>
      </c>
      <c r="L843" s="3"/>
    </row>
    <row r="844" spans="1:12" x14ac:dyDescent="0.2">
      <c r="A844" s="3">
        <v>841</v>
      </c>
      <c r="B844" s="3"/>
      <c r="C844" s="3" t="str">
        <f>IFERROR(VLOOKUP(B844,Sessions!A:J,2,FALSE),"")</f>
        <v/>
      </c>
      <c r="D844" s="3" t="str">
        <f>IFERROR(VLOOKUP(B844,Sessions!A:J,3,FALSE),"")</f>
        <v/>
      </c>
      <c r="E844" s="3"/>
      <c r="F844" s="3" t="str">
        <f>IFERROR(VLOOKUP(E844,Employees!A:L,2,FALSE),"")</f>
        <v/>
      </c>
      <c r="G844" s="3" t="str">
        <f>IFERROR(VLOOKUP(E844,Employees!A:L,3,FALSE),"")</f>
        <v/>
      </c>
      <c r="H844" s="3"/>
      <c r="I844" s="3"/>
      <c r="J844" s="3"/>
      <c r="K844" s="3" t="str">
        <f>IF(B844="","",IF(OR(E844="",H844=""),"ناقص",IF(H844="نعم","مكتمل","غائب")))</f>
        <v/>
      </c>
      <c r="L844" s="3"/>
    </row>
    <row r="845" spans="1:12" x14ac:dyDescent="0.2">
      <c r="A845" s="3">
        <v>842</v>
      </c>
      <c r="B845" s="3"/>
      <c r="C845" s="3" t="str">
        <f>IFERROR(VLOOKUP(B845,Sessions!A:J,2,FALSE),"")</f>
        <v/>
      </c>
      <c r="D845" s="3" t="str">
        <f>IFERROR(VLOOKUP(B845,Sessions!A:J,3,FALSE),"")</f>
        <v/>
      </c>
      <c r="E845" s="3"/>
      <c r="F845" s="3" t="str">
        <f>IFERROR(VLOOKUP(E845,Employees!A:L,2,FALSE),"")</f>
        <v/>
      </c>
      <c r="G845" s="3" t="str">
        <f>IFERROR(VLOOKUP(E845,Employees!A:L,3,FALSE),"")</f>
        <v/>
      </c>
      <c r="H845" s="3"/>
      <c r="I845" s="3"/>
      <c r="J845" s="3"/>
      <c r="K845" s="3" t="str">
        <f>IF(B845="","",IF(OR(E845="",H845=""),"ناقص",IF(H845="نعم","مكتمل","غائب")))</f>
        <v/>
      </c>
      <c r="L845" s="3"/>
    </row>
    <row r="846" spans="1:12" x14ac:dyDescent="0.2">
      <c r="A846" s="3">
        <v>843</v>
      </c>
      <c r="B846" s="3"/>
      <c r="C846" s="3" t="str">
        <f>IFERROR(VLOOKUP(B846,Sessions!A:J,2,FALSE),"")</f>
        <v/>
      </c>
      <c r="D846" s="3" t="str">
        <f>IFERROR(VLOOKUP(B846,Sessions!A:J,3,FALSE),"")</f>
        <v/>
      </c>
      <c r="E846" s="3"/>
      <c r="F846" s="3" t="str">
        <f>IFERROR(VLOOKUP(E846,Employees!A:L,2,FALSE),"")</f>
        <v/>
      </c>
      <c r="G846" s="3" t="str">
        <f>IFERROR(VLOOKUP(E846,Employees!A:L,3,FALSE),"")</f>
        <v/>
      </c>
      <c r="H846" s="3"/>
      <c r="I846" s="3"/>
      <c r="J846" s="3"/>
      <c r="K846" s="3" t="str">
        <f>IF(B846="","",IF(OR(E846="",H846=""),"ناقص",IF(H846="نعم","مكتمل","غائب")))</f>
        <v/>
      </c>
      <c r="L846" s="3"/>
    </row>
    <row r="847" spans="1:12" x14ac:dyDescent="0.2">
      <c r="A847" s="3">
        <v>844</v>
      </c>
      <c r="B847" s="3"/>
      <c r="C847" s="3" t="str">
        <f>IFERROR(VLOOKUP(B847,Sessions!A:J,2,FALSE),"")</f>
        <v/>
      </c>
      <c r="D847" s="3" t="str">
        <f>IFERROR(VLOOKUP(B847,Sessions!A:J,3,FALSE),"")</f>
        <v/>
      </c>
      <c r="E847" s="3"/>
      <c r="F847" s="3" t="str">
        <f>IFERROR(VLOOKUP(E847,Employees!A:L,2,FALSE),"")</f>
        <v/>
      </c>
      <c r="G847" s="3" t="str">
        <f>IFERROR(VLOOKUP(E847,Employees!A:L,3,FALSE),"")</f>
        <v/>
      </c>
      <c r="H847" s="3"/>
      <c r="I847" s="3"/>
      <c r="J847" s="3"/>
      <c r="K847" s="3" t="str">
        <f>IF(B847="","",IF(OR(E847="",H847=""),"ناقص",IF(H847="نعم","مكتمل","غائب")))</f>
        <v/>
      </c>
      <c r="L847" s="3"/>
    </row>
    <row r="848" spans="1:12" x14ac:dyDescent="0.2">
      <c r="A848" s="3">
        <v>845</v>
      </c>
      <c r="B848" s="3"/>
      <c r="C848" s="3" t="str">
        <f>IFERROR(VLOOKUP(B848,Sessions!A:J,2,FALSE),"")</f>
        <v/>
      </c>
      <c r="D848" s="3" t="str">
        <f>IFERROR(VLOOKUP(B848,Sessions!A:J,3,FALSE),"")</f>
        <v/>
      </c>
      <c r="E848" s="3"/>
      <c r="F848" s="3" t="str">
        <f>IFERROR(VLOOKUP(E848,Employees!A:L,2,FALSE),"")</f>
        <v/>
      </c>
      <c r="G848" s="3" t="str">
        <f>IFERROR(VLOOKUP(E848,Employees!A:L,3,FALSE),"")</f>
        <v/>
      </c>
      <c r="H848" s="3"/>
      <c r="I848" s="3"/>
      <c r="J848" s="3"/>
      <c r="K848" s="3" t="str">
        <f>IF(B848="","",IF(OR(E848="",H848=""),"ناقص",IF(H848="نعم","مكتمل","غائب")))</f>
        <v/>
      </c>
      <c r="L848" s="3"/>
    </row>
    <row r="849" spans="1:12" x14ac:dyDescent="0.2">
      <c r="A849" s="3">
        <v>846</v>
      </c>
      <c r="B849" s="3"/>
      <c r="C849" s="3" t="str">
        <f>IFERROR(VLOOKUP(B849,Sessions!A:J,2,FALSE),"")</f>
        <v/>
      </c>
      <c r="D849" s="3" t="str">
        <f>IFERROR(VLOOKUP(B849,Sessions!A:J,3,FALSE),"")</f>
        <v/>
      </c>
      <c r="E849" s="3"/>
      <c r="F849" s="3" t="str">
        <f>IFERROR(VLOOKUP(E849,Employees!A:L,2,FALSE),"")</f>
        <v/>
      </c>
      <c r="G849" s="3" t="str">
        <f>IFERROR(VLOOKUP(E849,Employees!A:L,3,FALSE),"")</f>
        <v/>
      </c>
      <c r="H849" s="3"/>
      <c r="I849" s="3"/>
      <c r="J849" s="3"/>
      <c r="K849" s="3" t="str">
        <f>IF(B849="","",IF(OR(E849="",H849=""),"ناقص",IF(H849="نعم","مكتمل","غائب")))</f>
        <v/>
      </c>
      <c r="L849" s="3"/>
    </row>
    <row r="850" spans="1:12" x14ac:dyDescent="0.2">
      <c r="A850" s="3">
        <v>847</v>
      </c>
      <c r="B850" s="3"/>
      <c r="C850" s="3" t="str">
        <f>IFERROR(VLOOKUP(B850,Sessions!A:J,2,FALSE),"")</f>
        <v/>
      </c>
      <c r="D850" s="3" t="str">
        <f>IFERROR(VLOOKUP(B850,Sessions!A:J,3,FALSE),"")</f>
        <v/>
      </c>
      <c r="E850" s="3"/>
      <c r="F850" s="3" t="str">
        <f>IFERROR(VLOOKUP(E850,Employees!A:L,2,FALSE),"")</f>
        <v/>
      </c>
      <c r="G850" s="3" t="str">
        <f>IFERROR(VLOOKUP(E850,Employees!A:L,3,FALSE),"")</f>
        <v/>
      </c>
      <c r="H850" s="3"/>
      <c r="I850" s="3"/>
      <c r="J850" s="3"/>
      <c r="K850" s="3" t="str">
        <f>IF(B850="","",IF(OR(E850="",H850=""),"ناقص",IF(H850="نعم","مكتمل","غائب")))</f>
        <v/>
      </c>
      <c r="L850" s="3"/>
    </row>
    <row r="851" spans="1:12" x14ac:dyDescent="0.2">
      <c r="A851" s="3">
        <v>848</v>
      </c>
      <c r="B851" s="3"/>
      <c r="C851" s="3" t="str">
        <f>IFERROR(VLOOKUP(B851,Sessions!A:J,2,FALSE),"")</f>
        <v/>
      </c>
      <c r="D851" s="3" t="str">
        <f>IFERROR(VLOOKUP(B851,Sessions!A:J,3,FALSE),"")</f>
        <v/>
      </c>
      <c r="E851" s="3"/>
      <c r="F851" s="3" t="str">
        <f>IFERROR(VLOOKUP(E851,Employees!A:L,2,FALSE),"")</f>
        <v/>
      </c>
      <c r="G851" s="3" t="str">
        <f>IFERROR(VLOOKUP(E851,Employees!A:L,3,FALSE),"")</f>
        <v/>
      </c>
      <c r="H851" s="3"/>
      <c r="I851" s="3"/>
      <c r="J851" s="3"/>
      <c r="K851" s="3" t="str">
        <f>IF(B851="","",IF(OR(E851="",H851=""),"ناقص",IF(H851="نعم","مكتمل","غائب")))</f>
        <v/>
      </c>
      <c r="L851" s="3"/>
    </row>
    <row r="852" spans="1:12" x14ac:dyDescent="0.2">
      <c r="A852" s="3">
        <v>849</v>
      </c>
      <c r="B852" s="3"/>
      <c r="C852" s="3" t="str">
        <f>IFERROR(VLOOKUP(B852,Sessions!A:J,2,FALSE),"")</f>
        <v/>
      </c>
      <c r="D852" s="3" t="str">
        <f>IFERROR(VLOOKUP(B852,Sessions!A:J,3,FALSE),"")</f>
        <v/>
      </c>
      <c r="E852" s="3"/>
      <c r="F852" s="3" t="str">
        <f>IFERROR(VLOOKUP(E852,Employees!A:L,2,FALSE),"")</f>
        <v/>
      </c>
      <c r="G852" s="3" t="str">
        <f>IFERROR(VLOOKUP(E852,Employees!A:L,3,FALSE),"")</f>
        <v/>
      </c>
      <c r="H852" s="3"/>
      <c r="I852" s="3"/>
      <c r="J852" s="3"/>
      <c r="K852" s="3" t="str">
        <f>IF(B852="","",IF(OR(E852="",H852=""),"ناقص",IF(H852="نعم","مكتمل","غائب")))</f>
        <v/>
      </c>
      <c r="L852" s="3"/>
    </row>
    <row r="853" spans="1:12" x14ac:dyDescent="0.2">
      <c r="A853" s="3">
        <v>850</v>
      </c>
      <c r="B853" s="3"/>
      <c r="C853" s="3" t="str">
        <f>IFERROR(VLOOKUP(B853,Sessions!A:J,2,FALSE),"")</f>
        <v/>
      </c>
      <c r="D853" s="3" t="str">
        <f>IFERROR(VLOOKUP(B853,Sessions!A:J,3,FALSE),"")</f>
        <v/>
      </c>
      <c r="E853" s="3"/>
      <c r="F853" s="3" t="str">
        <f>IFERROR(VLOOKUP(E853,Employees!A:L,2,FALSE),"")</f>
        <v/>
      </c>
      <c r="G853" s="3" t="str">
        <f>IFERROR(VLOOKUP(E853,Employees!A:L,3,FALSE),"")</f>
        <v/>
      </c>
      <c r="H853" s="3"/>
      <c r="I853" s="3"/>
      <c r="J853" s="3"/>
      <c r="K853" s="3" t="str">
        <f>IF(B853="","",IF(OR(E853="",H853=""),"ناقص",IF(H853="نعم","مكتمل","غائب")))</f>
        <v/>
      </c>
      <c r="L853" s="3"/>
    </row>
    <row r="854" spans="1:12" x14ac:dyDescent="0.2">
      <c r="A854" s="3">
        <v>851</v>
      </c>
      <c r="B854" s="3"/>
      <c r="C854" s="3" t="str">
        <f>IFERROR(VLOOKUP(B854,Sessions!A:J,2,FALSE),"")</f>
        <v/>
      </c>
      <c r="D854" s="3" t="str">
        <f>IFERROR(VLOOKUP(B854,Sessions!A:J,3,FALSE),"")</f>
        <v/>
      </c>
      <c r="E854" s="3"/>
      <c r="F854" s="3" t="str">
        <f>IFERROR(VLOOKUP(E854,Employees!A:L,2,FALSE),"")</f>
        <v/>
      </c>
      <c r="G854" s="3" t="str">
        <f>IFERROR(VLOOKUP(E854,Employees!A:L,3,FALSE),"")</f>
        <v/>
      </c>
      <c r="H854" s="3"/>
      <c r="I854" s="3"/>
      <c r="J854" s="3"/>
      <c r="K854" s="3" t="str">
        <f>IF(B854="","",IF(OR(E854="",H854=""),"ناقص",IF(H854="نعم","مكتمل","غائب")))</f>
        <v/>
      </c>
      <c r="L854" s="3"/>
    </row>
    <row r="855" spans="1:12" x14ac:dyDescent="0.2">
      <c r="A855" s="3">
        <v>852</v>
      </c>
      <c r="B855" s="3"/>
      <c r="C855" s="3" t="str">
        <f>IFERROR(VLOOKUP(B855,Sessions!A:J,2,FALSE),"")</f>
        <v/>
      </c>
      <c r="D855" s="3" t="str">
        <f>IFERROR(VLOOKUP(B855,Sessions!A:J,3,FALSE),"")</f>
        <v/>
      </c>
      <c r="E855" s="3"/>
      <c r="F855" s="3" t="str">
        <f>IFERROR(VLOOKUP(E855,Employees!A:L,2,FALSE),"")</f>
        <v/>
      </c>
      <c r="G855" s="3" t="str">
        <f>IFERROR(VLOOKUP(E855,Employees!A:L,3,FALSE),"")</f>
        <v/>
      </c>
      <c r="H855" s="3"/>
      <c r="I855" s="3"/>
      <c r="J855" s="3"/>
      <c r="K855" s="3" t="str">
        <f>IF(B855="","",IF(OR(E855="",H855=""),"ناقص",IF(H855="نعم","مكتمل","غائب")))</f>
        <v/>
      </c>
      <c r="L855" s="3"/>
    </row>
    <row r="856" spans="1:12" x14ac:dyDescent="0.2">
      <c r="A856" s="3">
        <v>853</v>
      </c>
      <c r="B856" s="3"/>
      <c r="C856" s="3" t="str">
        <f>IFERROR(VLOOKUP(B856,Sessions!A:J,2,FALSE),"")</f>
        <v/>
      </c>
      <c r="D856" s="3" t="str">
        <f>IFERROR(VLOOKUP(B856,Sessions!A:J,3,FALSE),"")</f>
        <v/>
      </c>
      <c r="E856" s="3"/>
      <c r="F856" s="3" t="str">
        <f>IFERROR(VLOOKUP(E856,Employees!A:L,2,FALSE),"")</f>
        <v/>
      </c>
      <c r="G856" s="3" t="str">
        <f>IFERROR(VLOOKUP(E856,Employees!A:L,3,FALSE),"")</f>
        <v/>
      </c>
      <c r="H856" s="3"/>
      <c r="I856" s="3"/>
      <c r="J856" s="3"/>
      <c r="K856" s="3" t="str">
        <f>IF(B856="","",IF(OR(E856="",H856=""),"ناقص",IF(H856="نعم","مكتمل","غائب")))</f>
        <v/>
      </c>
      <c r="L856" s="3"/>
    </row>
    <row r="857" spans="1:12" x14ac:dyDescent="0.2">
      <c r="A857" s="3">
        <v>854</v>
      </c>
      <c r="B857" s="3"/>
      <c r="C857" s="3" t="str">
        <f>IFERROR(VLOOKUP(B857,Sessions!A:J,2,FALSE),"")</f>
        <v/>
      </c>
      <c r="D857" s="3" t="str">
        <f>IFERROR(VLOOKUP(B857,Sessions!A:J,3,FALSE),"")</f>
        <v/>
      </c>
      <c r="E857" s="3"/>
      <c r="F857" s="3" t="str">
        <f>IFERROR(VLOOKUP(E857,Employees!A:L,2,FALSE),"")</f>
        <v/>
      </c>
      <c r="G857" s="3" t="str">
        <f>IFERROR(VLOOKUP(E857,Employees!A:L,3,FALSE),"")</f>
        <v/>
      </c>
      <c r="H857" s="3"/>
      <c r="I857" s="3"/>
      <c r="J857" s="3"/>
      <c r="K857" s="3" t="str">
        <f>IF(B857="","",IF(OR(E857="",H857=""),"ناقص",IF(H857="نعم","مكتمل","غائب")))</f>
        <v/>
      </c>
      <c r="L857" s="3"/>
    </row>
    <row r="858" spans="1:12" x14ac:dyDescent="0.2">
      <c r="A858" s="3">
        <v>855</v>
      </c>
      <c r="B858" s="3"/>
      <c r="C858" s="3" t="str">
        <f>IFERROR(VLOOKUP(B858,Sessions!A:J,2,FALSE),"")</f>
        <v/>
      </c>
      <c r="D858" s="3" t="str">
        <f>IFERROR(VLOOKUP(B858,Sessions!A:J,3,FALSE),"")</f>
        <v/>
      </c>
      <c r="E858" s="3"/>
      <c r="F858" s="3" t="str">
        <f>IFERROR(VLOOKUP(E858,Employees!A:L,2,FALSE),"")</f>
        <v/>
      </c>
      <c r="G858" s="3" t="str">
        <f>IFERROR(VLOOKUP(E858,Employees!A:L,3,FALSE),"")</f>
        <v/>
      </c>
      <c r="H858" s="3"/>
      <c r="I858" s="3"/>
      <c r="J858" s="3"/>
      <c r="K858" s="3" t="str">
        <f>IF(B858="","",IF(OR(E858="",H858=""),"ناقص",IF(H858="نعم","مكتمل","غائب")))</f>
        <v/>
      </c>
      <c r="L858" s="3"/>
    </row>
    <row r="859" spans="1:12" x14ac:dyDescent="0.2">
      <c r="A859" s="3">
        <v>856</v>
      </c>
      <c r="B859" s="3"/>
      <c r="C859" s="3" t="str">
        <f>IFERROR(VLOOKUP(B859,Sessions!A:J,2,FALSE),"")</f>
        <v/>
      </c>
      <c r="D859" s="3" t="str">
        <f>IFERROR(VLOOKUP(B859,Sessions!A:J,3,FALSE),"")</f>
        <v/>
      </c>
      <c r="E859" s="3"/>
      <c r="F859" s="3" t="str">
        <f>IFERROR(VLOOKUP(E859,Employees!A:L,2,FALSE),"")</f>
        <v/>
      </c>
      <c r="G859" s="3" t="str">
        <f>IFERROR(VLOOKUP(E859,Employees!A:L,3,FALSE),"")</f>
        <v/>
      </c>
      <c r="H859" s="3"/>
      <c r="I859" s="3"/>
      <c r="J859" s="3"/>
      <c r="K859" s="3" t="str">
        <f>IF(B859="","",IF(OR(E859="",H859=""),"ناقص",IF(H859="نعم","مكتمل","غائب")))</f>
        <v/>
      </c>
      <c r="L859" s="3"/>
    </row>
    <row r="860" spans="1:12" x14ac:dyDescent="0.2">
      <c r="A860" s="3">
        <v>857</v>
      </c>
      <c r="B860" s="3"/>
      <c r="C860" s="3" t="str">
        <f>IFERROR(VLOOKUP(B860,Sessions!A:J,2,FALSE),"")</f>
        <v/>
      </c>
      <c r="D860" s="3" t="str">
        <f>IFERROR(VLOOKUP(B860,Sessions!A:J,3,FALSE),"")</f>
        <v/>
      </c>
      <c r="E860" s="3"/>
      <c r="F860" s="3" t="str">
        <f>IFERROR(VLOOKUP(E860,Employees!A:L,2,FALSE),"")</f>
        <v/>
      </c>
      <c r="G860" s="3" t="str">
        <f>IFERROR(VLOOKUP(E860,Employees!A:L,3,FALSE),"")</f>
        <v/>
      </c>
      <c r="H860" s="3"/>
      <c r="I860" s="3"/>
      <c r="J860" s="3"/>
      <c r="K860" s="3" t="str">
        <f>IF(B860="","",IF(OR(E860="",H860=""),"ناقص",IF(H860="نعم","مكتمل","غائب")))</f>
        <v/>
      </c>
      <c r="L860" s="3"/>
    </row>
    <row r="861" spans="1:12" x14ac:dyDescent="0.2">
      <c r="A861" s="3">
        <v>858</v>
      </c>
      <c r="B861" s="3"/>
      <c r="C861" s="3" t="str">
        <f>IFERROR(VLOOKUP(B861,Sessions!A:J,2,FALSE),"")</f>
        <v/>
      </c>
      <c r="D861" s="3" t="str">
        <f>IFERROR(VLOOKUP(B861,Sessions!A:J,3,FALSE),"")</f>
        <v/>
      </c>
      <c r="E861" s="3"/>
      <c r="F861" s="3" t="str">
        <f>IFERROR(VLOOKUP(E861,Employees!A:L,2,FALSE),"")</f>
        <v/>
      </c>
      <c r="G861" s="3" t="str">
        <f>IFERROR(VLOOKUP(E861,Employees!A:L,3,FALSE),"")</f>
        <v/>
      </c>
      <c r="H861" s="3"/>
      <c r="I861" s="3"/>
      <c r="J861" s="3"/>
      <c r="K861" s="3" t="str">
        <f>IF(B861="","",IF(OR(E861="",H861=""),"ناقص",IF(H861="نعم","مكتمل","غائب")))</f>
        <v/>
      </c>
      <c r="L861" s="3"/>
    </row>
    <row r="862" spans="1:12" x14ac:dyDescent="0.2">
      <c r="A862" s="3">
        <v>859</v>
      </c>
      <c r="B862" s="3"/>
      <c r="C862" s="3" t="str">
        <f>IFERROR(VLOOKUP(B862,Sessions!A:J,2,FALSE),"")</f>
        <v/>
      </c>
      <c r="D862" s="3" t="str">
        <f>IFERROR(VLOOKUP(B862,Sessions!A:J,3,FALSE),"")</f>
        <v/>
      </c>
      <c r="E862" s="3"/>
      <c r="F862" s="3" t="str">
        <f>IFERROR(VLOOKUP(E862,Employees!A:L,2,FALSE),"")</f>
        <v/>
      </c>
      <c r="G862" s="3" t="str">
        <f>IFERROR(VLOOKUP(E862,Employees!A:L,3,FALSE),"")</f>
        <v/>
      </c>
      <c r="H862" s="3"/>
      <c r="I862" s="3"/>
      <c r="J862" s="3"/>
      <c r="K862" s="3" t="str">
        <f>IF(B862="","",IF(OR(E862="",H862=""),"ناقص",IF(H862="نعم","مكتمل","غائب")))</f>
        <v/>
      </c>
      <c r="L862" s="3"/>
    </row>
    <row r="863" spans="1:12" x14ac:dyDescent="0.2">
      <c r="A863" s="3">
        <v>860</v>
      </c>
      <c r="B863" s="3"/>
      <c r="C863" s="3" t="str">
        <f>IFERROR(VLOOKUP(B863,Sessions!A:J,2,FALSE),"")</f>
        <v/>
      </c>
      <c r="D863" s="3" t="str">
        <f>IFERROR(VLOOKUP(B863,Sessions!A:J,3,FALSE),"")</f>
        <v/>
      </c>
      <c r="E863" s="3"/>
      <c r="F863" s="3" t="str">
        <f>IFERROR(VLOOKUP(E863,Employees!A:L,2,FALSE),"")</f>
        <v/>
      </c>
      <c r="G863" s="3" t="str">
        <f>IFERROR(VLOOKUP(E863,Employees!A:L,3,FALSE),"")</f>
        <v/>
      </c>
      <c r="H863" s="3"/>
      <c r="I863" s="3"/>
      <c r="J863" s="3"/>
      <c r="K863" s="3" t="str">
        <f>IF(B863="","",IF(OR(E863="",H863=""),"ناقص",IF(H863="نعم","مكتمل","غائب")))</f>
        <v/>
      </c>
      <c r="L863" s="3"/>
    </row>
    <row r="864" spans="1:12" x14ac:dyDescent="0.2">
      <c r="A864" s="3">
        <v>861</v>
      </c>
      <c r="B864" s="3"/>
      <c r="C864" s="3" t="str">
        <f>IFERROR(VLOOKUP(B864,Sessions!A:J,2,FALSE),"")</f>
        <v/>
      </c>
      <c r="D864" s="3" t="str">
        <f>IFERROR(VLOOKUP(B864,Sessions!A:J,3,FALSE),"")</f>
        <v/>
      </c>
      <c r="E864" s="3"/>
      <c r="F864" s="3" t="str">
        <f>IFERROR(VLOOKUP(E864,Employees!A:L,2,FALSE),"")</f>
        <v/>
      </c>
      <c r="G864" s="3" t="str">
        <f>IFERROR(VLOOKUP(E864,Employees!A:L,3,FALSE),"")</f>
        <v/>
      </c>
      <c r="H864" s="3"/>
      <c r="I864" s="3"/>
      <c r="J864" s="3"/>
      <c r="K864" s="3" t="str">
        <f>IF(B864="","",IF(OR(E864="",H864=""),"ناقص",IF(H864="نعم","مكتمل","غائب")))</f>
        <v/>
      </c>
      <c r="L864" s="3"/>
    </row>
    <row r="865" spans="1:12" x14ac:dyDescent="0.2">
      <c r="A865" s="3">
        <v>862</v>
      </c>
      <c r="B865" s="3"/>
      <c r="C865" s="3" t="str">
        <f>IFERROR(VLOOKUP(B865,Sessions!A:J,2,FALSE),"")</f>
        <v/>
      </c>
      <c r="D865" s="3" t="str">
        <f>IFERROR(VLOOKUP(B865,Sessions!A:J,3,FALSE),"")</f>
        <v/>
      </c>
      <c r="E865" s="3"/>
      <c r="F865" s="3" t="str">
        <f>IFERROR(VLOOKUP(E865,Employees!A:L,2,FALSE),"")</f>
        <v/>
      </c>
      <c r="G865" s="3" t="str">
        <f>IFERROR(VLOOKUP(E865,Employees!A:L,3,FALSE),"")</f>
        <v/>
      </c>
      <c r="H865" s="3"/>
      <c r="I865" s="3"/>
      <c r="J865" s="3"/>
      <c r="K865" s="3" t="str">
        <f>IF(B865="","",IF(OR(E865="",H865=""),"ناقص",IF(H865="نعم","مكتمل","غائب")))</f>
        <v/>
      </c>
      <c r="L865" s="3"/>
    </row>
    <row r="866" spans="1:12" x14ac:dyDescent="0.2">
      <c r="A866" s="3">
        <v>863</v>
      </c>
      <c r="B866" s="3"/>
      <c r="C866" s="3" t="str">
        <f>IFERROR(VLOOKUP(B866,Sessions!A:J,2,FALSE),"")</f>
        <v/>
      </c>
      <c r="D866" s="3" t="str">
        <f>IFERROR(VLOOKUP(B866,Sessions!A:J,3,FALSE),"")</f>
        <v/>
      </c>
      <c r="E866" s="3"/>
      <c r="F866" s="3" t="str">
        <f>IFERROR(VLOOKUP(E866,Employees!A:L,2,FALSE),"")</f>
        <v/>
      </c>
      <c r="G866" s="3" t="str">
        <f>IFERROR(VLOOKUP(E866,Employees!A:L,3,FALSE),"")</f>
        <v/>
      </c>
      <c r="H866" s="3"/>
      <c r="I866" s="3"/>
      <c r="J866" s="3"/>
      <c r="K866" s="3" t="str">
        <f>IF(B866="","",IF(OR(E866="",H866=""),"ناقص",IF(H866="نعم","مكتمل","غائب")))</f>
        <v/>
      </c>
      <c r="L866" s="3"/>
    </row>
    <row r="867" spans="1:12" x14ac:dyDescent="0.2">
      <c r="A867" s="3">
        <v>864</v>
      </c>
      <c r="B867" s="3"/>
      <c r="C867" s="3" t="str">
        <f>IFERROR(VLOOKUP(B867,Sessions!A:J,2,FALSE),"")</f>
        <v/>
      </c>
      <c r="D867" s="3" t="str">
        <f>IFERROR(VLOOKUP(B867,Sessions!A:J,3,FALSE),"")</f>
        <v/>
      </c>
      <c r="E867" s="3"/>
      <c r="F867" s="3" t="str">
        <f>IFERROR(VLOOKUP(E867,Employees!A:L,2,FALSE),"")</f>
        <v/>
      </c>
      <c r="G867" s="3" t="str">
        <f>IFERROR(VLOOKUP(E867,Employees!A:L,3,FALSE),"")</f>
        <v/>
      </c>
      <c r="H867" s="3"/>
      <c r="I867" s="3"/>
      <c r="J867" s="3"/>
      <c r="K867" s="3" t="str">
        <f>IF(B867="","",IF(OR(E867="",H867=""),"ناقص",IF(H867="نعم","مكتمل","غائب")))</f>
        <v/>
      </c>
      <c r="L867" s="3"/>
    </row>
    <row r="868" spans="1:12" x14ac:dyDescent="0.2">
      <c r="A868" s="3">
        <v>865</v>
      </c>
      <c r="B868" s="3"/>
      <c r="C868" s="3" t="str">
        <f>IFERROR(VLOOKUP(B868,Sessions!A:J,2,FALSE),"")</f>
        <v/>
      </c>
      <c r="D868" s="3" t="str">
        <f>IFERROR(VLOOKUP(B868,Sessions!A:J,3,FALSE),"")</f>
        <v/>
      </c>
      <c r="E868" s="3"/>
      <c r="F868" s="3" t="str">
        <f>IFERROR(VLOOKUP(E868,Employees!A:L,2,FALSE),"")</f>
        <v/>
      </c>
      <c r="G868" s="3" t="str">
        <f>IFERROR(VLOOKUP(E868,Employees!A:L,3,FALSE),"")</f>
        <v/>
      </c>
      <c r="H868" s="3"/>
      <c r="I868" s="3"/>
      <c r="J868" s="3"/>
      <c r="K868" s="3" t="str">
        <f>IF(B868="","",IF(OR(E868="",H868=""),"ناقص",IF(H868="نعم","مكتمل","غائب")))</f>
        <v/>
      </c>
      <c r="L868" s="3"/>
    </row>
    <row r="869" spans="1:12" x14ac:dyDescent="0.2">
      <c r="A869" s="3">
        <v>866</v>
      </c>
      <c r="B869" s="3"/>
      <c r="C869" s="3" t="str">
        <f>IFERROR(VLOOKUP(B869,Sessions!A:J,2,FALSE),"")</f>
        <v/>
      </c>
      <c r="D869" s="3" t="str">
        <f>IFERROR(VLOOKUP(B869,Sessions!A:J,3,FALSE),"")</f>
        <v/>
      </c>
      <c r="E869" s="3"/>
      <c r="F869" s="3" t="str">
        <f>IFERROR(VLOOKUP(E869,Employees!A:L,2,FALSE),"")</f>
        <v/>
      </c>
      <c r="G869" s="3" t="str">
        <f>IFERROR(VLOOKUP(E869,Employees!A:L,3,FALSE),"")</f>
        <v/>
      </c>
      <c r="H869" s="3"/>
      <c r="I869" s="3"/>
      <c r="J869" s="3"/>
      <c r="K869" s="3" t="str">
        <f>IF(B869="","",IF(OR(E869="",H869=""),"ناقص",IF(H869="نعم","مكتمل","غائب")))</f>
        <v/>
      </c>
      <c r="L869" s="3"/>
    </row>
    <row r="870" spans="1:12" x14ac:dyDescent="0.2">
      <c r="A870" s="3">
        <v>867</v>
      </c>
      <c r="B870" s="3"/>
      <c r="C870" s="3" t="str">
        <f>IFERROR(VLOOKUP(B870,Sessions!A:J,2,FALSE),"")</f>
        <v/>
      </c>
      <c r="D870" s="3" t="str">
        <f>IFERROR(VLOOKUP(B870,Sessions!A:J,3,FALSE),"")</f>
        <v/>
      </c>
      <c r="E870" s="3"/>
      <c r="F870" s="3" t="str">
        <f>IFERROR(VLOOKUP(E870,Employees!A:L,2,FALSE),"")</f>
        <v/>
      </c>
      <c r="G870" s="3" t="str">
        <f>IFERROR(VLOOKUP(E870,Employees!A:L,3,FALSE),"")</f>
        <v/>
      </c>
      <c r="H870" s="3"/>
      <c r="I870" s="3"/>
      <c r="J870" s="3"/>
      <c r="K870" s="3" t="str">
        <f>IF(B870="","",IF(OR(E870="",H870=""),"ناقص",IF(H870="نعم","مكتمل","غائب")))</f>
        <v/>
      </c>
      <c r="L870" s="3"/>
    </row>
    <row r="871" spans="1:12" x14ac:dyDescent="0.2">
      <c r="A871" s="3">
        <v>868</v>
      </c>
      <c r="B871" s="3"/>
      <c r="C871" s="3" t="str">
        <f>IFERROR(VLOOKUP(B871,Sessions!A:J,2,FALSE),"")</f>
        <v/>
      </c>
      <c r="D871" s="3" t="str">
        <f>IFERROR(VLOOKUP(B871,Sessions!A:J,3,FALSE),"")</f>
        <v/>
      </c>
      <c r="E871" s="3"/>
      <c r="F871" s="3" t="str">
        <f>IFERROR(VLOOKUP(E871,Employees!A:L,2,FALSE),"")</f>
        <v/>
      </c>
      <c r="G871" s="3" t="str">
        <f>IFERROR(VLOOKUP(E871,Employees!A:L,3,FALSE),"")</f>
        <v/>
      </c>
      <c r="H871" s="3"/>
      <c r="I871" s="3"/>
      <c r="J871" s="3"/>
      <c r="K871" s="3" t="str">
        <f>IF(B871="","",IF(OR(E871="",H871=""),"ناقص",IF(H871="نعم","مكتمل","غائب")))</f>
        <v/>
      </c>
      <c r="L871" s="3"/>
    </row>
    <row r="872" spans="1:12" x14ac:dyDescent="0.2">
      <c r="A872" s="3">
        <v>869</v>
      </c>
      <c r="B872" s="3"/>
      <c r="C872" s="3" t="str">
        <f>IFERROR(VLOOKUP(B872,Sessions!A:J,2,FALSE),"")</f>
        <v/>
      </c>
      <c r="D872" s="3" t="str">
        <f>IFERROR(VLOOKUP(B872,Sessions!A:J,3,FALSE),"")</f>
        <v/>
      </c>
      <c r="E872" s="3"/>
      <c r="F872" s="3" t="str">
        <f>IFERROR(VLOOKUP(E872,Employees!A:L,2,FALSE),"")</f>
        <v/>
      </c>
      <c r="G872" s="3" t="str">
        <f>IFERROR(VLOOKUP(E872,Employees!A:L,3,FALSE),"")</f>
        <v/>
      </c>
      <c r="H872" s="3"/>
      <c r="I872" s="3"/>
      <c r="J872" s="3"/>
      <c r="K872" s="3" t="str">
        <f>IF(B872="","",IF(OR(E872="",H872=""),"ناقص",IF(H872="نعم","مكتمل","غائب")))</f>
        <v/>
      </c>
      <c r="L872" s="3"/>
    </row>
    <row r="873" spans="1:12" x14ac:dyDescent="0.2">
      <c r="A873" s="3">
        <v>870</v>
      </c>
      <c r="B873" s="3"/>
      <c r="C873" s="3" t="str">
        <f>IFERROR(VLOOKUP(B873,Sessions!A:J,2,FALSE),"")</f>
        <v/>
      </c>
      <c r="D873" s="3" t="str">
        <f>IFERROR(VLOOKUP(B873,Sessions!A:J,3,FALSE),"")</f>
        <v/>
      </c>
      <c r="E873" s="3"/>
      <c r="F873" s="3" t="str">
        <f>IFERROR(VLOOKUP(E873,Employees!A:L,2,FALSE),"")</f>
        <v/>
      </c>
      <c r="G873" s="3" t="str">
        <f>IFERROR(VLOOKUP(E873,Employees!A:L,3,FALSE),"")</f>
        <v/>
      </c>
      <c r="H873" s="3"/>
      <c r="I873" s="3"/>
      <c r="J873" s="3"/>
      <c r="K873" s="3" t="str">
        <f>IF(B873="","",IF(OR(E873="",H873=""),"ناقص",IF(H873="نعم","مكتمل","غائب")))</f>
        <v/>
      </c>
      <c r="L873" s="3"/>
    </row>
    <row r="874" spans="1:12" x14ac:dyDescent="0.2">
      <c r="A874" s="3">
        <v>871</v>
      </c>
      <c r="B874" s="3"/>
      <c r="C874" s="3" t="str">
        <f>IFERROR(VLOOKUP(B874,Sessions!A:J,2,FALSE),"")</f>
        <v/>
      </c>
      <c r="D874" s="3" t="str">
        <f>IFERROR(VLOOKUP(B874,Sessions!A:J,3,FALSE),"")</f>
        <v/>
      </c>
      <c r="E874" s="3"/>
      <c r="F874" s="3" t="str">
        <f>IFERROR(VLOOKUP(E874,Employees!A:L,2,FALSE),"")</f>
        <v/>
      </c>
      <c r="G874" s="3" t="str">
        <f>IFERROR(VLOOKUP(E874,Employees!A:L,3,FALSE),"")</f>
        <v/>
      </c>
      <c r="H874" s="3"/>
      <c r="I874" s="3"/>
      <c r="J874" s="3"/>
      <c r="K874" s="3" t="str">
        <f>IF(B874="","",IF(OR(E874="",H874=""),"ناقص",IF(H874="نعم","مكتمل","غائب")))</f>
        <v/>
      </c>
      <c r="L874" s="3"/>
    </row>
    <row r="875" spans="1:12" x14ac:dyDescent="0.2">
      <c r="A875" s="3">
        <v>872</v>
      </c>
      <c r="B875" s="3"/>
      <c r="C875" s="3" t="str">
        <f>IFERROR(VLOOKUP(B875,Sessions!A:J,2,FALSE),"")</f>
        <v/>
      </c>
      <c r="D875" s="3" t="str">
        <f>IFERROR(VLOOKUP(B875,Sessions!A:J,3,FALSE),"")</f>
        <v/>
      </c>
      <c r="E875" s="3"/>
      <c r="F875" s="3" t="str">
        <f>IFERROR(VLOOKUP(E875,Employees!A:L,2,FALSE),"")</f>
        <v/>
      </c>
      <c r="G875" s="3" t="str">
        <f>IFERROR(VLOOKUP(E875,Employees!A:L,3,FALSE),"")</f>
        <v/>
      </c>
      <c r="H875" s="3"/>
      <c r="I875" s="3"/>
      <c r="J875" s="3"/>
      <c r="K875" s="3" t="str">
        <f>IF(B875="","",IF(OR(E875="",H875=""),"ناقص",IF(H875="نعم","مكتمل","غائب")))</f>
        <v/>
      </c>
      <c r="L875" s="3"/>
    </row>
    <row r="876" spans="1:12" x14ac:dyDescent="0.2">
      <c r="A876" s="3">
        <v>873</v>
      </c>
      <c r="B876" s="3"/>
      <c r="C876" s="3" t="str">
        <f>IFERROR(VLOOKUP(B876,Sessions!A:J,2,FALSE),"")</f>
        <v/>
      </c>
      <c r="D876" s="3" t="str">
        <f>IFERROR(VLOOKUP(B876,Sessions!A:J,3,FALSE),"")</f>
        <v/>
      </c>
      <c r="E876" s="3"/>
      <c r="F876" s="3" t="str">
        <f>IFERROR(VLOOKUP(E876,Employees!A:L,2,FALSE),"")</f>
        <v/>
      </c>
      <c r="G876" s="3" t="str">
        <f>IFERROR(VLOOKUP(E876,Employees!A:L,3,FALSE),"")</f>
        <v/>
      </c>
      <c r="H876" s="3"/>
      <c r="I876" s="3"/>
      <c r="J876" s="3"/>
      <c r="K876" s="3" t="str">
        <f>IF(B876="","",IF(OR(E876="",H876=""),"ناقص",IF(H876="نعم","مكتمل","غائب")))</f>
        <v/>
      </c>
      <c r="L876" s="3"/>
    </row>
    <row r="877" spans="1:12" x14ac:dyDescent="0.2">
      <c r="A877" s="3">
        <v>874</v>
      </c>
      <c r="B877" s="3"/>
      <c r="C877" s="3" t="str">
        <f>IFERROR(VLOOKUP(B877,Sessions!A:J,2,FALSE),"")</f>
        <v/>
      </c>
      <c r="D877" s="3" t="str">
        <f>IFERROR(VLOOKUP(B877,Sessions!A:J,3,FALSE),"")</f>
        <v/>
      </c>
      <c r="E877" s="3"/>
      <c r="F877" s="3" t="str">
        <f>IFERROR(VLOOKUP(E877,Employees!A:L,2,FALSE),"")</f>
        <v/>
      </c>
      <c r="G877" s="3" t="str">
        <f>IFERROR(VLOOKUP(E877,Employees!A:L,3,FALSE),"")</f>
        <v/>
      </c>
      <c r="H877" s="3"/>
      <c r="I877" s="3"/>
      <c r="J877" s="3"/>
      <c r="K877" s="3" t="str">
        <f>IF(B877="","",IF(OR(E877="",H877=""),"ناقص",IF(H877="نعم","مكتمل","غائب")))</f>
        <v/>
      </c>
      <c r="L877" s="3"/>
    </row>
    <row r="878" spans="1:12" x14ac:dyDescent="0.2">
      <c r="A878" s="3">
        <v>875</v>
      </c>
      <c r="B878" s="3"/>
      <c r="C878" s="3" t="str">
        <f>IFERROR(VLOOKUP(B878,Sessions!A:J,2,FALSE),"")</f>
        <v/>
      </c>
      <c r="D878" s="3" t="str">
        <f>IFERROR(VLOOKUP(B878,Sessions!A:J,3,FALSE),"")</f>
        <v/>
      </c>
      <c r="E878" s="3"/>
      <c r="F878" s="3" t="str">
        <f>IFERROR(VLOOKUP(E878,Employees!A:L,2,FALSE),"")</f>
        <v/>
      </c>
      <c r="G878" s="3" t="str">
        <f>IFERROR(VLOOKUP(E878,Employees!A:L,3,FALSE),"")</f>
        <v/>
      </c>
      <c r="H878" s="3"/>
      <c r="I878" s="3"/>
      <c r="J878" s="3"/>
      <c r="K878" s="3" t="str">
        <f>IF(B878="","",IF(OR(E878="",H878=""),"ناقص",IF(H878="نعم","مكتمل","غائب")))</f>
        <v/>
      </c>
      <c r="L878" s="3"/>
    </row>
    <row r="879" spans="1:12" x14ac:dyDescent="0.2">
      <c r="A879" s="3">
        <v>876</v>
      </c>
      <c r="B879" s="3"/>
      <c r="C879" s="3" t="str">
        <f>IFERROR(VLOOKUP(B879,Sessions!A:J,2,FALSE),"")</f>
        <v/>
      </c>
      <c r="D879" s="3" t="str">
        <f>IFERROR(VLOOKUP(B879,Sessions!A:J,3,FALSE),"")</f>
        <v/>
      </c>
      <c r="E879" s="3"/>
      <c r="F879" s="3" t="str">
        <f>IFERROR(VLOOKUP(E879,Employees!A:L,2,FALSE),"")</f>
        <v/>
      </c>
      <c r="G879" s="3" t="str">
        <f>IFERROR(VLOOKUP(E879,Employees!A:L,3,FALSE),"")</f>
        <v/>
      </c>
      <c r="H879" s="3"/>
      <c r="I879" s="3"/>
      <c r="J879" s="3"/>
      <c r="K879" s="3" t="str">
        <f>IF(B879="","",IF(OR(E879="",H879=""),"ناقص",IF(H879="نعم","مكتمل","غائب")))</f>
        <v/>
      </c>
      <c r="L879" s="3"/>
    </row>
    <row r="880" spans="1:12" x14ac:dyDescent="0.2">
      <c r="A880" s="3">
        <v>877</v>
      </c>
      <c r="B880" s="3"/>
      <c r="C880" s="3" t="str">
        <f>IFERROR(VLOOKUP(B880,Sessions!A:J,2,FALSE),"")</f>
        <v/>
      </c>
      <c r="D880" s="3" t="str">
        <f>IFERROR(VLOOKUP(B880,Sessions!A:J,3,FALSE),"")</f>
        <v/>
      </c>
      <c r="E880" s="3"/>
      <c r="F880" s="3" t="str">
        <f>IFERROR(VLOOKUP(E880,Employees!A:L,2,FALSE),"")</f>
        <v/>
      </c>
      <c r="G880" s="3" t="str">
        <f>IFERROR(VLOOKUP(E880,Employees!A:L,3,FALSE),"")</f>
        <v/>
      </c>
      <c r="H880" s="3"/>
      <c r="I880" s="3"/>
      <c r="J880" s="3"/>
      <c r="K880" s="3" t="str">
        <f>IF(B880="","",IF(OR(E880="",H880=""),"ناقص",IF(H880="نعم","مكتمل","غائب")))</f>
        <v/>
      </c>
      <c r="L880" s="3"/>
    </row>
    <row r="881" spans="1:12" x14ac:dyDescent="0.2">
      <c r="A881" s="3">
        <v>878</v>
      </c>
      <c r="B881" s="3"/>
      <c r="C881" s="3" t="str">
        <f>IFERROR(VLOOKUP(B881,Sessions!A:J,2,FALSE),"")</f>
        <v/>
      </c>
      <c r="D881" s="3" t="str">
        <f>IFERROR(VLOOKUP(B881,Sessions!A:J,3,FALSE),"")</f>
        <v/>
      </c>
      <c r="E881" s="3"/>
      <c r="F881" s="3" t="str">
        <f>IFERROR(VLOOKUP(E881,Employees!A:L,2,FALSE),"")</f>
        <v/>
      </c>
      <c r="G881" s="3" t="str">
        <f>IFERROR(VLOOKUP(E881,Employees!A:L,3,FALSE),"")</f>
        <v/>
      </c>
      <c r="H881" s="3"/>
      <c r="I881" s="3"/>
      <c r="J881" s="3"/>
      <c r="K881" s="3" t="str">
        <f>IF(B881="","",IF(OR(E881="",H881=""),"ناقص",IF(H881="نعم","مكتمل","غائب")))</f>
        <v/>
      </c>
      <c r="L881" s="3"/>
    </row>
    <row r="882" spans="1:12" x14ac:dyDescent="0.2">
      <c r="A882" s="3">
        <v>879</v>
      </c>
      <c r="B882" s="3"/>
      <c r="C882" s="3" t="str">
        <f>IFERROR(VLOOKUP(B882,Sessions!A:J,2,FALSE),"")</f>
        <v/>
      </c>
      <c r="D882" s="3" t="str">
        <f>IFERROR(VLOOKUP(B882,Sessions!A:J,3,FALSE),"")</f>
        <v/>
      </c>
      <c r="E882" s="3"/>
      <c r="F882" s="3" t="str">
        <f>IFERROR(VLOOKUP(E882,Employees!A:L,2,FALSE),"")</f>
        <v/>
      </c>
      <c r="G882" s="3" t="str">
        <f>IFERROR(VLOOKUP(E882,Employees!A:L,3,FALSE),"")</f>
        <v/>
      </c>
      <c r="H882" s="3"/>
      <c r="I882" s="3"/>
      <c r="J882" s="3"/>
      <c r="K882" s="3" t="str">
        <f>IF(B882="","",IF(OR(E882="",H882=""),"ناقص",IF(H882="نعم","مكتمل","غائب")))</f>
        <v/>
      </c>
      <c r="L882" s="3"/>
    </row>
    <row r="883" spans="1:12" x14ac:dyDescent="0.2">
      <c r="A883" s="3">
        <v>880</v>
      </c>
      <c r="B883" s="3"/>
      <c r="C883" s="3" t="str">
        <f>IFERROR(VLOOKUP(B883,Sessions!A:J,2,FALSE),"")</f>
        <v/>
      </c>
      <c r="D883" s="3" t="str">
        <f>IFERROR(VLOOKUP(B883,Sessions!A:J,3,FALSE),"")</f>
        <v/>
      </c>
      <c r="E883" s="3"/>
      <c r="F883" s="3" t="str">
        <f>IFERROR(VLOOKUP(E883,Employees!A:L,2,FALSE),"")</f>
        <v/>
      </c>
      <c r="G883" s="3" t="str">
        <f>IFERROR(VLOOKUP(E883,Employees!A:L,3,FALSE),"")</f>
        <v/>
      </c>
      <c r="H883" s="3"/>
      <c r="I883" s="3"/>
      <c r="J883" s="3"/>
      <c r="K883" s="3" t="str">
        <f>IF(B883="","",IF(OR(E883="",H883=""),"ناقص",IF(H883="نعم","مكتمل","غائب")))</f>
        <v/>
      </c>
      <c r="L883" s="3"/>
    </row>
    <row r="884" spans="1:12" x14ac:dyDescent="0.2">
      <c r="A884" s="3">
        <v>881</v>
      </c>
      <c r="B884" s="3"/>
      <c r="C884" s="3" t="str">
        <f>IFERROR(VLOOKUP(B884,Sessions!A:J,2,FALSE),"")</f>
        <v/>
      </c>
      <c r="D884" s="3" t="str">
        <f>IFERROR(VLOOKUP(B884,Sessions!A:J,3,FALSE),"")</f>
        <v/>
      </c>
      <c r="E884" s="3"/>
      <c r="F884" s="3" t="str">
        <f>IFERROR(VLOOKUP(E884,Employees!A:L,2,FALSE),"")</f>
        <v/>
      </c>
      <c r="G884" s="3" t="str">
        <f>IFERROR(VLOOKUP(E884,Employees!A:L,3,FALSE),"")</f>
        <v/>
      </c>
      <c r="H884" s="3"/>
      <c r="I884" s="3"/>
      <c r="J884" s="3"/>
      <c r="K884" s="3" t="str">
        <f>IF(B884="","",IF(OR(E884="",H884=""),"ناقص",IF(H884="نعم","مكتمل","غائب")))</f>
        <v/>
      </c>
      <c r="L884" s="3"/>
    </row>
    <row r="885" spans="1:12" x14ac:dyDescent="0.2">
      <c r="A885" s="3">
        <v>882</v>
      </c>
      <c r="B885" s="3"/>
      <c r="C885" s="3" t="str">
        <f>IFERROR(VLOOKUP(B885,Sessions!A:J,2,FALSE),"")</f>
        <v/>
      </c>
      <c r="D885" s="3" t="str">
        <f>IFERROR(VLOOKUP(B885,Sessions!A:J,3,FALSE),"")</f>
        <v/>
      </c>
      <c r="E885" s="3"/>
      <c r="F885" s="3" t="str">
        <f>IFERROR(VLOOKUP(E885,Employees!A:L,2,FALSE),"")</f>
        <v/>
      </c>
      <c r="G885" s="3" t="str">
        <f>IFERROR(VLOOKUP(E885,Employees!A:L,3,FALSE),"")</f>
        <v/>
      </c>
      <c r="H885" s="3"/>
      <c r="I885" s="3"/>
      <c r="J885" s="3"/>
      <c r="K885" s="3" t="str">
        <f>IF(B885="","",IF(OR(E885="",H885=""),"ناقص",IF(H885="نعم","مكتمل","غائب")))</f>
        <v/>
      </c>
      <c r="L885" s="3"/>
    </row>
    <row r="886" spans="1:12" x14ac:dyDescent="0.2">
      <c r="A886" s="3">
        <v>883</v>
      </c>
      <c r="B886" s="3"/>
      <c r="C886" s="3" t="str">
        <f>IFERROR(VLOOKUP(B886,Sessions!A:J,2,FALSE),"")</f>
        <v/>
      </c>
      <c r="D886" s="3" t="str">
        <f>IFERROR(VLOOKUP(B886,Sessions!A:J,3,FALSE),"")</f>
        <v/>
      </c>
      <c r="E886" s="3"/>
      <c r="F886" s="3" t="str">
        <f>IFERROR(VLOOKUP(E886,Employees!A:L,2,FALSE),"")</f>
        <v/>
      </c>
      <c r="G886" s="3" t="str">
        <f>IFERROR(VLOOKUP(E886,Employees!A:L,3,FALSE),"")</f>
        <v/>
      </c>
      <c r="H886" s="3"/>
      <c r="I886" s="3"/>
      <c r="J886" s="3"/>
      <c r="K886" s="3" t="str">
        <f>IF(B886="","",IF(OR(E886="",H886=""),"ناقص",IF(H886="نعم","مكتمل","غائب")))</f>
        <v/>
      </c>
      <c r="L886" s="3"/>
    </row>
    <row r="887" spans="1:12" x14ac:dyDescent="0.2">
      <c r="A887" s="3">
        <v>884</v>
      </c>
      <c r="B887" s="3"/>
      <c r="C887" s="3" t="str">
        <f>IFERROR(VLOOKUP(B887,Sessions!A:J,2,FALSE),"")</f>
        <v/>
      </c>
      <c r="D887" s="3" t="str">
        <f>IFERROR(VLOOKUP(B887,Sessions!A:J,3,FALSE),"")</f>
        <v/>
      </c>
      <c r="E887" s="3"/>
      <c r="F887" s="3" t="str">
        <f>IFERROR(VLOOKUP(E887,Employees!A:L,2,FALSE),"")</f>
        <v/>
      </c>
      <c r="G887" s="3" t="str">
        <f>IFERROR(VLOOKUP(E887,Employees!A:L,3,FALSE),"")</f>
        <v/>
      </c>
      <c r="H887" s="3"/>
      <c r="I887" s="3"/>
      <c r="J887" s="3"/>
      <c r="K887" s="3" t="str">
        <f>IF(B887="","",IF(OR(E887="",H887=""),"ناقص",IF(H887="نعم","مكتمل","غائب")))</f>
        <v/>
      </c>
      <c r="L887" s="3"/>
    </row>
    <row r="888" spans="1:12" x14ac:dyDescent="0.2">
      <c r="A888" s="3">
        <v>885</v>
      </c>
      <c r="B888" s="3"/>
      <c r="C888" s="3" t="str">
        <f>IFERROR(VLOOKUP(B888,Sessions!A:J,2,FALSE),"")</f>
        <v/>
      </c>
      <c r="D888" s="3" t="str">
        <f>IFERROR(VLOOKUP(B888,Sessions!A:J,3,FALSE),"")</f>
        <v/>
      </c>
      <c r="E888" s="3"/>
      <c r="F888" s="3" t="str">
        <f>IFERROR(VLOOKUP(E888,Employees!A:L,2,FALSE),"")</f>
        <v/>
      </c>
      <c r="G888" s="3" t="str">
        <f>IFERROR(VLOOKUP(E888,Employees!A:L,3,FALSE),"")</f>
        <v/>
      </c>
      <c r="H888" s="3"/>
      <c r="I888" s="3"/>
      <c r="J888" s="3"/>
      <c r="K888" s="3" t="str">
        <f>IF(B888="","",IF(OR(E888="",H888=""),"ناقص",IF(H888="نعم","مكتمل","غائب")))</f>
        <v/>
      </c>
      <c r="L888" s="3"/>
    </row>
    <row r="889" spans="1:12" x14ac:dyDescent="0.2">
      <c r="A889" s="3">
        <v>886</v>
      </c>
      <c r="B889" s="3"/>
      <c r="C889" s="3" t="str">
        <f>IFERROR(VLOOKUP(B889,Sessions!A:J,2,FALSE),"")</f>
        <v/>
      </c>
      <c r="D889" s="3" t="str">
        <f>IFERROR(VLOOKUP(B889,Sessions!A:J,3,FALSE),"")</f>
        <v/>
      </c>
      <c r="E889" s="3"/>
      <c r="F889" s="3" t="str">
        <f>IFERROR(VLOOKUP(E889,Employees!A:L,2,FALSE),"")</f>
        <v/>
      </c>
      <c r="G889" s="3" t="str">
        <f>IFERROR(VLOOKUP(E889,Employees!A:L,3,FALSE),"")</f>
        <v/>
      </c>
      <c r="H889" s="3"/>
      <c r="I889" s="3"/>
      <c r="J889" s="3"/>
      <c r="K889" s="3" t="str">
        <f>IF(B889="","",IF(OR(E889="",H889=""),"ناقص",IF(H889="نعم","مكتمل","غائب")))</f>
        <v/>
      </c>
      <c r="L889" s="3"/>
    </row>
    <row r="890" spans="1:12" x14ac:dyDescent="0.2">
      <c r="A890" s="3">
        <v>887</v>
      </c>
      <c r="B890" s="3"/>
      <c r="C890" s="3" t="str">
        <f>IFERROR(VLOOKUP(B890,Sessions!A:J,2,FALSE),"")</f>
        <v/>
      </c>
      <c r="D890" s="3" t="str">
        <f>IFERROR(VLOOKUP(B890,Sessions!A:J,3,FALSE),"")</f>
        <v/>
      </c>
      <c r="E890" s="3"/>
      <c r="F890" s="3" t="str">
        <f>IFERROR(VLOOKUP(E890,Employees!A:L,2,FALSE),"")</f>
        <v/>
      </c>
      <c r="G890" s="3" t="str">
        <f>IFERROR(VLOOKUP(E890,Employees!A:L,3,FALSE),"")</f>
        <v/>
      </c>
      <c r="H890" s="3"/>
      <c r="I890" s="3"/>
      <c r="J890" s="3"/>
      <c r="K890" s="3" t="str">
        <f>IF(B890="","",IF(OR(E890="",H890=""),"ناقص",IF(H890="نعم","مكتمل","غائب")))</f>
        <v/>
      </c>
      <c r="L890" s="3"/>
    </row>
    <row r="891" spans="1:12" x14ac:dyDescent="0.2">
      <c r="A891" s="3">
        <v>888</v>
      </c>
      <c r="B891" s="3"/>
      <c r="C891" s="3" t="str">
        <f>IFERROR(VLOOKUP(B891,Sessions!A:J,2,FALSE),"")</f>
        <v/>
      </c>
      <c r="D891" s="3" t="str">
        <f>IFERROR(VLOOKUP(B891,Sessions!A:J,3,FALSE),"")</f>
        <v/>
      </c>
      <c r="E891" s="3"/>
      <c r="F891" s="3" t="str">
        <f>IFERROR(VLOOKUP(E891,Employees!A:L,2,FALSE),"")</f>
        <v/>
      </c>
      <c r="G891" s="3" t="str">
        <f>IFERROR(VLOOKUP(E891,Employees!A:L,3,FALSE),"")</f>
        <v/>
      </c>
      <c r="H891" s="3"/>
      <c r="I891" s="3"/>
      <c r="J891" s="3"/>
      <c r="K891" s="3" t="str">
        <f>IF(B891="","",IF(OR(E891="",H891=""),"ناقص",IF(H891="نعم","مكتمل","غائب")))</f>
        <v/>
      </c>
      <c r="L891" s="3"/>
    </row>
    <row r="892" spans="1:12" x14ac:dyDescent="0.2">
      <c r="A892" s="3">
        <v>889</v>
      </c>
      <c r="B892" s="3"/>
      <c r="C892" s="3" t="str">
        <f>IFERROR(VLOOKUP(B892,Sessions!A:J,2,FALSE),"")</f>
        <v/>
      </c>
      <c r="D892" s="3" t="str">
        <f>IFERROR(VLOOKUP(B892,Sessions!A:J,3,FALSE),"")</f>
        <v/>
      </c>
      <c r="E892" s="3"/>
      <c r="F892" s="3" t="str">
        <f>IFERROR(VLOOKUP(E892,Employees!A:L,2,FALSE),"")</f>
        <v/>
      </c>
      <c r="G892" s="3" t="str">
        <f>IFERROR(VLOOKUP(E892,Employees!A:L,3,FALSE),"")</f>
        <v/>
      </c>
      <c r="H892" s="3"/>
      <c r="I892" s="3"/>
      <c r="J892" s="3"/>
      <c r="K892" s="3" t="str">
        <f>IF(B892="","",IF(OR(E892="",H892=""),"ناقص",IF(H892="نعم","مكتمل","غائب")))</f>
        <v/>
      </c>
      <c r="L892" s="3"/>
    </row>
    <row r="893" spans="1:12" x14ac:dyDescent="0.2">
      <c r="A893" s="3">
        <v>890</v>
      </c>
      <c r="B893" s="3"/>
      <c r="C893" s="3" t="str">
        <f>IFERROR(VLOOKUP(B893,Sessions!A:J,2,FALSE),"")</f>
        <v/>
      </c>
      <c r="D893" s="3" t="str">
        <f>IFERROR(VLOOKUP(B893,Sessions!A:J,3,FALSE),"")</f>
        <v/>
      </c>
      <c r="E893" s="3"/>
      <c r="F893" s="3" t="str">
        <f>IFERROR(VLOOKUP(E893,Employees!A:L,2,FALSE),"")</f>
        <v/>
      </c>
      <c r="G893" s="3" t="str">
        <f>IFERROR(VLOOKUP(E893,Employees!A:L,3,FALSE),"")</f>
        <v/>
      </c>
      <c r="H893" s="3"/>
      <c r="I893" s="3"/>
      <c r="J893" s="3"/>
      <c r="K893" s="3" t="str">
        <f>IF(B893="","",IF(OR(E893="",H893=""),"ناقص",IF(H893="نعم","مكتمل","غائب")))</f>
        <v/>
      </c>
      <c r="L893" s="3"/>
    </row>
    <row r="894" spans="1:12" x14ac:dyDescent="0.2">
      <c r="A894" s="3">
        <v>891</v>
      </c>
      <c r="B894" s="3"/>
      <c r="C894" s="3" t="str">
        <f>IFERROR(VLOOKUP(B894,Sessions!A:J,2,FALSE),"")</f>
        <v/>
      </c>
      <c r="D894" s="3" t="str">
        <f>IFERROR(VLOOKUP(B894,Sessions!A:J,3,FALSE),"")</f>
        <v/>
      </c>
      <c r="E894" s="3"/>
      <c r="F894" s="3" t="str">
        <f>IFERROR(VLOOKUP(E894,Employees!A:L,2,FALSE),"")</f>
        <v/>
      </c>
      <c r="G894" s="3" t="str">
        <f>IFERROR(VLOOKUP(E894,Employees!A:L,3,FALSE),"")</f>
        <v/>
      </c>
      <c r="H894" s="3"/>
      <c r="I894" s="3"/>
      <c r="J894" s="3"/>
      <c r="K894" s="3" t="str">
        <f>IF(B894="","",IF(OR(E894="",H894=""),"ناقص",IF(H894="نعم","مكتمل","غائب")))</f>
        <v/>
      </c>
      <c r="L894" s="3"/>
    </row>
    <row r="895" spans="1:12" x14ac:dyDescent="0.2">
      <c r="A895" s="3">
        <v>892</v>
      </c>
      <c r="B895" s="3"/>
      <c r="C895" s="3" t="str">
        <f>IFERROR(VLOOKUP(B895,Sessions!A:J,2,FALSE),"")</f>
        <v/>
      </c>
      <c r="D895" s="3" t="str">
        <f>IFERROR(VLOOKUP(B895,Sessions!A:J,3,FALSE),"")</f>
        <v/>
      </c>
      <c r="E895" s="3"/>
      <c r="F895" s="3" t="str">
        <f>IFERROR(VLOOKUP(E895,Employees!A:L,2,FALSE),"")</f>
        <v/>
      </c>
      <c r="G895" s="3" t="str">
        <f>IFERROR(VLOOKUP(E895,Employees!A:L,3,FALSE),"")</f>
        <v/>
      </c>
      <c r="H895" s="3"/>
      <c r="I895" s="3"/>
      <c r="J895" s="3"/>
      <c r="K895" s="3" t="str">
        <f>IF(B895="","",IF(OR(E895="",H895=""),"ناقص",IF(H895="نعم","مكتمل","غائب")))</f>
        <v/>
      </c>
      <c r="L895" s="3"/>
    </row>
    <row r="896" spans="1:12" x14ac:dyDescent="0.2">
      <c r="A896" s="3">
        <v>893</v>
      </c>
      <c r="B896" s="3"/>
      <c r="C896" s="3" t="str">
        <f>IFERROR(VLOOKUP(B896,Sessions!A:J,2,FALSE),"")</f>
        <v/>
      </c>
      <c r="D896" s="3" t="str">
        <f>IFERROR(VLOOKUP(B896,Sessions!A:J,3,FALSE),"")</f>
        <v/>
      </c>
      <c r="E896" s="3"/>
      <c r="F896" s="3" t="str">
        <f>IFERROR(VLOOKUP(E896,Employees!A:L,2,FALSE),"")</f>
        <v/>
      </c>
      <c r="G896" s="3" t="str">
        <f>IFERROR(VLOOKUP(E896,Employees!A:L,3,FALSE),"")</f>
        <v/>
      </c>
      <c r="H896" s="3"/>
      <c r="I896" s="3"/>
      <c r="J896" s="3"/>
      <c r="K896" s="3" t="str">
        <f>IF(B896="","",IF(OR(E896="",H896=""),"ناقص",IF(H896="نعم","مكتمل","غائب")))</f>
        <v/>
      </c>
      <c r="L896" s="3"/>
    </row>
    <row r="897" spans="1:12" x14ac:dyDescent="0.2">
      <c r="A897" s="3">
        <v>894</v>
      </c>
      <c r="B897" s="3"/>
      <c r="C897" s="3" t="str">
        <f>IFERROR(VLOOKUP(B897,Sessions!A:J,2,FALSE),"")</f>
        <v/>
      </c>
      <c r="D897" s="3" t="str">
        <f>IFERROR(VLOOKUP(B897,Sessions!A:J,3,FALSE),"")</f>
        <v/>
      </c>
      <c r="E897" s="3"/>
      <c r="F897" s="3" t="str">
        <f>IFERROR(VLOOKUP(E897,Employees!A:L,2,FALSE),"")</f>
        <v/>
      </c>
      <c r="G897" s="3" t="str">
        <f>IFERROR(VLOOKUP(E897,Employees!A:L,3,FALSE),"")</f>
        <v/>
      </c>
      <c r="H897" s="3"/>
      <c r="I897" s="3"/>
      <c r="J897" s="3"/>
      <c r="K897" s="3" t="str">
        <f>IF(B897="","",IF(OR(E897="",H897=""),"ناقص",IF(H897="نعم","مكتمل","غائب")))</f>
        <v/>
      </c>
      <c r="L897" s="3"/>
    </row>
    <row r="898" spans="1:12" x14ac:dyDescent="0.2">
      <c r="A898" s="3">
        <v>895</v>
      </c>
      <c r="B898" s="3"/>
      <c r="C898" s="3" t="str">
        <f>IFERROR(VLOOKUP(B898,Sessions!A:J,2,FALSE),"")</f>
        <v/>
      </c>
      <c r="D898" s="3" t="str">
        <f>IFERROR(VLOOKUP(B898,Sessions!A:J,3,FALSE),"")</f>
        <v/>
      </c>
      <c r="E898" s="3"/>
      <c r="F898" s="3" t="str">
        <f>IFERROR(VLOOKUP(E898,Employees!A:L,2,FALSE),"")</f>
        <v/>
      </c>
      <c r="G898" s="3" t="str">
        <f>IFERROR(VLOOKUP(E898,Employees!A:L,3,FALSE),"")</f>
        <v/>
      </c>
      <c r="H898" s="3"/>
      <c r="I898" s="3"/>
      <c r="J898" s="3"/>
      <c r="K898" s="3" t="str">
        <f>IF(B898="","",IF(OR(E898="",H898=""),"ناقص",IF(H898="نعم","مكتمل","غائب")))</f>
        <v/>
      </c>
      <c r="L898" s="3"/>
    </row>
    <row r="899" spans="1:12" x14ac:dyDescent="0.2">
      <c r="A899" s="3">
        <v>896</v>
      </c>
      <c r="B899" s="3"/>
      <c r="C899" s="3" t="str">
        <f>IFERROR(VLOOKUP(B899,Sessions!A:J,2,FALSE),"")</f>
        <v/>
      </c>
      <c r="D899" s="3" t="str">
        <f>IFERROR(VLOOKUP(B899,Sessions!A:J,3,FALSE),"")</f>
        <v/>
      </c>
      <c r="E899" s="3"/>
      <c r="F899" s="3" t="str">
        <f>IFERROR(VLOOKUP(E899,Employees!A:L,2,FALSE),"")</f>
        <v/>
      </c>
      <c r="G899" s="3" t="str">
        <f>IFERROR(VLOOKUP(E899,Employees!A:L,3,FALSE),"")</f>
        <v/>
      </c>
      <c r="H899" s="3"/>
      <c r="I899" s="3"/>
      <c r="J899" s="3"/>
      <c r="K899" s="3" t="str">
        <f>IF(B899="","",IF(OR(E899="",H899=""),"ناقص",IF(H899="نعم","مكتمل","غائب")))</f>
        <v/>
      </c>
      <c r="L899" s="3"/>
    </row>
    <row r="900" spans="1:12" x14ac:dyDescent="0.2">
      <c r="A900" s="3">
        <v>897</v>
      </c>
      <c r="B900" s="3"/>
      <c r="C900" s="3" t="str">
        <f>IFERROR(VLOOKUP(B900,Sessions!A:J,2,FALSE),"")</f>
        <v/>
      </c>
      <c r="D900" s="3" t="str">
        <f>IFERROR(VLOOKUP(B900,Sessions!A:J,3,FALSE),"")</f>
        <v/>
      </c>
      <c r="E900" s="3"/>
      <c r="F900" s="3" t="str">
        <f>IFERROR(VLOOKUP(E900,Employees!A:L,2,FALSE),"")</f>
        <v/>
      </c>
      <c r="G900" s="3" t="str">
        <f>IFERROR(VLOOKUP(E900,Employees!A:L,3,FALSE),"")</f>
        <v/>
      </c>
      <c r="H900" s="3"/>
      <c r="I900" s="3"/>
      <c r="J900" s="3"/>
      <c r="K900" s="3" t="str">
        <f>IF(B900="","",IF(OR(E900="",H900=""),"ناقص",IF(H900="نعم","مكتمل","غائب")))</f>
        <v/>
      </c>
      <c r="L900" s="3"/>
    </row>
    <row r="901" spans="1:12" x14ac:dyDescent="0.2">
      <c r="A901" s="3">
        <v>898</v>
      </c>
      <c r="B901" s="3"/>
      <c r="C901" s="3" t="str">
        <f>IFERROR(VLOOKUP(B901,Sessions!A:J,2,FALSE),"")</f>
        <v/>
      </c>
      <c r="D901" s="3" t="str">
        <f>IFERROR(VLOOKUP(B901,Sessions!A:J,3,FALSE),"")</f>
        <v/>
      </c>
      <c r="E901" s="3"/>
      <c r="F901" s="3" t="str">
        <f>IFERROR(VLOOKUP(E901,Employees!A:L,2,FALSE),"")</f>
        <v/>
      </c>
      <c r="G901" s="3" t="str">
        <f>IFERROR(VLOOKUP(E901,Employees!A:L,3,FALSE),"")</f>
        <v/>
      </c>
      <c r="H901" s="3"/>
      <c r="I901" s="3"/>
      <c r="J901" s="3"/>
      <c r="K901" s="3" t="str">
        <f>IF(B901="","",IF(OR(E901="",H901=""),"ناقص",IF(H901="نعم","مكتمل","غائب")))</f>
        <v/>
      </c>
      <c r="L901" s="3"/>
    </row>
    <row r="902" spans="1:12" x14ac:dyDescent="0.2">
      <c r="A902" s="3">
        <v>899</v>
      </c>
      <c r="B902" s="3"/>
      <c r="C902" s="3" t="str">
        <f>IFERROR(VLOOKUP(B902,Sessions!A:J,2,FALSE),"")</f>
        <v/>
      </c>
      <c r="D902" s="3" t="str">
        <f>IFERROR(VLOOKUP(B902,Sessions!A:J,3,FALSE),"")</f>
        <v/>
      </c>
      <c r="E902" s="3"/>
      <c r="F902" s="3" t="str">
        <f>IFERROR(VLOOKUP(E902,Employees!A:L,2,FALSE),"")</f>
        <v/>
      </c>
      <c r="G902" s="3" t="str">
        <f>IFERROR(VLOOKUP(E902,Employees!A:L,3,FALSE),"")</f>
        <v/>
      </c>
      <c r="H902" s="3"/>
      <c r="I902" s="3"/>
      <c r="J902" s="3"/>
      <c r="K902" s="3" t="str">
        <f>IF(B902="","",IF(OR(E902="",H902=""),"ناقص",IF(H902="نعم","مكتمل","غائب")))</f>
        <v/>
      </c>
      <c r="L902" s="3"/>
    </row>
    <row r="903" spans="1:12" x14ac:dyDescent="0.2">
      <c r="A903" s="3">
        <v>900</v>
      </c>
      <c r="B903" s="3"/>
      <c r="C903" s="3" t="str">
        <f>IFERROR(VLOOKUP(B903,Sessions!A:J,2,FALSE),"")</f>
        <v/>
      </c>
      <c r="D903" s="3" t="str">
        <f>IFERROR(VLOOKUP(B903,Sessions!A:J,3,FALSE),"")</f>
        <v/>
      </c>
      <c r="E903" s="3"/>
      <c r="F903" s="3" t="str">
        <f>IFERROR(VLOOKUP(E903,Employees!A:L,2,FALSE),"")</f>
        <v/>
      </c>
      <c r="G903" s="3" t="str">
        <f>IFERROR(VLOOKUP(E903,Employees!A:L,3,FALSE),"")</f>
        <v/>
      </c>
      <c r="H903" s="3"/>
      <c r="I903" s="3"/>
      <c r="J903" s="3"/>
      <c r="K903" s="3" t="str">
        <f>IF(B903="","",IF(OR(E903="",H903=""),"ناقص",IF(H903="نعم","مكتمل","غائب")))</f>
        <v/>
      </c>
      <c r="L903" s="3"/>
    </row>
    <row r="904" spans="1:12" x14ac:dyDescent="0.2">
      <c r="A904" s="3">
        <v>901</v>
      </c>
      <c r="B904" s="3"/>
      <c r="C904" s="3" t="str">
        <f>IFERROR(VLOOKUP(B904,Sessions!A:J,2,FALSE),"")</f>
        <v/>
      </c>
      <c r="D904" s="3" t="str">
        <f>IFERROR(VLOOKUP(B904,Sessions!A:J,3,FALSE),"")</f>
        <v/>
      </c>
      <c r="E904" s="3"/>
      <c r="F904" s="3" t="str">
        <f>IFERROR(VLOOKUP(E904,Employees!A:L,2,FALSE),"")</f>
        <v/>
      </c>
      <c r="G904" s="3" t="str">
        <f>IFERROR(VLOOKUP(E904,Employees!A:L,3,FALSE),"")</f>
        <v/>
      </c>
      <c r="H904" s="3"/>
      <c r="I904" s="3"/>
      <c r="J904" s="3"/>
      <c r="K904" s="3" t="str">
        <f>IF(B904="","",IF(OR(E904="",H904=""),"ناقص",IF(H904="نعم","مكتمل","غائب")))</f>
        <v/>
      </c>
      <c r="L904" s="3"/>
    </row>
    <row r="905" spans="1:12" x14ac:dyDescent="0.2">
      <c r="A905" s="3">
        <v>902</v>
      </c>
      <c r="B905" s="3"/>
      <c r="C905" s="3" t="str">
        <f>IFERROR(VLOOKUP(B905,Sessions!A:J,2,FALSE),"")</f>
        <v/>
      </c>
      <c r="D905" s="3" t="str">
        <f>IFERROR(VLOOKUP(B905,Sessions!A:J,3,FALSE),"")</f>
        <v/>
      </c>
      <c r="E905" s="3"/>
      <c r="F905" s="3" t="str">
        <f>IFERROR(VLOOKUP(E905,Employees!A:L,2,FALSE),"")</f>
        <v/>
      </c>
      <c r="G905" s="3" t="str">
        <f>IFERROR(VLOOKUP(E905,Employees!A:L,3,FALSE),"")</f>
        <v/>
      </c>
      <c r="H905" s="3"/>
      <c r="I905" s="3"/>
      <c r="J905" s="3"/>
      <c r="K905" s="3" t="str">
        <f>IF(B905="","",IF(OR(E905="",H905=""),"ناقص",IF(H905="نعم","مكتمل","غائب")))</f>
        <v/>
      </c>
      <c r="L905" s="3"/>
    </row>
    <row r="906" spans="1:12" x14ac:dyDescent="0.2">
      <c r="A906" s="3">
        <v>903</v>
      </c>
      <c r="B906" s="3"/>
      <c r="C906" s="3" t="str">
        <f>IFERROR(VLOOKUP(B906,Sessions!A:J,2,FALSE),"")</f>
        <v/>
      </c>
      <c r="D906" s="3" t="str">
        <f>IFERROR(VLOOKUP(B906,Sessions!A:J,3,FALSE),"")</f>
        <v/>
      </c>
      <c r="E906" s="3"/>
      <c r="F906" s="3" t="str">
        <f>IFERROR(VLOOKUP(E906,Employees!A:L,2,FALSE),"")</f>
        <v/>
      </c>
      <c r="G906" s="3" t="str">
        <f>IFERROR(VLOOKUP(E906,Employees!A:L,3,FALSE),"")</f>
        <v/>
      </c>
      <c r="H906" s="3"/>
      <c r="I906" s="3"/>
      <c r="J906" s="3"/>
      <c r="K906" s="3" t="str">
        <f>IF(B906="","",IF(OR(E906="",H906=""),"ناقص",IF(H906="نعم","مكتمل","غائب")))</f>
        <v/>
      </c>
      <c r="L906" s="3"/>
    </row>
    <row r="907" spans="1:12" x14ac:dyDescent="0.2">
      <c r="A907" s="3">
        <v>904</v>
      </c>
      <c r="B907" s="3"/>
      <c r="C907" s="3" t="str">
        <f>IFERROR(VLOOKUP(B907,Sessions!A:J,2,FALSE),"")</f>
        <v/>
      </c>
      <c r="D907" s="3" t="str">
        <f>IFERROR(VLOOKUP(B907,Sessions!A:J,3,FALSE),"")</f>
        <v/>
      </c>
      <c r="E907" s="3"/>
      <c r="F907" s="3" t="str">
        <f>IFERROR(VLOOKUP(E907,Employees!A:L,2,FALSE),"")</f>
        <v/>
      </c>
      <c r="G907" s="3" t="str">
        <f>IFERROR(VLOOKUP(E907,Employees!A:L,3,FALSE),"")</f>
        <v/>
      </c>
      <c r="H907" s="3"/>
      <c r="I907" s="3"/>
      <c r="J907" s="3"/>
      <c r="K907" s="3" t="str">
        <f>IF(B907="","",IF(OR(E907="",H907=""),"ناقص",IF(H907="نعم","مكتمل","غائب")))</f>
        <v/>
      </c>
      <c r="L907" s="3"/>
    </row>
    <row r="908" spans="1:12" x14ac:dyDescent="0.2">
      <c r="A908" s="3">
        <v>905</v>
      </c>
      <c r="B908" s="3"/>
      <c r="C908" s="3" t="str">
        <f>IFERROR(VLOOKUP(B908,Sessions!A:J,2,FALSE),"")</f>
        <v/>
      </c>
      <c r="D908" s="3" t="str">
        <f>IFERROR(VLOOKUP(B908,Sessions!A:J,3,FALSE),"")</f>
        <v/>
      </c>
      <c r="E908" s="3"/>
      <c r="F908" s="3" t="str">
        <f>IFERROR(VLOOKUP(E908,Employees!A:L,2,FALSE),"")</f>
        <v/>
      </c>
      <c r="G908" s="3" t="str">
        <f>IFERROR(VLOOKUP(E908,Employees!A:L,3,FALSE),"")</f>
        <v/>
      </c>
      <c r="H908" s="3"/>
      <c r="I908" s="3"/>
      <c r="J908" s="3"/>
      <c r="K908" s="3" t="str">
        <f>IF(B908="","",IF(OR(E908="",H908=""),"ناقص",IF(H908="نعم","مكتمل","غائب")))</f>
        <v/>
      </c>
      <c r="L908" s="3"/>
    </row>
    <row r="909" spans="1:12" x14ac:dyDescent="0.2">
      <c r="A909" s="3">
        <v>906</v>
      </c>
      <c r="B909" s="3"/>
      <c r="C909" s="3" t="str">
        <f>IFERROR(VLOOKUP(B909,Sessions!A:J,2,FALSE),"")</f>
        <v/>
      </c>
      <c r="D909" s="3" t="str">
        <f>IFERROR(VLOOKUP(B909,Sessions!A:J,3,FALSE),"")</f>
        <v/>
      </c>
      <c r="E909" s="3"/>
      <c r="F909" s="3" t="str">
        <f>IFERROR(VLOOKUP(E909,Employees!A:L,2,FALSE),"")</f>
        <v/>
      </c>
      <c r="G909" s="3" t="str">
        <f>IFERROR(VLOOKUP(E909,Employees!A:L,3,FALSE),"")</f>
        <v/>
      </c>
      <c r="H909" s="3"/>
      <c r="I909" s="3"/>
      <c r="J909" s="3"/>
      <c r="K909" s="3" t="str">
        <f>IF(B909="","",IF(OR(E909="",H909=""),"ناقص",IF(H909="نعم","مكتمل","غائب")))</f>
        <v/>
      </c>
      <c r="L909" s="3"/>
    </row>
    <row r="910" spans="1:12" x14ac:dyDescent="0.2">
      <c r="A910" s="3">
        <v>907</v>
      </c>
      <c r="B910" s="3"/>
      <c r="C910" s="3" t="str">
        <f>IFERROR(VLOOKUP(B910,Sessions!A:J,2,FALSE),"")</f>
        <v/>
      </c>
      <c r="D910" s="3" t="str">
        <f>IFERROR(VLOOKUP(B910,Sessions!A:J,3,FALSE),"")</f>
        <v/>
      </c>
      <c r="E910" s="3"/>
      <c r="F910" s="3" t="str">
        <f>IFERROR(VLOOKUP(E910,Employees!A:L,2,FALSE),"")</f>
        <v/>
      </c>
      <c r="G910" s="3" t="str">
        <f>IFERROR(VLOOKUP(E910,Employees!A:L,3,FALSE),"")</f>
        <v/>
      </c>
      <c r="H910" s="3"/>
      <c r="I910" s="3"/>
      <c r="J910" s="3"/>
      <c r="K910" s="3" t="str">
        <f>IF(B910="","",IF(OR(E910="",H910=""),"ناقص",IF(H910="نعم","مكتمل","غائب")))</f>
        <v/>
      </c>
      <c r="L910" s="3"/>
    </row>
    <row r="911" spans="1:12" x14ac:dyDescent="0.2">
      <c r="A911" s="3">
        <v>908</v>
      </c>
      <c r="B911" s="3"/>
      <c r="C911" s="3" t="str">
        <f>IFERROR(VLOOKUP(B911,Sessions!A:J,2,FALSE),"")</f>
        <v/>
      </c>
      <c r="D911" s="3" t="str">
        <f>IFERROR(VLOOKUP(B911,Sessions!A:J,3,FALSE),"")</f>
        <v/>
      </c>
      <c r="E911" s="3"/>
      <c r="F911" s="3" t="str">
        <f>IFERROR(VLOOKUP(E911,Employees!A:L,2,FALSE),"")</f>
        <v/>
      </c>
      <c r="G911" s="3" t="str">
        <f>IFERROR(VLOOKUP(E911,Employees!A:L,3,FALSE),"")</f>
        <v/>
      </c>
      <c r="H911" s="3"/>
      <c r="I911" s="3"/>
      <c r="J911" s="3"/>
      <c r="K911" s="3" t="str">
        <f>IF(B911="","",IF(OR(E911="",H911=""),"ناقص",IF(H911="نعم","مكتمل","غائب")))</f>
        <v/>
      </c>
      <c r="L911" s="3"/>
    </row>
    <row r="912" spans="1:12" x14ac:dyDescent="0.2">
      <c r="A912" s="3">
        <v>909</v>
      </c>
      <c r="B912" s="3"/>
      <c r="C912" s="3" t="str">
        <f>IFERROR(VLOOKUP(B912,Sessions!A:J,2,FALSE),"")</f>
        <v/>
      </c>
      <c r="D912" s="3" t="str">
        <f>IFERROR(VLOOKUP(B912,Sessions!A:J,3,FALSE),"")</f>
        <v/>
      </c>
      <c r="E912" s="3"/>
      <c r="F912" s="3" t="str">
        <f>IFERROR(VLOOKUP(E912,Employees!A:L,2,FALSE),"")</f>
        <v/>
      </c>
      <c r="G912" s="3" t="str">
        <f>IFERROR(VLOOKUP(E912,Employees!A:L,3,FALSE),"")</f>
        <v/>
      </c>
      <c r="H912" s="3"/>
      <c r="I912" s="3"/>
      <c r="J912" s="3"/>
      <c r="K912" s="3" t="str">
        <f>IF(B912="","",IF(OR(E912="",H912=""),"ناقص",IF(H912="نعم","مكتمل","غائب")))</f>
        <v/>
      </c>
      <c r="L912" s="3"/>
    </row>
    <row r="913" spans="1:12" x14ac:dyDescent="0.2">
      <c r="A913" s="3">
        <v>910</v>
      </c>
      <c r="B913" s="3"/>
      <c r="C913" s="3" t="str">
        <f>IFERROR(VLOOKUP(B913,Sessions!A:J,2,FALSE),"")</f>
        <v/>
      </c>
      <c r="D913" s="3" t="str">
        <f>IFERROR(VLOOKUP(B913,Sessions!A:J,3,FALSE),"")</f>
        <v/>
      </c>
      <c r="E913" s="3"/>
      <c r="F913" s="3" t="str">
        <f>IFERROR(VLOOKUP(E913,Employees!A:L,2,FALSE),"")</f>
        <v/>
      </c>
      <c r="G913" s="3" t="str">
        <f>IFERROR(VLOOKUP(E913,Employees!A:L,3,FALSE),"")</f>
        <v/>
      </c>
      <c r="H913" s="3"/>
      <c r="I913" s="3"/>
      <c r="J913" s="3"/>
      <c r="K913" s="3" t="str">
        <f>IF(B913="","",IF(OR(E913="",H913=""),"ناقص",IF(H913="نعم","مكتمل","غائب")))</f>
        <v/>
      </c>
      <c r="L913" s="3"/>
    </row>
    <row r="914" spans="1:12" x14ac:dyDescent="0.2">
      <c r="A914" s="3">
        <v>911</v>
      </c>
      <c r="B914" s="3"/>
      <c r="C914" s="3" t="str">
        <f>IFERROR(VLOOKUP(B914,Sessions!A:J,2,FALSE),"")</f>
        <v/>
      </c>
      <c r="D914" s="3" t="str">
        <f>IFERROR(VLOOKUP(B914,Sessions!A:J,3,FALSE),"")</f>
        <v/>
      </c>
      <c r="E914" s="3"/>
      <c r="F914" s="3" t="str">
        <f>IFERROR(VLOOKUP(E914,Employees!A:L,2,FALSE),"")</f>
        <v/>
      </c>
      <c r="G914" s="3" t="str">
        <f>IFERROR(VLOOKUP(E914,Employees!A:L,3,FALSE),"")</f>
        <v/>
      </c>
      <c r="H914" s="3"/>
      <c r="I914" s="3"/>
      <c r="J914" s="3"/>
      <c r="K914" s="3" t="str">
        <f>IF(B914="","",IF(OR(E914="",H914=""),"ناقص",IF(H914="نعم","مكتمل","غائب")))</f>
        <v/>
      </c>
      <c r="L914" s="3"/>
    </row>
    <row r="915" spans="1:12" x14ac:dyDescent="0.2">
      <c r="A915" s="3">
        <v>912</v>
      </c>
      <c r="B915" s="3"/>
      <c r="C915" s="3" t="str">
        <f>IFERROR(VLOOKUP(B915,Sessions!A:J,2,FALSE),"")</f>
        <v/>
      </c>
      <c r="D915" s="3" t="str">
        <f>IFERROR(VLOOKUP(B915,Sessions!A:J,3,FALSE),"")</f>
        <v/>
      </c>
      <c r="E915" s="3"/>
      <c r="F915" s="3" t="str">
        <f>IFERROR(VLOOKUP(E915,Employees!A:L,2,FALSE),"")</f>
        <v/>
      </c>
      <c r="G915" s="3" t="str">
        <f>IFERROR(VLOOKUP(E915,Employees!A:L,3,FALSE),"")</f>
        <v/>
      </c>
      <c r="H915" s="3"/>
      <c r="I915" s="3"/>
      <c r="J915" s="3"/>
      <c r="K915" s="3" t="str">
        <f>IF(B915="","",IF(OR(E915="",H915=""),"ناقص",IF(H915="نعم","مكتمل","غائب")))</f>
        <v/>
      </c>
      <c r="L915" s="3"/>
    </row>
    <row r="916" spans="1:12" x14ac:dyDescent="0.2">
      <c r="A916" s="3">
        <v>913</v>
      </c>
      <c r="B916" s="3"/>
      <c r="C916" s="3" t="str">
        <f>IFERROR(VLOOKUP(B916,Sessions!A:J,2,FALSE),"")</f>
        <v/>
      </c>
      <c r="D916" s="3" t="str">
        <f>IFERROR(VLOOKUP(B916,Sessions!A:J,3,FALSE),"")</f>
        <v/>
      </c>
      <c r="E916" s="3"/>
      <c r="F916" s="3" t="str">
        <f>IFERROR(VLOOKUP(E916,Employees!A:L,2,FALSE),"")</f>
        <v/>
      </c>
      <c r="G916" s="3" t="str">
        <f>IFERROR(VLOOKUP(E916,Employees!A:L,3,FALSE),"")</f>
        <v/>
      </c>
      <c r="H916" s="3"/>
      <c r="I916" s="3"/>
      <c r="J916" s="3"/>
      <c r="K916" s="3" t="str">
        <f>IF(B916="","",IF(OR(E916="",H916=""),"ناقص",IF(H916="نعم","مكتمل","غائب")))</f>
        <v/>
      </c>
      <c r="L916" s="3"/>
    </row>
    <row r="917" spans="1:12" x14ac:dyDescent="0.2">
      <c r="A917" s="3">
        <v>914</v>
      </c>
      <c r="B917" s="3"/>
      <c r="C917" s="3" t="str">
        <f>IFERROR(VLOOKUP(B917,Sessions!A:J,2,FALSE),"")</f>
        <v/>
      </c>
      <c r="D917" s="3" t="str">
        <f>IFERROR(VLOOKUP(B917,Sessions!A:J,3,FALSE),"")</f>
        <v/>
      </c>
      <c r="E917" s="3"/>
      <c r="F917" s="3" t="str">
        <f>IFERROR(VLOOKUP(E917,Employees!A:L,2,FALSE),"")</f>
        <v/>
      </c>
      <c r="G917" s="3" t="str">
        <f>IFERROR(VLOOKUP(E917,Employees!A:L,3,FALSE),"")</f>
        <v/>
      </c>
      <c r="H917" s="3"/>
      <c r="I917" s="3"/>
      <c r="J917" s="3"/>
      <c r="K917" s="3" t="str">
        <f>IF(B917="","",IF(OR(E917="",H917=""),"ناقص",IF(H917="نعم","مكتمل","غائب")))</f>
        <v/>
      </c>
      <c r="L917" s="3"/>
    </row>
    <row r="918" spans="1:12" x14ac:dyDescent="0.2">
      <c r="A918" s="3">
        <v>915</v>
      </c>
      <c r="B918" s="3"/>
      <c r="C918" s="3" t="str">
        <f>IFERROR(VLOOKUP(B918,Sessions!A:J,2,FALSE),"")</f>
        <v/>
      </c>
      <c r="D918" s="3" t="str">
        <f>IFERROR(VLOOKUP(B918,Sessions!A:J,3,FALSE),"")</f>
        <v/>
      </c>
      <c r="E918" s="3"/>
      <c r="F918" s="3" t="str">
        <f>IFERROR(VLOOKUP(E918,Employees!A:L,2,FALSE),"")</f>
        <v/>
      </c>
      <c r="G918" s="3" t="str">
        <f>IFERROR(VLOOKUP(E918,Employees!A:L,3,FALSE),"")</f>
        <v/>
      </c>
      <c r="H918" s="3"/>
      <c r="I918" s="3"/>
      <c r="J918" s="3"/>
      <c r="K918" s="3" t="str">
        <f>IF(B918="","",IF(OR(E918="",H918=""),"ناقص",IF(H918="نعم","مكتمل","غائب")))</f>
        <v/>
      </c>
      <c r="L918" s="3"/>
    </row>
    <row r="919" spans="1:12" x14ac:dyDescent="0.2">
      <c r="A919" s="3">
        <v>916</v>
      </c>
      <c r="B919" s="3"/>
      <c r="C919" s="3" t="str">
        <f>IFERROR(VLOOKUP(B919,Sessions!A:J,2,FALSE),"")</f>
        <v/>
      </c>
      <c r="D919" s="3" t="str">
        <f>IFERROR(VLOOKUP(B919,Sessions!A:J,3,FALSE),"")</f>
        <v/>
      </c>
      <c r="E919" s="3"/>
      <c r="F919" s="3" t="str">
        <f>IFERROR(VLOOKUP(E919,Employees!A:L,2,FALSE),"")</f>
        <v/>
      </c>
      <c r="G919" s="3" t="str">
        <f>IFERROR(VLOOKUP(E919,Employees!A:L,3,FALSE),"")</f>
        <v/>
      </c>
      <c r="H919" s="3"/>
      <c r="I919" s="3"/>
      <c r="J919" s="3"/>
      <c r="K919" s="3" t="str">
        <f>IF(B919="","",IF(OR(E919="",H919=""),"ناقص",IF(H919="نعم","مكتمل","غائب")))</f>
        <v/>
      </c>
      <c r="L919" s="3"/>
    </row>
    <row r="920" spans="1:12" x14ac:dyDescent="0.2">
      <c r="A920" s="3">
        <v>917</v>
      </c>
      <c r="B920" s="3"/>
      <c r="C920" s="3" t="str">
        <f>IFERROR(VLOOKUP(B920,Sessions!A:J,2,FALSE),"")</f>
        <v/>
      </c>
      <c r="D920" s="3" t="str">
        <f>IFERROR(VLOOKUP(B920,Sessions!A:J,3,FALSE),"")</f>
        <v/>
      </c>
      <c r="E920" s="3"/>
      <c r="F920" s="3" t="str">
        <f>IFERROR(VLOOKUP(E920,Employees!A:L,2,FALSE),"")</f>
        <v/>
      </c>
      <c r="G920" s="3" t="str">
        <f>IFERROR(VLOOKUP(E920,Employees!A:L,3,FALSE),"")</f>
        <v/>
      </c>
      <c r="H920" s="3"/>
      <c r="I920" s="3"/>
      <c r="J920" s="3"/>
      <c r="K920" s="3" t="str">
        <f>IF(B920="","",IF(OR(E920="",H920=""),"ناقص",IF(H920="نعم","مكتمل","غائب")))</f>
        <v/>
      </c>
      <c r="L920" s="3"/>
    </row>
    <row r="921" spans="1:12" x14ac:dyDescent="0.2">
      <c r="A921" s="3">
        <v>918</v>
      </c>
      <c r="B921" s="3"/>
      <c r="C921" s="3" t="str">
        <f>IFERROR(VLOOKUP(B921,Sessions!A:J,2,FALSE),"")</f>
        <v/>
      </c>
      <c r="D921" s="3" t="str">
        <f>IFERROR(VLOOKUP(B921,Sessions!A:J,3,FALSE),"")</f>
        <v/>
      </c>
      <c r="E921" s="3"/>
      <c r="F921" s="3" t="str">
        <f>IFERROR(VLOOKUP(E921,Employees!A:L,2,FALSE),"")</f>
        <v/>
      </c>
      <c r="G921" s="3" t="str">
        <f>IFERROR(VLOOKUP(E921,Employees!A:L,3,FALSE),"")</f>
        <v/>
      </c>
      <c r="H921" s="3"/>
      <c r="I921" s="3"/>
      <c r="J921" s="3"/>
      <c r="K921" s="3" t="str">
        <f>IF(B921="","",IF(OR(E921="",H921=""),"ناقص",IF(H921="نعم","مكتمل","غائب")))</f>
        <v/>
      </c>
      <c r="L921" s="3"/>
    </row>
    <row r="922" spans="1:12" x14ac:dyDescent="0.2">
      <c r="A922" s="3">
        <v>919</v>
      </c>
      <c r="B922" s="3"/>
      <c r="C922" s="3" t="str">
        <f>IFERROR(VLOOKUP(B922,Sessions!A:J,2,FALSE),"")</f>
        <v/>
      </c>
      <c r="D922" s="3" t="str">
        <f>IFERROR(VLOOKUP(B922,Sessions!A:J,3,FALSE),"")</f>
        <v/>
      </c>
      <c r="E922" s="3"/>
      <c r="F922" s="3" t="str">
        <f>IFERROR(VLOOKUP(E922,Employees!A:L,2,FALSE),"")</f>
        <v/>
      </c>
      <c r="G922" s="3" t="str">
        <f>IFERROR(VLOOKUP(E922,Employees!A:L,3,FALSE),"")</f>
        <v/>
      </c>
      <c r="H922" s="3"/>
      <c r="I922" s="3"/>
      <c r="J922" s="3"/>
      <c r="K922" s="3" t="str">
        <f>IF(B922="","",IF(OR(E922="",H922=""),"ناقص",IF(H922="نعم","مكتمل","غائب")))</f>
        <v/>
      </c>
      <c r="L922" s="3"/>
    </row>
    <row r="923" spans="1:12" x14ac:dyDescent="0.2">
      <c r="A923" s="3">
        <v>920</v>
      </c>
      <c r="B923" s="3"/>
      <c r="C923" s="3" t="str">
        <f>IFERROR(VLOOKUP(B923,Sessions!A:J,2,FALSE),"")</f>
        <v/>
      </c>
      <c r="D923" s="3" t="str">
        <f>IFERROR(VLOOKUP(B923,Sessions!A:J,3,FALSE),"")</f>
        <v/>
      </c>
      <c r="E923" s="3"/>
      <c r="F923" s="3" t="str">
        <f>IFERROR(VLOOKUP(E923,Employees!A:L,2,FALSE),"")</f>
        <v/>
      </c>
      <c r="G923" s="3" t="str">
        <f>IFERROR(VLOOKUP(E923,Employees!A:L,3,FALSE),"")</f>
        <v/>
      </c>
      <c r="H923" s="3"/>
      <c r="I923" s="3"/>
      <c r="J923" s="3"/>
      <c r="K923" s="3" t="str">
        <f>IF(B923="","",IF(OR(E923="",H923=""),"ناقص",IF(H923="نعم","مكتمل","غائب")))</f>
        <v/>
      </c>
      <c r="L923" s="3"/>
    </row>
    <row r="924" spans="1:12" x14ac:dyDescent="0.2">
      <c r="A924" s="3">
        <v>921</v>
      </c>
      <c r="B924" s="3"/>
      <c r="C924" s="3" t="str">
        <f>IFERROR(VLOOKUP(B924,Sessions!A:J,2,FALSE),"")</f>
        <v/>
      </c>
      <c r="D924" s="3" t="str">
        <f>IFERROR(VLOOKUP(B924,Sessions!A:J,3,FALSE),"")</f>
        <v/>
      </c>
      <c r="E924" s="3"/>
      <c r="F924" s="3" t="str">
        <f>IFERROR(VLOOKUP(E924,Employees!A:L,2,FALSE),"")</f>
        <v/>
      </c>
      <c r="G924" s="3" t="str">
        <f>IFERROR(VLOOKUP(E924,Employees!A:L,3,FALSE),"")</f>
        <v/>
      </c>
      <c r="H924" s="3"/>
      <c r="I924" s="3"/>
      <c r="J924" s="3"/>
      <c r="K924" s="3" t="str">
        <f>IF(B924="","",IF(OR(E924="",H924=""),"ناقص",IF(H924="نعم","مكتمل","غائب")))</f>
        <v/>
      </c>
      <c r="L924" s="3"/>
    </row>
    <row r="925" spans="1:12" x14ac:dyDescent="0.2">
      <c r="A925" s="3">
        <v>922</v>
      </c>
      <c r="B925" s="3"/>
      <c r="C925" s="3" t="str">
        <f>IFERROR(VLOOKUP(B925,Sessions!A:J,2,FALSE),"")</f>
        <v/>
      </c>
      <c r="D925" s="3" t="str">
        <f>IFERROR(VLOOKUP(B925,Sessions!A:J,3,FALSE),"")</f>
        <v/>
      </c>
      <c r="E925" s="3"/>
      <c r="F925" s="3" t="str">
        <f>IFERROR(VLOOKUP(E925,Employees!A:L,2,FALSE),"")</f>
        <v/>
      </c>
      <c r="G925" s="3" t="str">
        <f>IFERROR(VLOOKUP(E925,Employees!A:L,3,FALSE),"")</f>
        <v/>
      </c>
      <c r="H925" s="3"/>
      <c r="I925" s="3"/>
      <c r="J925" s="3"/>
      <c r="K925" s="3" t="str">
        <f>IF(B925="","",IF(OR(E925="",H925=""),"ناقص",IF(H925="نعم","مكتمل","غائب")))</f>
        <v/>
      </c>
      <c r="L925" s="3"/>
    </row>
    <row r="926" spans="1:12" x14ac:dyDescent="0.2">
      <c r="A926" s="3">
        <v>923</v>
      </c>
      <c r="B926" s="3"/>
      <c r="C926" s="3" t="str">
        <f>IFERROR(VLOOKUP(B926,Sessions!A:J,2,FALSE),"")</f>
        <v/>
      </c>
      <c r="D926" s="3" t="str">
        <f>IFERROR(VLOOKUP(B926,Sessions!A:J,3,FALSE),"")</f>
        <v/>
      </c>
      <c r="E926" s="3"/>
      <c r="F926" s="3" t="str">
        <f>IFERROR(VLOOKUP(E926,Employees!A:L,2,FALSE),"")</f>
        <v/>
      </c>
      <c r="G926" s="3" t="str">
        <f>IFERROR(VLOOKUP(E926,Employees!A:L,3,FALSE),"")</f>
        <v/>
      </c>
      <c r="H926" s="3"/>
      <c r="I926" s="3"/>
      <c r="J926" s="3"/>
      <c r="K926" s="3" t="str">
        <f>IF(B926="","",IF(OR(E926="",H926=""),"ناقص",IF(H926="نعم","مكتمل","غائب")))</f>
        <v/>
      </c>
      <c r="L926" s="3"/>
    </row>
    <row r="927" spans="1:12" x14ac:dyDescent="0.2">
      <c r="A927" s="3">
        <v>924</v>
      </c>
      <c r="B927" s="3"/>
      <c r="C927" s="3" t="str">
        <f>IFERROR(VLOOKUP(B927,Sessions!A:J,2,FALSE),"")</f>
        <v/>
      </c>
      <c r="D927" s="3" t="str">
        <f>IFERROR(VLOOKUP(B927,Sessions!A:J,3,FALSE),"")</f>
        <v/>
      </c>
      <c r="E927" s="3"/>
      <c r="F927" s="3" t="str">
        <f>IFERROR(VLOOKUP(E927,Employees!A:L,2,FALSE),"")</f>
        <v/>
      </c>
      <c r="G927" s="3" t="str">
        <f>IFERROR(VLOOKUP(E927,Employees!A:L,3,FALSE),"")</f>
        <v/>
      </c>
      <c r="H927" s="3"/>
      <c r="I927" s="3"/>
      <c r="J927" s="3"/>
      <c r="K927" s="3" t="str">
        <f>IF(B927="","",IF(OR(E927="",H927=""),"ناقص",IF(H927="نعم","مكتمل","غائب")))</f>
        <v/>
      </c>
      <c r="L927" s="3"/>
    </row>
    <row r="928" spans="1:12" x14ac:dyDescent="0.2">
      <c r="A928" s="3">
        <v>925</v>
      </c>
      <c r="B928" s="3"/>
      <c r="C928" s="3" t="str">
        <f>IFERROR(VLOOKUP(B928,Sessions!A:J,2,FALSE),"")</f>
        <v/>
      </c>
      <c r="D928" s="3" t="str">
        <f>IFERROR(VLOOKUP(B928,Sessions!A:J,3,FALSE),"")</f>
        <v/>
      </c>
      <c r="E928" s="3"/>
      <c r="F928" s="3" t="str">
        <f>IFERROR(VLOOKUP(E928,Employees!A:L,2,FALSE),"")</f>
        <v/>
      </c>
      <c r="G928" s="3" t="str">
        <f>IFERROR(VLOOKUP(E928,Employees!A:L,3,FALSE),"")</f>
        <v/>
      </c>
      <c r="H928" s="3"/>
      <c r="I928" s="3"/>
      <c r="J928" s="3"/>
      <c r="K928" s="3" t="str">
        <f>IF(B928="","",IF(OR(E928="",H928=""),"ناقص",IF(H928="نعم","مكتمل","غائب")))</f>
        <v/>
      </c>
      <c r="L928" s="3"/>
    </row>
    <row r="929" spans="1:12" x14ac:dyDescent="0.2">
      <c r="A929" s="3">
        <v>926</v>
      </c>
      <c r="B929" s="3"/>
      <c r="C929" s="3" t="str">
        <f>IFERROR(VLOOKUP(B929,Sessions!A:J,2,FALSE),"")</f>
        <v/>
      </c>
      <c r="D929" s="3" t="str">
        <f>IFERROR(VLOOKUP(B929,Sessions!A:J,3,FALSE),"")</f>
        <v/>
      </c>
      <c r="E929" s="3"/>
      <c r="F929" s="3" t="str">
        <f>IFERROR(VLOOKUP(E929,Employees!A:L,2,FALSE),"")</f>
        <v/>
      </c>
      <c r="G929" s="3" t="str">
        <f>IFERROR(VLOOKUP(E929,Employees!A:L,3,FALSE),"")</f>
        <v/>
      </c>
      <c r="H929" s="3"/>
      <c r="I929" s="3"/>
      <c r="J929" s="3"/>
      <c r="K929" s="3" t="str">
        <f>IF(B929="","",IF(OR(E929="",H929=""),"ناقص",IF(H929="نعم","مكتمل","غائب")))</f>
        <v/>
      </c>
      <c r="L929" s="3"/>
    </row>
    <row r="930" spans="1:12" x14ac:dyDescent="0.2">
      <c r="A930" s="3">
        <v>927</v>
      </c>
      <c r="B930" s="3"/>
      <c r="C930" s="3" t="str">
        <f>IFERROR(VLOOKUP(B930,Sessions!A:J,2,FALSE),"")</f>
        <v/>
      </c>
      <c r="D930" s="3" t="str">
        <f>IFERROR(VLOOKUP(B930,Sessions!A:J,3,FALSE),"")</f>
        <v/>
      </c>
      <c r="E930" s="3"/>
      <c r="F930" s="3" t="str">
        <f>IFERROR(VLOOKUP(E930,Employees!A:L,2,FALSE),"")</f>
        <v/>
      </c>
      <c r="G930" s="3" t="str">
        <f>IFERROR(VLOOKUP(E930,Employees!A:L,3,FALSE),"")</f>
        <v/>
      </c>
      <c r="H930" s="3"/>
      <c r="I930" s="3"/>
      <c r="J930" s="3"/>
      <c r="K930" s="3" t="str">
        <f>IF(B930="","",IF(OR(E930="",H930=""),"ناقص",IF(H930="نعم","مكتمل","غائب")))</f>
        <v/>
      </c>
      <c r="L930" s="3"/>
    </row>
    <row r="931" spans="1:12" x14ac:dyDescent="0.2">
      <c r="A931" s="3">
        <v>928</v>
      </c>
      <c r="B931" s="3"/>
      <c r="C931" s="3" t="str">
        <f>IFERROR(VLOOKUP(B931,Sessions!A:J,2,FALSE),"")</f>
        <v/>
      </c>
      <c r="D931" s="3" t="str">
        <f>IFERROR(VLOOKUP(B931,Sessions!A:J,3,FALSE),"")</f>
        <v/>
      </c>
      <c r="E931" s="3"/>
      <c r="F931" s="3" t="str">
        <f>IFERROR(VLOOKUP(E931,Employees!A:L,2,FALSE),"")</f>
        <v/>
      </c>
      <c r="G931" s="3" t="str">
        <f>IFERROR(VLOOKUP(E931,Employees!A:L,3,FALSE),"")</f>
        <v/>
      </c>
      <c r="H931" s="3"/>
      <c r="I931" s="3"/>
      <c r="J931" s="3"/>
      <c r="K931" s="3" t="str">
        <f>IF(B931="","",IF(OR(E931="",H931=""),"ناقص",IF(H931="نعم","مكتمل","غائب")))</f>
        <v/>
      </c>
      <c r="L931" s="3"/>
    </row>
    <row r="932" spans="1:12" x14ac:dyDescent="0.2">
      <c r="A932" s="3">
        <v>929</v>
      </c>
      <c r="B932" s="3"/>
      <c r="C932" s="3" t="str">
        <f>IFERROR(VLOOKUP(B932,Sessions!A:J,2,FALSE),"")</f>
        <v/>
      </c>
      <c r="D932" s="3" t="str">
        <f>IFERROR(VLOOKUP(B932,Sessions!A:J,3,FALSE),"")</f>
        <v/>
      </c>
      <c r="E932" s="3"/>
      <c r="F932" s="3" t="str">
        <f>IFERROR(VLOOKUP(E932,Employees!A:L,2,FALSE),"")</f>
        <v/>
      </c>
      <c r="G932" s="3" t="str">
        <f>IFERROR(VLOOKUP(E932,Employees!A:L,3,FALSE),"")</f>
        <v/>
      </c>
      <c r="H932" s="3"/>
      <c r="I932" s="3"/>
      <c r="J932" s="3"/>
      <c r="K932" s="3" t="str">
        <f>IF(B932="","",IF(OR(E932="",H932=""),"ناقص",IF(H932="نعم","مكتمل","غائب")))</f>
        <v/>
      </c>
      <c r="L932" s="3"/>
    </row>
    <row r="933" spans="1:12" x14ac:dyDescent="0.2">
      <c r="A933" s="3">
        <v>930</v>
      </c>
      <c r="B933" s="3"/>
      <c r="C933" s="3" t="str">
        <f>IFERROR(VLOOKUP(B933,Sessions!A:J,2,FALSE),"")</f>
        <v/>
      </c>
      <c r="D933" s="3" t="str">
        <f>IFERROR(VLOOKUP(B933,Sessions!A:J,3,FALSE),"")</f>
        <v/>
      </c>
      <c r="E933" s="3"/>
      <c r="F933" s="3" t="str">
        <f>IFERROR(VLOOKUP(E933,Employees!A:L,2,FALSE),"")</f>
        <v/>
      </c>
      <c r="G933" s="3" t="str">
        <f>IFERROR(VLOOKUP(E933,Employees!A:L,3,FALSE),"")</f>
        <v/>
      </c>
      <c r="H933" s="3"/>
      <c r="I933" s="3"/>
      <c r="J933" s="3"/>
      <c r="K933" s="3" t="str">
        <f>IF(B933="","",IF(OR(E933="",H933=""),"ناقص",IF(H933="نعم","مكتمل","غائب")))</f>
        <v/>
      </c>
      <c r="L933" s="3"/>
    </row>
    <row r="934" spans="1:12" x14ac:dyDescent="0.2">
      <c r="A934" s="3">
        <v>931</v>
      </c>
      <c r="B934" s="3"/>
      <c r="C934" s="3" t="str">
        <f>IFERROR(VLOOKUP(B934,Sessions!A:J,2,FALSE),"")</f>
        <v/>
      </c>
      <c r="D934" s="3" t="str">
        <f>IFERROR(VLOOKUP(B934,Sessions!A:J,3,FALSE),"")</f>
        <v/>
      </c>
      <c r="E934" s="3"/>
      <c r="F934" s="3" t="str">
        <f>IFERROR(VLOOKUP(E934,Employees!A:L,2,FALSE),"")</f>
        <v/>
      </c>
      <c r="G934" s="3" t="str">
        <f>IFERROR(VLOOKUP(E934,Employees!A:L,3,FALSE),"")</f>
        <v/>
      </c>
      <c r="H934" s="3"/>
      <c r="I934" s="3"/>
      <c r="J934" s="3"/>
      <c r="K934" s="3" t="str">
        <f>IF(B934="","",IF(OR(E934="",H934=""),"ناقص",IF(H934="نعم","مكتمل","غائب")))</f>
        <v/>
      </c>
      <c r="L934" s="3"/>
    </row>
    <row r="935" spans="1:12" x14ac:dyDescent="0.2">
      <c r="A935" s="3">
        <v>932</v>
      </c>
      <c r="B935" s="3"/>
      <c r="C935" s="3" t="str">
        <f>IFERROR(VLOOKUP(B935,Sessions!A:J,2,FALSE),"")</f>
        <v/>
      </c>
      <c r="D935" s="3" t="str">
        <f>IFERROR(VLOOKUP(B935,Sessions!A:J,3,FALSE),"")</f>
        <v/>
      </c>
      <c r="E935" s="3"/>
      <c r="F935" s="3" t="str">
        <f>IFERROR(VLOOKUP(E935,Employees!A:L,2,FALSE),"")</f>
        <v/>
      </c>
      <c r="G935" s="3" t="str">
        <f>IFERROR(VLOOKUP(E935,Employees!A:L,3,FALSE),"")</f>
        <v/>
      </c>
      <c r="H935" s="3"/>
      <c r="I935" s="3"/>
      <c r="J935" s="3"/>
      <c r="K935" s="3" t="str">
        <f>IF(B935="","",IF(OR(E935="",H935=""),"ناقص",IF(H935="نعم","مكتمل","غائب")))</f>
        <v/>
      </c>
      <c r="L935" s="3"/>
    </row>
    <row r="936" spans="1:12" x14ac:dyDescent="0.2">
      <c r="A936" s="3">
        <v>933</v>
      </c>
      <c r="B936" s="3"/>
      <c r="C936" s="3" t="str">
        <f>IFERROR(VLOOKUP(B936,Sessions!A:J,2,FALSE),"")</f>
        <v/>
      </c>
      <c r="D936" s="3" t="str">
        <f>IFERROR(VLOOKUP(B936,Sessions!A:J,3,FALSE),"")</f>
        <v/>
      </c>
      <c r="E936" s="3"/>
      <c r="F936" s="3" t="str">
        <f>IFERROR(VLOOKUP(E936,Employees!A:L,2,FALSE),"")</f>
        <v/>
      </c>
      <c r="G936" s="3" t="str">
        <f>IFERROR(VLOOKUP(E936,Employees!A:L,3,FALSE),"")</f>
        <v/>
      </c>
      <c r="H936" s="3"/>
      <c r="I936" s="3"/>
      <c r="J936" s="3"/>
      <c r="K936" s="3" t="str">
        <f>IF(B936="","",IF(OR(E936="",H936=""),"ناقص",IF(H936="نعم","مكتمل","غائب")))</f>
        <v/>
      </c>
      <c r="L936" s="3"/>
    </row>
    <row r="937" spans="1:12" x14ac:dyDescent="0.2">
      <c r="A937" s="3">
        <v>934</v>
      </c>
      <c r="B937" s="3"/>
      <c r="C937" s="3" t="str">
        <f>IFERROR(VLOOKUP(B937,Sessions!A:J,2,FALSE),"")</f>
        <v/>
      </c>
      <c r="D937" s="3" t="str">
        <f>IFERROR(VLOOKUP(B937,Sessions!A:J,3,FALSE),"")</f>
        <v/>
      </c>
      <c r="E937" s="3"/>
      <c r="F937" s="3" t="str">
        <f>IFERROR(VLOOKUP(E937,Employees!A:L,2,FALSE),"")</f>
        <v/>
      </c>
      <c r="G937" s="3" t="str">
        <f>IFERROR(VLOOKUP(E937,Employees!A:L,3,FALSE),"")</f>
        <v/>
      </c>
      <c r="H937" s="3"/>
      <c r="I937" s="3"/>
      <c r="J937" s="3"/>
      <c r="K937" s="3" t="str">
        <f>IF(B937="","",IF(OR(E937="",H937=""),"ناقص",IF(H937="نعم","مكتمل","غائب")))</f>
        <v/>
      </c>
      <c r="L937" s="3"/>
    </row>
    <row r="938" spans="1:12" x14ac:dyDescent="0.2">
      <c r="A938" s="3">
        <v>935</v>
      </c>
      <c r="B938" s="3"/>
      <c r="C938" s="3" t="str">
        <f>IFERROR(VLOOKUP(B938,Sessions!A:J,2,FALSE),"")</f>
        <v/>
      </c>
      <c r="D938" s="3" t="str">
        <f>IFERROR(VLOOKUP(B938,Sessions!A:J,3,FALSE),"")</f>
        <v/>
      </c>
      <c r="E938" s="3"/>
      <c r="F938" s="3" t="str">
        <f>IFERROR(VLOOKUP(E938,Employees!A:L,2,FALSE),"")</f>
        <v/>
      </c>
      <c r="G938" s="3" t="str">
        <f>IFERROR(VLOOKUP(E938,Employees!A:L,3,FALSE),"")</f>
        <v/>
      </c>
      <c r="H938" s="3"/>
      <c r="I938" s="3"/>
      <c r="J938" s="3"/>
      <c r="K938" s="3" t="str">
        <f>IF(B938="","",IF(OR(E938="",H938=""),"ناقص",IF(H938="نعم","مكتمل","غائب")))</f>
        <v/>
      </c>
      <c r="L938" s="3"/>
    </row>
    <row r="939" spans="1:12" x14ac:dyDescent="0.2">
      <c r="A939" s="3">
        <v>936</v>
      </c>
      <c r="B939" s="3"/>
      <c r="C939" s="3" t="str">
        <f>IFERROR(VLOOKUP(B939,Sessions!A:J,2,FALSE),"")</f>
        <v/>
      </c>
      <c r="D939" s="3" t="str">
        <f>IFERROR(VLOOKUP(B939,Sessions!A:J,3,FALSE),"")</f>
        <v/>
      </c>
      <c r="E939" s="3"/>
      <c r="F939" s="3" t="str">
        <f>IFERROR(VLOOKUP(E939,Employees!A:L,2,FALSE),"")</f>
        <v/>
      </c>
      <c r="G939" s="3" t="str">
        <f>IFERROR(VLOOKUP(E939,Employees!A:L,3,FALSE),"")</f>
        <v/>
      </c>
      <c r="H939" s="3"/>
      <c r="I939" s="3"/>
      <c r="J939" s="3"/>
      <c r="K939" s="3" t="str">
        <f>IF(B939="","",IF(OR(E939="",H939=""),"ناقص",IF(H939="نعم","مكتمل","غائب")))</f>
        <v/>
      </c>
      <c r="L939" s="3"/>
    </row>
    <row r="940" spans="1:12" x14ac:dyDescent="0.2">
      <c r="A940" s="3">
        <v>937</v>
      </c>
      <c r="B940" s="3"/>
      <c r="C940" s="3" t="str">
        <f>IFERROR(VLOOKUP(B940,Sessions!A:J,2,FALSE),"")</f>
        <v/>
      </c>
      <c r="D940" s="3" t="str">
        <f>IFERROR(VLOOKUP(B940,Sessions!A:J,3,FALSE),"")</f>
        <v/>
      </c>
      <c r="E940" s="3"/>
      <c r="F940" s="3" t="str">
        <f>IFERROR(VLOOKUP(E940,Employees!A:L,2,FALSE),"")</f>
        <v/>
      </c>
      <c r="G940" s="3" t="str">
        <f>IFERROR(VLOOKUP(E940,Employees!A:L,3,FALSE),"")</f>
        <v/>
      </c>
      <c r="H940" s="3"/>
      <c r="I940" s="3"/>
      <c r="J940" s="3"/>
      <c r="K940" s="3" t="str">
        <f>IF(B940="","",IF(OR(E940="",H940=""),"ناقص",IF(H940="نعم","مكتمل","غائب")))</f>
        <v/>
      </c>
      <c r="L940" s="3"/>
    </row>
    <row r="941" spans="1:12" x14ac:dyDescent="0.2">
      <c r="A941" s="3">
        <v>938</v>
      </c>
      <c r="B941" s="3"/>
      <c r="C941" s="3" t="str">
        <f>IFERROR(VLOOKUP(B941,Sessions!A:J,2,FALSE),"")</f>
        <v/>
      </c>
      <c r="D941" s="3" t="str">
        <f>IFERROR(VLOOKUP(B941,Sessions!A:J,3,FALSE),"")</f>
        <v/>
      </c>
      <c r="E941" s="3"/>
      <c r="F941" s="3" t="str">
        <f>IFERROR(VLOOKUP(E941,Employees!A:L,2,FALSE),"")</f>
        <v/>
      </c>
      <c r="G941" s="3" t="str">
        <f>IFERROR(VLOOKUP(E941,Employees!A:L,3,FALSE),"")</f>
        <v/>
      </c>
      <c r="H941" s="3"/>
      <c r="I941" s="3"/>
      <c r="J941" s="3"/>
      <c r="K941" s="3" t="str">
        <f>IF(B941="","",IF(OR(E941="",H941=""),"ناقص",IF(H941="نعم","مكتمل","غائب")))</f>
        <v/>
      </c>
      <c r="L941" s="3"/>
    </row>
    <row r="942" spans="1:12" x14ac:dyDescent="0.2">
      <c r="A942" s="3">
        <v>939</v>
      </c>
      <c r="B942" s="3"/>
      <c r="C942" s="3" t="str">
        <f>IFERROR(VLOOKUP(B942,Sessions!A:J,2,FALSE),"")</f>
        <v/>
      </c>
      <c r="D942" s="3" t="str">
        <f>IFERROR(VLOOKUP(B942,Sessions!A:J,3,FALSE),"")</f>
        <v/>
      </c>
      <c r="E942" s="3"/>
      <c r="F942" s="3" t="str">
        <f>IFERROR(VLOOKUP(E942,Employees!A:L,2,FALSE),"")</f>
        <v/>
      </c>
      <c r="G942" s="3" t="str">
        <f>IFERROR(VLOOKUP(E942,Employees!A:L,3,FALSE),"")</f>
        <v/>
      </c>
      <c r="H942" s="3"/>
      <c r="I942" s="3"/>
      <c r="J942" s="3"/>
      <c r="K942" s="3" t="str">
        <f>IF(B942="","",IF(OR(E942="",H942=""),"ناقص",IF(H942="نعم","مكتمل","غائب")))</f>
        <v/>
      </c>
      <c r="L942" s="3"/>
    </row>
    <row r="943" spans="1:12" x14ac:dyDescent="0.2">
      <c r="A943" s="3">
        <v>940</v>
      </c>
      <c r="B943" s="3"/>
      <c r="C943" s="3" t="str">
        <f>IFERROR(VLOOKUP(B943,Sessions!A:J,2,FALSE),"")</f>
        <v/>
      </c>
      <c r="D943" s="3" t="str">
        <f>IFERROR(VLOOKUP(B943,Sessions!A:J,3,FALSE),"")</f>
        <v/>
      </c>
      <c r="E943" s="3"/>
      <c r="F943" s="3" t="str">
        <f>IFERROR(VLOOKUP(E943,Employees!A:L,2,FALSE),"")</f>
        <v/>
      </c>
      <c r="G943" s="3" t="str">
        <f>IFERROR(VLOOKUP(E943,Employees!A:L,3,FALSE),"")</f>
        <v/>
      </c>
      <c r="H943" s="3"/>
      <c r="I943" s="3"/>
      <c r="J943" s="3"/>
      <c r="K943" s="3" t="str">
        <f>IF(B943="","",IF(OR(E943="",H943=""),"ناقص",IF(H943="نعم","مكتمل","غائب")))</f>
        <v/>
      </c>
      <c r="L943" s="3"/>
    </row>
    <row r="944" spans="1:12" x14ac:dyDescent="0.2">
      <c r="A944" s="3">
        <v>941</v>
      </c>
      <c r="B944" s="3"/>
      <c r="C944" s="3" t="str">
        <f>IFERROR(VLOOKUP(B944,Sessions!A:J,2,FALSE),"")</f>
        <v/>
      </c>
      <c r="D944" s="3" t="str">
        <f>IFERROR(VLOOKUP(B944,Sessions!A:J,3,FALSE),"")</f>
        <v/>
      </c>
      <c r="E944" s="3"/>
      <c r="F944" s="3" t="str">
        <f>IFERROR(VLOOKUP(E944,Employees!A:L,2,FALSE),"")</f>
        <v/>
      </c>
      <c r="G944" s="3" t="str">
        <f>IFERROR(VLOOKUP(E944,Employees!A:L,3,FALSE),"")</f>
        <v/>
      </c>
      <c r="H944" s="3"/>
      <c r="I944" s="3"/>
      <c r="J944" s="3"/>
      <c r="K944" s="3" t="str">
        <f>IF(B944="","",IF(OR(E944="",H944=""),"ناقص",IF(H944="نعم","مكتمل","غائب")))</f>
        <v/>
      </c>
      <c r="L944" s="3"/>
    </row>
    <row r="945" spans="1:12" x14ac:dyDescent="0.2">
      <c r="A945" s="3">
        <v>942</v>
      </c>
      <c r="B945" s="3"/>
      <c r="C945" s="3" t="str">
        <f>IFERROR(VLOOKUP(B945,Sessions!A:J,2,FALSE),"")</f>
        <v/>
      </c>
      <c r="D945" s="3" t="str">
        <f>IFERROR(VLOOKUP(B945,Sessions!A:J,3,FALSE),"")</f>
        <v/>
      </c>
      <c r="E945" s="3"/>
      <c r="F945" s="3" t="str">
        <f>IFERROR(VLOOKUP(E945,Employees!A:L,2,FALSE),"")</f>
        <v/>
      </c>
      <c r="G945" s="3" t="str">
        <f>IFERROR(VLOOKUP(E945,Employees!A:L,3,FALSE),"")</f>
        <v/>
      </c>
      <c r="H945" s="3"/>
      <c r="I945" s="3"/>
      <c r="J945" s="3"/>
      <c r="K945" s="3" t="str">
        <f>IF(B945="","",IF(OR(E945="",H945=""),"ناقص",IF(H945="نعم","مكتمل","غائب")))</f>
        <v/>
      </c>
      <c r="L945" s="3"/>
    </row>
    <row r="946" spans="1:12" x14ac:dyDescent="0.2">
      <c r="A946" s="3">
        <v>943</v>
      </c>
      <c r="B946" s="3"/>
      <c r="C946" s="3" t="str">
        <f>IFERROR(VLOOKUP(B946,Sessions!A:J,2,FALSE),"")</f>
        <v/>
      </c>
      <c r="D946" s="3" t="str">
        <f>IFERROR(VLOOKUP(B946,Sessions!A:J,3,FALSE),"")</f>
        <v/>
      </c>
      <c r="E946" s="3"/>
      <c r="F946" s="3" t="str">
        <f>IFERROR(VLOOKUP(E946,Employees!A:L,2,FALSE),"")</f>
        <v/>
      </c>
      <c r="G946" s="3" t="str">
        <f>IFERROR(VLOOKUP(E946,Employees!A:L,3,FALSE),"")</f>
        <v/>
      </c>
      <c r="H946" s="3"/>
      <c r="I946" s="3"/>
      <c r="J946" s="3"/>
      <c r="K946" s="3" t="str">
        <f>IF(B946="","",IF(OR(E946="",H946=""),"ناقص",IF(H946="نعم","مكتمل","غائب")))</f>
        <v/>
      </c>
      <c r="L946" s="3"/>
    </row>
    <row r="947" spans="1:12" x14ac:dyDescent="0.2">
      <c r="A947" s="3">
        <v>944</v>
      </c>
      <c r="B947" s="3"/>
      <c r="C947" s="3" t="str">
        <f>IFERROR(VLOOKUP(B947,Sessions!A:J,2,FALSE),"")</f>
        <v/>
      </c>
      <c r="D947" s="3" t="str">
        <f>IFERROR(VLOOKUP(B947,Sessions!A:J,3,FALSE),"")</f>
        <v/>
      </c>
      <c r="E947" s="3"/>
      <c r="F947" s="3" t="str">
        <f>IFERROR(VLOOKUP(E947,Employees!A:L,2,FALSE),"")</f>
        <v/>
      </c>
      <c r="G947" s="3" t="str">
        <f>IFERROR(VLOOKUP(E947,Employees!A:L,3,FALSE),"")</f>
        <v/>
      </c>
      <c r="H947" s="3"/>
      <c r="I947" s="3"/>
      <c r="J947" s="3"/>
      <c r="K947" s="3" t="str">
        <f>IF(B947="","",IF(OR(E947="",H947=""),"ناقص",IF(H947="نعم","مكتمل","غائب")))</f>
        <v/>
      </c>
      <c r="L947" s="3"/>
    </row>
    <row r="948" spans="1:12" x14ac:dyDescent="0.2">
      <c r="A948" s="3">
        <v>945</v>
      </c>
      <c r="B948" s="3"/>
      <c r="C948" s="3" t="str">
        <f>IFERROR(VLOOKUP(B948,Sessions!A:J,2,FALSE),"")</f>
        <v/>
      </c>
      <c r="D948" s="3" t="str">
        <f>IFERROR(VLOOKUP(B948,Sessions!A:J,3,FALSE),"")</f>
        <v/>
      </c>
      <c r="E948" s="3"/>
      <c r="F948" s="3" t="str">
        <f>IFERROR(VLOOKUP(E948,Employees!A:L,2,FALSE),"")</f>
        <v/>
      </c>
      <c r="G948" s="3" t="str">
        <f>IFERROR(VLOOKUP(E948,Employees!A:L,3,FALSE),"")</f>
        <v/>
      </c>
      <c r="H948" s="3"/>
      <c r="I948" s="3"/>
      <c r="J948" s="3"/>
      <c r="K948" s="3" t="str">
        <f>IF(B948="","",IF(OR(E948="",H948=""),"ناقص",IF(H948="نعم","مكتمل","غائب")))</f>
        <v/>
      </c>
      <c r="L948" s="3"/>
    </row>
    <row r="949" spans="1:12" x14ac:dyDescent="0.2">
      <c r="A949" s="3">
        <v>946</v>
      </c>
      <c r="B949" s="3"/>
      <c r="C949" s="3" t="str">
        <f>IFERROR(VLOOKUP(B949,Sessions!A:J,2,FALSE),"")</f>
        <v/>
      </c>
      <c r="D949" s="3" t="str">
        <f>IFERROR(VLOOKUP(B949,Sessions!A:J,3,FALSE),"")</f>
        <v/>
      </c>
      <c r="E949" s="3"/>
      <c r="F949" s="3" t="str">
        <f>IFERROR(VLOOKUP(E949,Employees!A:L,2,FALSE),"")</f>
        <v/>
      </c>
      <c r="G949" s="3" t="str">
        <f>IFERROR(VLOOKUP(E949,Employees!A:L,3,FALSE),"")</f>
        <v/>
      </c>
      <c r="H949" s="3"/>
      <c r="I949" s="3"/>
      <c r="J949" s="3"/>
      <c r="K949" s="3" t="str">
        <f>IF(B949="","",IF(OR(E949="",H949=""),"ناقص",IF(H949="نعم","مكتمل","غائب")))</f>
        <v/>
      </c>
      <c r="L949" s="3"/>
    </row>
    <row r="950" spans="1:12" x14ac:dyDescent="0.2">
      <c r="A950" s="3">
        <v>947</v>
      </c>
      <c r="B950" s="3"/>
      <c r="C950" s="3" t="str">
        <f>IFERROR(VLOOKUP(B950,Sessions!A:J,2,FALSE),"")</f>
        <v/>
      </c>
      <c r="D950" s="3" t="str">
        <f>IFERROR(VLOOKUP(B950,Sessions!A:J,3,FALSE),"")</f>
        <v/>
      </c>
      <c r="E950" s="3"/>
      <c r="F950" s="3" t="str">
        <f>IFERROR(VLOOKUP(E950,Employees!A:L,2,FALSE),"")</f>
        <v/>
      </c>
      <c r="G950" s="3" t="str">
        <f>IFERROR(VLOOKUP(E950,Employees!A:L,3,FALSE),"")</f>
        <v/>
      </c>
      <c r="H950" s="3"/>
      <c r="I950" s="3"/>
      <c r="J950" s="3"/>
      <c r="K950" s="3" t="str">
        <f>IF(B950="","",IF(OR(E950="",H950=""),"ناقص",IF(H950="نعم","مكتمل","غائب")))</f>
        <v/>
      </c>
      <c r="L950" s="3"/>
    </row>
    <row r="951" spans="1:12" x14ac:dyDescent="0.2">
      <c r="A951" s="3">
        <v>948</v>
      </c>
      <c r="B951" s="3"/>
      <c r="C951" s="3" t="str">
        <f>IFERROR(VLOOKUP(B951,Sessions!A:J,2,FALSE),"")</f>
        <v/>
      </c>
      <c r="D951" s="3" t="str">
        <f>IFERROR(VLOOKUP(B951,Sessions!A:J,3,FALSE),"")</f>
        <v/>
      </c>
      <c r="E951" s="3"/>
      <c r="F951" s="3" t="str">
        <f>IFERROR(VLOOKUP(E951,Employees!A:L,2,FALSE),"")</f>
        <v/>
      </c>
      <c r="G951" s="3" t="str">
        <f>IFERROR(VLOOKUP(E951,Employees!A:L,3,FALSE),"")</f>
        <v/>
      </c>
      <c r="H951" s="3"/>
      <c r="I951" s="3"/>
      <c r="J951" s="3"/>
      <c r="K951" s="3" t="str">
        <f>IF(B951="","",IF(OR(E951="",H951=""),"ناقص",IF(H951="نعم","مكتمل","غائب")))</f>
        <v/>
      </c>
      <c r="L951" s="3"/>
    </row>
    <row r="952" spans="1:12" x14ac:dyDescent="0.2">
      <c r="A952" s="3">
        <v>949</v>
      </c>
      <c r="B952" s="3"/>
      <c r="C952" s="3" t="str">
        <f>IFERROR(VLOOKUP(B952,Sessions!A:J,2,FALSE),"")</f>
        <v/>
      </c>
      <c r="D952" s="3" t="str">
        <f>IFERROR(VLOOKUP(B952,Sessions!A:J,3,FALSE),"")</f>
        <v/>
      </c>
      <c r="E952" s="3"/>
      <c r="F952" s="3" t="str">
        <f>IFERROR(VLOOKUP(E952,Employees!A:L,2,FALSE),"")</f>
        <v/>
      </c>
      <c r="G952" s="3" t="str">
        <f>IFERROR(VLOOKUP(E952,Employees!A:L,3,FALSE),"")</f>
        <v/>
      </c>
      <c r="H952" s="3"/>
      <c r="I952" s="3"/>
      <c r="J952" s="3"/>
      <c r="K952" s="3" t="str">
        <f>IF(B952="","",IF(OR(E952="",H952=""),"ناقص",IF(H952="نعم","مكتمل","غائب")))</f>
        <v/>
      </c>
      <c r="L952" s="3"/>
    </row>
    <row r="953" spans="1:12" x14ac:dyDescent="0.2">
      <c r="A953" s="3">
        <v>950</v>
      </c>
      <c r="B953" s="3"/>
      <c r="C953" s="3" t="str">
        <f>IFERROR(VLOOKUP(B953,Sessions!A:J,2,FALSE),"")</f>
        <v/>
      </c>
      <c r="D953" s="3" t="str">
        <f>IFERROR(VLOOKUP(B953,Sessions!A:J,3,FALSE),"")</f>
        <v/>
      </c>
      <c r="E953" s="3"/>
      <c r="F953" s="3" t="str">
        <f>IFERROR(VLOOKUP(E953,Employees!A:L,2,FALSE),"")</f>
        <v/>
      </c>
      <c r="G953" s="3" t="str">
        <f>IFERROR(VLOOKUP(E953,Employees!A:L,3,FALSE),"")</f>
        <v/>
      </c>
      <c r="H953" s="3"/>
      <c r="I953" s="3"/>
      <c r="J953" s="3"/>
      <c r="K953" s="3" t="str">
        <f>IF(B953="","",IF(OR(E953="",H953=""),"ناقص",IF(H953="نعم","مكتمل","غائب")))</f>
        <v/>
      </c>
      <c r="L953" s="3"/>
    </row>
    <row r="954" spans="1:12" x14ac:dyDescent="0.2">
      <c r="A954" s="3">
        <v>951</v>
      </c>
      <c r="B954" s="3"/>
      <c r="C954" s="3" t="str">
        <f>IFERROR(VLOOKUP(B954,Sessions!A:J,2,FALSE),"")</f>
        <v/>
      </c>
      <c r="D954" s="3" t="str">
        <f>IFERROR(VLOOKUP(B954,Sessions!A:J,3,FALSE),"")</f>
        <v/>
      </c>
      <c r="E954" s="3"/>
      <c r="F954" s="3" t="str">
        <f>IFERROR(VLOOKUP(E954,Employees!A:L,2,FALSE),"")</f>
        <v/>
      </c>
      <c r="G954" s="3" t="str">
        <f>IFERROR(VLOOKUP(E954,Employees!A:L,3,FALSE),"")</f>
        <v/>
      </c>
      <c r="H954" s="3"/>
      <c r="I954" s="3"/>
      <c r="J954" s="3"/>
      <c r="K954" s="3" t="str">
        <f>IF(B954="","",IF(OR(E954="",H954=""),"ناقص",IF(H954="نعم","مكتمل","غائب")))</f>
        <v/>
      </c>
      <c r="L954" s="3"/>
    </row>
    <row r="955" spans="1:12" x14ac:dyDescent="0.2">
      <c r="A955" s="3">
        <v>952</v>
      </c>
      <c r="B955" s="3"/>
      <c r="C955" s="3" t="str">
        <f>IFERROR(VLOOKUP(B955,Sessions!A:J,2,FALSE),"")</f>
        <v/>
      </c>
      <c r="D955" s="3" t="str">
        <f>IFERROR(VLOOKUP(B955,Sessions!A:J,3,FALSE),"")</f>
        <v/>
      </c>
      <c r="E955" s="3"/>
      <c r="F955" s="3" t="str">
        <f>IFERROR(VLOOKUP(E955,Employees!A:L,2,FALSE),"")</f>
        <v/>
      </c>
      <c r="G955" s="3" t="str">
        <f>IFERROR(VLOOKUP(E955,Employees!A:L,3,FALSE),"")</f>
        <v/>
      </c>
      <c r="H955" s="3"/>
      <c r="I955" s="3"/>
      <c r="J955" s="3"/>
      <c r="K955" s="3" t="str">
        <f>IF(B955="","",IF(OR(E955="",H955=""),"ناقص",IF(H955="نعم","مكتمل","غائب")))</f>
        <v/>
      </c>
      <c r="L955" s="3"/>
    </row>
    <row r="956" spans="1:12" x14ac:dyDescent="0.2">
      <c r="A956" s="3">
        <v>953</v>
      </c>
      <c r="B956" s="3"/>
      <c r="C956" s="3" t="str">
        <f>IFERROR(VLOOKUP(B956,Sessions!A:J,2,FALSE),"")</f>
        <v/>
      </c>
      <c r="D956" s="3" t="str">
        <f>IFERROR(VLOOKUP(B956,Sessions!A:J,3,FALSE),"")</f>
        <v/>
      </c>
      <c r="E956" s="3"/>
      <c r="F956" s="3" t="str">
        <f>IFERROR(VLOOKUP(E956,Employees!A:L,2,FALSE),"")</f>
        <v/>
      </c>
      <c r="G956" s="3" t="str">
        <f>IFERROR(VLOOKUP(E956,Employees!A:L,3,FALSE),"")</f>
        <v/>
      </c>
      <c r="H956" s="3"/>
      <c r="I956" s="3"/>
      <c r="J956" s="3"/>
      <c r="K956" s="3" t="str">
        <f>IF(B956="","",IF(OR(E956="",H956=""),"ناقص",IF(H956="نعم","مكتمل","غائب")))</f>
        <v/>
      </c>
      <c r="L956" s="3"/>
    </row>
    <row r="957" spans="1:12" x14ac:dyDescent="0.2">
      <c r="A957" s="3">
        <v>954</v>
      </c>
      <c r="B957" s="3"/>
      <c r="C957" s="3" t="str">
        <f>IFERROR(VLOOKUP(B957,Sessions!A:J,2,FALSE),"")</f>
        <v/>
      </c>
      <c r="D957" s="3" t="str">
        <f>IFERROR(VLOOKUP(B957,Sessions!A:J,3,FALSE),"")</f>
        <v/>
      </c>
      <c r="E957" s="3"/>
      <c r="F957" s="3" t="str">
        <f>IFERROR(VLOOKUP(E957,Employees!A:L,2,FALSE),"")</f>
        <v/>
      </c>
      <c r="G957" s="3" t="str">
        <f>IFERROR(VLOOKUP(E957,Employees!A:L,3,FALSE),"")</f>
        <v/>
      </c>
      <c r="H957" s="3"/>
      <c r="I957" s="3"/>
      <c r="J957" s="3"/>
      <c r="K957" s="3" t="str">
        <f>IF(B957="","",IF(OR(E957="",H957=""),"ناقص",IF(H957="نعم","مكتمل","غائب")))</f>
        <v/>
      </c>
      <c r="L957" s="3"/>
    </row>
    <row r="958" spans="1:12" x14ac:dyDescent="0.2">
      <c r="A958" s="3">
        <v>955</v>
      </c>
      <c r="B958" s="3"/>
      <c r="C958" s="3" t="str">
        <f>IFERROR(VLOOKUP(B958,Sessions!A:J,2,FALSE),"")</f>
        <v/>
      </c>
      <c r="D958" s="3" t="str">
        <f>IFERROR(VLOOKUP(B958,Sessions!A:J,3,FALSE),"")</f>
        <v/>
      </c>
      <c r="E958" s="3"/>
      <c r="F958" s="3" t="str">
        <f>IFERROR(VLOOKUP(E958,Employees!A:L,2,FALSE),"")</f>
        <v/>
      </c>
      <c r="G958" s="3" t="str">
        <f>IFERROR(VLOOKUP(E958,Employees!A:L,3,FALSE),"")</f>
        <v/>
      </c>
      <c r="H958" s="3"/>
      <c r="I958" s="3"/>
      <c r="J958" s="3"/>
      <c r="K958" s="3" t="str">
        <f>IF(B958="","",IF(OR(E958="",H958=""),"ناقص",IF(H958="نعم","مكتمل","غائب")))</f>
        <v/>
      </c>
      <c r="L958" s="3"/>
    </row>
    <row r="959" spans="1:12" x14ac:dyDescent="0.2">
      <c r="A959" s="3">
        <v>956</v>
      </c>
      <c r="B959" s="3"/>
      <c r="C959" s="3" t="str">
        <f>IFERROR(VLOOKUP(B959,Sessions!A:J,2,FALSE),"")</f>
        <v/>
      </c>
      <c r="D959" s="3" t="str">
        <f>IFERROR(VLOOKUP(B959,Sessions!A:J,3,FALSE),"")</f>
        <v/>
      </c>
      <c r="E959" s="3"/>
      <c r="F959" s="3" t="str">
        <f>IFERROR(VLOOKUP(E959,Employees!A:L,2,FALSE),"")</f>
        <v/>
      </c>
      <c r="G959" s="3" t="str">
        <f>IFERROR(VLOOKUP(E959,Employees!A:L,3,FALSE),"")</f>
        <v/>
      </c>
      <c r="H959" s="3"/>
      <c r="I959" s="3"/>
      <c r="J959" s="3"/>
      <c r="K959" s="3" t="str">
        <f>IF(B959="","",IF(OR(E959="",H959=""),"ناقص",IF(H959="نعم","مكتمل","غائب")))</f>
        <v/>
      </c>
      <c r="L959" s="3"/>
    </row>
    <row r="960" spans="1:12" x14ac:dyDescent="0.2">
      <c r="A960" s="3">
        <v>957</v>
      </c>
      <c r="B960" s="3"/>
      <c r="C960" s="3" t="str">
        <f>IFERROR(VLOOKUP(B960,Sessions!A:J,2,FALSE),"")</f>
        <v/>
      </c>
      <c r="D960" s="3" t="str">
        <f>IFERROR(VLOOKUP(B960,Sessions!A:J,3,FALSE),"")</f>
        <v/>
      </c>
      <c r="E960" s="3"/>
      <c r="F960" s="3" t="str">
        <f>IFERROR(VLOOKUP(E960,Employees!A:L,2,FALSE),"")</f>
        <v/>
      </c>
      <c r="G960" s="3" t="str">
        <f>IFERROR(VLOOKUP(E960,Employees!A:L,3,FALSE),"")</f>
        <v/>
      </c>
      <c r="H960" s="3"/>
      <c r="I960" s="3"/>
      <c r="J960" s="3"/>
      <c r="K960" s="3" t="str">
        <f>IF(B960="","",IF(OR(E960="",H960=""),"ناقص",IF(H960="نعم","مكتمل","غائب")))</f>
        <v/>
      </c>
      <c r="L960" s="3"/>
    </row>
    <row r="961" spans="1:12" x14ac:dyDescent="0.2">
      <c r="A961" s="3">
        <v>958</v>
      </c>
      <c r="B961" s="3"/>
      <c r="C961" s="3" t="str">
        <f>IFERROR(VLOOKUP(B961,Sessions!A:J,2,FALSE),"")</f>
        <v/>
      </c>
      <c r="D961" s="3" t="str">
        <f>IFERROR(VLOOKUP(B961,Sessions!A:J,3,FALSE),"")</f>
        <v/>
      </c>
      <c r="E961" s="3"/>
      <c r="F961" s="3" t="str">
        <f>IFERROR(VLOOKUP(E961,Employees!A:L,2,FALSE),"")</f>
        <v/>
      </c>
      <c r="G961" s="3" t="str">
        <f>IFERROR(VLOOKUP(E961,Employees!A:L,3,FALSE),"")</f>
        <v/>
      </c>
      <c r="H961" s="3"/>
      <c r="I961" s="3"/>
      <c r="J961" s="3"/>
      <c r="K961" s="3" t="str">
        <f>IF(B961="","",IF(OR(E961="",H961=""),"ناقص",IF(H961="نعم","مكتمل","غائب")))</f>
        <v/>
      </c>
      <c r="L961" s="3"/>
    </row>
    <row r="962" spans="1:12" x14ac:dyDescent="0.2">
      <c r="A962" s="3">
        <v>959</v>
      </c>
      <c r="B962" s="3"/>
      <c r="C962" s="3" t="str">
        <f>IFERROR(VLOOKUP(B962,Sessions!A:J,2,FALSE),"")</f>
        <v/>
      </c>
      <c r="D962" s="3" t="str">
        <f>IFERROR(VLOOKUP(B962,Sessions!A:J,3,FALSE),"")</f>
        <v/>
      </c>
      <c r="E962" s="3"/>
      <c r="F962" s="3" t="str">
        <f>IFERROR(VLOOKUP(E962,Employees!A:L,2,FALSE),"")</f>
        <v/>
      </c>
      <c r="G962" s="3" t="str">
        <f>IFERROR(VLOOKUP(E962,Employees!A:L,3,FALSE),"")</f>
        <v/>
      </c>
      <c r="H962" s="3"/>
      <c r="I962" s="3"/>
      <c r="J962" s="3"/>
      <c r="K962" s="3" t="str">
        <f>IF(B962="","",IF(OR(E962="",H962=""),"ناقص",IF(H962="نعم","مكتمل","غائب")))</f>
        <v/>
      </c>
      <c r="L962" s="3"/>
    </row>
    <row r="963" spans="1:12" x14ac:dyDescent="0.2">
      <c r="A963" s="3">
        <v>960</v>
      </c>
      <c r="B963" s="3"/>
      <c r="C963" s="3" t="str">
        <f>IFERROR(VLOOKUP(B963,Sessions!A:J,2,FALSE),"")</f>
        <v/>
      </c>
      <c r="D963" s="3" t="str">
        <f>IFERROR(VLOOKUP(B963,Sessions!A:J,3,FALSE),"")</f>
        <v/>
      </c>
      <c r="E963" s="3"/>
      <c r="F963" s="3" t="str">
        <f>IFERROR(VLOOKUP(E963,Employees!A:L,2,FALSE),"")</f>
        <v/>
      </c>
      <c r="G963" s="3" t="str">
        <f>IFERROR(VLOOKUP(E963,Employees!A:L,3,FALSE),"")</f>
        <v/>
      </c>
      <c r="H963" s="3"/>
      <c r="I963" s="3"/>
      <c r="J963" s="3"/>
      <c r="K963" s="3" t="str">
        <f>IF(B963="","",IF(OR(E963="",H963=""),"ناقص",IF(H963="نعم","مكتمل","غائب")))</f>
        <v/>
      </c>
      <c r="L963" s="3"/>
    </row>
    <row r="964" spans="1:12" x14ac:dyDescent="0.2">
      <c r="A964" s="3">
        <v>961</v>
      </c>
      <c r="B964" s="3"/>
      <c r="C964" s="3" t="str">
        <f>IFERROR(VLOOKUP(B964,Sessions!A:J,2,FALSE),"")</f>
        <v/>
      </c>
      <c r="D964" s="3" t="str">
        <f>IFERROR(VLOOKUP(B964,Sessions!A:J,3,FALSE),"")</f>
        <v/>
      </c>
      <c r="E964" s="3"/>
      <c r="F964" s="3" t="str">
        <f>IFERROR(VLOOKUP(E964,Employees!A:L,2,FALSE),"")</f>
        <v/>
      </c>
      <c r="G964" s="3" t="str">
        <f>IFERROR(VLOOKUP(E964,Employees!A:L,3,FALSE),"")</f>
        <v/>
      </c>
      <c r="H964" s="3"/>
      <c r="I964" s="3"/>
      <c r="J964" s="3"/>
      <c r="K964" s="3" t="str">
        <f>IF(B964="","",IF(OR(E964="",H964=""),"ناقص",IF(H964="نعم","مكتمل","غائب")))</f>
        <v/>
      </c>
      <c r="L964" s="3"/>
    </row>
    <row r="965" spans="1:12" x14ac:dyDescent="0.2">
      <c r="A965" s="3">
        <v>962</v>
      </c>
      <c r="B965" s="3"/>
      <c r="C965" s="3" t="str">
        <f>IFERROR(VLOOKUP(B965,Sessions!A:J,2,FALSE),"")</f>
        <v/>
      </c>
      <c r="D965" s="3" t="str">
        <f>IFERROR(VLOOKUP(B965,Sessions!A:J,3,FALSE),"")</f>
        <v/>
      </c>
      <c r="E965" s="3"/>
      <c r="F965" s="3" t="str">
        <f>IFERROR(VLOOKUP(E965,Employees!A:L,2,FALSE),"")</f>
        <v/>
      </c>
      <c r="G965" s="3" t="str">
        <f>IFERROR(VLOOKUP(E965,Employees!A:L,3,FALSE),"")</f>
        <v/>
      </c>
      <c r="H965" s="3"/>
      <c r="I965" s="3"/>
      <c r="J965" s="3"/>
      <c r="K965" s="3" t="str">
        <f>IF(B965="","",IF(OR(E965="",H965=""),"ناقص",IF(H965="نعم","مكتمل","غائب")))</f>
        <v/>
      </c>
      <c r="L965" s="3"/>
    </row>
    <row r="966" spans="1:12" x14ac:dyDescent="0.2">
      <c r="A966" s="3">
        <v>963</v>
      </c>
      <c r="B966" s="3"/>
      <c r="C966" s="3" t="str">
        <f>IFERROR(VLOOKUP(B966,Sessions!A:J,2,FALSE),"")</f>
        <v/>
      </c>
      <c r="D966" s="3" t="str">
        <f>IFERROR(VLOOKUP(B966,Sessions!A:J,3,FALSE),"")</f>
        <v/>
      </c>
      <c r="E966" s="3"/>
      <c r="F966" s="3" t="str">
        <f>IFERROR(VLOOKUP(E966,Employees!A:L,2,FALSE),"")</f>
        <v/>
      </c>
      <c r="G966" s="3" t="str">
        <f>IFERROR(VLOOKUP(E966,Employees!A:L,3,FALSE),"")</f>
        <v/>
      </c>
      <c r="H966" s="3"/>
      <c r="I966" s="3"/>
      <c r="J966" s="3"/>
      <c r="K966" s="3" t="str">
        <f>IF(B966="","",IF(OR(E966="",H966=""),"ناقص",IF(H966="نعم","مكتمل","غائب")))</f>
        <v/>
      </c>
      <c r="L966" s="3"/>
    </row>
    <row r="967" spans="1:12" x14ac:dyDescent="0.2">
      <c r="A967" s="3">
        <v>964</v>
      </c>
      <c r="B967" s="3"/>
      <c r="C967" s="3" t="str">
        <f>IFERROR(VLOOKUP(B967,Sessions!A:J,2,FALSE),"")</f>
        <v/>
      </c>
      <c r="D967" s="3" t="str">
        <f>IFERROR(VLOOKUP(B967,Sessions!A:J,3,FALSE),"")</f>
        <v/>
      </c>
      <c r="E967" s="3"/>
      <c r="F967" s="3" t="str">
        <f>IFERROR(VLOOKUP(E967,Employees!A:L,2,FALSE),"")</f>
        <v/>
      </c>
      <c r="G967" s="3" t="str">
        <f>IFERROR(VLOOKUP(E967,Employees!A:L,3,FALSE),"")</f>
        <v/>
      </c>
      <c r="H967" s="3"/>
      <c r="I967" s="3"/>
      <c r="J967" s="3"/>
      <c r="K967" s="3" t="str">
        <f>IF(B967="","",IF(OR(E967="",H967=""),"ناقص",IF(H967="نعم","مكتمل","غائب")))</f>
        <v/>
      </c>
      <c r="L967" s="3"/>
    </row>
    <row r="968" spans="1:12" x14ac:dyDescent="0.2">
      <c r="A968" s="3">
        <v>965</v>
      </c>
      <c r="B968" s="3"/>
      <c r="C968" s="3" t="str">
        <f>IFERROR(VLOOKUP(B968,Sessions!A:J,2,FALSE),"")</f>
        <v/>
      </c>
      <c r="D968" s="3" t="str">
        <f>IFERROR(VLOOKUP(B968,Sessions!A:J,3,FALSE),"")</f>
        <v/>
      </c>
      <c r="E968" s="3"/>
      <c r="F968" s="3" t="str">
        <f>IFERROR(VLOOKUP(E968,Employees!A:L,2,FALSE),"")</f>
        <v/>
      </c>
      <c r="G968" s="3" t="str">
        <f>IFERROR(VLOOKUP(E968,Employees!A:L,3,FALSE),"")</f>
        <v/>
      </c>
      <c r="H968" s="3"/>
      <c r="I968" s="3"/>
      <c r="J968" s="3"/>
      <c r="K968" s="3" t="str">
        <f>IF(B968="","",IF(OR(E968="",H968=""),"ناقص",IF(H968="نعم","مكتمل","غائب")))</f>
        <v/>
      </c>
      <c r="L968" s="3"/>
    </row>
    <row r="969" spans="1:12" x14ac:dyDescent="0.2">
      <c r="A969" s="3">
        <v>966</v>
      </c>
      <c r="B969" s="3"/>
      <c r="C969" s="3" t="str">
        <f>IFERROR(VLOOKUP(B969,Sessions!A:J,2,FALSE),"")</f>
        <v/>
      </c>
      <c r="D969" s="3" t="str">
        <f>IFERROR(VLOOKUP(B969,Sessions!A:J,3,FALSE),"")</f>
        <v/>
      </c>
      <c r="E969" s="3"/>
      <c r="F969" s="3" t="str">
        <f>IFERROR(VLOOKUP(E969,Employees!A:L,2,FALSE),"")</f>
        <v/>
      </c>
      <c r="G969" s="3" t="str">
        <f>IFERROR(VLOOKUP(E969,Employees!A:L,3,FALSE),"")</f>
        <v/>
      </c>
      <c r="H969" s="3"/>
      <c r="I969" s="3"/>
      <c r="J969" s="3"/>
      <c r="K969" s="3" t="str">
        <f>IF(B969="","",IF(OR(E969="",H969=""),"ناقص",IF(H969="نعم","مكتمل","غائب")))</f>
        <v/>
      </c>
      <c r="L969" s="3"/>
    </row>
    <row r="970" spans="1:12" x14ac:dyDescent="0.2">
      <c r="A970" s="3">
        <v>967</v>
      </c>
      <c r="B970" s="3"/>
      <c r="C970" s="3" t="str">
        <f>IFERROR(VLOOKUP(B970,Sessions!A:J,2,FALSE),"")</f>
        <v/>
      </c>
      <c r="D970" s="3" t="str">
        <f>IFERROR(VLOOKUP(B970,Sessions!A:J,3,FALSE),"")</f>
        <v/>
      </c>
      <c r="E970" s="3"/>
      <c r="F970" s="3" t="str">
        <f>IFERROR(VLOOKUP(E970,Employees!A:L,2,FALSE),"")</f>
        <v/>
      </c>
      <c r="G970" s="3" t="str">
        <f>IFERROR(VLOOKUP(E970,Employees!A:L,3,FALSE),"")</f>
        <v/>
      </c>
      <c r="H970" s="3"/>
      <c r="I970" s="3"/>
      <c r="J970" s="3"/>
      <c r="K970" s="3" t="str">
        <f>IF(B970="","",IF(OR(E970="",H970=""),"ناقص",IF(H970="نعم","مكتمل","غائب")))</f>
        <v/>
      </c>
      <c r="L970" s="3"/>
    </row>
    <row r="971" spans="1:12" x14ac:dyDescent="0.2">
      <c r="A971" s="3">
        <v>968</v>
      </c>
      <c r="B971" s="3"/>
      <c r="C971" s="3" t="str">
        <f>IFERROR(VLOOKUP(B971,Sessions!A:J,2,FALSE),"")</f>
        <v/>
      </c>
      <c r="D971" s="3" t="str">
        <f>IFERROR(VLOOKUP(B971,Sessions!A:J,3,FALSE),"")</f>
        <v/>
      </c>
      <c r="E971" s="3"/>
      <c r="F971" s="3" t="str">
        <f>IFERROR(VLOOKUP(E971,Employees!A:L,2,FALSE),"")</f>
        <v/>
      </c>
      <c r="G971" s="3" t="str">
        <f>IFERROR(VLOOKUP(E971,Employees!A:L,3,FALSE),"")</f>
        <v/>
      </c>
      <c r="H971" s="3"/>
      <c r="I971" s="3"/>
      <c r="J971" s="3"/>
      <c r="K971" s="3" t="str">
        <f>IF(B971="","",IF(OR(E971="",H971=""),"ناقص",IF(H971="نعم","مكتمل","غائب")))</f>
        <v/>
      </c>
      <c r="L971" s="3"/>
    </row>
    <row r="972" spans="1:12" x14ac:dyDescent="0.2">
      <c r="A972" s="3">
        <v>969</v>
      </c>
      <c r="B972" s="3"/>
      <c r="C972" s="3" t="str">
        <f>IFERROR(VLOOKUP(B972,Sessions!A:J,2,FALSE),"")</f>
        <v/>
      </c>
      <c r="D972" s="3" t="str">
        <f>IFERROR(VLOOKUP(B972,Sessions!A:J,3,FALSE),"")</f>
        <v/>
      </c>
      <c r="E972" s="3"/>
      <c r="F972" s="3" t="str">
        <f>IFERROR(VLOOKUP(E972,Employees!A:L,2,FALSE),"")</f>
        <v/>
      </c>
      <c r="G972" s="3" t="str">
        <f>IFERROR(VLOOKUP(E972,Employees!A:L,3,FALSE),"")</f>
        <v/>
      </c>
      <c r="H972" s="3"/>
      <c r="I972" s="3"/>
      <c r="J972" s="3"/>
      <c r="K972" s="3" t="str">
        <f>IF(B972="","",IF(OR(E972="",H972=""),"ناقص",IF(H972="نعم","مكتمل","غائب")))</f>
        <v/>
      </c>
      <c r="L972" s="3"/>
    </row>
    <row r="973" spans="1:12" x14ac:dyDescent="0.2">
      <c r="A973" s="3">
        <v>970</v>
      </c>
      <c r="B973" s="3"/>
      <c r="C973" s="3" t="str">
        <f>IFERROR(VLOOKUP(B973,Sessions!A:J,2,FALSE),"")</f>
        <v/>
      </c>
      <c r="D973" s="3" t="str">
        <f>IFERROR(VLOOKUP(B973,Sessions!A:J,3,FALSE),"")</f>
        <v/>
      </c>
      <c r="E973" s="3"/>
      <c r="F973" s="3" t="str">
        <f>IFERROR(VLOOKUP(E973,Employees!A:L,2,FALSE),"")</f>
        <v/>
      </c>
      <c r="G973" s="3" t="str">
        <f>IFERROR(VLOOKUP(E973,Employees!A:L,3,FALSE),"")</f>
        <v/>
      </c>
      <c r="H973" s="3"/>
      <c r="I973" s="3"/>
      <c r="J973" s="3"/>
      <c r="K973" s="3" t="str">
        <f>IF(B973="","",IF(OR(E973="",H973=""),"ناقص",IF(H973="نعم","مكتمل","غائب")))</f>
        <v/>
      </c>
      <c r="L973" s="3"/>
    </row>
    <row r="974" spans="1:12" x14ac:dyDescent="0.2">
      <c r="A974" s="3">
        <v>971</v>
      </c>
      <c r="B974" s="3"/>
      <c r="C974" s="3" t="str">
        <f>IFERROR(VLOOKUP(B974,Sessions!A:J,2,FALSE),"")</f>
        <v/>
      </c>
      <c r="D974" s="3" t="str">
        <f>IFERROR(VLOOKUP(B974,Sessions!A:J,3,FALSE),"")</f>
        <v/>
      </c>
      <c r="E974" s="3"/>
      <c r="F974" s="3" t="str">
        <f>IFERROR(VLOOKUP(E974,Employees!A:L,2,FALSE),"")</f>
        <v/>
      </c>
      <c r="G974" s="3" t="str">
        <f>IFERROR(VLOOKUP(E974,Employees!A:L,3,FALSE),"")</f>
        <v/>
      </c>
      <c r="H974" s="3"/>
      <c r="I974" s="3"/>
      <c r="J974" s="3"/>
      <c r="K974" s="3" t="str">
        <f>IF(B974="","",IF(OR(E974="",H974=""),"ناقص",IF(H974="نعم","مكتمل","غائب")))</f>
        <v/>
      </c>
      <c r="L974" s="3"/>
    </row>
    <row r="975" spans="1:12" x14ac:dyDescent="0.2">
      <c r="A975" s="3">
        <v>972</v>
      </c>
      <c r="B975" s="3"/>
      <c r="C975" s="3" t="str">
        <f>IFERROR(VLOOKUP(B975,Sessions!A:J,2,FALSE),"")</f>
        <v/>
      </c>
      <c r="D975" s="3" t="str">
        <f>IFERROR(VLOOKUP(B975,Sessions!A:J,3,FALSE),"")</f>
        <v/>
      </c>
      <c r="E975" s="3"/>
      <c r="F975" s="3" t="str">
        <f>IFERROR(VLOOKUP(E975,Employees!A:L,2,FALSE),"")</f>
        <v/>
      </c>
      <c r="G975" s="3" t="str">
        <f>IFERROR(VLOOKUP(E975,Employees!A:L,3,FALSE),"")</f>
        <v/>
      </c>
      <c r="H975" s="3"/>
      <c r="I975" s="3"/>
      <c r="J975" s="3"/>
      <c r="K975" s="3" t="str">
        <f>IF(B975="","",IF(OR(E975="",H975=""),"ناقص",IF(H975="نعم","مكتمل","غائب")))</f>
        <v/>
      </c>
      <c r="L975" s="3"/>
    </row>
    <row r="976" spans="1:12" x14ac:dyDescent="0.2">
      <c r="A976" s="3">
        <v>973</v>
      </c>
      <c r="B976" s="3"/>
      <c r="C976" s="3" t="str">
        <f>IFERROR(VLOOKUP(B976,Sessions!A:J,2,FALSE),"")</f>
        <v/>
      </c>
      <c r="D976" s="3" t="str">
        <f>IFERROR(VLOOKUP(B976,Sessions!A:J,3,FALSE),"")</f>
        <v/>
      </c>
      <c r="E976" s="3"/>
      <c r="F976" s="3" t="str">
        <f>IFERROR(VLOOKUP(E976,Employees!A:L,2,FALSE),"")</f>
        <v/>
      </c>
      <c r="G976" s="3" t="str">
        <f>IFERROR(VLOOKUP(E976,Employees!A:L,3,FALSE),"")</f>
        <v/>
      </c>
      <c r="H976" s="3"/>
      <c r="I976" s="3"/>
      <c r="J976" s="3"/>
      <c r="K976" s="3" t="str">
        <f>IF(B976="","",IF(OR(E976="",H976=""),"ناقص",IF(H976="نعم","مكتمل","غائب")))</f>
        <v/>
      </c>
      <c r="L976" s="3"/>
    </row>
    <row r="977" spans="1:12" x14ac:dyDescent="0.2">
      <c r="A977" s="3">
        <v>974</v>
      </c>
      <c r="B977" s="3"/>
      <c r="C977" s="3" t="str">
        <f>IFERROR(VLOOKUP(B977,Sessions!A:J,2,FALSE),"")</f>
        <v/>
      </c>
      <c r="D977" s="3" t="str">
        <f>IFERROR(VLOOKUP(B977,Sessions!A:J,3,FALSE),"")</f>
        <v/>
      </c>
      <c r="E977" s="3"/>
      <c r="F977" s="3" t="str">
        <f>IFERROR(VLOOKUP(E977,Employees!A:L,2,FALSE),"")</f>
        <v/>
      </c>
      <c r="G977" s="3" t="str">
        <f>IFERROR(VLOOKUP(E977,Employees!A:L,3,FALSE),"")</f>
        <v/>
      </c>
      <c r="H977" s="3"/>
      <c r="I977" s="3"/>
      <c r="J977" s="3"/>
      <c r="K977" s="3" t="str">
        <f>IF(B977="","",IF(OR(E977="",H977=""),"ناقص",IF(H977="نعم","مكتمل","غائب")))</f>
        <v/>
      </c>
      <c r="L977" s="3"/>
    </row>
    <row r="978" spans="1:12" x14ac:dyDescent="0.2">
      <c r="A978" s="3">
        <v>975</v>
      </c>
      <c r="B978" s="3"/>
      <c r="C978" s="3" t="str">
        <f>IFERROR(VLOOKUP(B978,Sessions!A:J,2,FALSE),"")</f>
        <v/>
      </c>
      <c r="D978" s="3" t="str">
        <f>IFERROR(VLOOKUP(B978,Sessions!A:J,3,FALSE),"")</f>
        <v/>
      </c>
      <c r="E978" s="3"/>
      <c r="F978" s="3" t="str">
        <f>IFERROR(VLOOKUP(E978,Employees!A:L,2,FALSE),"")</f>
        <v/>
      </c>
      <c r="G978" s="3" t="str">
        <f>IFERROR(VLOOKUP(E978,Employees!A:L,3,FALSE),"")</f>
        <v/>
      </c>
      <c r="H978" s="3"/>
      <c r="I978" s="3"/>
      <c r="J978" s="3"/>
      <c r="K978" s="3" t="str">
        <f>IF(B978="","",IF(OR(E978="",H978=""),"ناقص",IF(H978="نعم","مكتمل","غائب")))</f>
        <v/>
      </c>
      <c r="L978" s="3"/>
    </row>
    <row r="979" spans="1:12" x14ac:dyDescent="0.2">
      <c r="A979" s="3">
        <v>976</v>
      </c>
      <c r="B979" s="3"/>
      <c r="C979" s="3" t="str">
        <f>IFERROR(VLOOKUP(B979,Sessions!A:J,2,FALSE),"")</f>
        <v/>
      </c>
      <c r="D979" s="3" t="str">
        <f>IFERROR(VLOOKUP(B979,Sessions!A:J,3,FALSE),"")</f>
        <v/>
      </c>
      <c r="E979" s="3"/>
      <c r="F979" s="3" t="str">
        <f>IFERROR(VLOOKUP(E979,Employees!A:L,2,FALSE),"")</f>
        <v/>
      </c>
      <c r="G979" s="3" t="str">
        <f>IFERROR(VLOOKUP(E979,Employees!A:L,3,FALSE),"")</f>
        <v/>
      </c>
      <c r="H979" s="3"/>
      <c r="I979" s="3"/>
      <c r="J979" s="3"/>
      <c r="K979" s="3" t="str">
        <f>IF(B979="","",IF(OR(E979="",H979=""),"ناقص",IF(H979="نعم","مكتمل","غائب")))</f>
        <v/>
      </c>
      <c r="L979" s="3"/>
    </row>
    <row r="980" spans="1:12" x14ac:dyDescent="0.2">
      <c r="A980" s="3">
        <v>977</v>
      </c>
      <c r="B980" s="3"/>
      <c r="C980" s="3" t="str">
        <f>IFERROR(VLOOKUP(B980,Sessions!A:J,2,FALSE),"")</f>
        <v/>
      </c>
      <c r="D980" s="3" t="str">
        <f>IFERROR(VLOOKUP(B980,Sessions!A:J,3,FALSE),"")</f>
        <v/>
      </c>
      <c r="E980" s="3"/>
      <c r="F980" s="3" t="str">
        <f>IFERROR(VLOOKUP(E980,Employees!A:L,2,FALSE),"")</f>
        <v/>
      </c>
      <c r="G980" s="3" t="str">
        <f>IFERROR(VLOOKUP(E980,Employees!A:L,3,FALSE),"")</f>
        <v/>
      </c>
      <c r="H980" s="3"/>
      <c r="I980" s="3"/>
      <c r="J980" s="3"/>
      <c r="K980" s="3" t="str">
        <f>IF(B980="","",IF(OR(E980="",H980=""),"ناقص",IF(H980="نعم","مكتمل","غائب")))</f>
        <v/>
      </c>
      <c r="L980" s="3"/>
    </row>
    <row r="981" spans="1:12" x14ac:dyDescent="0.2">
      <c r="A981" s="3">
        <v>978</v>
      </c>
      <c r="B981" s="3"/>
      <c r="C981" s="3" t="str">
        <f>IFERROR(VLOOKUP(B981,Sessions!A:J,2,FALSE),"")</f>
        <v/>
      </c>
      <c r="D981" s="3" t="str">
        <f>IFERROR(VLOOKUP(B981,Sessions!A:J,3,FALSE),"")</f>
        <v/>
      </c>
      <c r="E981" s="3"/>
      <c r="F981" s="3" t="str">
        <f>IFERROR(VLOOKUP(E981,Employees!A:L,2,FALSE),"")</f>
        <v/>
      </c>
      <c r="G981" s="3" t="str">
        <f>IFERROR(VLOOKUP(E981,Employees!A:L,3,FALSE),"")</f>
        <v/>
      </c>
      <c r="H981" s="3"/>
      <c r="I981" s="3"/>
      <c r="J981" s="3"/>
      <c r="K981" s="3" t="str">
        <f>IF(B981="","",IF(OR(E981="",H981=""),"ناقص",IF(H981="نعم","مكتمل","غائب")))</f>
        <v/>
      </c>
      <c r="L981" s="3"/>
    </row>
    <row r="982" spans="1:12" x14ac:dyDescent="0.2">
      <c r="A982" s="3">
        <v>979</v>
      </c>
      <c r="B982" s="3"/>
      <c r="C982" s="3" t="str">
        <f>IFERROR(VLOOKUP(B982,Sessions!A:J,2,FALSE),"")</f>
        <v/>
      </c>
      <c r="D982" s="3" t="str">
        <f>IFERROR(VLOOKUP(B982,Sessions!A:J,3,FALSE),"")</f>
        <v/>
      </c>
      <c r="E982" s="3"/>
      <c r="F982" s="3" t="str">
        <f>IFERROR(VLOOKUP(E982,Employees!A:L,2,FALSE),"")</f>
        <v/>
      </c>
      <c r="G982" s="3" t="str">
        <f>IFERROR(VLOOKUP(E982,Employees!A:L,3,FALSE),"")</f>
        <v/>
      </c>
      <c r="H982" s="3"/>
      <c r="I982" s="3"/>
      <c r="J982" s="3"/>
      <c r="K982" s="3" t="str">
        <f>IF(B982="","",IF(OR(E982="",H982=""),"ناقص",IF(H982="نعم","مكتمل","غائب")))</f>
        <v/>
      </c>
      <c r="L982" s="3"/>
    </row>
    <row r="983" spans="1:12" x14ac:dyDescent="0.2">
      <c r="A983" s="3">
        <v>980</v>
      </c>
      <c r="B983" s="3"/>
      <c r="C983" s="3" t="str">
        <f>IFERROR(VLOOKUP(B983,Sessions!A:J,2,FALSE),"")</f>
        <v/>
      </c>
      <c r="D983" s="3" t="str">
        <f>IFERROR(VLOOKUP(B983,Sessions!A:J,3,FALSE),"")</f>
        <v/>
      </c>
      <c r="E983" s="3"/>
      <c r="F983" s="3" t="str">
        <f>IFERROR(VLOOKUP(E983,Employees!A:L,2,FALSE),"")</f>
        <v/>
      </c>
      <c r="G983" s="3" t="str">
        <f>IFERROR(VLOOKUP(E983,Employees!A:L,3,FALSE),"")</f>
        <v/>
      </c>
      <c r="H983" s="3"/>
      <c r="I983" s="3"/>
      <c r="J983" s="3"/>
      <c r="K983" s="3" t="str">
        <f>IF(B983="","",IF(OR(E983="",H983=""),"ناقص",IF(H983="نعم","مكتمل","غائب")))</f>
        <v/>
      </c>
      <c r="L983" s="3"/>
    </row>
    <row r="984" spans="1:12" x14ac:dyDescent="0.2">
      <c r="A984" s="3">
        <v>981</v>
      </c>
      <c r="B984" s="3"/>
      <c r="C984" s="3" t="str">
        <f>IFERROR(VLOOKUP(B984,Sessions!A:J,2,FALSE),"")</f>
        <v/>
      </c>
      <c r="D984" s="3" t="str">
        <f>IFERROR(VLOOKUP(B984,Sessions!A:J,3,FALSE),"")</f>
        <v/>
      </c>
      <c r="E984" s="3"/>
      <c r="F984" s="3" t="str">
        <f>IFERROR(VLOOKUP(E984,Employees!A:L,2,FALSE),"")</f>
        <v/>
      </c>
      <c r="G984" s="3" t="str">
        <f>IFERROR(VLOOKUP(E984,Employees!A:L,3,FALSE),"")</f>
        <v/>
      </c>
      <c r="H984" s="3"/>
      <c r="I984" s="3"/>
      <c r="J984" s="3"/>
      <c r="K984" s="3" t="str">
        <f>IF(B984="","",IF(OR(E984="",H984=""),"ناقص",IF(H984="نعم","مكتمل","غائب")))</f>
        <v/>
      </c>
      <c r="L984" s="3"/>
    </row>
    <row r="985" spans="1:12" x14ac:dyDescent="0.2">
      <c r="A985" s="3">
        <v>982</v>
      </c>
      <c r="B985" s="3"/>
      <c r="C985" s="3" t="str">
        <f>IFERROR(VLOOKUP(B985,Sessions!A:J,2,FALSE),"")</f>
        <v/>
      </c>
      <c r="D985" s="3" t="str">
        <f>IFERROR(VLOOKUP(B985,Sessions!A:J,3,FALSE),"")</f>
        <v/>
      </c>
      <c r="E985" s="3"/>
      <c r="F985" s="3" t="str">
        <f>IFERROR(VLOOKUP(E985,Employees!A:L,2,FALSE),"")</f>
        <v/>
      </c>
      <c r="G985" s="3" t="str">
        <f>IFERROR(VLOOKUP(E985,Employees!A:L,3,FALSE),"")</f>
        <v/>
      </c>
      <c r="H985" s="3"/>
      <c r="I985" s="3"/>
      <c r="J985" s="3"/>
      <c r="K985" s="3" t="str">
        <f>IF(B985="","",IF(OR(E985="",H985=""),"ناقص",IF(H985="نعم","مكتمل","غائب")))</f>
        <v/>
      </c>
      <c r="L985" s="3"/>
    </row>
    <row r="986" spans="1:12" x14ac:dyDescent="0.2">
      <c r="A986" s="3">
        <v>983</v>
      </c>
      <c r="B986" s="3"/>
      <c r="C986" s="3" t="str">
        <f>IFERROR(VLOOKUP(B986,Sessions!A:J,2,FALSE),"")</f>
        <v/>
      </c>
      <c r="D986" s="3" t="str">
        <f>IFERROR(VLOOKUP(B986,Sessions!A:J,3,FALSE),"")</f>
        <v/>
      </c>
      <c r="E986" s="3"/>
      <c r="F986" s="3" t="str">
        <f>IFERROR(VLOOKUP(E986,Employees!A:L,2,FALSE),"")</f>
        <v/>
      </c>
      <c r="G986" s="3" t="str">
        <f>IFERROR(VLOOKUP(E986,Employees!A:L,3,FALSE),"")</f>
        <v/>
      </c>
      <c r="H986" s="3"/>
      <c r="I986" s="3"/>
      <c r="J986" s="3"/>
      <c r="K986" s="3" t="str">
        <f>IF(B986="","",IF(OR(E986="",H986=""),"ناقص",IF(H986="نعم","مكتمل","غائب")))</f>
        <v/>
      </c>
      <c r="L986" s="3"/>
    </row>
    <row r="987" spans="1:12" x14ac:dyDescent="0.2">
      <c r="A987" s="3">
        <v>984</v>
      </c>
      <c r="B987" s="3"/>
      <c r="C987" s="3" t="str">
        <f>IFERROR(VLOOKUP(B987,Sessions!A:J,2,FALSE),"")</f>
        <v/>
      </c>
      <c r="D987" s="3" t="str">
        <f>IFERROR(VLOOKUP(B987,Sessions!A:J,3,FALSE),"")</f>
        <v/>
      </c>
      <c r="E987" s="3"/>
      <c r="F987" s="3" t="str">
        <f>IFERROR(VLOOKUP(E987,Employees!A:L,2,FALSE),"")</f>
        <v/>
      </c>
      <c r="G987" s="3" t="str">
        <f>IFERROR(VLOOKUP(E987,Employees!A:L,3,FALSE),"")</f>
        <v/>
      </c>
      <c r="H987" s="3"/>
      <c r="I987" s="3"/>
      <c r="J987" s="3"/>
      <c r="K987" s="3" t="str">
        <f>IF(B987="","",IF(OR(E987="",H987=""),"ناقص",IF(H987="نعم","مكتمل","غائب")))</f>
        <v/>
      </c>
      <c r="L987" s="3"/>
    </row>
    <row r="988" spans="1:12" x14ac:dyDescent="0.2">
      <c r="A988" s="3">
        <v>985</v>
      </c>
      <c r="B988" s="3"/>
      <c r="C988" s="3" t="str">
        <f>IFERROR(VLOOKUP(B988,Sessions!A:J,2,FALSE),"")</f>
        <v/>
      </c>
      <c r="D988" s="3" t="str">
        <f>IFERROR(VLOOKUP(B988,Sessions!A:J,3,FALSE),"")</f>
        <v/>
      </c>
      <c r="E988" s="3"/>
      <c r="F988" s="3" t="str">
        <f>IFERROR(VLOOKUP(E988,Employees!A:L,2,FALSE),"")</f>
        <v/>
      </c>
      <c r="G988" s="3" t="str">
        <f>IFERROR(VLOOKUP(E988,Employees!A:L,3,FALSE),"")</f>
        <v/>
      </c>
      <c r="H988" s="3"/>
      <c r="I988" s="3"/>
      <c r="J988" s="3"/>
      <c r="K988" s="3" t="str">
        <f>IF(B988="","",IF(OR(E988="",H988=""),"ناقص",IF(H988="نعم","مكتمل","غائب")))</f>
        <v/>
      </c>
      <c r="L988" s="3"/>
    </row>
    <row r="989" spans="1:12" x14ac:dyDescent="0.2">
      <c r="A989" s="3">
        <v>986</v>
      </c>
      <c r="B989" s="3"/>
      <c r="C989" s="3" t="str">
        <f>IFERROR(VLOOKUP(B989,Sessions!A:J,2,FALSE),"")</f>
        <v/>
      </c>
      <c r="D989" s="3" t="str">
        <f>IFERROR(VLOOKUP(B989,Sessions!A:J,3,FALSE),"")</f>
        <v/>
      </c>
      <c r="E989" s="3"/>
      <c r="F989" s="3" t="str">
        <f>IFERROR(VLOOKUP(E989,Employees!A:L,2,FALSE),"")</f>
        <v/>
      </c>
      <c r="G989" s="3" t="str">
        <f>IFERROR(VLOOKUP(E989,Employees!A:L,3,FALSE),"")</f>
        <v/>
      </c>
      <c r="H989" s="3"/>
      <c r="I989" s="3"/>
      <c r="J989" s="3"/>
      <c r="K989" s="3" t="str">
        <f>IF(B989="","",IF(OR(E989="",H989=""),"ناقص",IF(H989="نعم","مكتمل","غائب")))</f>
        <v/>
      </c>
      <c r="L989" s="3"/>
    </row>
    <row r="990" spans="1:12" x14ac:dyDescent="0.2">
      <c r="A990" s="3">
        <v>987</v>
      </c>
      <c r="B990" s="3"/>
      <c r="C990" s="3" t="str">
        <f>IFERROR(VLOOKUP(B990,Sessions!A:J,2,FALSE),"")</f>
        <v/>
      </c>
      <c r="D990" s="3" t="str">
        <f>IFERROR(VLOOKUP(B990,Sessions!A:J,3,FALSE),"")</f>
        <v/>
      </c>
      <c r="E990" s="3"/>
      <c r="F990" s="3" t="str">
        <f>IFERROR(VLOOKUP(E990,Employees!A:L,2,FALSE),"")</f>
        <v/>
      </c>
      <c r="G990" s="3" t="str">
        <f>IFERROR(VLOOKUP(E990,Employees!A:L,3,FALSE),"")</f>
        <v/>
      </c>
      <c r="H990" s="3"/>
      <c r="I990" s="3"/>
      <c r="J990" s="3"/>
      <c r="K990" s="3" t="str">
        <f>IF(B990="","",IF(OR(E990="",H990=""),"ناقص",IF(H990="نعم","مكتمل","غائب")))</f>
        <v/>
      </c>
      <c r="L990" s="3"/>
    </row>
    <row r="991" spans="1:12" x14ac:dyDescent="0.2">
      <c r="A991" s="3">
        <v>988</v>
      </c>
      <c r="B991" s="3"/>
      <c r="C991" s="3" t="str">
        <f>IFERROR(VLOOKUP(B991,Sessions!A:J,2,FALSE),"")</f>
        <v/>
      </c>
      <c r="D991" s="3" t="str">
        <f>IFERROR(VLOOKUP(B991,Sessions!A:J,3,FALSE),"")</f>
        <v/>
      </c>
      <c r="E991" s="3"/>
      <c r="F991" s="3" t="str">
        <f>IFERROR(VLOOKUP(E991,Employees!A:L,2,FALSE),"")</f>
        <v/>
      </c>
      <c r="G991" s="3" t="str">
        <f>IFERROR(VLOOKUP(E991,Employees!A:L,3,FALSE),"")</f>
        <v/>
      </c>
      <c r="H991" s="3"/>
      <c r="I991" s="3"/>
      <c r="J991" s="3"/>
      <c r="K991" s="3" t="str">
        <f>IF(B991="","",IF(OR(E991="",H991=""),"ناقص",IF(H991="نعم","مكتمل","غائب")))</f>
        <v/>
      </c>
      <c r="L991" s="3"/>
    </row>
    <row r="992" spans="1:12" x14ac:dyDescent="0.2">
      <c r="A992" s="3">
        <v>989</v>
      </c>
      <c r="B992" s="3"/>
      <c r="C992" s="3" t="str">
        <f>IFERROR(VLOOKUP(B992,Sessions!A:J,2,FALSE),"")</f>
        <v/>
      </c>
      <c r="D992" s="3" t="str">
        <f>IFERROR(VLOOKUP(B992,Sessions!A:J,3,FALSE),"")</f>
        <v/>
      </c>
      <c r="E992" s="3"/>
      <c r="F992" s="3" t="str">
        <f>IFERROR(VLOOKUP(E992,Employees!A:L,2,FALSE),"")</f>
        <v/>
      </c>
      <c r="G992" s="3" t="str">
        <f>IFERROR(VLOOKUP(E992,Employees!A:L,3,FALSE),"")</f>
        <v/>
      </c>
      <c r="H992" s="3"/>
      <c r="I992" s="3"/>
      <c r="J992" s="3"/>
      <c r="K992" s="3" t="str">
        <f>IF(B992="","",IF(OR(E992="",H992=""),"ناقص",IF(H992="نعم","مكتمل","غائب")))</f>
        <v/>
      </c>
      <c r="L992" s="3"/>
    </row>
    <row r="993" spans="1:12" x14ac:dyDescent="0.2">
      <c r="A993" s="3">
        <v>990</v>
      </c>
      <c r="B993" s="3"/>
      <c r="C993" s="3" t="str">
        <f>IFERROR(VLOOKUP(B993,Sessions!A:J,2,FALSE),"")</f>
        <v/>
      </c>
      <c r="D993" s="3" t="str">
        <f>IFERROR(VLOOKUP(B993,Sessions!A:J,3,FALSE),"")</f>
        <v/>
      </c>
      <c r="E993" s="3"/>
      <c r="F993" s="3" t="str">
        <f>IFERROR(VLOOKUP(E993,Employees!A:L,2,FALSE),"")</f>
        <v/>
      </c>
      <c r="G993" s="3" t="str">
        <f>IFERROR(VLOOKUP(E993,Employees!A:L,3,FALSE),"")</f>
        <v/>
      </c>
      <c r="H993" s="3"/>
      <c r="I993" s="3"/>
      <c r="J993" s="3"/>
      <c r="K993" s="3" t="str">
        <f>IF(B993="","",IF(OR(E993="",H993=""),"ناقص",IF(H993="نعم","مكتمل","غائب")))</f>
        <v/>
      </c>
      <c r="L993" s="3"/>
    </row>
    <row r="994" spans="1:12" x14ac:dyDescent="0.2">
      <c r="A994" s="3">
        <v>991</v>
      </c>
      <c r="B994" s="3"/>
      <c r="C994" s="3" t="str">
        <f>IFERROR(VLOOKUP(B994,Sessions!A:J,2,FALSE),"")</f>
        <v/>
      </c>
      <c r="D994" s="3" t="str">
        <f>IFERROR(VLOOKUP(B994,Sessions!A:J,3,FALSE),"")</f>
        <v/>
      </c>
      <c r="E994" s="3"/>
      <c r="F994" s="3" t="str">
        <f>IFERROR(VLOOKUP(E994,Employees!A:L,2,FALSE),"")</f>
        <v/>
      </c>
      <c r="G994" s="3" t="str">
        <f>IFERROR(VLOOKUP(E994,Employees!A:L,3,FALSE),"")</f>
        <v/>
      </c>
      <c r="H994" s="3"/>
      <c r="I994" s="3"/>
      <c r="J994" s="3"/>
      <c r="K994" s="3" t="str">
        <f>IF(B994="","",IF(OR(E994="",H994=""),"ناقص",IF(H994="نعم","مكتمل","غائب")))</f>
        <v/>
      </c>
      <c r="L994" s="3"/>
    </row>
    <row r="995" spans="1:12" x14ac:dyDescent="0.2">
      <c r="A995" s="3">
        <v>992</v>
      </c>
      <c r="B995" s="3"/>
      <c r="C995" s="3" t="str">
        <f>IFERROR(VLOOKUP(B995,Sessions!A:J,2,FALSE),"")</f>
        <v/>
      </c>
      <c r="D995" s="3" t="str">
        <f>IFERROR(VLOOKUP(B995,Sessions!A:J,3,FALSE),"")</f>
        <v/>
      </c>
      <c r="E995" s="3"/>
      <c r="F995" s="3" t="str">
        <f>IFERROR(VLOOKUP(E995,Employees!A:L,2,FALSE),"")</f>
        <v/>
      </c>
      <c r="G995" s="3" t="str">
        <f>IFERROR(VLOOKUP(E995,Employees!A:L,3,FALSE),"")</f>
        <v/>
      </c>
      <c r="H995" s="3"/>
      <c r="I995" s="3"/>
      <c r="J995" s="3"/>
      <c r="K995" s="3" t="str">
        <f>IF(B995="","",IF(OR(E995="",H995=""),"ناقص",IF(H995="نعم","مكتمل","غائب")))</f>
        <v/>
      </c>
      <c r="L995" s="3"/>
    </row>
    <row r="996" spans="1:12" x14ac:dyDescent="0.2">
      <c r="A996" s="3">
        <v>993</v>
      </c>
      <c r="B996" s="3"/>
      <c r="C996" s="3" t="str">
        <f>IFERROR(VLOOKUP(B996,Sessions!A:J,2,FALSE),"")</f>
        <v/>
      </c>
      <c r="D996" s="3" t="str">
        <f>IFERROR(VLOOKUP(B996,Sessions!A:J,3,FALSE),"")</f>
        <v/>
      </c>
      <c r="E996" s="3"/>
      <c r="F996" s="3" t="str">
        <f>IFERROR(VLOOKUP(E996,Employees!A:L,2,FALSE),"")</f>
        <v/>
      </c>
      <c r="G996" s="3" t="str">
        <f>IFERROR(VLOOKUP(E996,Employees!A:L,3,FALSE),"")</f>
        <v/>
      </c>
      <c r="H996" s="3"/>
      <c r="I996" s="3"/>
      <c r="J996" s="3"/>
      <c r="K996" s="3" t="str">
        <f>IF(B996="","",IF(OR(E996="",H996=""),"ناقص",IF(H996="نعم","مكتمل","غائب")))</f>
        <v/>
      </c>
      <c r="L996" s="3"/>
    </row>
    <row r="997" spans="1:12" x14ac:dyDescent="0.2">
      <c r="A997" s="3">
        <v>994</v>
      </c>
      <c r="B997" s="3"/>
      <c r="C997" s="3" t="str">
        <f>IFERROR(VLOOKUP(B997,Sessions!A:J,2,FALSE),"")</f>
        <v/>
      </c>
      <c r="D997" s="3" t="str">
        <f>IFERROR(VLOOKUP(B997,Sessions!A:J,3,FALSE),"")</f>
        <v/>
      </c>
      <c r="E997" s="3"/>
      <c r="F997" s="3" t="str">
        <f>IFERROR(VLOOKUP(E997,Employees!A:L,2,FALSE),"")</f>
        <v/>
      </c>
      <c r="G997" s="3" t="str">
        <f>IFERROR(VLOOKUP(E997,Employees!A:L,3,FALSE),"")</f>
        <v/>
      </c>
      <c r="H997" s="3"/>
      <c r="I997" s="3"/>
      <c r="J997" s="3"/>
      <c r="K997" s="3" t="str">
        <f>IF(B997="","",IF(OR(E997="",H997=""),"ناقص",IF(H997="نعم","مكتمل","غائب")))</f>
        <v/>
      </c>
      <c r="L997" s="3"/>
    </row>
    <row r="998" spans="1:12" x14ac:dyDescent="0.2">
      <c r="A998" s="3">
        <v>995</v>
      </c>
      <c r="B998" s="3"/>
      <c r="C998" s="3" t="str">
        <f>IFERROR(VLOOKUP(B998,Sessions!A:J,2,FALSE),"")</f>
        <v/>
      </c>
      <c r="D998" s="3" t="str">
        <f>IFERROR(VLOOKUP(B998,Sessions!A:J,3,FALSE),"")</f>
        <v/>
      </c>
      <c r="E998" s="3"/>
      <c r="F998" s="3" t="str">
        <f>IFERROR(VLOOKUP(E998,Employees!A:L,2,FALSE),"")</f>
        <v/>
      </c>
      <c r="G998" s="3" t="str">
        <f>IFERROR(VLOOKUP(E998,Employees!A:L,3,FALSE),"")</f>
        <v/>
      </c>
      <c r="H998" s="3"/>
      <c r="I998" s="3"/>
      <c r="J998" s="3"/>
      <c r="K998" s="3" t="str">
        <f>IF(B998="","",IF(OR(E998="",H998=""),"ناقص",IF(H998="نعم","مكتمل","غائب")))</f>
        <v/>
      </c>
      <c r="L998" s="3"/>
    </row>
    <row r="999" spans="1:12" x14ac:dyDescent="0.2">
      <c r="A999" s="3">
        <v>996</v>
      </c>
      <c r="B999" s="3"/>
      <c r="C999" s="3" t="str">
        <f>IFERROR(VLOOKUP(B999,Sessions!A:J,2,FALSE),"")</f>
        <v/>
      </c>
      <c r="D999" s="3" t="str">
        <f>IFERROR(VLOOKUP(B999,Sessions!A:J,3,FALSE),"")</f>
        <v/>
      </c>
      <c r="E999" s="3"/>
      <c r="F999" s="3" t="str">
        <f>IFERROR(VLOOKUP(E999,Employees!A:L,2,FALSE),"")</f>
        <v/>
      </c>
      <c r="G999" s="3" t="str">
        <f>IFERROR(VLOOKUP(E999,Employees!A:L,3,FALSE),"")</f>
        <v/>
      </c>
      <c r="H999" s="3"/>
      <c r="I999" s="3"/>
      <c r="J999" s="3"/>
      <c r="K999" s="3" t="str">
        <f>IF(B999="","",IF(OR(E999="",H999=""),"ناقص",IF(H999="نعم","مكتمل","غائب")))</f>
        <v/>
      </c>
      <c r="L999" s="3"/>
    </row>
    <row r="1000" spans="1:12" x14ac:dyDescent="0.2">
      <c r="A1000" s="3">
        <v>997</v>
      </c>
      <c r="B1000" s="3"/>
      <c r="C1000" s="3" t="str">
        <f>IFERROR(VLOOKUP(B1000,Sessions!A:J,2,FALSE),"")</f>
        <v/>
      </c>
      <c r="D1000" s="3" t="str">
        <f>IFERROR(VLOOKUP(B1000,Sessions!A:J,3,FALSE),"")</f>
        <v/>
      </c>
      <c r="E1000" s="3"/>
      <c r="F1000" s="3" t="str">
        <f>IFERROR(VLOOKUP(E1000,Employees!A:L,2,FALSE),"")</f>
        <v/>
      </c>
      <c r="G1000" s="3" t="str">
        <f>IFERROR(VLOOKUP(E1000,Employees!A:L,3,FALSE),"")</f>
        <v/>
      </c>
      <c r="H1000" s="3"/>
      <c r="I1000" s="3"/>
      <c r="J1000" s="3"/>
      <c r="K1000" s="3" t="str">
        <f>IF(B1000="","",IF(OR(E1000="",H1000=""),"ناقص",IF(H1000="نعم","مكتمل","غائب")))</f>
        <v/>
      </c>
      <c r="L1000" s="3"/>
    </row>
    <row r="1001" spans="1:12" x14ac:dyDescent="0.2">
      <c r="A1001" s="3">
        <v>998</v>
      </c>
      <c r="B1001" s="3"/>
      <c r="C1001" s="3" t="str">
        <f>IFERROR(VLOOKUP(B1001,Sessions!A:J,2,FALSE),"")</f>
        <v/>
      </c>
      <c r="D1001" s="3" t="str">
        <f>IFERROR(VLOOKUP(B1001,Sessions!A:J,3,FALSE),"")</f>
        <v/>
      </c>
      <c r="E1001" s="3"/>
      <c r="F1001" s="3" t="str">
        <f>IFERROR(VLOOKUP(E1001,Employees!A:L,2,FALSE),"")</f>
        <v/>
      </c>
      <c r="G1001" s="3" t="str">
        <f>IFERROR(VLOOKUP(E1001,Employees!A:L,3,FALSE),"")</f>
        <v/>
      </c>
      <c r="H1001" s="3"/>
      <c r="I1001" s="3"/>
      <c r="J1001" s="3"/>
      <c r="K1001" s="3" t="str">
        <f>IF(B1001="","",IF(OR(E1001="",H1001=""),"ناقص",IF(H1001="نعم","مكتمل","غائب")))</f>
        <v/>
      </c>
      <c r="L1001" s="3"/>
    </row>
    <row r="1002" spans="1:12" x14ac:dyDescent="0.2">
      <c r="A1002" s="3">
        <v>999</v>
      </c>
      <c r="B1002" s="3"/>
      <c r="C1002" s="3" t="str">
        <f>IFERROR(VLOOKUP(B1002,Sessions!A:J,2,FALSE),"")</f>
        <v/>
      </c>
      <c r="D1002" s="3" t="str">
        <f>IFERROR(VLOOKUP(B1002,Sessions!A:J,3,FALSE),"")</f>
        <v/>
      </c>
      <c r="E1002" s="3"/>
      <c r="F1002" s="3" t="str">
        <f>IFERROR(VLOOKUP(E1002,Employees!A:L,2,FALSE),"")</f>
        <v/>
      </c>
      <c r="G1002" s="3" t="str">
        <f>IFERROR(VLOOKUP(E1002,Employees!A:L,3,FALSE),"")</f>
        <v/>
      </c>
      <c r="H1002" s="3"/>
      <c r="I1002" s="3"/>
      <c r="J1002" s="3"/>
      <c r="K1002" s="3" t="str">
        <f>IF(B1002="","",IF(OR(E1002="",H1002=""),"ناقص",IF(H1002="نعم","مكتمل","غائب")))</f>
        <v/>
      </c>
      <c r="L1002" s="3"/>
    </row>
    <row r="1003" spans="1:12" x14ac:dyDescent="0.2">
      <c r="A1003" s="3">
        <v>1000</v>
      </c>
      <c r="B1003" s="3"/>
      <c r="C1003" s="3" t="str">
        <f>IFERROR(VLOOKUP(B1003,Sessions!A:J,2,FALSE),"")</f>
        <v/>
      </c>
      <c r="D1003" s="3" t="str">
        <f>IFERROR(VLOOKUP(B1003,Sessions!A:J,3,FALSE),"")</f>
        <v/>
      </c>
      <c r="E1003" s="3"/>
      <c r="F1003" s="3" t="str">
        <f>IFERROR(VLOOKUP(E1003,Employees!A:L,2,FALSE),"")</f>
        <v/>
      </c>
      <c r="G1003" s="3" t="str">
        <f>IFERROR(VLOOKUP(E1003,Employees!A:L,3,FALSE),"")</f>
        <v/>
      </c>
      <c r="H1003" s="3"/>
      <c r="I1003" s="3"/>
      <c r="J1003" s="3"/>
      <c r="K1003" s="3" t="str">
        <f>IF(B1003="","",IF(OR(E1003="",H1003=""),"ناقص",IF(H1003="نعم","مكتمل","غائب")))</f>
        <v/>
      </c>
      <c r="L1003" s="3"/>
    </row>
  </sheetData>
  <mergeCells count="1">
    <mergeCell ref="A1:L1"/>
  </mergeCells>
  <dataValidations count="3">
    <dataValidation type="list" allowBlank="1" showInputMessage="1" showErrorMessage="1" sqref="B4:B1003" xr:uid="{EB3AC49A-04D7-4F61-92A0-A327D69850B8}">
      <formula1>"SES-001,SES-002"</formula1>
    </dataValidation>
    <dataValidation type="list" allowBlank="1" showInputMessage="1" showErrorMessage="1" sqref="E4:E1003" xr:uid="{2EFB79E3-6D7A-42DB-9653-42575954B412}">
      <formula1>"EMP-001,EMP-002,EMP-003"</formula1>
    </dataValidation>
    <dataValidation type="list" allowBlank="1" showInputMessage="1" showErrorMessage="1" sqref="H4:H1003" xr:uid="{F38DB5F7-2977-4DCF-AA89-2289D4494F6F}">
      <formula1>"نعم,لا"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7EAA-7FF3-4F1C-A350-36C3ABB6A6BA}">
  <dimension ref="A1:J203"/>
  <sheetViews>
    <sheetView rightToLeft="1" workbookViewId="0">
      <pane ySplit="3" topLeftCell="A4" activePane="bottomLeft" state="frozenSplit"/>
      <selection pane="bottomLeft" sqref="A1:J1"/>
    </sheetView>
  </sheetViews>
  <sheetFormatPr defaultRowHeight="12.75" x14ac:dyDescent="0.2"/>
  <cols>
    <col min="1" max="1" width="12.42578125" style="1" bestFit="1" customWidth="1"/>
    <col min="2" max="2" width="12.28515625" style="1" bestFit="1" customWidth="1"/>
    <col min="3" max="3" width="14.140625" style="1" bestFit="1" customWidth="1"/>
    <col min="4" max="4" width="9.28515625" style="1" bestFit="1" customWidth="1"/>
    <col min="5" max="5" width="9.7109375" style="1" bestFit="1" customWidth="1"/>
    <col min="6" max="6" width="9" style="1" bestFit="1" customWidth="1"/>
    <col min="7" max="7" width="13.28515625" style="1" bestFit="1" customWidth="1"/>
    <col min="8" max="8" width="14.140625" style="1" bestFit="1" customWidth="1"/>
    <col min="9" max="9" width="9.42578125" style="1" bestFit="1" customWidth="1"/>
    <col min="10" max="10" width="12.85546875" style="1" bestFit="1" customWidth="1"/>
    <col min="11" max="16384" width="9.140625" style="1"/>
  </cols>
  <sheetData>
    <row r="1" spans="1:10" x14ac:dyDescent="0.2">
      <c r="A1" s="2" t="s">
        <v>246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">
      <c r="A3" s="4" t="s">
        <v>247</v>
      </c>
      <c r="B3" s="4" t="s">
        <v>146</v>
      </c>
      <c r="C3" s="4" t="s">
        <v>153</v>
      </c>
      <c r="D3" s="4" t="s">
        <v>248</v>
      </c>
      <c r="E3" s="4" t="s">
        <v>249</v>
      </c>
      <c r="F3" s="4" t="s">
        <v>250</v>
      </c>
      <c r="G3" s="4" t="s">
        <v>154</v>
      </c>
      <c r="H3" s="4" t="s">
        <v>19</v>
      </c>
      <c r="I3" s="4" t="s">
        <v>251</v>
      </c>
      <c r="J3" s="4" t="s">
        <v>252</v>
      </c>
    </row>
    <row r="4" spans="1:10" ht="25.5" x14ac:dyDescent="0.2">
      <c r="A4" s="3" t="s">
        <v>253</v>
      </c>
      <c r="B4" s="3" t="s">
        <v>157</v>
      </c>
      <c r="C4" s="3" t="s">
        <v>163</v>
      </c>
      <c r="D4" s="3" t="s">
        <v>254</v>
      </c>
      <c r="E4" s="3" t="s">
        <v>15</v>
      </c>
      <c r="F4" s="3">
        <v>25</v>
      </c>
      <c r="G4" s="3" t="e">
        <f>IF(A4="","",COUNTIFS([1]Attendance!B:B,B4,[1]Attendance!J:J,C4,[1]Attendance!F:F,"نعم"))</f>
        <v>#VALUE!</v>
      </c>
      <c r="H4" s="6">
        <f>IFERROR(G4/F4,0)</f>
        <v>0</v>
      </c>
      <c r="I4" s="3"/>
      <c r="J4" s="3" t="s">
        <v>164</v>
      </c>
    </row>
    <row r="5" spans="1:10" ht="25.5" x14ac:dyDescent="0.2">
      <c r="A5" s="3" t="s">
        <v>255</v>
      </c>
      <c r="B5" s="3" t="s">
        <v>165</v>
      </c>
      <c r="C5" s="3" t="s">
        <v>169</v>
      </c>
      <c r="D5" s="3" t="s">
        <v>254</v>
      </c>
      <c r="E5" s="3" t="s">
        <v>15</v>
      </c>
      <c r="F5" s="3">
        <v>30</v>
      </c>
      <c r="G5" s="3" t="e">
        <f>IF(A5="","",COUNTIFS([1]Attendance!B:B,B5,[1]Attendance!J:J,C5,[1]Attendance!F:F,"نعم"))</f>
        <v>#VALUE!</v>
      </c>
      <c r="H5" s="6">
        <f>IFERROR(G5/F5,0)</f>
        <v>0</v>
      </c>
      <c r="I5" s="3"/>
      <c r="J5" s="3" t="s">
        <v>164</v>
      </c>
    </row>
    <row r="6" spans="1:10" x14ac:dyDescent="0.2">
      <c r="A6" s="3"/>
      <c r="B6" s="3"/>
      <c r="C6" s="3"/>
      <c r="D6" s="3"/>
      <c r="E6" s="3"/>
      <c r="F6" s="3"/>
      <c r="G6" s="3" t="str">
        <f>IF(A6="","",COUNTIFS([1]Attendance!B:B,B6,[1]Attendance!J:J,C6,[1]Attendance!F:F,"نعم"))</f>
        <v/>
      </c>
      <c r="H6" s="6">
        <f>IFERROR(G6/F6,0)</f>
        <v>0</v>
      </c>
      <c r="I6" s="3"/>
      <c r="J6" s="3"/>
    </row>
    <row r="7" spans="1:10" x14ac:dyDescent="0.2">
      <c r="A7" s="3"/>
      <c r="B7" s="3"/>
      <c r="C7" s="3"/>
      <c r="D7" s="3"/>
      <c r="E7" s="3"/>
      <c r="F7" s="3"/>
      <c r="G7" s="3" t="str">
        <f>IF(A7="","",COUNTIFS([1]Attendance!B:B,B7,[1]Attendance!J:J,C7,[1]Attendance!F:F,"نعم"))</f>
        <v/>
      </c>
      <c r="H7" s="6">
        <f>IFERROR(G7/F7,0)</f>
        <v>0</v>
      </c>
      <c r="I7" s="3"/>
      <c r="J7" s="3"/>
    </row>
    <row r="8" spans="1:10" x14ac:dyDescent="0.2">
      <c r="A8" s="3"/>
      <c r="B8" s="3"/>
      <c r="C8" s="3"/>
      <c r="D8" s="3"/>
      <c r="E8" s="3"/>
      <c r="F8" s="3"/>
      <c r="G8" s="3" t="str">
        <f>IF(A8="","",COUNTIFS([1]Attendance!B:B,B8,[1]Attendance!J:J,C8,[1]Attendance!F:F,"نعم"))</f>
        <v/>
      </c>
      <c r="H8" s="6">
        <f>IFERROR(G8/F8,0)</f>
        <v>0</v>
      </c>
      <c r="I8" s="3"/>
      <c r="J8" s="3"/>
    </row>
    <row r="9" spans="1:10" x14ac:dyDescent="0.2">
      <c r="A9" s="3"/>
      <c r="B9" s="3"/>
      <c r="C9" s="3"/>
      <c r="D9" s="3"/>
      <c r="E9" s="3"/>
      <c r="F9" s="3"/>
      <c r="G9" s="3" t="str">
        <f>IF(A9="","",COUNTIFS([1]Attendance!B:B,B9,[1]Attendance!J:J,C9,[1]Attendance!F:F,"نعم"))</f>
        <v/>
      </c>
      <c r="H9" s="6">
        <f>IFERROR(G9/F9,0)</f>
        <v>0</v>
      </c>
      <c r="I9" s="3"/>
      <c r="J9" s="3"/>
    </row>
    <row r="10" spans="1:10" x14ac:dyDescent="0.2">
      <c r="A10" s="3"/>
      <c r="B10" s="3"/>
      <c r="C10" s="3"/>
      <c r="D10" s="3"/>
      <c r="E10" s="3"/>
      <c r="F10" s="3"/>
      <c r="G10" s="3" t="str">
        <f>IF(A10="","",COUNTIFS([1]Attendance!B:B,B10,[1]Attendance!J:J,C10,[1]Attendance!F:F,"نعم"))</f>
        <v/>
      </c>
      <c r="H10" s="6">
        <f>IFERROR(G10/F10,0)</f>
        <v>0</v>
      </c>
      <c r="I10" s="3"/>
      <c r="J10" s="3"/>
    </row>
    <row r="11" spans="1:10" x14ac:dyDescent="0.2">
      <c r="A11" s="3"/>
      <c r="B11" s="3"/>
      <c r="C11" s="3"/>
      <c r="D11" s="3"/>
      <c r="E11" s="3"/>
      <c r="F11" s="3"/>
      <c r="G11" s="3" t="str">
        <f>IF(A11="","",COUNTIFS([1]Attendance!B:B,B11,[1]Attendance!J:J,C11,[1]Attendance!F:F,"نعم"))</f>
        <v/>
      </c>
      <c r="H11" s="6">
        <f>IFERROR(G11/F11,0)</f>
        <v>0</v>
      </c>
      <c r="I11" s="3"/>
      <c r="J11" s="3"/>
    </row>
    <row r="12" spans="1:10" x14ac:dyDescent="0.2">
      <c r="A12" s="3"/>
      <c r="B12" s="3"/>
      <c r="C12" s="3"/>
      <c r="D12" s="3"/>
      <c r="E12" s="3"/>
      <c r="F12" s="3"/>
      <c r="G12" s="3" t="str">
        <f>IF(A12="","",COUNTIFS([1]Attendance!B:B,B12,[1]Attendance!J:J,C12,[1]Attendance!F:F,"نعم"))</f>
        <v/>
      </c>
      <c r="H12" s="6">
        <f>IFERROR(G12/F12,0)</f>
        <v>0</v>
      </c>
      <c r="I12" s="3"/>
      <c r="J12" s="3"/>
    </row>
    <row r="13" spans="1:10" x14ac:dyDescent="0.2">
      <c r="A13" s="3"/>
      <c r="B13" s="3"/>
      <c r="C13" s="3"/>
      <c r="D13" s="3"/>
      <c r="E13" s="3"/>
      <c r="F13" s="3"/>
      <c r="G13" s="3" t="str">
        <f>IF(A13="","",COUNTIFS([1]Attendance!B:B,B13,[1]Attendance!J:J,C13,[1]Attendance!F:F,"نعم"))</f>
        <v/>
      </c>
      <c r="H13" s="6">
        <f>IFERROR(G13/F13,0)</f>
        <v>0</v>
      </c>
      <c r="I13" s="3"/>
      <c r="J13" s="3"/>
    </row>
    <row r="14" spans="1:10" x14ac:dyDescent="0.2">
      <c r="A14" s="3"/>
      <c r="B14" s="3"/>
      <c r="C14" s="3"/>
      <c r="D14" s="3"/>
      <c r="E14" s="3"/>
      <c r="F14" s="3"/>
      <c r="G14" s="3" t="str">
        <f>IF(A14="","",COUNTIFS([1]Attendance!B:B,B14,[1]Attendance!J:J,C14,[1]Attendance!F:F,"نعم"))</f>
        <v/>
      </c>
      <c r="H14" s="6">
        <f>IFERROR(G14/F14,0)</f>
        <v>0</v>
      </c>
      <c r="I14" s="3"/>
      <c r="J14" s="3"/>
    </row>
    <row r="15" spans="1:10" x14ac:dyDescent="0.2">
      <c r="A15" s="3"/>
      <c r="B15" s="3"/>
      <c r="C15" s="3"/>
      <c r="D15" s="3"/>
      <c r="E15" s="3"/>
      <c r="F15" s="3"/>
      <c r="G15" s="3" t="str">
        <f>IF(A15="","",COUNTIFS([1]Attendance!B:B,B15,[1]Attendance!J:J,C15,[1]Attendance!F:F,"نعم"))</f>
        <v/>
      </c>
      <c r="H15" s="6">
        <f>IFERROR(G15/F15,0)</f>
        <v>0</v>
      </c>
      <c r="I15" s="3"/>
      <c r="J15" s="3"/>
    </row>
    <row r="16" spans="1:10" x14ac:dyDescent="0.2">
      <c r="A16" s="3"/>
      <c r="B16" s="3"/>
      <c r="C16" s="3"/>
      <c r="D16" s="3"/>
      <c r="E16" s="3"/>
      <c r="F16" s="3"/>
      <c r="G16" s="3" t="str">
        <f>IF(A16="","",COUNTIFS([1]Attendance!B:B,B16,[1]Attendance!J:J,C16,[1]Attendance!F:F,"نعم"))</f>
        <v/>
      </c>
      <c r="H16" s="6">
        <f>IFERROR(G16/F16,0)</f>
        <v>0</v>
      </c>
      <c r="I16" s="3"/>
      <c r="J16" s="3"/>
    </row>
    <row r="17" spans="1:10" x14ac:dyDescent="0.2">
      <c r="A17" s="3"/>
      <c r="B17" s="3"/>
      <c r="C17" s="3"/>
      <c r="D17" s="3"/>
      <c r="E17" s="3"/>
      <c r="F17" s="3"/>
      <c r="G17" s="3" t="str">
        <f>IF(A17="","",COUNTIFS([1]Attendance!B:B,B17,[1]Attendance!J:J,C17,[1]Attendance!F:F,"نعم"))</f>
        <v/>
      </c>
      <c r="H17" s="6">
        <f>IFERROR(G17/F17,0)</f>
        <v>0</v>
      </c>
      <c r="I17" s="3"/>
      <c r="J17" s="3"/>
    </row>
    <row r="18" spans="1:10" x14ac:dyDescent="0.2">
      <c r="A18" s="3"/>
      <c r="B18" s="3"/>
      <c r="C18" s="3"/>
      <c r="D18" s="3"/>
      <c r="E18" s="3"/>
      <c r="F18" s="3"/>
      <c r="G18" s="3" t="str">
        <f>IF(A18="","",COUNTIFS([1]Attendance!B:B,B18,[1]Attendance!J:J,C18,[1]Attendance!F:F,"نعم"))</f>
        <v/>
      </c>
      <c r="H18" s="6">
        <f>IFERROR(G18/F18,0)</f>
        <v>0</v>
      </c>
      <c r="I18" s="3"/>
      <c r="J18" s="3"/>
    </row>
    <row r="19" spans="1:10" x14ac:dyDescent="0.2">
      <c r="A19" s="3"/>
      <c r="B19" s="3"/>
      <c r="C19" s="3"/>
      <c r="D19" s="3"/>
      <c r="E19" s="3"/>
      <c r="F19" s="3"/>
      <c r="G19" s="3" t="str">
        <f>IF(A19="","",COUNTIFS([1]Attendance!B:B,B19,[1]Attendance!J:J,C19,[1]Attendance!F:F,"نعم"))</f>
        <v/>
      </c>
      <c r="H19" s="6">
        <f>IFERROR(G19/F19,0)</f>
        <v>0</v>
      </c>
      <c r="I19" s="3"/>
      <c r="J19" s="3"/>
    </row>
    <row r="20" spans="1:10" x14ac:dyDescent="0.2">
      <c r="A20" s="3"/>
      <c r="B20" s="3"/>
      <c r="C20" s="3"/>
      <c r="D20" s="3"/>
      <c r="E20" s="3"/>
      <c r="F20" s="3"/>
      <c r="G20" s="3" t="str">
        <f>IF(A20="","",COUNTIFS([1]Attendance!B:B,B20,[1]Attendance!J:J,C20,[1]Attendance!F:F,"نعم"))</f>
        <v/>
      </c>
      <c r="H20" s="6">
        <f>IFERROR(G20/F20,0)</f>
        <v>0</v>
      </c>
      <c r="I20" s="3"/>
      <c r="J20" s="3"/>
    </row>
    <row r="21" spans="1:10" x14ac:dyDescent="0.2">
      <c r="A21" s="3"/>
      <c r="B21" s="3"/>
      <c r="C21" s="3"/>
      <c r="D21" s="3"/>
      <c r="E21" s="3"/>
      <c r="F21" s="3"/>
      <c r="G21" s="3" t="str">
        <f>IF(A21="","",COUNTIFS([1]Attendance!B:B,B21,[1]Attendance!J:J,C21,[1]Attendance!F:F,"نعم"))</f>
        <v/>
      </c>
      <c r="H21" s="6">
        <f>IFERROR(G21/F21,0)</f>
        <v>0</v>
      </c>
      <c r="I21" s="3"/>
      <c r="J21" s="3"/>
    </row>
    <row r="22" spans="1:10" x14ac:dyDescent="0.2">
      <c r="A22" s="3"/>
      <c r="B22" s="3"/>
      <c r="C22" s="3"/>
      <c r="D22" s="3"/>
      <c r="E22" s="3"/>
      <c r="F22" s="3"/>
      <c r="G22" s="3" t="str">
        <f>IF(A22="","",COUNTIFS([1]Attendance!B:B,B22,[1]Attendance!J:J,C22,[1]Attendance!F:F,"نعم"))</f>
        <v/>
      </c>
      <c r="H22" s="6">
        <f>IFERROR(G22/F22,0)</f>
        <v>0</v>
      </c>
      <c r="I22" s="3"/>
      <c r="J22" s="3"/>
    </row>
    <row r="23" spans="1:10" x14ac:dyDescent="0.2">
      <c r="A23" s="3"/>
      <c r="B23" s="3"/>
      <c r="C23" s="3"/>
      <c r="D23" s="3"/>
      <c r="E23" s="3"/>
      <c r="F23" s="3"/>
      <c r="G23" s="3" t="str">
        <f>IF(A23="","",COUNTIFS([1]Attendance!B:B,B23,[1]Attendance!J:J,C23,[1]Attendance!F:F,"نعم"))</f>
        <v/>
      </c>
      <c r="H23" s="6">
        <f>IFERROR(G23/F23,0)</f>
        <v>0</v>
      </c>
      <c r="I23" s="3"/>
      <c r="J23" s="3"/>
    </row>
    <row r="24" spans="1:10" x14ac:dyDescent="0.2">
      <c r="A24" s="3"/>
      <c r="B24" s="3"/>
      <c r="C24" s="3"/>
      <c r="D24" s="3"/>
      <c r="E24" s="3"/>
      <c r="F24" s="3"/>
      <c r="G24" s="3" t="str">
        <f>IF(A24="","",COUNTIFS([1]Attendance!B:B,B24,[1]Attendance!J:J,C24,[1]Attendance!F:F,"نعم"))</f>
        <v/>
      </c>
      <c r="H24" s="6">
        <f>IFERROR(G24/F24,0)</f>
        <v>0</v>
      </c>
      <c r="I24" s="3"/>
      <c r="J24" s="3"/>
    </row>
    <row r="25" spans="1:10" x14ac:dyDescent="0.2">
      <c r="A25" s="3"/>
      <c r="B25" s="3"/>
      <c r="C25" s="3"/>
      <c r="D25" s="3"/>
      <c r="E25" s="3"/>
      <c r="F25" s="3"/>
      <c r="G25" s="3" t="str">
        <f>IF(A25="","",COUNTIFS([1]Attendance!B:B,B25,[1]Attendance!J:J,C25,[1]Attendance!F:F,"نعم"))</f>
        <v/>
      </c>
      <c r="H25" s="6">
        <f>IFERROR(G25/F25,0)</f>
        <v>0</v>
      </c>
      <c r="I25" s="3"/>
      <c r="J25" s="3"/>
    </row>
    <row r="26" spans="1:10" x14ac:dyDescent="0.2">
      <c r="A26" s="3"/>
      <c r="B26" s="3"/>
      <c r="C26" s="3"/>
      <c r="D26" s="3"/>
      <c r="E26" s="3"/>
      <c r="F26" s="3"/>
      <c r="G26" s="3" t="str">
        <f>IF(A26="","",COUNTIFS([1]Attendance!B:B,B26,[1]Attendance!J:J,C26,[1]Attendance!F:F,"نعم"))</f>
        <v/>
      </c>
      <c r="H26" s="6">
        <f>IFERROR(G26/F26,0)</f>
        <v>0</v>
      </c>
      <c r="I26" s="3"/>
      <c r="J26" s="3"/>
    </row>
    <row r="27" spans="1:10" x14ac:dyDescent="0.2">
      <c r="A27" s="3"/>
      <c r="B27" s="3"/>
      <c r="C27" s="3"/>
      <c r="D27" s="3"/>
      <c r="E27" s="3"/>
      <c r="F27" s="3"/>
      <c r="G27" s="3" t="str">
        <f>IF(A27="","",COUNTIFS([1]Attendance!B:B,B27,[1]Attendance!J:J,C27,[1]Attendance!F:F,"نعم"))</f>
        <v/>
      </c>
      <c r="H27" s="6">
        <f>IFERROR(G27/F27,0)</f>
        <v>0</v>
      </c>
      <c r="I27" s="3"/>
      <c r="J27" s="3"/>
    </row>
    <row r="28" spans="1:10" x14ac:dyDescent="0.2">
      <c r="A28" s="3"/>
      <c r="B28" s="3"/>
      <c r="C28" s="3"/>
      <c r="D28" s="3"/>
      <c r="E28" s="3"/>
      <c r="F28" s="3"/>
      <c r="G28" s="3" t="str">
        <f>IF(A28="","",COUNTIFS([1]Attendance!B:B,B28,[1]Attendance!J:J,C28,[1]Attendance!F:F,"نعم"))</f>
        <v/>
      </c>
      <c r="H28" s="6">
        <f>IFERROR(G28/F28,0)</f>
        <v>0</v>
      </c>
      <c r="I28" s="3"/>
      <c r="J28" s="3"/>
    </row>
    <row r="29" spans="1:10" x14ac:dyDescent="0.2">
      <c r="A29" s="3"/>
      <c r="B29" s="3"/>
      <c r="C29" s="3"/>
      <c r="D29" s="3"/>
      <c r="E29" s="3"/>
      <c r="F29" s="3"/>
      <c r="G29" s="3" t="str">
        <f>IF(A29="","",COUNTIFS([1]Attendance!B:B,B29,[1]Attendance!J:J,C29,[1]Attendance!F:F,"نعم"))</f>
        <v/>
      </c>
      <c r="H29" s="6">
        <f>IFERROR(G29/F29,0)</f>
        <v>0</v>
      </c>
      <c r="I29" s="3"/>
      <c r="J29" s="3"/>
    </row>
    <row r="30" spans="1:10" x14ac:dyDescent="0.2">
      <c r="A30" s="3"/>
      <c r="B30" s="3"/>
      <c r="C30" s="3"/>
      <c r="D30" s="3"/>
      <c r="E30" s="3"/>
      <c r="F30" s="3"/>
      <c r="G30" s="3" t="str">
        <f>IF(A30="","",COUNTIFS([1]Attendance!B:B,B30,[1]Attendance!J:J,C30,[1]Attendance!F:F,"نعم"))</f>
        <v/>
      </c>
      <c r="H30" s="6">
        <f>IFERROR(G30/F30,0)</f>
        <v>0</v>
      </c>
      <c r="I30" s="3"/>
      <c r="J30" s="3"/>
    </row>
    <row r="31" spans="1:10" x14ac:dyDescent="0.2">
      <c r="A31" s="3"/>
      <c r="B31" s="3"/>
      <c r="C31" s="3"/>
      <c r="D31" s="3"/>
      <c r="E31" s="3"/>
      <c r="F31" s="3"/>
      <c r="G31" s="3" t="str">
        <f>IF(A31="","",COUNTIFS([1]Attendance!B:B,B31,[1]Attendance!J:J,C31,[1]Attendance!F:F,"نعم"))</f>
        <v/>
      </c>
      <c r="H31" s="6">
        <f>IFERROR(G31/F31,0)</f>
        <v>0</v>
      </c>
      <c r="I31" s="3"/>
      <c r="J31" s="3"/>
    </row>
    <row r="32" spans="1:10" x14ac:dyDescent="0.2">
      <c r="A32" s="3"/>
      <c r="B32" s="3"/>
      <c r="C32" s="3"/>
      <c r="D32" s="3"/>
      <c r="E32" s="3"/>
      <c r="F32" s="3"/>
      <c r="G32" s="3" t="str">
        <f>IF(A32="","",COUNTIFS([1]Attendance!B:B,B32,[1]Attendance!J:J,C32,[1]Attendance!F:F,"نعم"))</f>
        <v/>
      </c>
      <c r="H32" s="6">
        <f>IFERROR(G32/F32,0)</f>
        <v>0</v>
      </c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 t="str">
        <f>IF(A33="","",COUNTIFS([1]Attendance!B:B,B33,[1]Attendance!J:J,C33,[1]Attendance!F:F,"نعم"))</f>
        <v/>
      </c>
      <c r="H33" s="6">
        <f>IFERROR(G33/F33,0)</f>
        <v>0</v>
      </c>
      <c r="I33" s="3"/>
      <c r="J33" s="3"/>
    </row>
    <row r="34" spans="1:10" x14ac:dyDescent="0.2">
      <c r="A34" s="3"/>
      <c r="B34" s="3"/>
      <c r="C34" s="3"/>
      <c r="D34" s="3"/>
      <c r="E34" s="3"/>
      <c r="F34" s="3"/>
      <c r="G34" s="3" t="str">
        <f>IF(A34="","",COUNTIFS([1]Attendance!B:B,B34,[1]Attendance!J:J,C34,[1]Attendance!F:F,"نعم"))</f>
        <v/>
      </c>
      <c r="H34" s="6">
        <f>IFERROR(G34/F34,0)</f>
        <v>0</v>
      </c>
      <c r="I34" s="3"/>
      <c r="J34" s="3"/>
    </row>
    <row r="35" spans="1:10" x14ac:dyDescent="0.2">
      <c r="A35" s="3"/>
      <c r="B35" s="3"/>
      <c r="C35" s="3"/>
      <c r="D35" s="3"/>
      <c r="E35" s="3"/>
      <c r="F35" s="3"/>
      <c r="G35" s="3" t="str">
        <f>IF(A35="","",COUNTIFS([1]Attendance!B:B,B35,[1]Attendance!J:J,C35,[1]Attendance!F:F,"نعم"))</f>
        <v/>
      </c>
      <c r="H35" s="6">
        <f>IFERROR(G35/F35,0)</f>
        <v>0</v>
      </c>
      <c r="I35" s="3"/>
      <c r="J35" s="3"/>
    </row>
    <row r="36" spans="1:10" x14ac:dyDescent="0.2">
      <c r="A36" s="3"/>
      <c r="B36" s="3"/>
      <c r="C36" s="3"/>
      <c r="D36" s="3"/>
      <c r="E36" s="3"/>
      <c r="F36" s="3"/>
      <c r="G36" s="3" t="str">
        <f>IF(A36="","",COUNTIFS([1]Attendance!B:B,B36,[1]Attendance!J:J,C36,[1]Attendance!F:F,"نعم"))</f>
        <v/>
      </c>
      <c r="H36" s="6">
        <f>IFERROR(G36/F36,0)</f>
        <v>0</v>
      </c>
      <c r="I36" s="3"/>
      <c r="J36" s="3"/>
    </row>
    <row r="37" spans="1:10" x14ac:dyDescent="0.2">
      <c r="A37" s="3"/>
      <c r="B37" s="3"/>
      <c r="C37" s="3"/>
      <c r="D37" s="3"/>
      <c r="E37" s="3"/>
      <c r="F37" s="3"/>
      <c r="G37" s="3" t="str">
        <f>IF(A37="","",COUNTIFS([1]Attendance!B:B,B37,[1]Attendance!J:J,C37,[1]Attendance!F:F,"نعم"))</f>
        <v/>
      </c>
      <c r="H37" s="6">
        <f>IFERROR(G37/F37,0)</f>
        <v>0</v>
      </c>
      <c r="I37" s="3"/>
      <c r="J37" s="3"/>
    </row>
    <row r="38" spans="1:10" x14ac:dyDescent="0.2">
      <c r="A38" s="3"/>
      <c r="B38" s="3"/>
      <c r="C38" s="3"/>
      <c r="D38" s="3"/>
      <c r="E38" s="3"/>
      <c r="F38" s="3"/>
      <c r="G38" s="3" t="str">
        <f>IF(A38="","",COUNTIFS([1]Attendance!B:B,B38,[1]Attendance!J:J,C38,[1]Attendance!F:F,"نعم"))</f>
        <v/>
      </c>
      <c r="H38" s="6">
        <f>IFERROR(G38/F38,0)</f>
        <v>0</v>
      </c>
      <c r="I38" s="3"/>
      <c r="J38" s="3"/>
    </row>
    <row r="39" spans="1:10" x14ac:dyDescent="0.2">
      <c r="A39" s="3"/>
      <c r="B39" s="3"/>
      <c r="C39" s="3"/>
      <c r="D39" s="3"/>
      <c r="E39" s="3"/>
      <c r="F39" s="3"/>
      <c r="G39" s="3" t="str">
        <f>IF(A39="","",COUNTIFS([1]Attendance!B:B,B39,[1]Attendance!J:J,C39,[1]Attendance!F:F,"نعم"))</f>
        <v/>
      </c>
      <c r="H39" s="6">
        <f>IFERROR(G39/F39,0)</f>
        <v>0</v>
      </c>
      <c r="I39" s="3"/>
      <c r="J39" s="3"/>
    </row>
    <row r="40" spans="1:10" x14ac:dyDescent="0.2">
      <c r="A40" s="3"/>
      <c r="B40" s="3"/>
      <c r="C40" s="3"/>
      <c r="D40" s="3"/>
      <c r="E40" s="3"/>
      <c r="F40" s="3"/>
      <c r="G40" s="3" t="str">
        <f>IF(A40="","",COUNTIFS([1]Attendance!B:B,B40,[1]Attendance!J:J,C40,[1]Attendance!F:F,"نعم"))</f>
        <v/>
      </c>
      <c r="H40" s="6">
        <f>IFERROR(G40/F40,0)</f>
        <v>0</v>
      </c>
      <c r="I40" s="3"/>
      <c r="J40" s="3"/>
    </row>
    <row r="41" spans="1:10" x14ac:dyDescent="0.2">
      <c r="A41" s="3"/>
      <c r="B41" s="3"/>
      <c r="C41" s="3"/>
      <c r="D41" s="3"/>
      <c r="E41" s="3"/>
      <c r="F41" s="3"/>
      <c r="G41" s="3" t="str">
        <f>IF(A41="","",COUNTIFS([1]Attendance!B:B,B41,[1]Attendance!J:J,C41,[1]Attendance!F:F,"نعم"))</f>
        <v/>
      </c>
      <c r="H41" s="6">
        <f>IFERROR(G41/F41,0)</f>
        <v>0</v>
      </c>
      <c r="I41" s="3"/>
      <c r="J41" s="3"/>
    </row>
    <row r="42" spans="1:10" x14ac:dyDescent="0.2">
      <c r="A42" s="3"/>
      <c r="B42" s="3"/>
      <c r="C42" s="3"/>
      <c r="D42" s="3"/>
      <c r="E42" s="3"/>
      <c r="F42" s="3"/>
      <c r="G42" s="3" t="str">
        <f>IF(A42="","",COUNTIFS([1]Attendance!B:B,B42,[1]Attendance!J:J,C42,[1]Attendance!F:F,"نعم"))</f>
        <v/>
      </c>
      <c r="H42" s="6">
        <f>IFERROR(G42/F42,0)</f>
        <v>0</v>
      </c>
      <c r="I42" s="3"/>
      <c r="J42" s="3"/>
    </row>
    <row r="43" spans="1:10" x14ac:dyDescent="0.2">
      <c r="A43" s="3"/>
      <c r="B43" s="3"/>
      <c r="C43" s="3"/>
      <c r="D43" s="3"/>
      <c r="E43" s="3"/>
      <c r="F43" s="3"/>
      <c r="G43" s="3" t="str">
        <f>IF(A43="","",COUNTIFS([1]Attendance!B:B,B43,[1]Attendance!J:J,C43,[1]Attendance!F:F,"نعم"))</f>
        <v/>
      </c>
      <c r="H43" s="6">
        <f>IFERROR(G43/F43,0)</f>
        <v>0</v>
      </c>
      <c r="I43" s="3"/>
      <c r="J43" s="3"/>
    </row>
    <row r="44" spans="1:10" x14ac:dyDescent="0.2">
      <c r="A44" s="3"/>
      <c r="B44" s="3"/>
      <c r="C44" s="3"/>
      <c r="D44" s="3"/>
      <c r="E44" s="3"/>
      <c r="F44" s="3"/>
      <c r="G44" s="3" t="str">
        <f>IF(A44="","",COUNTIFS([1]Attendance!B:B,B44,[1]Attendance!J:J,C44,[1]Attendance!F:F,"نعم"))</f>
        <v/>
      </c>
      <c r="H44" s="6">
        <f>IFERROR(G44/F44,0)</f>
        <v>0</v>
      </c>
      <c r="I44" s="3"/>
      <c r="J44" s="3"/>
    </row>
    <row r="45" spans="1:10" x14ac:dyDescent="0.2">
      <c r="A45" s="3"/>
      <c r="B45" s="3"/>
      <c r="C45" s="3"/>
      <c r="D45" s="3"/>
      <c r="E45" s="3"/>
      <c r="F45" s="3"/>
      <c r="G45" s="3" t="str">
        <f>IF(A45="","",COUNTIFS([1]Attendance!B:B,B45,[1]Attendance!J:J,C45,[1]Attendance!F:F,"نعم"))</f>
        <v/>
      </c>
      <c r="H45" s="6">
        <f>IFERROR(G45/F45,0)</f>
        <v>0</v>
      </c>
      <c r="I45" s="3"/>
      <c r="J45" s="3"/>
    </row>
    <row r="46" spans="1:10" x14ac:dyDescent="0.2">
      <c r="A46" s="3"/>
      <c r="B46" s="3"/>
      <c r="C46" s="3"/>
      <c r="D46" s="3"/>
      <c r="E46" s="3"/>
      <c r="F46" s="3"/>
      <c r="G46" s="3" t="str">
        <f>IF(A46="","",COUNTIFS([1]Attendance!B:B,B46,[1]Attendance!J:J,C46,[1]Attendance!F:F,"نعم"))</f>
        <v/>
      </c>
      <c r="H46" s="6">
        <f>IFERROR(G46/F46,0)</f>
        <v>0</v>
      </c>
      <c r="I46" s="3"/>
      <c r="J46" s="3"/>
    </row>
    <row r="47" spans="1:10" x14ac:dyDescent="0.2">
      <c r="A47" s="3"/>
      <c r="B47" s="3"/>
      <c r="C47" s="3"/>
      <c r="D47" s="3"/>
      <c r="E47" s="3"/>
      <c r="F47" s="3"/>
      <c r="G47" s="3" t="str">
        <f>IF(A47="","",COUNTIFS([1]Attendance!B:B,B47,[1]Attendance!J:J,C47,[1]Attendance!F:F,"نعم"))</f>
        <v/>
      </c>
      <c r="H47" s="6">
        <f>IFERROR(G47/F47,0)</f>
        <v>0</v>
      </c>
      <c r="I47" s="3"/>
      <c r="J47" s="3"/>
    </row>
    <row r="48" spans="1:10" x14ac:dyDescent="0.2">
      <c r="A48" s="3"/>
      <c r="B48" s="3"/>
      <c r="C48" s="3"/>
      <c r="D48" s="3"/>
      <c r="E48" s="3"/>
      <c r="F48" s="3"/>
      <c r="G48" s="3" t="str">
        <f>IF(A48="","",COUNTIFS([1]Attendance!B:B,B48,[1]Attendance!J:J,C48,[1]Attendance!F:F,"نعم"))</f>
        <v/>
      </c>
      <c r="H48" s="6">
        <f>IFERROR(G48/F48,0)</f>
        <v>0</v>
      </c>
      <c r="I48" s="3"/>
      <c r="J48" s="3"/>
    </row>
    <row r="49" spans="1:10" x14ac:dyDescent="0.2">
      <c r="A49" s="3"/>
      <c r="B49" s="3"/>
      <c r="C49" s="3"/>
      <c r="D49" s="3"/>
      <c r="E49" s="3"/>
      <c r="F49" s="3"/>
      <c r="G49" s="3" t="str">
        <f>IF(A49="","",COUNTIFS([1]Attendance!B:B,B49,[1]Attendance!J:J,C49,[1]Attendance!F:F,"نعم"))</f>
        <v/>
      </c>
      <c r="H49" s="6">
        <f>IFERROR(G49/F49,0)</f>
        <v>0</v>
      </c>
      <c r="I49" s="3"/>
      <c r="J49" s="3"/>
    </row>
    <row r="50" spans="1:10" x14ac:dyDescent="0.2">
      <c r="A50" s="3"/>
      <c r="B50" s="3"/>
      <c r="C50" s="3"/>
      <c r="D50" s="3"/>
      <c r="E50" s="3"/>
      <c r="F50" s="3"/>
      <c r="G50" s="3" t="str">
        <f>IF(A50="","",COUNTIFS([1]Attendance!B:B,B50,[1]Attendance!J:J,C50,[1]Attendance!F:F,"نعم"))</f>
        <v/>
      </c>
      <c r="H50" s="6">
        <f>IFERROR(G50/F50,0)</f>
        <v>0</v>
      </c>
      <c r="I50" s="3"/>
      <c r="J50" s="3"/>
    </row>
    <row r="51" spans="1:10" x14ac:dyDescent="0.2">
      <c r="A51" s="3"/>
      <c r="B51" s="3"/>
      <c r="C51" s="3"/>
      <c r="D51" s="3"/>
      <c r="E51" s="3"/>
      <c r="F51" s="3"/>
      <c r="G51" s="3" t="str">
        <f>IF(A51="","",COUNTIFS([1]Attendance!B:B,B51,[1]Attendance!J:J,C51,[1]Attendance!F:F,"نعم"))</f>
        <v/>
      </c>
      <c r="H51" s="6">
        <f>IFERROR(G51/F51,0)</f>
        <v>0</v>
      </c>
      <c r="I51" s="3"/>
      <c r="J51" s="3"/>
    </row>
    <row r="52" spans="1:10" x14ac:dyDescent="0.2">
      <c r="A52" s="3"/>
      <c r="B52" s="3"/>
      <c r="C52" s="3"/>
      <c r="D52" s="3"/>
      <c r="E52" s="3"/>
      <c r="F52" s="3"/>
      <c r="G52" s="3" t="str">
        <f>IF(A52="","",COUNTIFS([1]Attendance!B:B,B52,[1]Attendance!J:J,C52,[1]Attendance!F:F,"نعم"))</f>
        <v/>
      </c>
      <c r="H52" s="6">
        <f>IFERROR(G52/F52,0)</f>
        <v>0</v>
      </c>
      <c r="I52" s="3"/>
      <c r="J52" s="3"/>
    </row>
    <row r="53" spans="1:10" x14ac:dyDescent="0.2">
      <c r="A53" s="3"/>
      <c r="B53" s="3"/>
      <c r="C53" s="3"/>
      <c r="D53" s="3"/>
      <c r="E53" s="3"/>
      <c r="F53" s="3"/>
      <c r="G53" s="3" t="str">
        <f>IF(A53="","",COUNTIFS([1]Attendance!B:B,B53,[1]Attendance!J:J,C53,[1]Attendance!F:F,"نعم"))</f>
        <v/>
      </c>
      <c r="H53" s="6">
        <f>IFERROR(G53/F53,0)</f>
        <v>0</v>
      </c>
      <c r="I53" s="3"/>
      <c r="J53" s="3"/>
    </row>
    <row r="54" spans="1:10" x14ac:dyDescent="0.2">
      <c r="A54" s="3"/>
      <c r="B54" s="3"/>
      <c r="C54" s="3"/>
      <c r="D54" s="3"/>
      <c r="E54" s="3"/>
      <c r="F54" s="3"/>
      <c r="G54" s="3" t="str">
        <f>IF(A54="","",COUNTIFS([1]Attendance!B:B,B54,[1]Attendance!J:J,C54,[1]Attendance!F:F,"نعم"))</f>
        <v/>
      </c>
      <c r="H54" s="6">
        <f>IFERROR(G54/F54,0)</f>
        <v>0</v>
      </c>
      <c r="I54" s="3"/>
      <c r="J54" s="3"/>
    </row>
    <row r="55" spans="1:10" x14ac:dyDescent="0.2">
      <c r="A55" s="3"/>
      <c r="B55" s="3"/>
      <c r="C55" s="3"/>
      <c r="D55" s="3"/>
      <c r="E55" s="3"/>
      <c r="F55" s="3"/>
      <c r="G55" s="3" t="str">
        <f>IF(A55="","",COUNTIFS([1]Attendance!B:B,B55,[1]Attendance!J:J,C55,[1]Attendance!F:F,"نعم"))</f>
        <v/>
      </c>
      <c r="H55" s="6">
        <f>IFERROR(G55/F55,0)</f>
        <v>0</v>
      </c>
      <c r="I55" s="3"/>
      <c r="J55" s="3"/>
    </row>
    <row r="56" spans="1:10" x14ac:dyDescent="0.2">
      <c r="A56" s="3"/>
      <c r="B56" s="3"/>
      <c r="C56" s="3"/>
      <c r="D56" s="3"/>
      <c r="E56" s="3"/>
      <c r="F56" s="3"/>
      <c r="G56" s="3" t="str">
        <f>IF(A56="","",COUNTIFS([1]Attendance!B:B,B56,[1]Attendance!J:J,C56,[1]Attendance!F:F,"نعم"))</f>
        <v/>
      </c>
      <c r="H56" s="6">
        <f>IFERROR(G56/F56,0)</f>
        <v>0</v>
      </c>
      <c r="I56" s="3"/>
      <c r="J56" s="3"/>
    </row>
    <row r="57" spans="1:10" x14ac:dyDescent="0.2">
      <c r="A57" s="3"/>
      <c r="B57" s="3"/>
      <c r="C57" s="3"/>
      <c r="D57" s="3"/>
      <c r="E57" s="3"/>
      <c r="F57" s="3"/>
      <c r="G57" s="3" t="str">
        <f>IF(A57="","",COUNTIFS([1]Attendance!B:B,B57,[1]Attendance!J:J,C57,[1]Attendance!F:F,"نعم"))</f>
        <v/>
      </c>
      <c r="H57" s="6">
        <f>IFERROR(G57/F57,0)</f>
        <v>0</v>
      </c>
      <c r="I57" s="3"/>
      <c r="J57" s="3"/>
    </row>
    <row r="58" spans="1:10" x14ac:dyDescent="0.2">
      <c r="A58" s="3"/>
      <c r="B58" s="3"/>
      <c r="C58" s="3"/>
      <c r="D58" s="3"/>
      <c r="E58" s="3"/>
      <c r="F58" s="3"/>
      <c r="G58" s="3" t="str">
        <f>IF(A58="","",COUNTIFS([1]Attendance!B:B,B58,[1]Attendance!J:J,C58,[1]Attendance!F:F,"نعم"))</f>
        <v/>
      </c>
      <c r="H58" s="6">
        <f>IFERROR(G58/F58,0)</f>
        <v>0</v>
      </c>
      <c r="I58" s="3"/>
      <c r="J58" s="3"/>
    </row>
    <row r="59" spans="1:10" x14ac:dyDescent="0.2">
      <c r="A59" s="3"/>
      <c r="B59" s="3"/>
      <c r="C59" s="3"/>
      <c r="D59" s="3"/>
      <c r="E59" s="3"/>
      <c r="F59" s="3"/>
      <c r="G59" s="3" t="str">
        <f>IF(A59="","",COUNTIFS([1]Attendance!B:B,B59,[1]Attendance!J:J,C59,[1]Attendance!F:F,"نعم"))</f>
        <v/>
      </c>
      <c r="H59" s="6">
        <f>IFERROR(G59/F59,0)</f>
        <v>0</v>
      </c>
      <c r="I59" s="3"/>
      <c r="J59" s="3"/>
    </row>
    <row r="60" spans="1:10" x14ac:dyDescent="0.2">
      <c r="A60" s="3"/>
      <c r="B60" s="3"/>
      <c r="C60" s="3"/>
      <c r="D60" s="3"/>
      <c r="E60" s="3"/>
      <c r="F60" s="3"/>
      <c r="G60" s="3" t="str">
        <f>IF(A60="","",COUNTIFS([1]Attendance!B:B,B60,[1]Attendance!J:J,C60,[1]Attendance!F:F,"نعم"))</f>
        <v/>
      </c>
      <c r="H60" s="6">
        <f>IFERROR(G60/F60,0)</f>
        <v>0</v>
      </c>
      <c r="I60" s="3"/>
      <c r="J60" s="3"/>
    </row>
    <row r="61" spans="1:10" x14ac:dyDescent="0.2">
      <c r="A61" s="3"/>
      <c r="B61" s="3"/>
      <c r="C61" s="3"/>
      <c r="D61" s="3"/>
      <c r="E61" s="3"/>
      <c r="F61" s="3"/>
      <c r="G61" s="3" t="str">
        <f>IF(A61="","",COUNTIFS([1]Attendance!B:B,B61,[1]Attendance!J:J,C61,[1]Attendance!F:F,"نعم"))</f>
        <v/>
      </c>
      <c r="H61" s="6">
        <f>IFERROR(G61/F61,0)</f>
        <v>0</v>
      </c>
      <c r="I61" s="3"/>
      <c r="J61" s="3"/>
    </row>
    <row r="62" spans="1:10" x14ac:dyDescent="0.2">
      <c r="A62" s="3"/>
      <c r="B62" s="3"/>
      <c r="C62" s="3"/>
      <c r="D62" s="3"/>
      <c r="E62" s="3"/>
      <c r="F62" s="3"/>
      <c r="G62" s="3" t="str">
        <f>IF(A62="","",COUNTIFS([1]Attendance!B:B,B62,[1]Attendance!J:J,C62,[1]Attendance!F:F,"نعم"))</f>
        <v/>
      </c>
      <c r="H62" s="6">
        <f>IFERROR(G62/F62,0)</f>
        <v>0</v>
      </c>
      <c r="I62" s="3"/>
      <c r="J62" s="3"/>
    </row>
    <row r="63" spans="1:10" x14ac:dyDescent="0.2">
      <c r="A63" s="3"/>
      <c r="B63" s="3"/>
      <c r="C63" s="3"/>
      <c r="D63" s="3"/>
      <c r="E63" s="3"/>
      <c r="F63" s="3"/>
      <c r="G63" s="3" t="str">
        <f>IF(A63="","",COUNTIFS([1]Attendance!B:B,B63,[1]Attendance!J:J,C63,[1]Attendance!F:F,"نعم"))</f>
        <v/>
      </c>
      <c r="H63" s="6">
        <f>IFERROR(G63/F63,0)</f>
        <v>0</v>
      </c>
      <c r="I63" s="3"/>
      <c r="J63" s="3"/>
    </row>
    <row r="64" spans="1:10" x14ac:dyDescent="0.2">
      <c r="A64" s="3"/>
      <c r="B64" s="3"/>
      <c r="C64" s="3"/>
      <c r="D64" s="3"/>
      <c r="E64" s="3"/>
      <c r="F64" s="3"/>
      <c r="G64" s="3" t="str">
        <f>IF(A64="","",COUNTIFS([1]Attendance!B:B,B64,[1]Attendance!J:J,C64,[1]Attendance!F:F,"نعم"))</f>
        <v/>
      </c>
      <c r="H64" s="6">
        <f>IFERROR(G64/F64,0)</f>
        <v>0</v>
      </c>
      <c r="I64" s="3"/>
      <c r="J64" s="3"/>
    </row>
    <row r="65" spans="1:10" x14ac:dyDescent="0.2">
      <c r="A65" s="3"/>
      <c r="B65" s="3"/>
      <c r="C65" s="3"/>
      <c r="D65" s="3"/>
      <c r="E65" s="3"/>
      <c r="F65" s="3"/>
      <c r="G65" s="3" t="str">
        <f>IF(A65="","",COUNTIFS([1]Attendance!B:B,B65,[1]Attendance!J:J,C65,[1]Attendance!F:F,"نعم"))</f>
        <v/>
      </c>
      <c r="H65" s="6">
        <f>IFERROR(G65/F65,0)</f>
        <v>0</v>
      </c>
      <c r="I65" s="3"/>
      <c r="J65" s="3"/>
    </row>
    <row r="66" spans="1:10" x14ac:dyDescent="0.2">
      <c r="A66" s="3"/>
      <c r="B66" s="3"/>
      <c r="C66" s="3"/>
      <c r="D66" s="3"/>
      <c r="E66" s="3"/>
      <c r="F66" s="3"/>
      <c r="G66" s="3" t="str">
        <f>IF(A66="","",COUNTIFS([1]Attendance!B:B,B66,[1]Attendance!J:J,C66,[1]Attendance!F:F,"نعم"))</f>
        <v/>
      </c>
      <c r="H66" s="6">
        <f>IFERROR(G66/F66,0)</f>
        <v>0</v>
      </c>
      <c r="I66" s="3"/>
      <c r="J66" s="3"/>
    </row>
    <row r="67" spans="1:10" x14ac:dyDescent="0.2">
      <c r="A67" s="3"/>
      <c r="B67" s="3"/>
      <c r="C67" s="3"/>
      <c r="D67" s="3"/>
      <c r="E67" s="3"/>
      <c r="F67" s="3"/>
      <c r="G67" s="3" t="str">
        <f>IF(A67="","",COUNTIFS([1]Attendance!B:B,B67,[1]Attendance!J:J,C67,[1]Attendance!F:F,"نعم"))</f>
        <v/>
      </c>
      <c r="H67" s="6">
        <f>IFERROR(G67/F67,0)</f>
        <v>0</v>
      </c>
      <c r="I67" s="3"/>
      <c r="J67" s="3"/>
    </row>
    <row r="68" spans="1:10" x14ac:dyDescent="0.2">
      <c r="A68" s="3"/>
      <c r="B68" s="3"/>
      <c r="C68" s="3"/>
      <c r="D68" s="3"/>
      <c r="E68" s="3"/>
      <c r="F68" s="3"/>
      <c r="G68" s="3" t="str">
        <f>IF(A68="","",COUNTIFS([1]Attendance!B:B,B68,[1]Attendance!J:J,C68,[1]Attendance!F:F,"نعم"))</f>
        <v/>
      </c>
      <c r="H68" s="6">
        <f>IFERROR(G68/F68,0)</f>
        <v>0</v>
      </c>
      <c r="I68" s="3"/>
      <c r="J68" s="3"/>
    </row>
    <row r="69" spans="1:10" x14ac:dyDescent="0.2">
      <c r="A69" s="3"/>
      <c r="B69" s="3"/>
      <c r="C69" s="3"/>
      <c r="D69" s="3"/>
      <c r="E69" s="3"/>
      <c r="F69" s="3"/>
      <c r="G69" s="3" t="str">
        <f>IF(A69="","",COUNTIFS([1]Attendance!B:B,B69,[1]Attendance!J:J,C69,[1]Attendance!F:F,"نعم"))</f>
        <v/>
      </c>
      <c r="H69" s="6">
        <f>IFERROR(G69/F69,0)</f>
        <v>0</v>
      </c>
      <c r="I69" s="3"/>
      <c r="J69" s="3"/>
    </row>
    <row r="70" spans="1:10" x14ac:dyDescent="0.2">
      <c r="A70" s="3"/>
      <c r="B70" s="3"/>
      <c r="C70" s="3"/>
      <c r="D70" s="3"/>
      <c r="E70" s="3"/>
      <c r="F70" s="3"/>
      <c r="G70" s="3" t="str">
        <f>IF(A70="","",COUNTIFS([1]Attendance!B:B,B70,[1]Attendance!J:J,C70,[1]Attendance!F:F,"نعم"))</f>
        <v/>
      </c>
      <c r="H70" s="6">
        <f>IFERROR(G70/F70,0)</f>
        <v>0</v>
      </c>
      <c r="I70" s="3"/>
      <c r="J70" s="3"/>
    </row>
    <row r="71" spans="1:10" x14ac:dyDescent="0.2">
      <c r="A71" s="3"/>
      <c r="B71" s="3"/>
      <c r="C71" s="3"/>
      <c r="D71" s="3"/>
      <c r="E71" s="3"/>
      <c r="F71" s="3"/>
      <c r="G71" s="3" t="str">
        <f>IF(A71="","",COUNTIFS([1]Attendance!B:B,B71,[1]Attendance!J:J,C71,[1]Attendance!F:F,"نعم"))</f>
        <v/>
      </c>
      <c r="H71" s="6">
        <f>IFERROR(G71/F71,0)</f>
        <v>0</v>
      </c>
      <c r="I71" s="3"/>
      <c r="J71" s="3"/>
    </row>
    <row r="72" spans="1:10" x14ac:dyDescent="0.2">
      <c r="A72" s="3"/>
      <c r="B72" s="3"/>
      <c r="C72" s="3"/>
      <c r="D72" s="3"/>
      <c r="E72" s="3"/>
      <c r="F72" s="3"/>
      <c r="G72" s="3" t="str">
        <f>IF(A72="","",COUNTIFS([1]Attendance!B:B,B72,[1]Attendance!J:J,C72,[1]Attendance!F:F,"نعم"))</f>
        <v/>
      </c>
      <c r="H72" s="6">
        <f>IFERROR(G72/F72,0)</f>
        <v>0</v>
      </c>
      <c r="I72" s="3"/>
      <c r="J72" s="3"/>
    </row>
    <row r="73" spans="1:10" x14ac:dyDescent="0.2">
      <c r="A73" s="3"/>
      <c r="B73" s="3"/>
      <c r="C73" s="3"/>
      <c r="D73" s="3"/>
      <c r="E73" s="3"/>
      <c r="F73" s="3"/>
      <c r="G73" s="3" t="str">
        <f>IF(A73="","",COUNTIFS([1]Attendance!B:B,B73,[1]Attendance!J:J,C73,[1]Attendance!F:F,"نعم"))</f>
        <v/>
      </c>
      <c r="H73" s="6">
        <f>IFERROR(G73/F73,0)</f>
        <v>0</v>
      </c>
      <c r="I73" s="3"/>
      <c r="J73" s="3"/>
    </row>
    <row r="74" spans="1:10" x14ac:dyDescent="0.2">
      <c r="A74" s="3"/>
      <c r="B74" s="3"/>
      <c r="C74" s="3"/>
      <c r="D74" s="3"/>
      <c r="E74" s="3"/>
      <c r="F74" s="3"/>
      <c r="G74" s="3" t="str">
        <f>IF(A74="","",COUNTIFS([1]Attendance!B:B,B74,[1]Attendance!J:J,C74,[1]Attendance!F:F,"نعم"))</f>
        <v/>
      </c>
      <c r="H74" s="6">
        <f>IFERROR(G74/F74,0)</f>
        <v>0</v>
      </c>
      <c r="I74" s="3"/>
      <c r="J74" s="3"/>
    </row>
    <row r="75" spans="1:10" x14ac:dyDescent="0.2">
      <c r="A75" s="3"/>
      <c r="B75" s="3"/>
      <c r="C75" s="3"/>
      <c r="D75" s="3"/>
      <c r="E75" s="3"/>
      <c r="F75" s="3"/>
      <c r="G75" s="3" t="str">
        <f>IF(A75="","",COUNTIFS([1]Attendance!B:B,B75,[1]Attendance!J:J,C75,[1]Attendance!F:F,"نعم"))</f>
        <v/>
      </c>
      <c r="H75" s="6">
        <f>IFERROR(G75/F75,0)</f>
        <v>0</v>
      </c>
      <c r="I75" s="3"/>
      <c r="J75" s="3"/>
    </row>
    <row r="76" spans="1:10" x14ac:dyDescent="0.2">
      <c r="A76" s="3"/>
      <c r="B76" s="3"/>
      <c r="C76" s="3"/>
      <c r="D76" s="3"/>
      <c r="E76" s="3"/>
      <c r="F76" s="3"/>
      <c r="G76" s="3" t="str">
        <f>IF(A76="","",COUNTIFS([1]Attendance!B:B,B76,[1]Attendance!J:J,C76,[1]Attendance!F:F,"نعم"))</f>
        <v/>
      </c>
      <c r="H76" s="6">
        <f>IFERROR(G76/F76,0)</f>
        <v>0</v>
      </c>
      <c r="I76" s="3"/>
      <c r="J76" s="3"/>
    </row>
    <row r="77" spans="1:10" x14ac:dyDescent="0.2">
      <c r="A77" s="3"/>
      <c r="B77" s="3"/>
      <c r="C77" s="3"/>
      <c r="D77" s="3"/>
      <c r="E77" s="3"/>
      <c r="F77" s="3"/>
      <c r="G77" s="3" t="str">
        <f>IF(A77="","",COUNTIFS([1]Attendance!B:B,B77,[1]Attendance!J:J,C77,[1]Attendance!F:F,"نعم"))</f>
        <v/>
      </c>
      <c r="H77" s="6">
        <f>IFERROR(G77/F77,0)</f>
        <v>0</v>
      </c>
      <c r="I77" s="3"/>
      <c r="J77" s="3"/>
    </row>
    <row r="78" spans="1:10" x14ac:dyDescent="0.2">
      <c r="A78" s="3"/>
      <c r="B78" s="3"/>
      <c r="C78" s="3"/>
      <c r="D78" s="3"/>
      <c r="E78" s="3"/>
      <c r="F78" s="3"/>
      <c r="G78" s="3" t="str">
        <f>IF(A78="","",COUNTIFS([1]Attendance!B:B,B78,[1]Attendance!J:J,C78,[1]Attendance!F:F,"نعم"))</f>
        <v/>
      </c>
      <c r="H78" s="6">
        <f>IFERROR(G78/F78,0)</f>
        <v>0</v>
      </c>
      <c r="I78" s="3"/>
      <c r="J78" s="3"/>
    </row>
    <row r="79" spans="1:10" x14ac:dyDescent="0.2">
      <c r="A79" s="3"/>
      <c r="B79" s="3"/>
      <c r="C79" s="3"/>
      <c r="D79" s="3"/>
      <c r="E79" s="3"/>
      <c r="F79" s="3"/>
      <c r="G79" s="3" t="str">
        <f>IF(A79="","",COUNTIFS([1]Attendance!B:B,B79,[1]Attendance!J:J,C79,[1]Attendance!F:F,"نعم"))</f>
        <v/>
      </c>
      <c r="H79" s="6">
        <f>IFERROR(G79/F79,0)</f>
        <v>0</v>
      </c>
      <c r="I79" s="3"/>
      <c r="J79" s="3"/>
    </row>
    <row r="80" spans="1:10" x14ac:dyDescent="0.2">
      <c r="A80" s="3"/>
      <c r="B80" s="3"/>
      <c r="C80" s="3"/>
      <c r="D80" s="3"/>
      <c r="E80" s="3"/>
      <c r="F80" s="3"/>
      <c r="G80" s="3" t="str">
        <f>IF(A80="","",COUNTIFS([1]Attendance!B:B,B80,[1]Attendance!J:J,C80,[1]Attendance!F:F,"نعم"))</f>
        <v/>
      </c>
      <c r="H80" s="6">
        <f>IFERROR(G80/F80,0)</f>
        <v>0</v>
      </c>
      <c r="I80" s="3"/>
      <c r="J80" s="3"/>
    </row>
    <row r="81" spans="1:10" x14ac:dyDescent="0.2">
      <c r="A81" s="3"/>
      <c r="B81" s="3"/>
      <c r="C81" s="3"/>
      <c r="D81" s="3"/>
      <c r="E81" s="3"/>
      <c r="F81" s="3"/>
      <c r="G81" s="3" t="str">
        <f>IF(A81="","",COUNTIFS([1]Attendance!B:B,B81,[1]Attendance!J:J,C81,[1]Attendance!F:F,"نعم"))</f>
        <v/>
      </c>
      <c r="H81" s="6">
        <f>IFERROR(G81/F81,0)</f>
        <v>0</v>
      </c>
      <c r="I81" s="3"/>
      <c r="J81" s="3"/>
    </row>
    <row r="82" spans="1:10" x14ac:dyDescent="0.2">
      <c r="A82" s="3"/>
      <c r="B82" s="3"/>
      <c r="C82" s="3"/>
      <c r="D82" s="3"/>
      <c r="E82" s="3"/>
      <c r="F82" s="3"/>
      <c r="G82" s="3" t="str">
        <f>IF(A82="","",COUNTIFS([1]Attendance!B:B,B82,[1]Attendance!J:J,C82,[1]Attendance!F:F,"نعم"))</f>
        <v/>
      </c>
      <c r="H82" s="6">
        <f>IFERROR(G82/F82,0)</f>
        <v>0</v>
      </c>
      <c r="I82" s="3"/>
      <c r="J82" s="3"/>
    </row>
    <row r="83" spans="1:10" x14ac:dyDescent="0.2">
      <c r="A83" s="3"/>
      <c r="B83" s="3"/>
      <c r="C83" s="3"/>
      <c r="D83" s="3"/>
      <c r="E83" s="3"/>
      <c r="F83" s="3"/>
      <c r="G83" s="3" t="str">
        <f>IF(A83="","",COUNTIFS([1]Attendance!B:B,B83,[1]Attendance!J:J,C83,[1]Attendance!F:F,"نعم"))</f>
        <v/>
      </c>
      <c r="H83" s="6">
        <f>IFERROR(G83/F83,0)</f>
        <v>0</v>
      </c>
      <c r="I83" s="3"/>
      <c r="J83" s="3"/>
    </row>
    <row r="84" spans="1:10" x14ac:dyDescent="0.2">
      <c r="A84" s="3"/>
      <c r="B84" s="3"/>
      <c r="C84" s="3"/>
      <c r="D84" s="3"/>
      <c r="E84" s="3"/>
      <c r="F84" s="3"/>
      <c r="G84" s="3" t="str">
        <f>IF(A84="","",COUNTIFS([1]Attendance!B:B,B84,[1]Attendance!J:J,C84,[1]Attendance!F:F,"نعم"))</f>
        <v/>
      </c>
      <c r="H84" s="6">
        <f>IFERROR(G84/F84,0)</f>
        <v>0</v>
      </c>
      <c r="I84" s="3"/>
      <c r="J84" s="3"/>
    </row>
    <row r="85" spans="1:10" x14ac:dyDescent="0.2">
      <c r="A85" s="3"/>
      <c r="B85" s="3"/>
      <c r="C85" s="3"/>
      <c r="D85" s="3"/>
      <c r="E85" s="3"/>
      <c r="F85" s="3"/>
      <c r="G85" s="3" t="str">
        <f>IF(A85="","",COUNTIFS([1]Attendance!B:B,B85,[1]Attendance!J:J,C85,[1]Attendance!F:F,"نعم"))</f>
        <v/>
      </c>
      <c r="H85" s="6">
        <f>IFERROR(G85/F85,0)</f>
        <v>0</v>
      </c>
      <c r="I85" s="3"/>
      <c r="J85" s="3"/>
    </row>
    <row r="86" spans="1:10" x14ac:dyDescent="0.2">
      <c r="A86" s="3"/>
      <c r="B86" s="3"/>
      <c r="C86" s="3"/>
      <c r="D86" s="3"/>
      <c r="E86" s="3"/>
      <c r="F86" s="3"/>
      <c r="G86" s="3" t="str">
        <f>IF(A86="","",COUNTIFS([1]Attendance!B:B,B86,[1]Attendance!J:J,C86,[1]Attendance!F:F,"نعم"))</f>
        <v/>
      </c>
      <c r="H86" s="6">
        <f>IFERROR(G86/F86,0)</f>
        <v>0</v>
      </c>
      <c r="I86" s="3"/>
      <c r="J86" s="3"/>
    </row>
    <row r="87" spans="1:10" x14ac:dyDescent="0.2">
      <c r="A87" s="3"/>
      <c r="B87" s="3"/>
      <c r="C87" s="3"/>
      <c r="D87" s="3"/>
      <c r="E87" s="3"/>
      <c r="F87" s="3"/>
      <c r="G87" s="3" t="str">
        <f>IF(A87="","",COUNTIFS([1]Attendance!B:B,B87,[1]Attendance!J:J,C87,[1]Attendance!F:F,"نعم"))</f>
        <v/>
      </c>
      <c r="H87" s="6">
        <f>IFERROR(G87/F87,0)</f>
        <v>0</v>
      </c>
      <c r="I87" s="3"/>
      <c r="J87" s="3"/>
    </row>
    <row r="88" spans="1:10" x14ac:dyDescent="0.2">
      <c r="A88" s="3"/>
      <c r="B88" s="3"/>
      <c r="C88" s="3"/>
      <c r="D88" s="3"/>
      <c r="E88" s="3"/>
      <c r="F88" s="3"/>
      <c r="G88" s="3" t="str">
        <f>IF(A88="","",COUNTIFS([1]Attendance!B:B,B88,[1]Attendance!J:J,C88,[1]Attendance!F:F,"نعم"))</f>
        <v/>
      </c>
      <c r="H88" s="6">
        <f>IFERROR(G88/F88,0)</f>
        <v>0</v>
      </c>
      <c r="I88" s="3"/>
      <c r="J88" s="3"/>
    </row>
    <row r="89" spans="1:10" x14ac:dyDescent="0.2">
      <c r="A89" s="3"/>
      <c r="B89" s="3"/>
      <c r="C89" s="3"/>
      <c r="D89" s="3"/>
      <c r="E89" s="3"/>
      <c r="F89" s="3"/>
      <c r="G89" s="3" t="str">
        <f>IF(A89="","",COUNTIFS([1]Attendance!B:B,B89,[1]Attendance!J:J,C89,[1]Attendance!F:F,"نعم"))</f>
        <v/>
      </c>
      <c r="H89" s="6">
        <f>IFERROR(G89/F89,0)</f>
        <v>0</v>
      </c>
      <c r="I89" s="3"/>
      <c r="J89" s="3"/>
    </row>
    <row r="90" spans="1:10" x14ac:dyDescent="0.2">
      <c r="A90" s="3"/>
      <c r="B90" s="3"/>
      <c r="C90" s="3"/>
      <c r="D90" s="3"/>
      <c r="E90" s="3"/>
      <c r="F90" s="3"/>
      <c r="G90" s="3" t="str">
        <f>IF(A90="","",COUNTIFS([1]Attendance!B:B,B90,[1]Attendance!J:J,C90,[1]Attendance!F:F,"نعم"))</f>
        <v/>
      </c>
      <c r="H90" s="6">
        <f>IFERROR(G90/F90,0)</f>
        <v>0</v>
      </c>
      <c r="I90" s="3"/>
      <c r="J90" s="3"/>
    </row>
    <row r="91" spans="1:10" x14ac:dyDescent="0.2">
      <c r="A91" s="3"/>
      <c r="B91" s="3"/>
      <c r="C91" s="3"/>
      <c r="D91" s="3"/>
      <c r="E91" s="3"/>
      <c r="F91" s="3"/>
      <c r="G91" s="3" t="str">
        <f>IF(A91="","",COUNTIFS([1]Attendance!B:B,B91,[1]Attendance!J:J,C91,[1]Attendance!F:F,"نعم"))</f>
        <v/>
      </c>
      <c r="H91" s="6">
        <f>IFERROR(G91/F91,0)</f>
        <v>0</v>
      </c>
      <c r="I91" s="3"/>
      <c r="J91" s="3"/>
    </row>
    <row r="92" spans="1:10" x14ac:dyDescent="0.2">
      <c r="A92" s="3"/>
      <c r="B92" s="3"/>
      <c r="C92" s="3"/>
      <c r="D92" s="3"/>
      <c r="E92" s="3"/>
      <c r="F92" s="3"/>
      <c r="G92" s="3" t="str">
        <f>IF(A92="","",COUNTIFS([1]Attendance!B:B,B92,[1]Attendance!J:J,C92,[1]Attendance!F:F,"نعم"))</f>
        <v/>
      </c>
      <c r="H92" s="6">
        <f>IFERROR(G92/F92,0)</f>
        <v>0</v>
      </c>
      <c r="I92" s="3"/>
      <c r="J92" s="3"/>
    </row>
    <row r="93" spans="1:10" x14ac:dyDescent="0.2">
      <c r="A93" s="3"/>
      <c r="B93" s="3"/>
      <c r="C93" s="3"/>
      <c r="D93" s="3"/>
      <c r="E93" s="3"/>
      <c r="F93" s="3"/>
      <c r="G93" s="3" t="str">
        <f>IF(A93="","",COUNTIFS([1]Attendance!B:B,B93,[1]Attendance!J:J,C93,[1]Attendance!F:F,"نعم"))</f>
        <v/>
      </c>
      <c r="H93" s="6">
        <f>IFERROR(G93/F93,0)</f>
        <v>0</v>
      </c>
      <c r="I93" s="3"/>
      <c r="J93" s="3"/>
    </row>
    <row r="94" spans="1:10" x14ac:dyDescent="0.2">
      <c r="A94" s="3"/>
      <c r="B94" s="3"/>
      <c r="C94" s="3"/>
      <c r="D94" s="3"/>
      <c r="E94" s="3"/>
      <c r="F94" s="3"/>
      <c r="G94" s="3" t="str">
        <f>IF(A94="","",COUNTIFS([1]Attendance!B:B,B94,[1]Attendance!J:J,C94,[1]Attendance!F:F,"نعم"))</f>
        <v/>
      </c>
      <c r="H94" s="6">
        <f>IFERROR(G94/F94,0)</f>
        <v>0</v>
      </c>
      <c r="I94" s="3"/>
      <c r="J94" s="3"/>
    </row>
    <row r="95" spans="1:10" x14ac:dyDescent="0.2">
      <c r="A95" s="3"/>
      <c r="B95" s="3"/>
      <c r="C95" s="3"/>
      <c r="D95" s="3"/>
      <c r="E95" s="3"/>
      <c r="F95" s="3"/>
      <c r="G95" s="3" t="str">
        <f>IF(A95="","",COUNTIFS([1]Attendance!B:B,B95,[1]Attendance!J:J,C95,[1]Attendance!F:F,"نعم"))</f>
        <v/>
      </c>
      <c r="H95" s="6">
        <f>IFERROR(G95/F95,0)</f>
        <v>0</v>
      </c>
      <c r="I95" s="3"/>
      <c r="J95" s="3"/>
    </row>
    <row r="96" spans="1:10" x14ac:dyDescent="0.2">
      <c r="A96" s="3"/>
      <c r="B96" s="3"/>
      <c r="C96" s="3"/>
      <c r="D96" s="3"/>
      <c r="E96" s="3"/>
      <c r="F96" s="3"/>
      <c r="G96" s="3" t="str">
        <f>IF(A96="","",COUNTIFS([1]Attendance!B:B,B96,[1]Attendance!J:J,C96,[1]Attendance!F:F,"نعم"))</f>
        <v/>
      </c>
      <c r="H96" s="6">
        <f>IFERROR(G96/F96,0)</f>
        <v>0</v>
      </c>
      <c r="I96" s="3"/>
      <c r="J96" s="3"/>
    </row>
    <row r="97" spans="1:10" x14ac:dyDescent="0.2">
      <c r="A97" s="3"/>
      <c r="B97" s="3"/>
      <c r="C97" s="3"/>
      <c r="D97" s="3"/>
      <c r="E97" s="3"/>
      <c r="F97" s="3"/>
      <c r="G97" s="3" t="str">
        <f>IF(A97="","",COUNTIFS([1]Attendance!B:B,B97,[1]Attendance!J:J,C97,[1]Attendance!F:F,"نعم"))</f>
        <v/>
      </c>
      <c r="H97" s="6">
        <f>IFERROR(G97/F97,0)</f>
        <v>0</v>
      </c>
      <c r="I97" s="3"/>
      <c r="J97" s="3"/>
    </row>
    <row r="98" spans="1:10" x14ac:dyDescent="0.2">
      <c r="A98" s="3"/>
      <c r="B98" s="3"/>
      <c r="C98" s="3"/>
      <c r="D98" s="3"/>
      <c r="E98" s="3"/>
      <c r="F98" s="3"/>
      <c r="G98" s="3" t="str">
        <f>IF(A98="","",COUNTIFS([1]Attendance!B:B,B98,[1]Attendance!J:J,C98,[1]Attendance!F:F,"نعم"))</f>
        <v/>
      </c>
      <c r="H98" s="6">
        <f>IFERROR(G98/F98,0)</f>
        <v>0</v>
      </c>
      <c r="I98" s="3"/>
      <c r="J98" s="3"/>
    </row>
    <row r="99" spans="1:10" x14ac:dyDescent="0.2">
      <c r="A99" s="3"/>
      <c r="B99" s="3"/>
      <c r="C99" s="3"/>
      <c r="D99" s="3"/>
      <c r="E99" s="3"/>
      <c r="F99" s="3"/>
      <c r="G99" s="3" t="str">
        <f>IF(A99="","",COUNTIFS([1]Attendance!B:B,B99,[1]Attendance!J:J,C99,[1]Attendance!F:F,"نعم"))</f>
        <v/>
      </c>
      <c r="H99" s="6">
        <f>IFERROR(G99/F99,0)</f>
        <v>0</v>
      </c>
      <c r="I99" s="3"/>
      <c r="J99" s="3"/>
    </row>
    <row r="100" spans="1:10" x14ac:dyDescent="0.2">
      <c r="A100" s="3"/>
      <c r="B100" s="3"/>
      <c r="C100" s="3"/>
      <c r="D100" s="3"/>
      <c r="E100" s="3"/>
      <c r="F100" s="3"/>
      <c r="G100" s="3" t="str">
        <f>IF(A100="","",COUNTIFS([1]Attendance!B:B,B100,[1]Attendance!J:J,C100,[1]Attendance!F:F,"نعم"))</f>
        <v/>
      </c>
      <c r="H100" s="6">
        <f>IFERROR(G100/F100,0)</f>
        <v>0</v>
      </c>
      <c r="I100" s="3"/>
      <c r="J100" s="3"/>
    </row>
    <row r="101" spans="1:10" x14ac:dyDescent="0.2">
      <c r="A101" s="3"/>
      <c r="B101" s="3"/>
      <c r="C101" s="3"/>
      <c r="D101" s="3"/>
      <c r="E101" s="3"/>
      <c r="F101" s="3"/>
      <c r="G101" s="3" t="str">
        <f>IF(A101="","",COUNTIFS([1]Attendance!B:B,B101,[1]Attendance!J:J,C101,[1]Attendance!F:F,"نعم"))</f>
        <v/>
      </c>
      <c r="H101" s="6">
        <f>IFERROR(G101/F101,0)</f>
        <v>0</v>
      </c>
      <c r="I101" s="3"/>
      <c r="J101" s="3"/>
    </row>
    <row r="102" spans="1:10" x14ac:dyDescent="0.2">
      <c r="A102" s="3"/>
      <c r="B102" s="3"/>
      <c r="C102" s="3"/>
      <c r="D102" s="3"/>
      <c r="E102" s="3"/>
      <c r="F102" s="3"/>
      <c r="G102" s="3" t="str">
        <f>IF(A102="","",COUNTIFS([1]Attendance!B:B,B102,[1]Attendance!J:J,C102,[1]Attendance!F:F,"نعم"))</f>
        <v/>
      </c>
      <c r="H102" s="6">
        <f>IFERROR(G102/F102,0)</f>
        <v>0</v>
      </c>
      <c r="I102" s="3"/>
      <c r="J102" s="3"/>
    </row>
    <row r="103" spans="1:10" x14ac:dyDescent="0.2">
      <c r="A103" s="3"/>
      <c r="B103" s="3"/>
      <c r="C103" s="3"/>
      <c r="D103" s="3"/>
      <c r="E103" s="3"/>
      <c r="F103" s="3"/>
      <c r="G103" s="3" t="str">
        <f>IF(A103="","",COUNTIFS([1]Attendance!B:B,B103,[1]Attendance!J:J,C103,[1]Attendance!F:F,"نعم"))</f>
        <v/>
      </c>
      <c r="H103" s="6">
        <f>IFERROR(G103/F103,0)</f>
        <v>0</v>
      </c>
      <c r="I103" s="3"/>
      <c r="J103" s="3"/>
    </row>
    <row r="104" spans="1:10" x14ac:dyDescent="0.2">
      <c r="A104" s="3"/>
      <c r="B104" s="3"/>
      <c r="C104" s="3"/>
      <c r="D104" s="3"/>
      <c r="E104" s="3"/>
      <c r="F104" s="3"/>
      <c r="G104" s="3" t="str">
        <f>IF(A104="","",COUNTIFS([1]Attendance!B:B,B104,[1]Attendance!J:J,C104,[1]Attendance!F:F,"نعم"))</f>
        <v/>
      </c>
      <c r="H104" s="6">
        <f>IFERROR(G104/F104,0)</f>
        <v>0</v>
      </c>
      <c r="I104" s="3"/>
      <c r="J104" s="3"/>
    </row>
    <row r="105" spans="1:10" x14ac:dyDescent="0.2">
      <c r="A105" s="3"/>
      <c r="B105" s="3"/>
      <c r="C105" s="3"/>
      <c r="D105" s="3"/>
      <c r="E105" s="3"/>
      <c r="F105" s="3"/>
      <c r="G105" s="3" t="str">
        <f>IF(A105="","",COUNTIFS([1]Attendance!B:B,B105,[1]Attendance!J:J,C105,[1]Attendance!F:F,"نعم"))</f>
        <v/>
      </c>
      <c r="H105" s="6">
        <f>IFERROR(G105/F105,0)</f>
        <v>0</v>
      </c>
      <c r="I105" s="3"/>
      <c r="J105" s="3"/>
    </row>
    <row r="106" spans="1:10" x14ac:dyDescent="0.2">
      <c r="A106" s="3"/>
      <c r="B106" s="3"/>
      <c r="C106" s="3"/>
      <c r="D106" s="3"/>
      <c r="E106" s="3"/>
      <c r="F106" s="3"/>
      <c r="G106" s="3" t="str">
        <f>IF(A106="","",COUNTIFS([1]Attendance!B:B,B106,[1]Attendance!J:J,C106,[1]Attendance!F:F,"نعم"))</f>
        <v/>
      </c>
      <c r="H106" s="6">
        <f>IFERROR(G106/F106,0)</f>
        <v>0</v>
      </c>
      <c r="I106" s="3"/>
      <c r="J106" s="3"/>
    </row>
    <row r="107" spans="1:10" x14ac:dyDescent="0.2">
      <c r="A107" s="3"/>
      <c r="B107" s="3"/>
      <c r="C107" s="3"/>
      <c r="D107" s="3"/>
      <c r="E107" s="3"/>
      <c r="F107" s="3"/>
      <c r="G107" s="3" t="str">
        <f>IF(A107="","",COUNTIFS([1]Attendance!B:B,B107,[1]Attendance!J:J,C107,[1]Attendance!F:F,"نعم"))</f>
        <v/>
      </c>
      <c r="H107" s="6">
        <f>IFERROR(G107/F107,0)</f>
        <v>0</v>
      </c>
      <c r="I107" s="3"/>
      <c r="J107" s="3"/>
    </row>
    <row r="108" spans="1:10" x14ac:dyDescent="0.2">
      <c r="A108" s="3"/>
      <c r="B108" s="3"/>
      <c r="C108" s="3"/>
      <c r="D108" s="3"/>
      <c r="E108" s="3"/>
      <c r="F108" s="3"/>
      <c r="G108" s="3" t="str">
        <f>IF(A108="","",COUNTIFS([1]Attendance!B:B,B108,[1]Attendance!J:J,C108,[1]Attendance!F:F,"نعم"))</f>
        <v/>
      </c>
      <c r="H108" s="6">
        <f>IFERROR(G108/F108,0)</f>
        <v>0</v>
      </c>
      <c r="I108" s="3"/>
      <c r="J108" s="3"/>
    </row>
    <row r="109" spans="1:10" x14ac:dyDescent="0.2">
      <c r="A109" s="3"/>
      <c r="B109" s="3"/>
      <c r="C109" s="3"/>
      <c r="D109" s="3"/>
      <c r="E109" s="3"/>
      <c r="F109" s="3"/>
      <c r="G109" s="3" t="str">
        <f>IF(A109="","",COUNTIFS([1]Attendance!B:B,B109,[1]Attendance!J:J,C109,[1]Attendance!F:F,"نعم"))</f>
        <v/>
      </c>
      <c r="H109" s="6">
        <f>IFERROR(G109/F109,0)</f>
        <v>0</v>
      </c>
      <c r="I109" s="3"/>
      <c r="J109" s="3"/>
    </row>
    <row r="110" spans="1:10" x14ac:dyDescent="0.2">
      <c r="A110" s="3"/>
      <c r="B110" s="3"/>
      <c r="C110" s="3"/>
      <c r="D110" s="3"/>
      <c r="E110" s="3"/>
      <c r="F110" s="3"/>
      <c r="G110" s="3" t="str">
        <f>IF(A110="","",COUNTIFS([1]Attendance!B:B,B110,[1]Attendance!J:J,C110,[1]Attendance!F:F,"نعم"))</f>
        <v/>
      </c>
      <c r="H110" s="6">
        <f>IFERROR(G110/F110,0)</f>
        <v>0</v>
      </c>
      <c r="I110" s="3"/>
      <c r="J110" s="3"/>
    </row>
    <row r="111" spans="1:10" x14ac:dyDescent="0.2">
      <c r="A111" s="3"/>
      <c r="B111" s="3"/>
      <c r="C111" s="3"/>
      <c r="D111" s="3"/>
      <c r="E111" s="3"/>
      <c r="F111" s="3"/>
      <c r="G111" s="3" t="str">
        <f>IF(A111="","",COUNTIFS([1]Attendance!B:B,B111,[1]Attendance!J:J,C111,[1]Attendance!F:F,"نعم"))</f>
        <v/>
      </c>
      <c r="H111" s="6">
        <f>IFERROR(G111/F111,0)</f>
        <v>0</v>
      </c>
      <c r="I111" s="3"/>
      <c r="J111" s="3"/>
    </row>
    <row r="112" spans="1:10" x14ac:dyDescent="0.2">
      <c r="A112" s="3"/>
      <c r="B112" s="3"/>
      <c r="C112" s="3"/>
      <c r="D112" s="3"/>
      <c r="E112" s="3"/>
      <c r="F112" s="3"/>
      <c r="G112" s="3" t="str">
        <f>IF(A112="","",COUNTIFS([1]Attendance!B:B,B112,[1]Attendance!J:J,C112,[1]Attendance!F:F,"نعم"))</f>
        <v/>
      </c>
      <c r="H112" s="6">
        <f>IFERROR(G112/F112,0)</f>
        <v>0</v>
      </c>
      <c r="I112" s="3"/>
      <c r="J112" s="3"/>
    </row>
    <row r="113" spans="1:10" x14ac:dyDescent="0.2">
      <c r="A113" s="3"/>
      <c r="B113" s="3"/>
      <c r="C113" s="3"/>
      <c r="D113" s="3"/>
      <c r="E113" s="3"/>
      <c r="F113" s="3"/>
      <c r="G113" s="3" t="str">
        <f>IF(A113="","",COUNTIFS([1]Attendance!B:B,B113,[1]Attendance!J:J,C113,[1]Attendance!F:F,"نعم"))</f>
        <v/>
      </c>
      <c r="H113" s="6">
        <f>IFERROR(G113/F113,0)</f>
        <v>0</v>
      </c>
      <c r="I113" s="3"/>
      <c r="J113" s="3"/>
    </row>
    <row r="114" spans="1:10" x14ac:dyDescent="0.2">
      <c r="A114" s="3"/>
      <c r="B114" s="3"/>
      <c r="C114" s="3"/>
      <c r="D114" s="3"/>
      <c r="E114" s="3"/>
      <c r="F114" s="3"/>
      <c r="G114" s="3" t="str">
        <f>IF(A114="","",COUNTIFS([1]Attendance!B:B,B114,[1]Attendance!J:J,C114,[1]Attendance!F:F,"نعم"))</f>
        <v/>
      </c>
      <c r="H114" s="6">
        <f>IFERROR(G114/F114,0)</f>
        <v>0</v>
      </c>
      <c r="I114" s="3"/>
      <c r="J114" s="3"/>
    </row>
    <row r="115" spans="1:10" x14ac:dyDescent="0.2">
      <c r="A115" s="3"/>
      <c r="B115" s="3"/>
      <c r="C115" s="3"/>
      <c r="D115" s="3"/>
      <c r="E115" s="3"/>
      <c r="F115" s="3"/>
      <c r="G115" s="3" t="str">
        <f>IF(A115="","",COUNTIFS([1]Attendance!B:B,B115,[1]Attendance!J:J,C115,[1]Attendance!F:F,"نعم"))</f>
        <v/>
      </c>
      <c r="H115" s="6">
        <f>IFERROR(G115/F115,0)</f>
        <v>0</v>
      </c>
      <c r="I115" s="3"/>
      <c r="J115" s="3"/>
    </row>
    <row r="116" spans="1:10" x14ac:dyDescent="0.2">
      <c r="A116" s="3"/>
      <c r="B116" s="3"/>
      <c r="C116" s="3"/>
      <c r="D116" s="3"/>
      <c r="E116" s="3"/>
      <c r="F116" s="3"/>
      <c r="G116" s="3" t="str">
        <f>IF(A116="","",COUNTIFS([1]Attendance!B:B,B116,[1]Attendance!J:J,C116,[1]Attendance!F:F,"نعم"))</f>
        <v/>
      </c>
      <c r="H116" s="6">
        <f>IFERROR(G116/F116,0)</f>
        <v>0</v>
      </c>
      <c r="I116" s="3"/>
      <c r="J116" s="3"/>
    </row>
    <row r="117" spans="1:10" x14ac:dyDescent="0.2">
      <c r="A117" s="3"/>
      <c r="B117" s="3"/>
      <c r="C117" s="3"/>
      <c r="D117" s="3"/>
      <c r="E117" s="3"/>
      <c r="F117" s="3"/>
      <c r="G117" s="3" t="str">
        <f>IF(A117="","",COUNTIFS([1]Attendance!B:B,B117,[1]Attendance!J:J,C117,[1]Attendance!F:F,"نعم"))</f>
        <v/>
      </c>
      <c r="H117" s="6">
        <f>IFERROR(G117/F117,0)</f>
        <v>0</v>
      </c>
      <c r="I117" s="3"/>
      <c r="J117" s="3"/>
    </row>
    <row r="118" spans="1:10" x14ac:dyDescent="0.2">
      <c r="A118" s="3"/>
      <c r="B118" s="3"/>
      <c r="C118" s="3"/>
      <c r="D118" s="3"/>
      <c r="E118" s="3"/>
      <c r="F118" s="3"/>
      <c r="G118" s="3" t="str">
        <f>IF(A118="","",COUNTIFS([1]Attendance!B:B,B118,[1]Attendance!J:J,C118,[1]Attendance!F:F,"نعم"))</f>
        <v/>
      </c>
      <c r="H118" s="6">
        <f>IFERROR(G118/F118,0)</f>
        <v>0</v>
      </c>
      <c r="I118" s="3"/>
      <c r="J118" s="3"/>
    </row>
    <row r="119" spans="1:10" x14ac:dyDescent="0.2">
      <c r="A119" s="3"/>
      <c r="B119" s="3"/>
      <c r="C119" s="3"/>
      <c r="D119" s="3"/>
      <c r="E119" s="3"/>
      <c r="F119" s="3"/>
      <c r="G119" s="3" t="str">
        <f>IF(A119="","",COUNTIFS([1]Attendance!B:B,B119,[1]Attendance!J:J,C119,[1]Attendance!F:F,"نعم"))</f>
        <v/>
      </c>
      <c r="H119" s="6">
        <f>IFERROR(G119/F119,0)</f>
        <v>0</v>
      </c>
      <c r="I119" s="3"/>
      <c r="J119" s="3"/>
    </row>
    <row r="120" spans="1:10" x14ac:dyDescent="0.2">
      <c r="A120" s="3"/>
      <c r="B120" s="3"/>
      <c r="C120" s="3"/>
      <c r="D120" s="3"/>
      <c r="E120" s="3"/>
      <c r="F120" s="3"/>
      <c r="G120" s="3" t="str">
        <f>IF(A120="","",COUNTIFS([1]Attendance!B:B,B120,[1]Attendance!J:J,C120,[1]Attendance!F:F,"نعم"))</f>
        <v/>
      </c>
      <c r="H120" s="6">
        <f>IFERROR(G120/F120,0)</f>
        <v>0</v>
      </c>
      <c r="I120" s="3"/>
      <c r="J120" s="3"/>
    </row>
    <row r="121" spans="1:10" x14ac:dyDescent="0.2">
      <c r="A121" s="3"/>
      <c r="B121" s="3"/>
      <c r="C121" s="3"/>
      <c r="D121" s="3"/>
      <c r="E121" s="3"/>
      <c r="F121" s="3"/>
      <c r="G121" s="3" t="str">
        <f>IF(A121="","",COUNTIFS([1]Attendance!B:B,B121,[1]Attendance!J:J,C121,[1]Attendance!F:F,"نعم"))</f>
        <v/>
      </c>
      <c r="H121" s="6">
        <f>IFERROR(G121/F121,0)</f>
        <v>0</v>
      </c>
      <c r="I121" s="3"/>
      <c r="J121" s="3"/>
    </row>
    <row r="122" spans="1:10" x14ac:dyDescent="0.2">
      <c r="A122" s="3"/>
      <c r="B122" s="3"/>
      <c r="C122" s="3"/>
      <c r="D122" s="3"/>
      <c r="E122" s="3"/>
      <c r="F122" s="3"/>
      <c r="G122" s="3" t="str">
        <f>IF(A122="","",COUNTIFS([1]Attendance!B:B,B122,[1]Attendance!J:J,C122,[1]Attendance!F:F,"نعم"))</f>
        <v/>
      </c>
      <c r="H122" s="6">
        <f>IFERROR(G122/F122,0)</f>
        <v>0</v>
      </c>
      <c r="I122" s="3"/>
      <c r="J122" s="3"/>
    </row>
    <row r="123" spans="1:10" x14ac:dyDescent="0.2">
      <c r="A123" s="3"/>
      <c r="B123" s="3"/>
      <c r="C123" s="3"/>
      <c r="D123" s="3"/>
      <c r="E123" s="3"/>
      <c r="F123" s="3"/>
      <c r="G123" s="3" t="str">
        <f>IF(A123="","",COUNTIFS([1]Attendance!B:B,B123,[1]Attendance!J:J,C123,[1]Attendance!F:F,"نعم"))</f>
        <v/>
      </c>
      <c r="H123" s="6">
        <f>IFERROR(G123/F123,0)</f>
        <v>0</v>
      </c>
      <c r="I123" s="3"/>
      <c r="J123" s="3"/>
    </row>
    <row r="124" spans="1:10" x14ac:dyDescent="0.2">
      <c r="A124" s="3"/>
      <c r="B124" s="3"/>
      <c r="C124" s="3"/>
      <c r="D124" s="3"/>
      <c r="E124" s="3"/>
      <c r="F124" s="3"/>
      <c r="G124" s="3" t="str">
        <f>IF(A124="","",COUNTIFS([1]Attendance!B:B,B124,[1]Attendance!J:J,C124,[1]Attendance!F:F,"نعم"))</f>
        <v/>
      </c>
      <c r="H124" s="6">
        <f>IFERROR(G124/F124,0)</f>
        <v>0</v>
      </c>
      <c r="I124" s="3"/>
      <c r="J124" s="3"/>
    </row>
    <row r="125" spans="1:10" x14ac:dyDescent="0.2">
      <c r="A125" s="3"/>
      <c r="B125" s="3"/>
      <c r="C125" s="3"/>
      <c r="D125" s="3"/>
      <c r="E125" s="3"/>
      <c r="F125" s="3"/>
      <c r="G125" s="3" t="str">
        <f>IF(A125="","",COUNTIFS([1]Attendance!B:B,B125,[1]Attendance!J:J,C125,[1]Attendance!F:F,"نعم"))</f>
        <v/>
      </c>
      <c r="H125" s="6">
        <f>IFERROR(G125/F125,0)</f>
        <v>0</v>
      </c>
      <c r="I125" s="3"/>
      <c r="J125" s="3"/>
    </row>
    <row r="126" spans="1:10" x14ac:dyDescent="0.2">
      <c r="A126" s="3"/>
      <c r="B126" s="3"/>
      <c r="C126" s="3"/>
      <c r="D126" s="3"/>
      <c r="E126" s="3"/>
      <c r="F126" s="3"/>
      <c r="G126" s="3" t="str">
        <f>IF(A126="","",COUNTIFS([1]Attendance!B:B,B126,[1]Attendance!J:J,C126,[1]Attendance!F:F,"نعم"))</f>
        <v/>
      </c>
      <c r="H126" s="6">
        <f>IFERROR(G126/F126,0)</f>
        <v>0</v>
      </c>
      <c r="I126" s="3"/>
      <c r="J126" s="3"/>
    </row>
    <row r="127" spans="1:10" x14ac:dyDescent="0.2">
      <c r="A127" s="3"/>
      <c r="B127" s="3"/>
      <c r="C127" s="3"/>
      <c r="D127" s="3"/>
      <c r="E127" s="3"/>
      <c r="F127" s="3"/>
      <c r="G127" s="3" t="str">
        <f>IF(A127="","",COUNTIFS([1]Attendance!B:B,B127,[1]Attendance!J:J,C127,[1]Attendance!F:F,"نعم"))</f>
        <v/>
      </c>
      <c r="H127" s="6">
        <f>IFERROR(G127/F127,0)</f>
        <v>0</v>
      </c>
      <c r="I127" s="3"/>
      <c r="J127" s="3"/>
    </row>
    <row r="128" spans="1:10" x14ac:dyDescent="0.2">
      <c r="A128" s="3"/>
      <c r="B128" s="3"/>
      <c r="C128" s="3"/>
      <c r="D128" s="3"/>
      <c r="E128" s="3"/>
      <c r="F128" s="3"/>
      <c r="G128" s="3" t="str">
        <f>IF(A128="","",COUNTIFS([1]Attendance!B:B,B128,[1]Attendance!J:J,C128,[1]Attendance!F:F,"نعم"))</f>
        <v/>
      </c>
      <c r="H128" s="6">
        <f>IFERROR(G128/F128,0)</f>
        <v>0</v>
      </c>
      <c r="I128" s="3"/>
      <c r="J128" s="3"/>
    </row>
    <row r="129" spans="1:10" x14ac:dyDescent="0.2">
      <c r="A129" s="3"/>
      <c r="B129" s="3"/>
      <c r="C129" s="3"/>
      <c r="D129" s="3"/>
      <c r="E129" s="3"/>
      <c r="F129" s="3"/>
      <c r="G129" s="3" t="str">
        <f>IF(A129="","",COUNTIFS([1]Attendance!B:B,B129,[1]Attendance!J:J,C129,[1]Attendance!F:F,"نعم"))</f>
        <v/>
      </c>
      <c r="H129" s="6">
        <f>IFERROR(G129/F129,0)</f>
        <v>0</v>
      </c>
      <c r="I129" s="3"/>
      <c r="J129" s="3"/>
    </row>
    <row r="130" spans="1:10" x14ac:dyDescent="0.2">
      <c r="A130" s="3"/>
      <c r="B130" s="3"/>
      <c r="C130" s="3"/>
      <c r="D130" s="3"/>
      <c r="E130" s="3"/>
      <c r="F130" s="3"/>
      <c r="G130" s="3" t="str">
        <f>IF(A130="","",COUNTIFS([1]Attendance!B:B,B130,[1]Attendance!J:J,C130,[1]Attendance!F:F,"نعم"))</f>
        <v/>
      </c>
      <c r="H130" s="6">
        <f>IFERROR(G130/F130,0)</f>
        <v>0</v>
      </c>
      <c r="I130" s="3"/>
      <c r="J130" s="3"/>
    </row>
    <row r="131" spans="1:10" x14ac:dyDescent="0.2">
      <c r="A131" s="3"/>
      <c r="B131" s="3"/>
      <c r="C131" s="3"/>
      <c r="D131" s="3"/>
      <c r="E131" s="3"/>
      <c r="F131" s="3"/>
      <c r="G131" s="3" t="str">
        <f>IF(A131="","",COUNTIFS([1]Attendance!B:B,B131,[1]Attendance!J:J,C131,[1]Attendance!F:F,"نعم"))</f>
        <v/>
      </c>
      <c r="H131" s="6">
        <f>IFERROR(G131/F131,0)</f>
        <v>0</v>
      </c>
      <c r="I131" s="3"/>
      <c r="J131" s="3"/>
    </row>
    <row r="132" spans="1:10" x14ac:dyDescent="0.2">
      <c r="A132" s="3"/>
      <c r="B132" s="3"/>
      <c r="C132" s="3"/>
      <c r="D132" s="3"/>
      <c r="E132" s="3"/>
      <c r="F132" s="3"/>
      <c r="G132" s="3" t="str">
        <f>IF(A132="","",COUNTIFS([1]Attendance!B:B,B132,[1]Attendance!J:J,C132,[1]Attendance!F:F,"نعم"))</f>
        <v/>
      </c>
      <c r="H132" s="6">
        <f>IFERROR(G132/F132,0)</f>
        <v>0</v>
      </c>
      <c r="I132" s="3"/>
      <c r="J132" s="3"/>
    </row>
    <row r="133" spans="1:10" x14ac:dyDescent="0.2">
      <c r="A133" s="3"/>
      <c r="B133" s="3"/>
      <c r="C133" s="3"/>
      <c r="D133" s="3"/>
      <c r="E133" s="3"/>
      <c r="F133" s="3"/>
      <c r="G133" s="3" t="str">
        <f>IF(A133="","",COUNTIFS([1]Attendance!B:B,B133,[1]Attendance!J:J,C133,[1]Attendance!F:F,"نعم"))</f>
        <v/>
      </c>
      <c r="H133" s="6">
        <f>IFERROR(G133/F133,0)</f>
        <v>0</v>
      </c>
      <c r="I133" s="3"/>
      <c r="J133" s="3"/>
    </row>
    <row r="134" spans="1:10" x14ac:dyDescent="0.2">
      <c r="A134" s="3"/>
      <c r="B134" s="3"/>
      <c r="C134" s="3"/>
      <c r="D134" s="3"/>
      <c r="E134" s="3"/>
      <c r="F134" s="3"/>
      <c r="G134" s="3" t="str">
        <f>IF(A134="","",COUNTIFS([1]Attendance!B:B,B134,[1]Attendance!J:J,C134,[1]Attendance!F:F,"نعم"))</f>
        <v/>
      </c>
      <c r="H134" s="6">
        <f>IFERROR(G134/F134,0)</f>
        <v>0</v>
      </c>
      <c r="I134" s="3"/>
      <c r="J134" s="3"/>
    </row>
    <row r="135" spans="1:10" x14ac:dyDescent="0.2">
      <c r="A135" s="3"/>
      <c r="B135" s="3"/>
      <c r="C135" s="3"/>
      <c r="D135" s="3"/>
      <c r="E135" s="3"/>
      <c r="F135" s="3"/>
      <c r="G135" s="3" t="str">
        <f>IF(A135="","",COUNTIFS([1]Attendance!B:B,B135,[1]Attendance!J:J,C135,[1]Attendance!F:F,"نعم"))</f>
        <v/>
      </c>
      <c r="H135" s="6">
        <f>IFERROR(G135/F135,0)</f>
        <v>0</v>
      </c>
      <c r="I135" s="3"/>
      <c r="J135" s="3"/>
    </row>
    <row r="136" spans="1:10" x14ac:dyDescent="0.2">
      <c r="A136" s="3"/>
      <c r="B136" s="3"/>
      <c r="C136" s="3"/>
      <c r="D136" s="3"/>
      <c r="E136" s="3"/>
      <c r="F136" s="3"/>
      <c r="G136" s="3" t="str">
        <f>IF(A136="","",COUNTIFS([1]Attendance!B:B,B136,[1]Attendance!J:J,C136,[1]Attendance!F:F,"نعم"))</f>
        <v/>
      </c>
      <c r="H136" s="6">
        <f>IFERROR(G136/F136,0)</f>
        <v>0</v>
      </c>
      <c r="I136" s="3"/>
      <c r="J136" s="3"/>
    </row>
    <row r="137" spans="1:10" x14ac:dyDescent="0.2">
      <c r="A137" s="3"/>
      <c r="B137" s="3"/>
      <c r="C137" s="3"/>
      <c r="D137" s="3"/>
      <c r="E137" s="3"/>
      <c r="F137" s="3"/>
      <c r="G137" s="3" t="str">
        <f>IF(A137="","",COUNTIFS([1]Attendance!B:B,B137,[1]Attendance!J:J,C137,[1]Attendance!F:F,"نعم"))</f>
        <v/>
      </c>
      <c r="H137" s="6">
        <f>IFERROR(G137/F137,0)</f>
        <v>0</v>
      </c>
      <c r="I137" s="3"/>
      <c r="J137" s="3"/>
    </row>
    <row r="138" spans="1:10" x14ac:dyDescent="0.2">
      <c r="A138" s="3"/>
      <c r="B138" s="3"/>
      <c r="C138" s="3"/>
      <c r="D138" s="3"/>
      <c r="E138" s="3"/>
      <c r="F138" s="3"/>
      <c r="G138" s="3" t="str">
        <f>IF(A138="","",COUNTIFS([1]Attendance!B:B,B138,[1]Attendance!J:J,C138,[1]Attendance!F:F,"نعم"))</f>
        <v/>
      </c>
      <c r="H138" s="6">
        <f>IFERROR(G138/F138,0)</f>
        <v>0</v>
      </c>
      <c r="I138" s="3"/>
      <c r="J138" s="3"/>
    </row>
    <row r="139" spans="1:10" x14ac:dyDescent="0.2">
      <c r="A139" s="3"/>
      <c r="B139" s="3"/>
      <c r="C139" s="3"/>
      <c r="D139" s="3"/>
      <c r="E139" s="3"/>
      <c r="F139" s="3"/>
      <c r="G139" s="3" t="str">
        <f>IF(A139="","",COUNTIFS([1]Attendance!B:B,B139,[1]Attendance!J:J,C139,[1]Attendance!F:F,"نعم"))</f>
        <v/>
      </c>
      <c r="H139" s="6">
        <f>IFERROR(G139/F139,0)</f>
        <v>0</v>
      </c>
      <c r="I139" s="3"/>
      <c r="J139" s="3"/>
    </row>
    <row r="140" spans="1:10" x14ac:dyDescent="0.2">
      <c r="A140" s="3"/>
      <c r="B140" s="3"/>
      <c r="C140" s="3"/>
      <c r="D140" s="3"/>
      <c r="E140" s="3"/>
      <c r="F140" s="3"/>
      <c r="G140" s="3" t="str">
        <f>IF(A140="","",COUNTIFS([1]Attendance!B:B,B140,[1]Attendance!J:J,C140,[1]Attendance!F:F,"نعم"))</f>
        <v/>
      </c>
      <c r="H140" s="6">
        <f>IFERROR(G140/F140,0)</f>
        <v>0</v>
      </c>
      <c r="I140" s="3"/>
      <c r="J140" s="3"/>
    </row>
    <row r="141" spans="1:10" x14ac:dyDescent="0.2">
      <c r="A141" s="3"/>
      <c r="B141" s="3"/>
      <c r="C141" s="3"/>
      <c r="D141" s="3"/>
      <c r="E141" s="3"/>
      <c r="F141" s="3"/>
      <c r="G141" s="3" t="str">
        <f>IF(A141="","",COUNTIFS([1]Attendance!B:B,B141,[1]Attendance!J:J,C141,[1]Attendance!F:F,"نعم"))</f>
        <v/>
      </c>
      <c r="H141" s="6">
        <f>IFERROR(G141/F141,0)</f>
        <v>0</v>
      </c>
      <c r="I141" s="3"/>
      <c r="J141" s="3"/>
    </row>
    <row r="142" spans="1:10" x14ac:dyDescent="0.2">
      <c r="A142" s="3"/>
      <c r="B142" s="3"/>
      <c r="C142" s="3"/>
      <c r="D142" s="3"/>
      <c r="E142" s="3"/>
      <c r="F142" s="3"/>
      <c r="G142" s="3" t="str">
        <f>IF(A142="","",COUNTIFS([1]Attendance!B:B,B142,[1]Attendance!J:J,C142,[1]Attendance!F:F,"نعم"))</f>
        <v/>
      </c>
      <c r="H142" s="6">
        <f>IFERROR(G142/F142,0)</f>
        <v>0</v>
      </c>
      <c r="I142" s="3"/>
      <c r="J142" s="3"/>
    </row>
    <row r="143" spans="1:10" x14ac:dyDescent="0.2">
      <c r="A143" s="3"/>
      <c r="B143" s="3"/>
      <c r="C143" s="3"/>
      <c r="D143" s="3"/>
      <c r="E143" s="3"/>
      <c r="F143" s="3"/>
      <c r="G143" s="3" t="str">
        <f>IF(A143="","",COUNTIFS([1]Attendance!B:B,B143,[1]Attendance!J:J,C143,[1]Attendance!F:F,"نعم"))</f>
        <v/>
      </c>
      <c r="H143" s="6">
        <f>IFERROR(G143/F143,0)</f>
        <v>0</v>
      </c>
      <c r="I143" s="3"/>
      <c r="J143" s="3"/>
    </row>
    <row r="144" spans="1:10" x14ac:dyDescent="0.2">
      <c r="A144" s="3"/>
      <c r="B144" s="3"/>
      <c r="C144" s="3"/>
      <c r="D144" s="3"/>
      <c r="E144" s="3"/>
      <c r="F144" s="3"/>
      <c r="G144" s="3" t="str">
        <f>IF(A144="","",COUNTIFS([1]Attendance!B:B,B144,[1]Attendance!J:J,C144,[1]Attendance!F:F,"نعم"))</f>
        <v/>
      </c>
      <c r="H144" s="6">
        <f>IFERROR(G144/F144,0)</f>
        <v>0</v>
      </c>
      <c r="I144" s="3"/>
      <c r="J144" s="3"/>
    </row>
    <row r="145" spans="1:10" x14ac:dyDescent="0.2">
      <c r="A145" s="3"/>
      <c r="B145" s="3"/>
      <c r="C145" s="3"/>
      <c r="D145" s="3"/>
      <c r="E145" s="3"/>
      <c r="F145" s="3"/>
      <c r="G145" s="3" t="str">
        <f>IF(A145="","",COUNTIFS([1]Attendance!B:B,B145,[1]Attendance!J:J,C145,[1]Attendance!F:F,"نعم"))</f>
        <v/>
      </c>
      <c r="H145" s="6">
        <f>IFERROR(G145/F145,0)</f>
        <v>0</v>
      </c>
      <c r="I145" s="3"/>
      <c r="J145" s="3"/>
    </row>
    <row r="146" spans="1:10" x14ac:dyDescent="0.2">
      <c r="A146" s="3"/>
      <c r="B146" s="3"/>
      <c r="C146" s="3"/>
      <c r="D146" s="3"/>
      <c r="E146" s="3"/>
      <c r="F146" s="3"/>
      <c r="G146" s="3" t="str">
        <f>IF(A146="","",COUNTIFS([1]Attendance!B:B,B146,[1]Attendance!J:J,C146,[1]Attendance!F:F,"نعم"))</f>
        <v/>
      </c>
      <c r="H146" s="6">
        <f>IFERROR(G146/F146,0)</f>
        <v>0</v>
      </c>
      <c r="I146" s="3"/>
      <c r="J146" s="3"/>
    </row>
    <row r="147" spans="1:10" x14ac:dyDescent="0.2">
      <c r="A147" s="3"/>
      <c r="B147" s="3"/>
      <c r="C147" s="3"/>
      <c r="D147" s="3"/>
      <c r="E147" s="3"/>
      <c r="F147" s="3"/>
      <c r="G147" s="3" t="str">
        <f>IF(A147="","",COUNTIFS([1]Attendance!B:B,B147,[1]Attendance!J:J,C147,[1]Attendance!F:F,"نعم"))</f>
        <v/>
      </c>
      <c r="H147" s="6">
        <f>IFERROR(G147/F147,0)</f>
        <v>0</v>
      </c>
      <c r="I147" s="3"/>
      <c r="J147" s="3"/>
    </row>
    <row r="148" spans="1:10" x14ac:dyDescent="0.2">
      <c r="A148" s="3"/>
      <c r="B148" s="3"/>
      <c r="C148" s="3"/>
      <c r="D148" s="3"/>
      <c r="E148" s="3"/>
      <c r="F148" s="3"/>
      <c r="G148" s="3" t="str">
        <f>IF(A148="","",COUNTIFS([1]Attendance!B:B,B148,[1]Attendance!J:J,C148,[1]Attendance!F:F,"نعم"))</f>
        <v/>
      </c>
      <c r="H148" s="6">
        <f>IFERROR(G148/F148,0)</f>
        <v>0</v>
      </c>
      <c r="I148" s="3"/>
      <c r="J148" s="3"/>
    </row>
    <row r="149" spans="1:10" x14ac:dyDescent="0.2">
      <c r="A149" s="3"/>
      <c r="B149" s="3"/>
      <c r="C149" s="3"/>
      <c r="D149" s="3"/>
      <c r="E149" s="3"/>
      <c r="F149" s="3"/>
      <c r="G149" s="3" t="str">
        <f>IF(A149="","",COUNTIFS([1]Attendance!B:B,B149,[1]Attendance!J:J,C149,[1]Attendance!F:F,"نعم"))</f>
        <v/>
      </c>
      <c r="H149" s="6">
        <f>IFERROR(G149/F149,0)</f>
        <v>0</v>
      </c>
      <c r="I149" s="3"/>
      <c r="J149" s="3"/>
    </row>
    <row r="150" spans="1:10" x14ac:dyDescent="0.2">
      <c r="A150" s="3"/>
      <c r="B150" s="3"/>
      <c r="C150" s="3"/>
      <c r="D150" s="3"/>
      <c r="E150" s="3"/>
      <c r="F150" s="3"/>
      <c r="G150" s="3" t="str">
        <f>IF(A150="","",COUNTIFS([1]Attendance!B:B,B150,[1]Attendance!J:J,C150,[1]Attendance!F:F,"نعم"))</f>
        <v/>
      </c>
      <c r="H150" s="6">
        <f>IFERROR(G150/F150,0)</f>
        <v>0</v>
      </c>
      <c r="I150" s="3"/>
      <c r="J150" s="3"/>
    </row>
    <row r="151" spans="1:10" x14ac:dyDescent="0.2">
      <c r="A151" s="3"/>
      <c r="B151" s="3"/>
      <c r="C151" s="3"/>
      <c r="D151" s="3"/>
      <c r="E151" s="3"/>
      <c r="F151" s="3"/>
      <c r="G151" s="3" t="str">
        <f>IF(A151="","",COUNTIFS([1]Attendance!B:B,B151,[1]Attendance!J:J,C151,[1]Attendance!F:F,"نعم"))</f>
        <v/>
      </c>
      <c r="H151" s="6">
        <f>IFERROR(G151/F151,0)</f>
        <v>0</v>
      </c>
      <c r="I151" s="3"/>
      <c r="J151" s="3"/>
    </row>
    <row r="152" spans="1:10" x14ac:dyDescent="0.2">
      <c r="A152" s="3"/>
      <c r="B152" s="3"/>
      <c r="C152" s="3"/>
      <c r="D152" s="3"/>
      <c r="E152" s="3"/>
      <c r="F152" s="3"/>
      <c r="G152" s="3" t="str">
        <f>IF(A152="","",COUNTIFS([1]Attendance!B:B,B152,[1]Attendance!J:J,C152,[1]Attendance!F:F,"نعم"))</f>
        <v/>
      </c>
      <c r="H152" s="6">
        <f>IFERROR(G152/F152,0)</f>
        <v>0</v>
      </c>
      <c r="I152" s="3"/>
      <c r="J152" s="3"/>
    </row>
    <row r="153" spans="1:10" x14ac:dyDescent="0.2">
      <c r="A153" s="3"/>
      <c r="B153" s="3"/>
      <c r="C153" s="3"/>
      <c r="D153" s="3"/>
      <c r="E153" s="3"/>
      <c r="F153" s="3"/>
      <c r="G153" s="3" t="str">
        <f>IF(A153="","",COUNTIFS([1]Attendance!B:B,B153,[1]Attendance!J:J,C153,[1]Attendance!F:F,"نعم"))</f>
        <v/>
      </c>
      <c r="H153" s="6">
        <f>IFERROR(G153/F153,0)</f>
        <v>0</v>
      </c>
      <c r="I153" s="3"/>
      <c r="J153" s="3"/>
    </row>
    <row r="154" spans="1:10" x14ac:dyDescent="0.2">
      <c r="A154" s="3"/>
      <c r="B154" s="3"/>
      <c r="C154" s="3"/>
      <c r="D154" s="3"/>
      <c r="E154" s="3"/>
      <c r="F154" s="3"/>
      <c r="G154" s="3" t="str">
        <f>IF(A154="","",COUNTIFS([1]Attendance!B:B,B154,[1]Attendance!J:J,C154,[1]Attendance!F:F,"نعم"))</f>
        <v/>
      </c>
      <c r="H154" s="6">
        <f>IFERROR(G154/F154,0)</f>
        <v>0</v>
      </c>
      <c r="I154" s="3"/>
      <c r="J154" s="3"/>
    </row>
    <row r="155" spans="1:10" x14ac:dyDescent="0.2">
      <c r="A155" s="3"/>
      <c r="B155" s="3"/>
      <c r="C155" s="3"/>
      <c r="D155" s="3"/>
      <c r="E155" s="3"/>
      <c r="F155" s="3"/>
      <c r="G155" s="3" t="str">
        <f>IF(A155="","",COUNTIFS([1]Attendance!B:B,B155,[1]Attendance!J:J,C155,[1]Attendance!F:F,"نعم"))</f>
        <v/>
      </c>
      <c r="H155" s="6">
        <f>IFERROR(G155/F155,0)</f>
        <v>0</v>
      </c>
      <c r="I155" s="3"/>
      <c r="J155" s="3"/>
    </row>
    <row r="156" spans="1:10" x14ac:dyDescent="0.2">
      <c r="A156" s="3"/>
      <c r="B156" s="3"/>
      <c r="C156" s="3"/>
      <c r="D156" s="3"/>
      <c r="E156" s="3"/>
      <c r="F156" s="3"/>
      <c r="G156" s="3" t="str">
        <f>IF(A156="","",COUNTIFS([1]Attendance!B:B,B156,[1]Attendance!J:J,C156,[1]Attendance!F:F,"نعم"))</f>
        <v/>
      </c>
      <c r="H156" s="6">
        <f>IFERROR(G156/F156,0)</f>
        <v>0</v>
      </c>
      <c r="I156" s="3"/>
      <c r="J156" s="3"/>
    </row>
    <row r="157" spans="1:10" x14ac:dyDescent="0.2">
      <c r="A157" s="3"/>
      <c r="B157" s="3"/>
      <c r="C157" s="3"/>
      <c r="D157" s="3"/>
      <c r="E157" s="3"/>
      <c r="F157" s="3"/>
      <c r="G157" s="3" t="str">
        <f>IF(A157="","",COUNTIFS([1]Attendance!B:B,B157,[1]Attendance!J:J,C157,[1]Attendance!F:F,"نعم"))</f>
        <v/>
      </c>
      <c r="H157" s="6">
        <f>IFERROR(G157/F157,0)</f>
        <v>0</v>
      </c>
      <c r="I157" s="3"/>
      <c r="J157" s="3"/>
    </row>
    <row r="158" spans="1:10" x14ac:dyDescent="0.2">
      <c r="A158" s="3"/>
      <c r="B158" s="3"/>
      <c r="C158" s="3"/>
      <c r="D158" s="3"/>
      <c r="E158" s="3"/>
      <c r="F158" s="3"/>
      <c r="G158" s="3" t="str">
        <f>IF(A158="","",COUNTIFS([1]Attendance!B:B,B158,[1]Attendance!J:J,C158,[1]Attendance!F:F,"نعم"))</f>
        <v/>
      </c>
      <c r="H158" s="6">
        <f>IFERROR(G158/F158,0)</f>
        <v>0</v>
      </c>
      <c r="I158" s="3"/>
      <c r="J158" s="3"/>
    </row>
    <row r="159" spans="1:10" x14ac:dyDescent="0.2">
      <c r="A159" s="3"/>
      <c r="B159" s="3"/>
      <c r="C159" s="3"/>
      <c r="D159" s="3"/>
      <c r="E159" s="3"/>
      <c r="F159" s="3"/>
      <c r="G159" s="3" t="str">
        <f>IF(A159="","",COUNTIFS([1]Attendance!B:B,B159,[1]Attendance!J:J,C159,[1]Attendance!F:F,"نعم"))</f>
        <v/>
      </c>
      <c r="H159" s="6">
        <f>IFERROR(G159/F159,0)</f>
        <v>0</v>
      </c>
      <c r="I159" s="3"/>
      <c r="J159" s="3"/>
    </row>
    <row r="160" spans="1:10" x14ac:dyDescent="0.2">
      <c r="A160" s="3"/>
      <c r="B160" s="3"/>
      <c r="C160" s="3"/>
      <c r="D160" s="3"/>
      <c r="E160" s="3"/>
      <c r="F160" s="3"/>
      <c r="G160" s="3" t="str">
        <f>IF(A160="","",COUNTIFS([1]Attendance!B:B,B160,[1]Attendance!J:J,C160,[1]Attendance!F:F,"نعم"))</f>
        <v/>
      </c>
      <c r="H160" s="6">
        <f>IFERROR(G160/F160,0)</f>
        <v>0</v>
      </c>
      <c r="I160" s="3"/>
      <c r="J160" s="3"/>
    </row>
    <row r="161" spans="1:10" x14ac:dyDescent="0.2">
      <c r="A161" s="3"/>
      <c r="B161" s="3"/>
      <c r="C161" s="3"/>
      <c r="D161" s="3"/>
      <c r="E161" s="3"/>
      <c r="F161" s="3"/>
      <c r="G161" s="3" t="str">
        <f>IF(A161="","",COUNTIFS([1]Attendance!B:B,B161,[1]Attendance!J:J,C161,[1]Attendance!F:F,"نعم"))</f>
        <v/>
      </c>
      <c r="H161" s="6">
        <f>IFERROR(G161/F161,0)</f>
        <v>0</v>
      </c>
      <c r="I161" s="3"/>
      <c r="J161" s="3"/>
    </row>
    <row r="162" spans="1:10" x14ac:dyDescent="0.2">
      <c r="A162" s="3"/>
      <c r="B162" s="3"/>
      <c r="C162" s="3"/>
      <c r="D162" s="3"/>
      <c r="E162" s="3"/>
      <c r="F162" s="3"/>
      <c r="G162" s="3" t="str">
        <f>IF(A162="","",COUNTIFS([1]Attendance!B:B,B162,[1]Attendance!J:J,C162,[1]Attendance!F:F,"نعم"))</f>
        <v/>
      </c>
      <c r="H162" s="6">
        <f>IFERROR(G162/F162,0)</f>
        <v>0</v>
      </c>
      <c r="I162" s="3"/>
      <c r="J162" s="3"/>
    </row>
    <row r="163" spans="1:10" x14ac:dyDescent="0.2">
      <c r="A163" s="3"/>
      <c r="B163" s="3"/>
      <c r="C163" s="3"/>
      <c r="D163" s="3"/>
      <c r="E163" s="3"/>
      <c r="F163" s="3"/>
      <c r="G163" s="3" t="str">
        <f>IF(A163="","",COUNTIFS([1]Attendance!B:B,B163,[1]Attendance!J:J,C163,[1]Attendance!F:F,"نعم"))</f>
        <v/>
      </c>
      <c r="H163" s="6">
        <f>IFERROR(G163/F163,0)</f>
        <v>0</v>
      </c>
      <c r="I163" s="3"/>
      <c r="J163" s="3"/>
    </row>
    <row r="164" spans="1:10" x14ac:dyDescent="0.2">
      <c r="A164" s="3"/>
      <c r="B164" s="3"/>
      <c r="C164" s="3"/>
      <c r="D164" s="3"/>
      <c r="E164" s="3"/>
      <c r="F164" s="3"/>
      <c r="G164" s="3" t="str">
        <f>IF(A164="","",COUNTIFS([1]Attendance!B:B,B164,[1]Attendance!J:J,C164,[1]Attendance!F:F,"نعم"))</f>
        <v/>
      </c>
      <c r="H164" s="6">
        <f>IFERROR(G164/F164,0)</f>
        <v>0</v>
      </c>
      <c r="I164" s="3"/>
      <c r="J164" s="3"/>
    </row>
    <row r="165" spans="1:10" x14ac:dyDescent="0.2">
      <c r="A165" s="3"/>
      <c r="B165" s="3"/>
      <c r="C165" s="3"/>
      <c r="D165" s="3"/>
      <c r="E165" s="3"/>
      <c r="F165" s="3"/>
      <c r="G165" s="3" t="str">
        <f>IF(A165="","",COUNTIFS([1]Attendance!B:B,B165,[1]Attendance!J:J,C165,[1]Attendance!F:F,"نعم"))</f>
        <v/>
      </c>
      <c r="H165" s="6">
        <f>IFERROR(G165/F165,0)</f>
        <v>0</v>
      </c>
      <c r="I165" s="3"/>
      <c r="J165" s="3"/>
    </row>
    <row r="166" spans="1:10" x14ac:dyDescent="0.2">
      <c r="A166" s="3"/>
      <c r="B166" s="3"/>
      <c r="C166" s="3"/>
      <c r="D166" s="3"/>
      <c r="E166" s="3"/>
      <c r="F166" s="3"/>
      <c r="G166" s="3" t="str">
        <f>IF(A166="","",COUNTIFS([1]Attendance!B:B,B166,[1]Attendance!J:J,C166,[1]Attendance!F:F,"نعم"))</f>
        <v/>
      </c>
      <c r="H166" s="6">
        <f>IFERROR(G166/F166,0)</f>
        <v>0</v>
      </c>
      <c r="I166" s="3"/>
      <c r="J166" s="3"/>
    </row>
    <row r="167" spans="1:10" x14ac:dyDescent="0.2">
      <c r="A167" s="3"/>
      <c r="B167" s="3"/>
      <c r="C167" s="3"/>
      <c r="D167" s="3"/>
      <c r="E167" s="3"/>
      <c r="F167" s="3"/>
      <c r="G167" s="3" t="str">
        <f>IF(A167="","",COUNTIFS([1]Attendance!B:B,B167,[1]Attendance!J:J,C167,[1]Attendance!F:F,"نعم"))</f>
        <v/>
      </c>
      <c r="H167" s="6">
        <f>IFERROR(G167/F167,0)</f>
        <v>0</v>
      </c>
      <c r="I167" s="3"/>
      <c r="J167" s="3"/>
    </row>
    <row r="168" spans="1:10" x14ac:dyDescent="0.2">
      <c r="A168" s="3"/>
      <c r="B168" s="3"/>
      <c r="C168" s="3"/>
      <c r="D168" s="3"/>
      <c r="E168" s="3"/>
      <c r="F168" s="3"/>
      <c r="G168" s="3" t="str">
        <f>IF(A168="","",COUNTIFS([1]Attendance!B:B,B168,[1]Attendance!J:J,C168,[1]Attendance!F:F,"نعم"))</f>
        <v/>
      </c>
      <c r="H168" s="6">
        <f>IFERROR(G168/F168,0)</f>
        <v>0</v>
      </c>
      <c r="I168" s="3"/>
      <c r="J168" s="3"/>
    </row>
    <row r="169" spans="1:10" x14ac:dyDescent="0.2">
      <c r="A169" s="3"/>
      <c r="B169" s="3"/>
      <c r="C169" s="3"/>
      <c r="D169" s="3"/>
      <c r="E169" s="3"/>
      <c r="F169" s="3"/>
      <c r="G169" s="3" t="str">
        <f>IF(A169="","",COUNTIFS([1]Attendance!B:B,B169,[1]Attendance!J:J,C169,[1]Attendance!F:F,"نعم"))</f>
        <v/>
      </c>
      <c r="H169" s="6">
        <f>IFERROR(G169/F169,0)</f>
        <v>0</v>
      </c>
      <c r="I169" s="3"/>
      <c r="J169" s="3"/>
    </row>
    <row r="170" spans="1:10" x14ac:dyDescent="0.2">
      <c r="A170" s="3"/>
      <c r="B170" s="3"/>
      <c r="C170" s="3"/>
      <c r="D170" s="3"/>
      <c r="E170" s="3"/>
      <c r="F170" s="3"/>
      <c r="G170" s="3" t="str">
        <f>IF(A170="","",COUNTIFS([1]Attendance!B:B,B170,[1]Attendance!J:J,C170,[1]Attendance!F:F,"نعم"))</f>
        <v/>
      </c>
      <c r="H170" s="6">
        <f>IFERROR(G170/F170,0)</f>
        <v>0</v>
      </c>
      <c r="I170" s="3"/>
      <c r="J170" s="3"/>
    </row>
    <row r="171" spans="1:10" x14ac:dyDescent="0.2">
      <c r="A171" s="3"/>
      <c r="B171" s="3"/>
      <c r="C171" s="3"/>
      <c r="D171" s="3"/>
      <c r="E171" s="3"/>
      <c r="F171" s="3"/>
      <c r="G171" s="3" t="str">
        <f>IF(A171="","",COUNTIFS([1]Attendance!B:B,B171,[1]Attendance!J:J,C171,[1]Attendance!F:F,"نعم"))</f>
        <v/>
      </c>
      <c r="H171" s="6">
        <f>IFERROR(G171/F171,0)</f>
        <v>0</v>
      </c>
      <c r="I171" s="3"/>
      <c r="J171" s="3"/>
    </row>
    <row r="172" spans="1:10" x14ac:dyDescent="0.2">
      <c r="A172" s="3"/>
      <c r="B172" s="3"/>
      <c r="C172" s="3"/>
      <c r="D172" s="3"/>
      <c r="E172" s="3"/>
      <c r="F172" s="3"/>
      <c r="G172" s="3" t="str">
        <f>IF(A172="","",COUNTIFS([1]Attendance!B:B,B172,[1]Attendance!J:J,C172,[1]Attendance!F:F,"نعم"))</f>
        <v/>
      </c>
      <c r="H172" s="6">
        <f>IFERROR(G172/F172,0)</f>
        <v>0</v>
      </c>
      <c r="I172" s="3"/>
      <c r="J172" s="3"/>
    </row>
    <row r="173" spans="1:10" x14ac:dyDescent="0.2">
      <c r="A173" s="3"/>
      <c r="B173" s="3"/>
      <c r="C173" s="3"/>
      <c r="D173" s="3"/>
      <c r="E173" s="3"/>
      <c r="F173" s="3"/>
      <c r="G173" s="3" t="str">
        <f>IF(A173="","",COUNTIFS([1]Attendance!B:B,B173,[1]Attendance!J:J,C173,[1]Attendance!F:F,"نعم"))</f>
        <v/>
      </c>
      <c r="H173" s="6">
        <f>IFERROR(G173/F173,0)</f>
        <v>0</v>
      </c>
      <c r="I173" s="3"/>
      <c r="J173" s="3"/>
    </row>
    <row r="174" spans="1:10" x14ac:dyDescent="0.2">
      <c r="A174" s="3"/>
      <c r="B174" s="3"/>
      <c r="C174" s="3"/>
      <c r="D174" s="3"/>
      <c r="E174" s="3"/>
      <c r="F174" s="3"/>
      <c r="G174" s="3" t="str">
        <f>IF(A174="","",COUNTIFS([1]Attendance!B:B,B174,[1]Attendance!J:J,C174,[1]Attendance!F:F,"نعم"))</f>
        <v/>
      </c>
      <c r="H174" s="6">
        <f>IFERROR(G174/F174,0)</f>
        <v>0</v>
      </c>
      <c r="I174" s="3"/>
      <c r="J174" s="3"/>
    </row>
    <row r="175" spans="1:10" x14ac:dyDescent="0.2">
      <c r="A175" s="3"/>
      <c r="B175" s="3"/>
      <c r="C175" s="3"/>
      <c r="D175" s="3"/>
      <c r="E175" s="3"/>
      <c r="F175" s="3"/>
      <c r="G175" s="3" t="str">
        <f>IF(A175="","",COUNTIFS([1]Attendance!B:B,B175,[1]Attendance!J:J,C175,[1]Attendance!F:F,"نعم"))</f>
        <v/>
      </c>
      <c r="H175" s="6">
        <f>IFERROR(G175/F175,0)</f>
        <v>0</v>
      </c>
      <c r="I175" s="3"/>
      <c r="J175" s="3"/>
    </row>
    <row r="176" spans="1:10" x14ac:dyDescent="0.2">
      <c r="A176" s="3"/>
      <c r="B176" s="3"/>
      <c r="C176" s="3"/>
      <c r="D176" s="3"/>
      <c r="E176" s="3"/>
      <c r="F176" s="3"/>
      <c r="G176" s="3" t="str">
        <f>IF(A176="","",COUNTIFS([1]Attendance!B:B,B176,[1]Attendance!J:J,C176,[1]Attendance!F:F,"نعم"))</f>
        <v/>
      </c>
      <c r="H176" s="6">
        <f>IFERROR(G176/F176,0)</f>
        <v>0</v>
      </c>
      <c r="I176" s="3"/>
      <c r="J176" s="3"/>
    </row>
    <row r="177" spans="1:10" x14ac:dyDescent="0.2">
      <c r="A177" s="3"/>
      <c r="B177" s="3"/>
      <c r="C177" s="3"/>
      <c r="D177" s="3"/>
      <c r="E177" s="3"/>
      <c r="F177" s="3"/>
      <c r="G177" s="3" t="str">
        <f>IF(A177="","",COUNTIFS([1]Attendance!B:B,B177,[1]Attendance!J:J,C177,[1]Attendance!F:F,"نعم"))</f>
        <v/>
      </c>
      <c r="H177" s="6">
        <f>IFERROR(G177/F177,0)</f>
        <v>0</v>
      </c>
      <c r="I177" s="3"/>
      <c r="J177" s="3"/>
    </row>
    <row r="178" spans="1:10" x14ac:dyDescent="0.2">
      <c r="A178" s="3"/>
      <c r="B178" s="3"/>
      <c r="C178" s="3"/>
      <c r="D178" s="3"/>
      <c r="E178" s="3"/>
      <c r="F178" s="3"/>
      <c r="G178" s="3" t="str">
        <f>IF(A178="","",COUNTIFS([1]Attendance!B:B,B178,[1]Attendance!J:J,C178,[1]Attendance!F:F,"نعم"))</f>
        <v/>
      </c>
      <c r="H178" s="6">
        <f>IFERROR(G178/F178,0)</f>
        <v>0</v>
      </c>
      <c r="I178" s="3"/>
      <c r="J178" s="3"/>
    </row>
    <row r="179" spans="1:10" x14ac:dyDescent="0.2">
      <c r="A179" s="3"/>
      <c r="B179" s="3"/>
      <c r="C179" s="3"/>
      <c r="D179" s="3"/>
      <c r="E179" s="3"/>
      <c r="F179" s="3"/>
      <c r="G179" s="3" t="str">
        <f>IF(A179="","",COUNTIFS([1]Attendance!B:B,B179,[1]Attendance!J:J,C179,[1]Attendance!F:F,"نعم"))</f>
        <v/>
      </c>
      <c r="H179" s="6">
        <f>IFERROR(G179/F179,0)</f>
        <v>0</v>
      </c>
      <c r="I179" s="3"/>
      <c r="J179" s="3"/>
    </row>
    <row r="180" spans="1:10" x14ac:dyDescent="0.2">
      <c r="A180" s="3"/>
      <c r="B180" s="3"/>
      <c r="C180" s="3"/>
      <c r="D180" s="3"/>
      <c r="E180" s="3"/>
      <c r="F180" s="3"/>
      <c r="G180" s="3" t="str">
        <f>IF(A180="","",COUNTIFS([1]Attendance!B:B,B180,[1]Attendance!J:J,C180,[1]Attendance!F:F,"نعم"))</f>
        <v/>
      </c>
      <c r="H180" s="6">
        <f>IFERROR(G180/F180,0)</f>
        <v>0</v>
      </c>
      <c r="I180" s="3"/>
      <c r="J180" s="3"/>
    </row>
    <row r="181" spans="1:10" x14ac:dyDescent="0.2">
      <c r="A181" s="3"/>
      <c r="B181" s="3"/>
      <c r="C181" s="3"/>
      <c r="D181" s="3"/>
      <c r="E181" s="3"/>
      <c r="F181" s="3"/>
      <c r="G181" s="3" t="str">
        <f>IF(A181="","",COUNTIFS([1]Attendance!B:B,B181,[1]Attendance!J:J,C181,[1]Attendance!F:F,"نعم"))</f>
        <v/>
      </c>
      <c r="H181" s="6">
        <f>IFERROR(G181/F181,0)</f>
        <v>0</v>
      </c>
      <c r="I181" s="3"/>
      <c r="J181" s="3"/>
    </row>
    <row r="182" spans="1:10" x14ac:dyDescent="0.2">
      <c r="A182" s="3"/>
      <c r="B182" s="3"/>
      <c r="C182" s="3"/>
      <c r="D182" s="3"/>
      <c r="E182" s="3"/>
      <c r="F182" s="3"/>
      <c r="G182" s="3" t="str">
        <f>IF(A182="","",COUNTIFS([1]Attendance!B:B,B182,[1]Attendance!J:J,C182,[1]Attendance!F:F,"نعم"))</f>
        <v/>
      </c>
      <c r="H182" s="6">
        <f>IFERROR(G182/F182,0)</f>
        <v>0</v>
      </c>
      <c r="I182" s="3"/>
      <c r="J182" s="3"/>
    </row>
    <row r="183" spans="1:10" x14ac:dyDescent="0.2">
      <c r="A183" s="3"/>
      <c r="B183" s="3"/>
      <c r="C183" s="3"/>
      <c r="D183" s="3"/>
      <c r="E183" s="3"/>
      <c r="F183" s="3"/>
      <c r="G183" s="3" t="str">
        <f>IF(A183="","",COUNTIFS([1]Attendance!B:B,B183,[1]Attendance!J:J,C183,[1]Attendance!F:F,"نعم"))</f>
        <v/>
      </c>
      <c r="H183" s="6">
        <f>IFERROR(G183/F183,0)</f>
        <v>0</v>
      </c>
      <c r="I183" s="3"/>
      <c r="J183" s="3"/>
    </row>
    <row r="184" spans="1:10" x14ac:dyDescent="0.2">
      <c r="A184" s="3"/>
      <c r="B184" s="3"/>
      <c r="C184" s="3"/>
      <c r="D184" s="3"/>
      <c r="E184" s="3"/>
      <c r="F184" s="3"/>
      <c r="G184" s="3" t="str">
        <f>IF(A184="","",COUNTIFS([1]Attendance!B:B,B184,[1]Attendance!J:J,C184,[1]Attendance!F:F,"نعم"))</f>
        <v/>
      </c>
      <c r="H184" s="6">
        <f>IFERROR(G184/F184,0)</f>
        <v>0</v>
      </c>
      <c r="I184" s="3"/>
      <c r="J184" s="3"/>
    </row>
    <row r="185" spans="1:10" x14ac:dyDescent="0.2">
      <c r="A185" s="3"/>
      <c r="B185" s="3"/>
      <c r="C185" s="3"/>
      <c r="D185" s="3"/>
      <c r="E185" s="3"/>
      <c r="F185" s="3"/>
      <c r="G185" s="3" t="str">
        <f>IF(A185="","",COUNTIFS([1]Attendance!B:B,B185,[1]Attendance!J:J,C185,[1]Attendance!F:F,"نعم"))</f>
        <v/>
      </c>
      <c r="H185" s="6">
        <f>IFERROR(G185/F185,0)</f>
        <v>0</v>
      </c>
      <c r="I185" s="3"/>
      <c r="J185" s="3"/>
    </row>
    <row r="186" spans="1:10" x14ac:dyDescent="0.2">
      <c r="A186" s="3"/>
      <c r="B186" s="3"/>
      <c r="C186" s="3"/>
      <c r="D186" s="3"/>
      <c r="E186" s="3"/>
      <c r="F186" s="3"/>
      <c r="G186" s="3" t="str">
        <f>IF(A186="","",COUNTIFS([1]Attendance!B:B,B186,[1]Attendance!J:J,C186,[1]Attendance!F:F,"نعم"))</f>
        <v/>
      </c>
      <c r="H186" s="6">
        <f>IFERROR(G186/F186,0)</f>
        <v>0</v>
      </c>
      <c r="I186" s="3"/>
      <c r="J186" s="3"/>
    </row>
    <row r="187" spans="1:10" x14ac:dyDescent="0.2">
      <c r="A187" s="3"/>
      <c r="B187" s="3"/>
      <c r="C187" s="3"/>
      <c r="D187" s="3"/>
      <c r="E187" s="3"/>
      <c r="F187" s="3"/>
      <c r="G187" s="3" t="str">
        <f>IF(A187="","",COUNTIFS([1]Attendance!B:B,B187,[1]Attendance!J:J,C187,[1]Attendance!F:F,"نعم"))</f>
        <v/>
      </c>
      <c r="H187" s="6">
        <f>IFERROR(G187/F187,0)</f>
        <v>0</v>
      </c>
      <c r="I187" s="3"/>
      <c r="J187" s="3"/>
    </row>
    <row r="188" spans="1:10" x14ac:dyDescent="0.2">
      <c r="A188" s="3"/>
      <c r="B188" s="3"/>
      <c r="C188" s="3"/>
      <c r="D188" s="3"/>
      <c r="E188" s="3"/>
      <c r="F188" s="3"/>
      <c r="G188" s="3" t="str">
        <f>IF(A188="","",COUNTIFS([1]Attendance!B:B,B188,[1]Attendance!J:J,C188,[1]Attendance!F:F,"نعم"))</f>
        <v/>
      </c>
      <c r="H188" s="6">
        <f>IFERROR(G188/F188,0)</f>
        <v>0</v>
      </c>
      <c r="I188" s="3"/>
      <c r="J188" s="3"/>
    </row>
    <row r="189" spans="1:10" x14ac:dyDescent="0.2">
      <c r="A189" s="3"/>
      <c r="B189" s="3"/>
      <c r="C189" s="3"/>
      <c r="D189" s="3"/>
      <c r="E189" s="3"/>
      <c r="F189" s="3"/>
      <c r="G189" s="3" t="str">
        <f>IF(A189="","",COUNTIFS([1]Attendance!B:B,B189,[1]Attendance!J:J,C189,[1]Attendance!F:F,"نعم"))</f>
        <v/>
      </c>
      <c r="H189" s="6">
        <f>IFERROR(G189/F189,0)</f>
        <v>0</v>
      </c>
      <c r="I189" s="3"/>
      <c r="J189" s="3"/>
    </row>
    <row r="190" spans="1:10" x14ac:dyDescent="0.2">
      <c r="A190" s="3"/>
      <c r="B190" s="3"/>
      <c r="C190" s="3"/>
      <c r="D190" s="3"/>
      <c r="E190" s="3"/>
      <c r="F190" s="3"/>
      <c r="G190" s="3" t="str">
        <f>IF(A190="","",COUNTIFS([1]Attendance!B:B,B190,[1]Attendance!J:J,C190,[1]Attendance!F:F,"نعم"))</f>
        <v/>
      </c>
      <c r="H190" s="6">
        <f>IFERROR(G190/F190,0)</f>
        <v>0</v>
      </c>
      <c r="I190" s="3"/>
      <c r="J190" s="3"/>
    </row>
    <row r="191" spans="1:10" x14ac:dyDescent="0.2">
      <c r="A191" s="3"/>
      <c r="B191" s="3"/>
      <c r="C191" s="3"/>
      <c r="D191" s="3"/>
      <c r="E191" s="3"/>
      <c r="F191" s="3"/>
      <c r="G191" s="3" t="str">
        <f>IF(A191="","",COUNTIFS([1]Attendance!B:B,B191,[1]Attendance!J:J,C191,[1]Attendance!F:F,"نعم"))</f>
        <v/>
      </c>
      <c r="H191" s="6">
        <f>IFERROR(G191/F191,0)</f>
        <v>0</v>
      </c>
      <c r="I191" s="3"/>
      <c r="J191" s="3"/>
    </row>
    <row r="192" spans="1:10" x14ac:dyDescent="0.2">
      <c r="A192" s="3"/>
      <c r="B192" s="3"/>
      <c r="C192" s="3"/>
      <c r="D192" s="3"/>
      <c r="E192" s="3"/>
      <c r="F192" s="3"/>
      <c r="G192" s="3" t="str">
        <f>IF(A192="","",COUNTIFS([1]Attendance!B:B,B192,[1]Attendance!J:J,C192,[1]Attendance!F:F,"نعم"))</f>
        <v/>
      </c>
      <c r="H192" s="6">
        <f>IFERROR(G192/F192,0)</f>
        <v>0</v>
      </c>
      <c r="I192" s="3"/>
      <c r="J192" s="3"/>
    </row>
    <row r="193" spans="1:10" x14ac:dyDescent="0.2">
      <c r="A193" s="3"/>
      <c r="B193" s="3"/>
      <c r="C193" s="3"/>
      <c r="D193" s="3"/>
      <c r="E193" s="3"/>
      <c r="F193" s="3"/>
      <c r="G193" s="3" t="str">
        <f>IF(A193="","",COUNTIFS([1]Attendance!B:B,B193,[1]Attendance!J:J,C193,[1]Attendance!F:F,"نعم"))</f>
        <v/>
      </c>
      <c r="H193" s="6">
        <f>IFERROR(G193/F193,0)</f>
        <v>0</v>
      </c>
      <c r="I193" s="3"/>
      <c r="J193" s="3"/>
    </row>
    <row r="194" spans="1:10" x14ac:dyDescent="0.2">
      <c r="A194" s="3"/>
      <c r="B194" s="3"/>
      <c r="C194" s="3"/>
      <c r="D194" s="3"/>
      <c r="E194" s="3"/>
      <c r="F194" s="3"/>
      <c r="G194" s="3" t="str">
        <f>IF(A194="","",COUNTIFS([1]Attendance!B:B,B194,[1]Attendance!J:J,C194,[1]Attendance!F:F,"نعم"))</f>
        <v/>
      </c>
      <c r="H194" s="6">
        <f>IFERROR(G194/F194,0)</f>
        <v>0</v>
      </c>
      <c r="I194" s="3"/>
      <c r="J194" s="3"/>
    </row>
    <row r="195" spans="1:10" x14ac:dyDescent="0.2">
      <c r="A195" s="3"/>
      <c r="B195" s="3"/>
      <c r="C195" s="3"/>
      <c r="D195" s="3"/>
      <c r="E195" s="3"/>
      <c r="F195" s="3"/>
      <c r="G195" s="3" t="str">
        <f>IF(A195="","",COUNTIFS([1]Attendance!B:B,B195,[1]Attendance!J:J,C195,[1]Attendance!F:F,"نعم"))</f>
        <v/>
      </c>
      <c r="H195" s="6">
        <f>IFERROR(G195/F195,0)</f>
        <v>0</v>
      </c>
      <c r="I195" s="3"/>
      <c r="J195" s="3"/>
    </row>
    <row r="196" spans="1:10" x14ac:dyDescent="0.2">
      <c r="A196" s="3"/>
      <c r="B196" s="3"/>
      <c r="C196" s="3"/>
      <c r="D196" s="3"/>
      <c r="E196" s="3"/>
      <c r="F196" s="3"/>
      <c r="G196" s="3" t="str">
        <f>IF(A196="","",COUNTIFS([1]Attendance!B:B,B196,[1]Attendance!J:J,C196,[1]Attendance!F:F,"نعم"))</f>
        <v/>
      </c>
      <c r="H196" s="6">
        <f>IFERROR(G196/F196,0)</f>
        <v>0</v>
      </c>
      <c r="I196" s="3"/>
      <c r="J196" s="3"/>
    </row>
    <row r="197" spans="1:10" x14ac:dyDescent="0.2">
      <c r="A197" s="3"/>
      <c r="B197" s="3"/>
      <c r="C197" s="3"/>
      <c r="D197" s="3"/>
      <c r="E197" s="3"/>
      <c r="F197" s="3"/>
      <c r="G197" s="3" t="str">
        <f>IF(A197="","",COUNTIFS([1]Attendance!B:B,B197,[1]Attendance!J:J,C197,[1]Attendance!F:F,"نعم"))</f>
        <v/>
      </c>
      <c r="H197" s="6">
        <f>IFERROR(G197/F197,0)</f>
        <v>0</v>
      </c>
      <c r="I197" s="3"/>
      <c r="J197" s="3"/>
    </row>
    <row r="198" spans="1:10" x14ac:dyDescent="0.2">
      <c r="A198" s="3"/>
      <c r="B198" s="3"/>
      <c r="C198" s="3"/>
      <c r="D198" s="3"/>
      <c r="E198" s="3"/>
      <c r="F198" s="3"/>
      <c r="G198" s="3" t="str">
        <f>IF(A198="","",COUNTIFS([1]Attendance!B:B,B198,[1]Attendance!J:J,C198,[1]Attendance!F:F,"نعم"))</f>
        <v/>
      </c>
      <c r="H198" s="6">
        <f>IFERROR(G198/F198,0)</f>
        <v>0</v>
      </c>
      <c r="I198" s="3"/>
      <c r="J198" s="3"/>
    </row>
    <row r="199" spans="1:10" x14ac:dyDescent="0.2">
      <c r="A199" s="3"/>
      <c r="B199" s="3"/>
      <c r="C199" s="3"/>
      <c r="D199" s="3"/>
      <c r="E199" s="3"/>
      <c r="F199" s="3"/>
      <c r="G199" s="3" t="str">
        <f>IF(A199="","",COUNTIFS([1]Attendance!B:B,B199,[1]Attendance!J:J,C199,[1]Attendance!F:F,"نعم"))</f>
        <v/>
      </c>
      <c r="H199" s="6">
        <f>IFERROR(G199/F199,0)</f>
        <v>0</v>
      </c>
      <c r="I199" s="3"/>
      <c r="J199" s="3"/>
    </row>
    <row r="200" spans="1:10" x14ac:dyDescent="0.2">
      <c r="A200" s="3"/>
      <c r="B200" s="3"/>
      <c r="C200" s="3"/>
      <c r="D200" s="3"/>
      <c r="E200" s="3"/>
      <c r="F200" s="3"/>
      <c r="G200" s="3" t="str">
        <f>IF(A200="","",COUNTIFS([1]Attendance!B:B,B200,[1]Attendance!J:J,C200,[1]Attendance!F:F,"نعم"))</f>
        <v/>
      </c>
      <c r="H200" s="6">
        <f>IFERROR(G200/F200,0)</f>
        <v>0</v>
      </c>
      <c r="I200" s="3"/>
      <c r="J200" s="3"/>
    </row>
    <row r="201" spans="1:10" x14ac:dyDescent="0.2">
      <c r="A201" s="3"/>
      <c r="B201" s="3"/>
      <c r="C201" s="3"/>
      <c r="D201" s="3"/>
      <c r="E201" s="3"/>
      <c r="F201" s="3"/>
      <c r="G201" s="3" t="str">
        <f>IF(A201="","",COUNTIFS([1]Attendance!B:B,B201,[1]Attendance!J:J,C201,[1]Attendance!F:F,"نعم"))</f>
        <v/>
      </c>
      <c r="H201" s="6">
        <f>IFERROR(G201/F201,0)</f>
        <v>0</v>
      </c>
      <c r="I201" s="3"/>
      <c r="J201" s="3"/>
    </row>
    <row r="202" spans="1:10" x14ac:dyDescent="0.2">
      <c r="A202" s="3"/>
      <c r="B202" s="3"/>
      <c r="C202" s="3"/>
      <c r="D202" s="3"/>
      <c r="E202" s="3"/>
      <c r="F202" s="3"/>
      <c r="G202" s="3" t="str">
        <f>IF(A202="","",COUNTIFS([1]Attendance!B:B,B202,[1]Attendance!J:J,C202,[1]Attendance!F:F,"نعم"))</f>
        <v/>
      </c>
      <c r="H202" s="6">
        <f>IFERROR(G202/F202,0)</f>
        <v>0</v>
      </c>
      <c r="I202" s="3"/>
      <c r="J202" s="3"/>
    </row>
    <row r="203" spans="1:10" x14ac:dyDescent="0.2">
      <c r="A203" s="3"/>
      <c r="B203" s="3"/>
      <c r="C203" s="3"/>
      <c r="D203" s="3"/>
      <c r="E203" s="3"/>
      <c r="F203" s="3"/>
      <c r="G203" s="3" t="str">
        <f>IF(A203="","",COUNTIFS([1]Attendance!B:B,B203,[1]Attendance!J:J,C203,[1]Attendance!F:F,"نعم"))</f>
        <v/>
      </c>
      <c r="H203" s="6">
        <f>IFERROR(G203/F203,0)</f>
        <v>0</v>
      </c>
      <c r="I203" s="3"/>
      <c r="J203" s="3"/>
    </row>
  </sheetData>
  <mergeCells count="1">
    <mergeCell ref="A1:J1"/>
  </mergeCells>
  <dataValidations count="1">
    <dataValidation type="list" allowBlank="1" showInputMessage="1" showErrorMessage="1" sqref="J4:J203" xr:uid="{CFA84034-362D-480B-B8A2-8D61890D5244}">
      <formula1>"مخطط,منفذ,ملغى"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1C42-E6E0-4E93-8299-B11B3AD617A1}">
  <dimension ref="A1:Q203"/>
  <sheetViews>
    <sheetView rightToLeft="1" workbookViewId="0">
      <pane ySplit="3" topLeftCell="A4" activePane="bottomLeft" state="frozenSplit"/>
      <selection pane="bottomLeft" sqref="A1:Q1"/>
    </sheetView>
  </sheetViews>
  <sheetFormatPr defaultRowHeight="12.75" x14ac:dyDescent="0.2"/>
  <cols>
    <col min="1" max="1" width="12.28515625" style="1" bestFit="1" customWidth="1"/>
    <col min="2" max="2" width="13.28515625" style="1" bestFit="1" customWidth="1"/>
    <col min="3" max="3" width="12.5703125" style="1" bestFit="1" customWidth="1"/>
    <col min="4" max="4" width="9.28515625" style="1" bestFit="1" customWidth="1"/>
    <col min="5" max="5" width="14" style="1" bestFit="1" customWidth="1"/>
    <col min="6" max="6" width="18" style="1" bestFit="1" customWidth="1"/>
    <col min="7" max="7" width="8.28515625" style="1" bestFit="1" customWidth="1"/>
    <col min="8" max="8" width="12.5703125" style="1" bestFit="1" customWidth="1"/>
    <col min="9" max="9" width="10.85546875" style="1" bestFit="1" customWidth="1"/>
    <col min="10" max="10" width="10.5703125" style="1" bestFit="1" customWidth="1"/>
    <col min="11" max="11" width="15" style="1" bestFit="1" customWidth="1"/>
    <col min="12" max="12" width="14.140625" style="1" bestFit="1" customWidth="1"/>
    <col min="13" max="13" width="9" style="1" bestFit="1" customWidth="1"/>
    <col min="14" max="14" width="13.28515625" style="1" bestFit="1" customWidth="1"/>
    <col min="15" max="15" width="14.28515625" style="1" bestFit="1" customWidth="1"/>
    <col min="16" max="16" width="12.5703125" style="1" bestFit="1" customWidth="1"/>
    <col min="17" max="17" width="16.5703125" style="1" bestFit="1" customWidth="1"/>
    <col min="18" max="16384" width="9.140625" style="1"/>
  </cols>
  <sheetData>
    <row r="1" spans="1:17" x14ac:dyDescent="0.2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4" t="s">
        <v>146</v>
      </c>
      <c r="B3" s="4" t="s">
        <v>114</v>
      </c>
      <c r="C3" s="4" t="s">
        <v>28</v>
      </c>
      <c r="D3" s="4" t="s">
        <v>147</v>
      </c>
      <c r="E3" s="4" t="s">
        <v>148</v>
      </c>
      <c r="F3" s="4" t="s">
        <v>149</v>
      </c>
      <c r="G3" s="4" t="s">
        <v>90</v>
      </c>
      <c r="H3" s="4" t="s">
        <v>150</v>
      </c>
      <c r="I3" s="4" t="s">
        <v>121</v>
      </c>
      <c r="J3" s="4" t="s">
        <v>151</v>
      </c>
      <c r="K3" s="4" t="s">
        <v>152</v>
      </c>
      <c r="L3" s="4" t="s">
        <v>153</v>
      </c>
      <c r="M3" s="4" t="s">
        <v>92</v>
      </c>
      <c r="N3" s="4" t="s">
        <v>154</v>
      </c>
      <c r="O3" s="4" t="s">
        <v>95</v>
      </c>
      <c r="P3" s="4" t="s">
        <v>155</v>
      </c>
      <c r="Q3" s="4" t="s">
        <v>156</v>
      </c>
    </row>
    <row r="4" spans="1:17" ht="25.5" x14ac:dyDescent="0.2">
      <c r="A4" s="3" t="s">
        <v>157</v>
      </c>
      <c r="B4" s="3" t="s">
        <v>123</v>
      </c>
      <c r="C4" s="3" t="s">
        <v>35</v>
      </c>
      <c r="D4" s="3" t="s">
        <v>158</v>
      </c>
      <c r="E4" s="3" t="s">
        <v>159</v>
      </c>
      <c r="F4" s="3" t="s">
        <v>160</v>
      </c>
      <c r="G4" s="3" t="s">
        <v>161</v>
      </c>
      <c r="H4" s="3" t="s">
        <v>162</v>
      </c>
      <c r="I4" s="3" t="s">
        <v>15</v>
      </c>
      <c r="J4" s="3">
        <v>3</v>
      </c>
      <c r="K4" s="3" t="s">
        <v>163</v>
      </c>
      <c r="L4" s="3"/>
      <c r="M4" s="3" t="s">
        <v>164</v>
      </c>
      <c r="N4" s="3" t="e">
        <f>IF(A4="","",COUNTIFS([1]Attendance!B:B,A4,[1]Attendance!F:F,"نعم"))</f>
        <v>#VALUE!</v>
      </c>
      <c r="O4" s="3" t="str">
        <f>IFERROR(AVERAGEIF([2]Evaluation!B:B,A4,[2]Evaluation!H:H),"")</f>
        <v/>
      </c>
      <c r="P4" s="7"/>
      <c r="Q4" s="3"/>
    </row>
    <row r="5" spans="1:17" ht="38.25" x14ac:dyDescent="0.2">
      <c r="A5" s="3" t="s">
        <v>165</v>
      </c>
      <c r="B5" s="3" t="s">
        <v>123</v>
      </c>
      <c r="C5" s="3" t="s">
        <v>35</v>
      </c>
      <c r="D5" s="3" t="s">
        <v>158</v>
      </c>
      <c r="E5" s="3" t="s">
        <v>166</v>
      </c>
      <c r="F5" s="3" t="s">
        <v>167</v>
      </c>
      <c r="G5" s="3" t="s">
        <v>38</v>
      </c>
      <c r="H5" s="3" t="s">
        <v>168</v>
      </c>
      <c r="I5" s="3" t="s">
        <v>15</v>
      </c>
      <c r="J5" s="3">
        <v>2</v>
      </c>
      <c r="K5" s="3" t="s">
        <v>169</v>
      </c>
      <c r="L5" s="3"/>
      <c r="M5" s="3" t="s">
        <v>164</v>
      </c>
      <c r="N5" s="3" t="e">
        <f>IF(A5="","",COUNTIFS([1]Attendance!B:B,A5,[1]Attendance!F:F,"نعم"))</f>
        <v>#VALUE!</v>
      </c>
      <c r="O5" s="3" t="str">
        <f>IFERROR(AVERAGEIF([2]Evaluation!B:B,A5,[2]Evaluation!H:H),"")</f>
        <v/>
      </c>
      <c r="P5" s="7"/>
      <c r="Q5" s="3"/>
    </row>
    <row r="6" spans="1:17" ht="25.5" x14ac:dyDescent="0.2">
      <c r="A6" s="3" t="s">
        <v>170</v>
      </c>
      <c r="B6" s="3" t="s">
        <v>133</v>
      </c>
      <c r="C6" s="3" t="s">
        <v>48</v>
      </c>
      <c r="D6" s="3" t="s">
        <v>171</v>
      </c>
      <c r="E6" s="3" t="s">
        <v>172</v>
      </c>
      <c r="F6" s="3" t="s">
        <v>173</v>
      </c>
      <c r="G6" s="3" t="s">
        <v>174</v>
      </c>
      <c r="H6" s="3" t="s">
        <v>175</v>
      </c>
      <c r="I6" s="3" t="s">
        <v>49</v>
      </c>
      <c r="J6" s="3">
        <v>4</v>
      </c>
      <c r="K6" s="5">
        <v>46358</v>
      </c>
      <c r="L6" s="3"/>
      <c r="M6" s="3" t="s">
        <v>164</v>
      </c>
      <c r="N6" s="3" t="e">
        <f>IF(A6="","",COUNTIFS([1]Attendance!B:B,A6,[1]Attendance!F:F,"نعم"))</f>
        <v>#VALUE!</v>
      </c>
      <c r="O6" s="3" t="str">
        <f>IFERROR(AVERAGEIF([2]Evaluation!B:B,A6,[2]Evaluation!H:H),"")</f>
        <v/>
      </c>
      <c r="P6" s="7"/>
      <c r="Q6" s="3"/>
    </row>
    <row r="7" spans="1:17" ht="38.25" x14ac:dyDescent="0.2">
      <c r="A7" s="3" t="s">
        <v>176</v>
      </c>
      <c r="B7" s="3" t="s">
        <v>138</v>
      </c>
      <c r="C7" s="3" t="s">
        <v>55</v>
      </c>
      <c r="D7" s="3" t="s">
        <v>177</v>
      </c>
      <c r="E7" s="3" t="s">
        <v>178</v>
      </c>
      <c r="F7" s="3" t="s">
        <v>179</v>
      </c>
      <c r="G7" s="3" t="s">
        <v>180</v>
      </c>
      <c r="H7" s="3" t="s">
        <v>181</v>
      </c>
      <c r="I7" s="3" t="s">
        <v>107</v>
      </c>
      <c r="J7" s="3">
        <v>3</v>
      </c>
      <c r="K7" s="5">
        <v>46298</v>
      </c>
      <c r="L7" s="3"/>
      <c r="M7" s="3" t="s">
        <v>164</v>
      </c>
      <c r="N7" s="3" t="e">
        <f>IF(A7="","",COUNTIFS([1]Attendance!B:B,A7,[1]Attendance!F:F,"نعم"))</f>
        <v>#VALUE!</v>
      </c>
      <c r="O7" s="3" t="str">
        <f>IFERROR(AVERAGEIF([2]Evaluation!B:B,A7,[2]Evaluation!H:H),"")</f>
        <v/>
      </c>
      <c r="P7" s="7"/>
      <c r="Q7" s="3"/>
    </row>
    <row r="8" spans="1:17" ht="25.5" x14ac:dyDescent="0.2">
      <c r="A8" s="3" t="s">
        <v>182</v>
      </c>
      <c r="B8" s="3"/>
      <c r="C8" s="3" t="s">
        <v>61</v>
      </c>
      <c r="D8" s="3" t="s">
        <v>177</v>
      </c>
      <c r="E8" s="3" t="s">
        <v>183</v>
      </c>
      <c r="F8" s="3" t="s">
        <v>184</v>
      </c>
      <c r="G8" s="3" t="s">
        <v>38</v>
      </c>
      <c r="H8" s="3" t="s">
        <v>185</v>
      </c>
      <c r="I8" s="3" t="s">
        <v>186</v>
      </c>
      <c r="J8" s="3">
        <v>3</v>
      </c>
      <c r="K8" s="3" t="s">
        <v>187</v>
      </c>
      <c r="L8" s="3"/>
      <c r="M8" s="3" t="s">
        <v>164</v>
      </c>
      <c r="N8" s="3" t="e">
        <f>IF(A8="","",COUNTIFS([1]Attendance!B:B,A8,[1]Attendance!F:F,"نعم"))</f>
        <v>#VALUE!</v>
      </c>
      <c r="O8" s="3" t="str">
        <f>IFERROR(AVERAGEIF([2]Evaluation!B:B,A8,[2]Evaluation!H:H),"")</f>
        <v/>
      </c>
      <c r="P8" s="7"/>
      <c r="Q8" s="3"/>
    </row>
    <row r="9" spans="1:17" ht="38.25" x14ac:dyDescent="0.2">
      <c r="A9" s="3" t="s">
        <v>188</v>
      </c>
      <c r="B9" s="3"/>
      <c r="C9" s="3" t="s">
        <v>67</v>
      </c>
      <c r="D9" s="3" t="s">
        <v>189</v>
      </c>
      <c r="E9" s="3" t="s">
        <v>190</v>
      </c>
      <c r="F9" s="3" t="s">
        <v>191</v>
      </c>
      <c r="G9" s="3" t="s">
        <v>192</v>
      </c>
      <c r="H9" s="3" t="s">
        <v>193</v>
      </c>
      <c r="I9" s="3" t="s">
        <v>12</v>
      </c>
      <c r="J9" s="3">
        <v>3</v>
      </c>
      <c r="K9" s="3" t="s">
        <v>194</v>
      </c>
      <c r="L9" s="3"/>
      <c r="M9" s="3" t="s">
        <v>164</v>
      </c>
      <c r="N9" s="3" t="e">
        <f>IF(A9="","",COUNTIFS([1]Attendance!B:B,A9,[1]Attendance!F:F,"نعم"))</f>
        <v>#VALUE!</v>
      </c>
      <c r="O9" s="3" t="str">
        <f>IFERROR(AVERAGEIF([2]Evaluation!B:B,A9,[2]Evaluation!H:H),"")</f>
        <v/>
      </c>
      <c r="P9" s="7"/>
      <c r="Q9" s="3"/>
    </row>
    <row r="10" spans="1:17" ht="25.5" x14ac:dyDescent="0.2">
      <c r="A10" s="3" t="s">
        <v>195</v>
      </c>
      <c r="B10" s="3"/>
      <c r="C10" s="3" t="s">
        <v>73</v>
      </c>
      <c r="D10" s="3" t="s">
        <v>196</v>
      </c>
      <c r="E10" s="3" t="s">
        <v>197</v>
      </c>
      <c r="F10" s="3" t="s">
        <v>198</v>
      </c>
      <c r="G10" s="3" t="s">
        <v>199</v>
      </c>
      <c r="H10" s="3" t="s">
        <v>200</v>
      </c>
      <c r="I10" s="3" t="s">
        <v>201</v>
      </c>
      <c r="J10" s="3">
        <v>3</v>
      </c>
      <c r="K10" s="5">
        <v>46361</v>
      </c>
      <c r="L10" s="3"/>
      <c r="M10" s="3" t="s">
        <v>164</v>
      </c>
      <c r="N10" s="3" t="e">
        <f>IF(A10="","",COUNTIFS([1]Attendance!B:B,A10,[1]Attendance!F:F,"نعم"))</f>
        <v>#VALUE!</v>
      </c>
      <c r="O10" s="3" t="str">
        <f>IFERROR(AVERAGEIF([2]Evaluation!B:B,A10,[2]Evaluation!H:H),"")</f>
        <v/>
      </c>
      <c r="P10" s="7"/>
      <c r="Q10" s="3"/>
    </row>
    <row r="11" spans="1:17" ht="38.25" x14ac:dyDescent="0.2">
      <c r="A11" s="3" t="s">
        <v>202</v>
      </c>
      <c r="B11" s="3"/>
      <c r="C11" s="3" t="s">
        <v>42</v>
      </c>
      <c r="D11" s="3" t="s">
        <v>203</v>
      </c>
      <c r="E11" s="3" t="s">
        <v>204</v>
      </c>
      <c r="F11" s="3" t="s">
        <v>205</v>
      </c>
      <c r="G11" s="3" t="s">
        <v>38</v>
      </c>
      <c r="H11" s="3" t="s">
        <v>206</v>
      </c>
      <c r="I11" s="3" t="s">
        <v>207</v>
      </c>
      <c r="J11" s="3">
        <v>2</v>
      </c>
      <c r="K11" s="3" t="s">
        <v>208</v>
      </c>
      <c r="L11" s="3"/>
      <c r="M11" s="3" t="s">
        <v>164</v>
      </c>
      <c r="N11" s="3" t="e">
        <f>IF(A11="","",COUNTIFS([1]Attendance!B:B,A11,[1]Attendance!F:F,"نعم"))</f>
        <v>#VALUE!</v>
      </c>
      <c r="O11" s="3" t="str">
        <f>IFERROR(AVERAGEIF([2]Evaluation!B:B,A11,[2]Evaluation!H:H),"")</f>
        <v/>
      </c>
      <c r="P11" s="7"/>
      <c r="Q11" s="3"/>
    </row>
    <row r="12" spans="1:17" ht="38.25" x14ac:dyDescent="0.2">
      <c r="A12" s="3" t="s">
        <v>209</v>
      </c>
      <c r="B12" s="3"/>
      <c r="C12" s="3" t="s">
        <v>210</v>
      </c>
      <c r="D12" s="3" t="s">
        <v>211</v>
      </c>
      <c r="E12" s="3" t="s">
        <v>212</v>
      </c>
      <c r="F12" s="3" t="s">
        <v>213</v>
      </c>
      <c r="G12" s="3" t="s">
        <v>214</v>
      </c>
      <c r="H12" s="3" t="s">
        <v>181</v>
      </c>
      <c r="I12" s="3" t="s">
        <v>215</v>
      </c>
      <c r="J12" s="3">
        <v>4</v>
      </c>
      <c r="K12" s="3" t="s">
        <v>216</v>
      </c>
      <c r="L12" s="3"/>
      <c r="M12" s="3" t="s">
        <v>164</v>
      </c>
      <c r="N12" s="3" t="e">
        <f>IF(A12="","",COUNTIFS([1]Attendance!B:B,A12,[1]Attendance!F:F,"نعم"))</f>
        <v>#VALUE!</v>
      </c>
      <c r="O12" s="3" t="str">
        <f>IFERROR(AVERAGEIF([2]Evaluation!B:B,A12,[2]Evaluation!H:H),"")</f>
        <v/>
      </c>
      <c r="P12" s="7"/>
      <c r="Q12" s="3"/>
    </row>
    <row r="13" spans="1:17" ht="38.25" x14ac:dyDescent="0.2">
      <c r="A13" s="3" t="s">
        <v>217</v>
      </c>
      <c r="B13" s="3"/>
      <c r="C13" s="3" t="s">
        <v>61</v>
      </c>
      <c r="D13" s="3" t="s">
        <v>218</v>
      </c>
      <c r="E13" s="3" t="s">
        <v>219</v>
      </c>
      <c r="F13" s="3" t="s">
        <v>220</v>
      </c>
      <c r="G13" s="3" t="s">
        <v>221</v>
      </c>
      <c r="H13" s="3" t="s">
        <v>175</v>
      </c>
      <c r="I13" s="3" t="s">
        <v>222</v>
      </c>
      <c r="J13" s="3">
        <v>2</v>
      </c>
      <c r="K13" s="5">
        <v>46334</v>
      </c>
      <c r="L13" s="3"/>
      <c r="M13" s="3" t="s">
        <v>164</v>
      </c>
      <c r="N13" s="3" t="e">
        <f>IF(A13="","",COUNTIFS([1]Attendance!B:B,A13,[1]Attendance!F:F,"نعم"))</f>
        <v>#VALUE!</v>
      </c>
      <c r="O13" s="3" t="str">
        <f>IFERROR(AVERAGEIF([2]Evaluation!B:B,A13,[2]Evaluation!H:H),"")</f>
        <v/>
      </c>
      <c r="P13" s="7"/>
      <c r="Q13" s="3"/>
    </row>
    <row r="14" spans="1:17" ht="25.5" x14ac:dyDescent="0.2">
      <c r="A14" s="3" t="s">
        <v>223</v>
      </c>
      <c r="B14" s="3"/>
      <c r="C14" s="3" t="s">
        <v>35</v>
      </c>
      <c r="D14" s="3" t="s">
        <v>224</v>
      </c>
      <c r="E14" s="3" t="s">
        <v>225</v>
      </c>
      <c r="F14" s="3" t="s">
        <v>226</v>
      </c>
      <c r="G14" s="3" t="s">
        <v>227</v>
      </c>
      <c r="H14" s="3" t="s">
        <v>228</v>
      </c>
      <c r="I14" s="3" t="s">
        <v>15</v>
      </c>
      <c r="J14" s="3">
        <v>4</v>
      </c>
      <c r="K14" s="3" t="s">
        <v>229</v>
      </c>
      <c r="L14" s="3"/>
      <c r="M14" s="3" t="s">
        <v>164</v>
      </c>
      <c r="N14" s="3" t="e">
        <f>IF(A14="","",COUNTIFS([1]Attendance!B:B,A14,[1]Attendance!F:F,"نعم"))</f>
        <v>#VALUE!</v>
      </c>
      <c r="O14" s="3" t="str">
        <f>IFERROR(AVERAGEIF([2]Evaluation!B:B,A14,[2]Evaluation!H:H),"")</f>
        <v/>
      </c>
      <c r="P14" s="7"/>
      <c r="Q14" s="3"/>
    </row>
    <row r="15" spans="1:17" ht="25.5" x14ac:dyDescent="0.2">
      <c r="A15" s="3" t="s">
        <v>230</v>
      </c>
      <c r="B15" s="3"/>
      <c r="C15" s="3" t="s">
        <v>231</v>
      </c>
      <c r="D15" s="3" t="s">
        <v>232</v>
      </c>
      <c r="E15" s="3" t="s">
        <v>233</v>
      </c>
      <c r="F15" s="3" t="s">
        <v>234</v>
      </c>
      <c r="G15" s="3" t="s">
        <v>235</v>
      </c>
      <c r="H15" s="3" t="s">
        <v>236</v>
      </c>
      <c r="I15" s="3" t="s">
        <v>8</v>
      </c>
      <c r="J15" s="3">
        <v>3</v>
      </c>
      <c r="K15" s="3" t="s">
        <v>237</v>
      </c>
      <c r="L15" s="3"/>
      <c r="M15" s="3" t="s">
        <v>164</v>
      </c>
      <c r="N15" s="3" t="e">
        <f>IF(A15="","",COUNTIFS([1]Attendance!B:B,A15,[1]Attendance!F:F,"نعم"))</f>
        <v>#VALUE!</v>
      </c>
      <c r="O15" s="3" t="str">
        <f>IFERROR(AVERAGEIF([2]Evaluation!B:B,A15,[2]Evaluation!H:H),"")</f>
        <v/>
      </c>
      <c r="P15" s="7"/>
      <c r="Q15" s="3"/>
    </row>
    <row r="16" spans="1:17" ht="38.25" x14ac:dyDescent="0.2">
      <c r="A16" s="3" t="s">
        <v>238</v>
      </c>
      <c r="B16" s="3"/>
      <c r="C16" s="3" t="s">
        <v>239</v>
      </c>
      <c r="D16" s="3" t="s">
        <v>240</v>
      </c>
      <c r="E16" s="3" t="s">
        <v>241</v>
      </c>
      <c r="F16" s="3" t="s">
        <v>242</v>
      </c>
      <c r="G16" s="3" t="s">
        <v>243</v>
      </c>
      <c r="H16" s="3" t="s">
        <v>244</v>
      </c>
      <c r="I16" s="3" t="s">
        <v>245</v>
      </c>
      <c r="J16" s="3">
        <v>3</v>
      </c>
      <c r="K16" s="5">
        <v>46246</v>
      </c>
      <c r="L16" s="3"/>
      <c r="M16" s="3" t="s">
        <v>164</v>
      </c>
      <c r="N16" s="3" t="e">
        <f>IF(A16="","",COUNTIFS([1]Attendance!B:B,A16,[1]Attendance!F:F,"نعم"))</f>
        <v>#VALUE!</v>
      </c>
      <c r="O16" s="3" t="str">
        <f>IFERROR(AVERAGEIF([2]Evaluation!B:B,A16,[2]Evaluation!H:H),"")</f>
        <v/>
      </c>
      <c r="P16" s="7"/>
      <c r="Q16" s="3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tr">
        <f>IF(A17="","",COUNTIFS([1]Attendance!B:B,A17,[1]Attendance!F:F,"نعم"))</f>
        <v/>
      </c>
      <c r="O17" s="3" t="str">
        <f>IFERROR(AVERAGEIF([2]Evaluation!B:B,A17,[2]Evaluation!H:H),"")</f>
        <v/>
      </c>
      <c r="P17" s="7"/>
      <c r="Q17" s="3"/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tr">
        <f>IF(A18="","",COUNTIFS([1]Attendance!B:B,A18,[1]Attendance!F:F,"نعم"))</f>
        <v/>
      </c>
      <c r="O18" s="3" t="str">
        <f>IFERROR(AVERAGEIF([2]Evaluation!B:B,A18,[2]Evaluation!H:H),"")</f>
        <v/>
      </c>
      <c r="P18" s="7"/>
      <c r="Q18" s="3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tr">
        <f>IF(A19="","",COUNTIFS([1]Attendance!B:B,A19,[1]Attendance!F:F,"نعم"))</f>
        <v/>
      </c>
      <c r="O19" s="3" t="str">
        <f>IFERROR(AVERAGEIF([2]Evaluation!B:B,A19,[2]Evaluation!H:H),"")</f>
        <v/>
      </c>
      <c r="P19" s="7"/>
      <c r="Q19" s="3"/>
    </row>
    <row r="20" spans="1:1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tr">
        <f>IF(A20="","",COUNTIFS([1]Attendance!B:B,A20,[1]Attendance!F:F,"نعم"))</f>
        <v/>
      </c>
      <c r="O20" s="3" t="str">
        <f>IFERROR(AVERAGEIF([2]Evaluation!B:B,A20,[2]Evaluation!H:H),"")</f>
        <v/>
      </c>
      <c r="P20" s="7"/>
      <c r="Q20" s="3"/>
    </row>
    <row r="21" spans="1:17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tr">
        <f>IF(A21="","",COUNTIFS([1]Attendance!B:B,A21,[1]Attendance!F:F,"نعم"))</f>
        <v/>
      </c>
      <c r="O21" s="3" t="str">
        <f>IFERROR(AVERAGEIF([2]Evaluation!B:B,A21,[2]Evaluation!H:H),"")</f>
        <v/>
      </c>
      <c r="P21" s="7"/>
      <c r="Q21" s="3"/>
    </row>
    <row r="22" spans="1:17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tr">
        <f>IF(A22="","",COUNTIFS([1]Attendance!B:B,A22,[1]Attendance!F:F,"نعم"))</f>
        <v/>
      </c>
      <c r="O22" s="3" t="str">
        <f>IFERROR(AVERAGEIF([2]Evaluation!B:B,A22,[2]Evaluation!H:H),"")</f>
        <v/>
      </c>
      <c r="P22" s="7"/>
      <c r="Q22" s="3"/>
    </row>
    <row r="23" spans="1:17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tr">
        <f>IF(A23="","",COUNTIFS([1]Attendance!B:B,A23,[1]Attendance!F:F,"نعم"))</f>
        <v/>
      </c>
      <c r="O23" s="3" t="str">
        <f>IFERROR(AVERAGEIF([2]Evaluation!B:B,A23,[2]Evaluation!H:H),"")</f>
        <v/>
      </c>
      <c r="P23" s="7"/>
      <c r="Q23" s="3"/>
    </row>
    <row r="24" spans="1:1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tr">
        <f>IF(A24="","",COUNTIFS([1]Attendance!B:B,A24,[1]Attendance!F:F,"نعم"))</f>
        <v/>
      </c>
      <c r="O24" s="3" t="str">
        <f>IFERROR(AVERAGEIF([2]Evaluation!B:B,A24,[2]Evaluation!H:H),"")</f>
        <v/>
      </c>
      <c r="P24" s="7"/>
      <c r="Q24" s="3"/>
    </row>
    <row r="25" spans="1:1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tr">
        <f>IF(A25="","",COUNTIFS([1]Attendance!B:B,A25,[1]Attendance!F:F,"نعم"))</f>
        <v/>
      </c>
      <c r="O25" s="3" t="str">
        <f>IFERROR(AVERAGEIF([2]Evaluation!B:B,A25,[2]Evaluation!H:H),"")</f>
        <v/>
      </c>
      <c r="P25" s="7"/>
      <c r="Q25" s="3"/>
    </row>
    <row r="26" spans="1:1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tr">
        <f>IF(A26="","",COUNTIFS([1]Attendance!B:B,A26,[1]Attendance!F:F,"نعم"))</f>
        <v/>
      </c>
      <c r="O26" s="3" t="str">
        <f>IFERROR(AVERAGEIF([2]Evaluation!B:B,A26,[2]Evaluation!H:H),"")</f>
        <v/>
      </c>
      <c r="P26" s="7"/>
      <c r="Q26" s="3"/>
    </row>
    <row r="27" spans="1:17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tr">
        <f>IF(A27="","",COUNTIFS([1]Attendance!B:B,A27,[1]Attendance!F:F,"نعم"))</f>
        <v/>
      </c>
      <c r="O27" s="3" t="str">
        <f>IFERROR(AVERAGEIF([2]Evaluation!B:B,A27,[2]Evaluation!H:H),"")</f>
        <v/>
      </c>
      <c r="P27" s="7"/>
      <c r="Q27" s="3"/>
    </row>
    <row r="28" spans="1:17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tr">
        <f>IF(A28="","",COUNTIFS([1]Attendance!B:B,A28,[1]Attendance!F:F,"نعم"))</f>
        <v/>
      </c>
      <c r="O28" s="3" t="str">
        <f>IFERROR(AVERAGEIF([2]Evaluation!B:B,A28,[2]Evaluation!H:H),"")</f>
        <v/>
      </c>
      <c r="P28" s="7"/>
      <c r="Q28" s="3"/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tr">
        <f>IF(A29="","",COUNTIFS([1]Attendance!B:B,A29,[1]Attendance!F:F,"نعم"))</f>
        <v/>
      </c>
      <c r="O29" s="3" t="str">
        <f>IFERROR(AVERAGEIF([2]Evaluation!B:B,A29,[2]Evaluation!H:H),"")</f>
        <v/>
      </c>
      <c r="P29" s="7"/>
      <c r="Q29" s="3"/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tr">
        <f>IF(A30="","",COUNTIFS([1]Attendance!B:B,A30,[1]Attendance!F:F,"نعم"))</f>
        <v/>
      </c>
      <c r="O30" s="3" t="str">
        <f>IFERROR(AVERAGEIF([2]Evaluation!B:B,A30,[2]Evaluation!H:H),"")</f>
        <v/>
      </c>
      <c r="P30" s="7"/>
      <c r="Q30" s="3"/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tr">
        <f>IF(A31="","",COUNTIFS([1]Attendance!B:B,A31,[1]Attendance!F:F,"نعم"))</f>
        <v/>
      </c>
      <c r="O31" s="3" t="str">
        <f>IFERROR(AVERAGEIF([2]Evaluation!B:B,A31,[2]Evaluation!H:H),"")</f>
        <v/>
      </c>
      <c r="P31" s="7"/>
      <c r="Q31" s="3"/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tr">
        <f>IF(A32="","",COUNTIFS([1]Attendance!B:B,A32,[1]Attendance!F:F,"نعم"))</f>
        <v/>
      </c>
      <c r="O32" s="3" t="str">
        <f>IFERROR(AVERAGEIF([2]Evaluation!B:B,A32,[2]Evaluation!H:H),"")</f>
        <v/>
      </c>
      <c r="P32" s="7"/>
      <c r="Q32" s="3"/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tr">
        <f>IF(A33="","",COUNTIFS([1]Attendance!B:B,A33,[1]Attendance!F:F,"نعم"))</f>
        <v/>
      </c>
      <c r="O33" s="3" t="str">
        <f>IFERROR(AVERAGEIF([2]Evaluation!B:B,A33,[2]Evaluation!H:H),"")</f>
        <v/>
      </c>
      <c r="P33" s="7"/>
      <c r="Q33" s="3"/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tr">
        <f>IF(A34="","",COUNTIFS([1]Attendance!B:B,A34,[1]Attendance!F:F,"نعم"))</f>
        <v/>
      </c>
      <c r="O34" s="3" t="str">
        <f>IFERROR(AVERAGEIF([2]Evaluation!B:B,A34,[2]Evaluation!H:H),"")</f>
        <v/>
      </c>
      <c r="P34" s="7"/>
      <c r="Q34" s="3"/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tr">
        <f>IF(A35="","",COUNTIFS([1]Attendance!B:B,A35,[1]Attendance!F:F,"نعم"))</f>
        <v/>
      </c>
      <c r="O35" s="3" t="str">
        <f>IFERROR(AVERAGEIF([2]Evaluation!B:B,A35,[2]Evaluation!H:H),"")</f>
        <v/>
      </c>
      <c r="P35" s="7"/>
      <c r="Q35" s="3"/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tr">
        <f>IF(A36="","",COUNTIFS([1]Attendance!B:B,A36,[1]Attendance!F:F,"نعم"))</f>
        <v/>
      </c>
      <c r="O36" s="3" t="str">
        <f>IFERROR(AVERAGEIF([2]Evaluation!B:B,A36,[2]Evaluation!H:H),"")</f>
        <v/>
      </c>
      <c r="P36" s="7"/>
      <c r="Q36" s="3"/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tr">
        <f>IF(A37="","",COUNTIFS([1]Attendance!B:B,A37,[1]Attendance!F:F,"نعم"))</f>
        <v/>
      </c>
      <c r="O37" s="3" t="str">
        <f>IFERROR(AVERAGEIF([2]Evaluation!B:B,A37,[2]Evaluation!H:H),"")</f>
        <v/>
      </c>
      <c r="P37" s="7"/>
      <c r="Q37" s="3"/>
    </row>
    <row r="38" spans="1:17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tr">
        <f>IF(A38="","",COUNTIFS([1]Attendance!B:B,A38,[1]Attendance!F:F,"نعم"))</f>
        <v/>
      </c>
      <c r="O38" s="3" t="str">
        <f>IFERROR(AVERAGEIF([2]Evaluation!B:B,A38,[2]Evaluation!H:H),"")</f>
        <v/>
      </c>
      <c r="P38" s="7"/>
      <c r="Q38" s="3"/>
    </row>
    <row r="39" spans="1:17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tr">
        <f>IF(A39="","",COUNTIFS([1]Attendance!B:B,A39,[1]Attendance!F:F,"نعم"))</f>
        <v/>
      </c>
      <c r="O39" s="3" t="str">
        <f>IFERROR(AVERAGEIF([2]Evaluation!B:B,A39,[2]Evaluation!H:H),"")</f>
        <v/>
      </c>
      <c r="P39" s="7"/>
      <c r="Q39" s="3"/>
    </row>
    <row r="40" spans="1:17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tr">
        <f>IF(A40="","",COUNTIFS([1]Attendance!B:B,A40,[1]Attendance!F:F,"نعم"))</f>
        <v/>
      </c>
      <c r="O40" s="3" t="str">
        <f>IFERROR(AVERAGEIF([2]Evaluation!B:B,A40,[2]Evaluation!H:H),"")</f>
        <v/>
      </c>
      <c r="P40" s="7"/>
      <c r="Q40" s="3"/>
    </row>
    <row r="41" spans="1:17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tr">
        <f>IF(A41="","",COUNTIFS([1]Attendance!B:B,A41,[1]Attendance!F:F,"نعم"))</f>
        <v/>
      </c>
      <c r="O41" s="3" t="str">
        <f>IFERROR(AVERAGEIF([2]Evaluation!B:B,A41,[2]Evaluation!H:H),"")</f>
        <v/>
      </c>
      <c r="P41" s="7"/>
      <c r="Q41" s="3"/>
    </row>
    <row r="42" spans="1:17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tr">
        <f>IF(A42="","",COUNTIFS([1]Attendance!B:B,A42,[1]Attendance!F:F,"نعم"))</f>
        <v/>
      </c>
      <c r="O42" s="3" t="str">
        <f>IFERROR(AVERAGEIF([2]Evaluation!B:B,A42,[2]Evaluation!H:H),"")</f>
        <v/>
      </c>
      <c r="P42" s="7"/>
      <c r="Q42" s="3"/>
    </row>
    <row r="43" spans="1:17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tr">
        <f>IF(A43="","",COUNTIFS([1]Attendance!B:B,A43,[1]Attendance!F:F,"نعم"))</f>
        <v/>
      </c>
      <c r="O43" s="3" t="str">
        <f>IFERROR(AVERAGEIF([2]Evaluation!B:B,A43,[2]Evaluation!H:H),"")</f>
        <v/>
      </c>
      <c r="P43" s="7"/>
      <c r="Q43" s="3"/>
    </row>
    <row r="44" spans="1:17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tr">
        <f>IF(A44="","",COUNTIFS([1]Attendance!B:B,A44,[1]Attendance!F:F,"نعم"))</f>
        <v/>
      </c>
      <c r="O44" s="3" t="str">
        <f>IFERROR(AVERAGEIF([2]Evaluation!B:B,A44,[2]Evaluation!H:H),"")</f>
        <v/>
      </c>
      <c r="P44" s="7"/>
      <c r="Q44" s="3"/>
    </row>
    <row r="45" spans="1:1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tr">
        <f>IF(A45="","",COUNTIFS([1]Attendance!B:B,A45,[1]Attendance!F:F,"نعم"))</f>
        <v/>
      </c>
      <c r="O45" s="3" t="str">
        <f>IFERROR(AVERAGEIF([2]Evaluation!B:B,A45,[2]Evaluation!H:H),"")</f>
        <v/>
      </c>
      <c r="P45" s="7"/>
      <c r="Q45" s="3"/>
    </row>
    <row r="46" spans="1:1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tr">
        <f>IF(A46="","",COUNTIFS([1]Attendance!B:B,A46,[1]Attendance!F:F,"نعم"))</f>
        <v/>
      </c>
      <c r="O46" s="3" t="str">
        <f>IFERROR(AVERAGEIF([2]Evaluation!B:B,A46,[2]Evaluation!H:H),"")</f>
        <v/>
      </c>
      <c r="P46" s="7"/>
      <c r="Q46" s="3"/>
    </row>
    <row r="47" spans="1:17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tr">
        <f>IF(A47="","",COUNTIFS([1]Attendance!B:B,A47,[1]Attendance!F:F,"نعم"))</f>
        <v/>
      </c>
      <c r="O47" s="3" t="str">
        <f>IFERROR(AVERAGEIF([2]Evaluation!B:B,A47,[2]Evaluation!H:H),"")</f>
        <v/>
      </c>
      <c r="P47" s="7"/>
      <c r="Q47" s="3"/>
    </row>
    <row r="48" spans="1:17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tr">
        <f>IF(A48="","",COUNTIFS([1]Attendance!B:B,A48,[1]Attendance!F:F,"نعم"))</f>
        <v/>
      </c>
      <c r="O48" s="3" t="str">
        <f>IFERROR(AVERAGEIF([2]Evaluation!B:B,A48,[2]Evaluation!H:H),"")</f>
        <v/>
      </c>
      <c r="P48" s="7"/>
      <c r="Q48" s="3"/>
    </row>
    <row r="49" spans="1:17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tr">
        <f>IF(A49="","",COUNTIFS([1]Attendance!B:B,A49,[1]Attendance!F:F,"نعم"))</f>
        <v/>
      </c>
      <c r="O49" s="3" t="str">
        <f>IFERROR(AVERAGEIF([2]Evaluation!B:B,A49,[2]Evaluation!H:H),"")</f>
        <v/>
      </c>
      <c r="P49" s="7"/>
      <c r="Q49" s="3"/>
    </row>
    <row r="50" spans="1:17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tr">
        <f>IF(A50="","",COUNTIFS([1]Attendance!B:B,A50,[1]Attendance!F:F,"نعم"))</f>
        <v/>
      </c>
      <c r="O50" s="3" t="str">
        <f>IFERROR(AVERAGEIF([2]Evaluation!B:B,A50,[2]Evaluation!H:H),"")</f>
        <v/>
      </c>
      <c r="P50" s="7"/>
      <c r="Q50" s="3"/>
    </row>
    <row r="51" spans="1:17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tr">
        <f>IF(A51="","",COUNTIFS([1]Attendance!B:B,A51,[1]Attendance!F:F,"نعم"))</f>
        <v/>
      </c>
      <c r="O51" s="3" t="str">
        <f>IFERROR(AVERAGEIF([2]Evaluation!B:B,A51,[2]Evaluation!H:H),"")</f>
        <v/>
      </c>
      <c r="P51" s="7"/>
      <c r="Q51" s="3"/>
    </row>
    <row r="52" spans="1:17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tr">
        <f>IF(A52="","",COUNTIFS([1]Attendance!B:B,A52,[1]Attendance!F:F,"نعم"))</f>
        <v/>
      </c>
      <c r="O52" s="3" t="str">
        <f>IFERROR(AVERAGEIF([2]Evaluation!B:B,A52,[2]Evaluation!H:H),"")</f>
        <v/>
      </c>
      <c r="P52" s="7"/>
      <c r="Q52" s="3"/>
    </row>
    <row r="53" spans="1:1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tr">
        <f>IF(A53="","",COUNTIFS([1]Attendance!B:B,A53,[1]Attendance!F:F,"نعم"))</f>
        <v/>
      </c>
      <c r="O53" s="3" t="str">
        <f>IFERROR(AVERAGEIF([2]Evaluation!B:B,A53,[2]Evaluation!H:H),"")</f>
        <v/>
      </c>
      <c r="P53" s="7"/>
      <c r="Q53" s="3"/>
    </row>
    <row r="54" spans="1:17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tr">
        <f>IF(A54="","",COUNTIFS([1]Attendance!B:B,A54,[1]Attendance!F:F,"نعم"))</f>
        <v/>
      </c>
      <c r="O54" s="3" t="str">
        <f>IFERROR(AVERAGEIF([2]Evaluation!B:B,A54,[2]Evaluation!H:H),"")</f>
        <v/>
      </c>
      <c r="P54" s="7"/>
      <c r="Q54" s="3"/>
    </row>
    <row r="55" spans="1:1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tr">
        <f>IF(A55="","",COUNTIFS([1]Attendance!B:B,A55,[1]Attendance!F:F,"نعم"))</f>
        <v/>
      </c>
      <c r="O55" s="3" t="str">
        <f>IFERROR(AVERAGEIF([2]Evaluation!B:B,A55,[2]Evaluation!H:H),"")</f>
        <v/>
      </c>
      <c r="P55" s="7"/>
      <c r="Q55" s="3"/>
    </row>
    <row r="56" spans="1:17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tr">
        <f>IF(A56="","",COUNTIFS([1]Attendance!B:B,A56,[1]Attendance!F:F,"نعم"))</f>
        <v/>
      </c>
      <c r="O56" s="3" t="str">
        <f>IFERROR(AVERAGEIF([2]Evaluation!B:B,A56,[2]Evaluation!H:H),"")</f>
        <v/>
      </c>
      <c r="P56" s="7"/>
      <c r="Q56" s="3"/>
    </row>
    <row r="57" spans="1:17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tr">
        <f>IF(A57="","",COUNTIFS([1]Attendance!B:B,A57,[1]Attendance!F:F,"نعم"))</f>
        <v/>
      </c>
      <c r="O57" s="3" t="str">
        <f>IFERROR(AVERAGEIF([2]Evaluation!B:B,A57,[2]Evaluation!H:H),"")</f>
        <v/>
      </c>
      <c r="P57" s="7"/>
      <c r="Q57" s="3"/>
    </row>
    <row r="58" spans="1:17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tr">
        <f>IF(A58="","",COUNTIFS([1]Attendance!B:B,A58,[1]Attendance!F:F,"نعم"))</f>
        <v/>
      </c>
      <c r="O58" s="3" t="str">
        <f>IFERROR(AVERAGEIF([2]Evaluation!B:B,A58,[2]Evaluation!H:H),"")</f>
        <v/>
      </c>
      <c r="P58" s="7"/>
      <c r="Q58" s="3"/>
    </row>
    <row r="59" spans="1:17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tr">
        <f>IF(A59="","",COUNTIFS([1]Attendance!B:B,A59,[1]Attendance!F:F,"نعم"))</f>
        <v/>
      </c>
      <c r="O59" s="3" t="str">
        <f>IFERROR(AVERAGEIF([2]Evaluation!B:B,A59,[2]Evaluation!H:H),"")</f>
        <v/>
      </c>
      <c r="P59" s="7"/>
      <c r="Q59" s="3"/>
    </row>
    <row r="60" spans="1:17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tr">
        <f>IF(A60="","",COUNTIFS([1]Attendance!B:B,A60,[1]Attendance!F:F,"نعم"))</f>
        <v/>
      </c>
      <c r="O60" s="3" t="str">
        <f>IFERROR(AVERAGEIF([2]Evaluation!B:B,A60,[2]Evaluation!H:H),"")</f>
        <v/>
      </c>
      <c r="P60" s="7"/>
      <c r="Q60" s="3"/>
    </row>
    <row r="61" spans="1:1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tr">
        <f>IF(A61="","",COUNTIFS([1]Attendance!B:B,A61,[1]Attendance!F:F,"نعم"))</f>
        <v/>
      </c>
      <c r="O61" s="3" t="str">
        <f>IFERROR(AVERAGEIF([2]Evaluation!B:B,A61,[2]Evaluation!H:H),"")</f>
        <v/>
      </c>
      <c r="P61" s="7"/>
      <c r="Q61" s="3"/>
    </row>
    <row r="62" spans="1:17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tr">
        <f>IF(A62="","",COUNTIFS([1]Attendance!B:B,A62,[1]Attendance!F:F,"نعم"))</f>
        <v/>
      </c>
      <c r="O62" s="3" t="str">
        <f>IFERROR(AVERAGEIF([2]Evaluation!B:B,A62,[2]Evaluation!H:H),"")</f>
        <v/>
      </c>
      <c r="P62" s="7"/>
      <c r="Q62" s="3"/>
    </row>
    <row r="63" spans="1:1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tr">
        <f>IF(A63="","",COUNTIFS([1]Attendance!B:B,A63,[1]Attendance!F:F,"نعم"))</f>
        <v/>
      </c>
      <c r="O63" s="3" t="str">
        <f>IFERROR(AVERAGEIF([2]Evaluation!B:B,A63,[2]Evaluation!H:H),"")</f>
        <v/>
      </c>
      <c r="P63" s="7"/>
      <c r="Q63" s="3"/>
    </row>
    <row r="64" spans="1:17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tr">
        <f>IF(A64="","",COUNTIFS([1]Attendance!B:B,A64,[1]Attendance!F:F,"نعم"))</f>
        <v/>
      </c>
      <c r="O64" s="3" t="str">
        <f>IFERROR(AVERAGEIF([2]Evaluation!B:B,A64,[2]Evaluation!H:H),"")</f>
        <v/>
      </c>
      <c r="P64" s="7"/>
      <c r="Q64" s="3"/>
    </row>
    <row r="65" spans="1:17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tr">
        <f>IF(A65="","",COUNTIFS([1]Attendance!B:B,A65,[1]Attendance!F:F,"نعم"))</f>
        <v/>
      </c>
      <c r="O65" s="3" t="str">
        <f>IFERROR(AVERAGEIF([2]Evaluation!B:B,A65,[2]Evaluation!H:H),"")</f>
        <v/>
      </c>
      <c r="P65" s="7"/>
      <c r="Q65" s="3"/>
    </row>
    <row r="66" spans="1:17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tr">
        <f>IF(A66="","",COUNTIFS([1]Attendance!B:B,A66,[1]Attendance!F:F,"نعم"))</f>
        <v/>
      </c>
      <c r="O66" s="3" t="str">
        <f>IFERROR(AVERAGEIF([2]Evaluation!B:B,A66,[2]Evaluation!H:H),"")</f>
        <v/>
      </c>
      <c r="P66" s="7"/>
      <c r="Q66" s="3"/>
    </row>
    <row r="67" spans="1:17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tr">
        <f>IF(A67="","",COUNTIFS([1]Attendance!B:B,A67,[1]Attendance!F:F,"نعم"))</f>
        <v/>
      </c>
      <c r="O67" s="3" t="str">
        <f>IFERROR(AVERAGEIF([2]Evaluation!B:B,A67,[2]Evaluation!H:H),"")</f>
        <v/>
      </c>
      <c r="P67" s="7"/>
      <c r="Q67" s="3"/>
    </row>
    <row r="68" spans="1:17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tr">
        <f>IF(A68="","",COUNTIFS([1]Attendance!B:B,A68,[1]Attendance!F:F,"نعم"))</f>
        <v/>
      </c>
      <c r="O68" s="3" t="str">
        <f>IFERROR(AVERAGEIF([2]Evaluation!B:B,A68,[2]Evaluation!H:H),"")</f>
        <v/>
      </c>
      <c r="P68" s="7"/>
      <c r="Q68" s="3"/>
    </row>
    <row r="69" spans="1:1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tr">
        <f>IF(A69="","",COUNTIFS([1]Attendance!B:B,A69,[1]Attendance!F:F,"نعم"))</f>
        <v/>
      </c>
      <c r="O69" s="3" t="str">
        <f>IFERROR(AVERAGEIF([2]Evaluation!B:B,A69,[2]Evaluation!H:H),"")</f>
        <v/>
      </c>
      <c r="P69" s="7"/>
      <c r="Q69" s="3"/>
    </row>
    <row r="70" spans="1:17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tr">
        <f>IF(A70="","",COUNTIFS([1]Attendance!B:B,A70,[1]Attendance!F:F,"نعم"))</f>
        <v/>
      </c>
      <c r="O70" s="3" t="str">
        <f>IFERROR(AVERAGEIF([2]Evaluation!B:B,A70,[2]Evaluation!H:H),"")</f>
        <v/>
      </c>
      <c r="P70" s="7"/>
      <c r="Q70" s="3"/>
    </row>
    <row r="71" spans="1:1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tr">
        <f>IF(A71="","",COUNTIFS([1]Attendance!B:B,A71,[1]Attendance!F:F,"نعم"))</f>
        <v/>
      </c>
      <c r="O71" s="3" t="str">
        <f>IFERROR(AVERAGEIF([2]Evaluation!B:B,A71,[2]Evaluation!H:H),"")</f>
        <v/>
      </c>
      <c r="P71" s="7"/>
      <c r="Q71" s="3"/>
    </row>
    <row r="72" spans="1:1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tr">
        <f>IF(A72="","",COUNTIFS([1]Attendance!B:B,A72,[1]Attendance!F:F,"نعم"))</f>
        <v/>
      </c>
      <c r="O72" s="3" t="str">
        <f>IFERROR(AVERAGEIF([2]Evaluation!B:B,A72,[2]Evaluation!H:H),"")</f>
        <v/>
      </c>
      <c r="P72" s="7"/>
      <c r="Q72" s="3"/>
    </row>
    <row r="73" spans="1:1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tr">
        <f>IF(A73="","",COUNTIFS([1]Attendance!B:B,A73,[1]Attendance!F:F,"نعم"))</f>
        <v/>
      </c>
      <c r="O73" s="3" t="str">
        <f>IFERROR(AVERAGEIF([2]Evaluation!B:B,A73,[2]Evaluation!H:H),"")</f>
        <v/>
      </c>
      <c r="P73" s="7"/>
      <c r="Q73" s="3"/>
    </row>
    <row r="74" spans="1:1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tr">
        <f>IF(A74="","",COUNTIFS([1]Attendance!B:B,A74,[1]Attendance!F:F,"نعم"))</f>
        <v/>
      </c>
      <c r="O74" s="3" t="str">
        <f>IFERROR(AVERAGEIF([2]Evaluation!B:B,A74,[2]Evaluation!H:H),"")</f>
        <v/>
      </c>
      <c r="P74" s="7"/>
      <c r="Q74" s="3"/>
    </row>
    <row r="75" spans="1:1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tr">
        <f>IF(A75="","",COUNTIFS([1]Attendance!B:B,A75,[1]Attendance!F:F,"نعم"))</f>
        <v/>
      </c>
      <c r="O75" s="3" t="str">
        <f>IFERROR(AVERAGEIF([2]Evaluation!B:B,A75,[2]Evaluation!H:H),"")</f>
        <v/>
      </c>
      <c r="P75" s="7"/>
      <c r="Q75" s="3"/>
    </row>
    <row r="76" spans="1:1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tr">
        <f>IF(A76="","",COUNTIFS([1]Attendance!B:B,A76,[1]Attendance!F:F,"نعم"))</f>
        <v/>
      </c>
      <c r="O76" s="3" t="str">
        <f>IFERROR(AVERAGEIF([2]Evaluation!B:B,A76,[2]Evaluation!H:H),"")</f>
        <v/>
      </c>
      <c r="P76" s="7"/>
      <c r="Q76" s="3"/>
    </row>
    <row r="77" spans="1:1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tr">
        <f>IF(A77="","",COUNTIFS([1]Attendance!B:B,A77,[1]Attendance!F:F,"نعم"))</f>
        <v/>
      </c>
      <c r="O77" s="3" t="str">
        <f>IFERROR(AVERAGEIF([2]Evaluation!B:B,A77,[2]Evaluation!H:H),"")</f>
        <v/>
      </c>
      <c r="P77" s="7"/>
      <c r="Q77" s="3"/>
    </row>
    <row r="78" spans="1:1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tr">
        <f>IF(A78="","",COUNTIFS([1]Attendance!B:B,A78,[1]Attendance!F:F,"نعم"))</f>
        <v/>
      </c>
      <c r="O78" s="3" t="str">
        <f>IFERROR(AVERAGEIF([2]Evaluation!B:B,A78,[2]Evaluation!H:H),"")</f>
        <v/>
      </c>
      <c r="P78" s="7"/>
      <c r="Q78" s="3"/>
    </row>
    <row r="79" spans="1:1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tr">
        <f>IF(A79="","",COUNTIFS([1]Attendance!B:B,A79,[1]Attendance!F:F,"نعم"))</f>
        <v/>
      </c>
      <c r="O79" s="3" t="str">
        <f>IFERROR(AVERAGEIF([2]Evaluation!B:B,A79,[2]Evaluation!H:H),"")</f>
        <v/>
      </c>
      <c r="P79" s="7"/>
      <c r="Q79" s="3"/>
    </row>
    <row r="80" spans="1:1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tr">
        <f>IF(A80="","",COUNTIFS([1]Attendance!B:B,A80,[1]Attendance!F:F,"نعم"))</f>
        <v/>
      </c>
      <c r="O80" s="3" t="str">
        <f>IFERROR(AVERAGEIF([2]Evaluation!B:B,A80,[2]Evaluation!H:H),"")</f>
        <v/>
      </c>
      <c r="P80" s="7"/>
      <c r="Q80" s="3"/>
    </row>
    <row r="81" spans="1:1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tr">
        <f>IF(A81="","",COUNTIFS([1]Attendance!B:B,A81,[1]Attendance!F:F,"نعم"))</f>
        <v/>
      </c>
      <c r="O81" s="3" t="str">
        <f>IFERROR(AVERAGEIF([2]Evaluation!B:B,A81,[2]Evaluation!H:H),"")</f>
        <v/>
      </c>
      <c r="P81" s="7"/>
      <c r="Q81" s="3"/>
    </row>
    <row r="82" spans="1:1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tr">
        <f>IF(A82="","",COUNTIFS([1]Attendance!B:B,A82,[1]Attendance!F:F,"نعم"))</f>
        <v/>
      </c>
      <c r="O82" s="3" t="str">
        <f>IFERROR(AVERAGEIF([2]Evaluation!B:B,A82,[2]Evaluation!H:H),"")</f>
        <v/>
      </c>
      <c r="P82" s="7"/>
      <c r="Q82" s="3"/>
    </row>
    <row r="83" spans="1:1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tr">
        <f>IF(A83="","",COUNTIFS([1]Attendance!B:B,A83,[1]Attendance!F:F,"نعم"))</f>
        <v/>
      </c>
      <c r="O83" s="3" t="str">
        <f>IFERROR(AVERAGEIF([2]Evaluation!B:B,A83,[2]Evaluation!H:H),"")</f>
        <v/>
      </c>
      <c r="P83" s="7"/>
      <c r="Q83" s="3"/>
    </row>
    <row r="84" spans="1:1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tr">
        <f>IF(A84="","",COUNTIFS([1]Attendance!B:B,A84,[1]Attendance!F:F,"نعم"))</f>
        <v/>
      </c>
      <c r="O84" s="3" t="str">
        <f>IFERROR(AVERAGEIF([2]Evaluation!B:B,A84,[2]Evaluation!H:H),"")</f>
        <v/>
      </c>
      <c r="P84" s="7"/>
      <c r="Q84" s="3"/>
    </row>
    <row r="85" spans="1:1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tr">
        <f>IF(A85="","",COUNTIFS([1]Attendance!B:B,A85,[1]Attendance!F:F,"نعم"))</f>
        <v/>
      </c>
      <c r="O85" s="3" t="str">
        <f>IFERROR(AVERAGEIF([2]Evaluation!B:B,A85,[2]Evaluation!H:H),"")</f>
        <v/>
      </c>
      <c r="P85" s="7"/>
      <c r="Q85" s="3"/>
    </row>
    <row r="86" spans="1:1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tr">
        <f>IF(A86="","",COUNTIFS([1]Attendance!B:B,A86,[1]Attendance!F:F,"نعم"))</f>
        <v/>
      </c>
      <c r="O86" s="3" t="str">
        <f>IFERROR(AVERAGEIF([2]Evaluation!B:B,A86,[2]Evaluation!H:H),"")</f>
        <v/>
      </c>
      <c r="P86" s="7"/>
      <c r="Q86" s="3"/>
    </row>
    <row r="87" spans="1:1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tr">
        <f>IF(A87="","",COUNTIFS([1]Attendance!B:B,A87,[1]Attendance!F:F,"نعم"))</f>
        <v/>
      </c>
      <c r="O87" s="3" t="str">
        <f>IFERROR(AVERAGEIF([2]Evaluation!B:B,A87,[2]Evaluation!H:H),"")</f>
        <v/>
      </c>
      <c r="P87" s="7"/>
      <c r="Q87" s="3"/>
    </row>
    <row r="88" spans="1:1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tr">
        <f>IF(A88="","",COUNTIFS([1]Attendance!B:B,A88,[1]Attendance!F:F,"نعم"))</f>
        <v/>
      </c>
      <c r="O88" s="3" t="str">
        <f>IFERROR(AVERAGEIF([2]Evaluation!B:B,A88,[2]Evaluation!H:H),"")</f>
        <v/>
      </c>
      <c r="P88" s="7"/>
      <c r="Q88" s="3"/>
    </row>
    <row r="89" spans="1:1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tr">
        <f>IF(A89="","",COUNTIFS([1]Attendance!B:B,A89,[1]Attendance!F:F,"نعم"))</f>
        <v/>
      </c>
      <c r="O89" s="3" t="str">
        <f>IFERROR(AVERAGEIF([2]Evaluation!B:B,A89,[2]Evaluation!H:H),"")</f>
        <v/>
      </c>
      <c r="P89" s="7"/>
      <c r="Q89" s="3"/>
    </row>
    <row r="90" spans="1:1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tr">
        <f>IF(A90="","",COUNTIFS([1]Attendance!B:B,A90,[1]Attendance!F:F,"نعم"))</f>
        <v/>
      </c>
      <c r="O90" s="3" t="str">
        <f>IFERROR(AVERAGEIF([2]Evaluation!B:B,A90,[2]Evaluation!H:H),"")</f>
        <v/>
      </c>
      <c r="P90" s="7"/>
      <c r="Q90" s="3"/>
    </row>
    <row r="91" spans="1:1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tr">
        <f>IF(A91="","",COUNTIFS([1]Attendance!B:B,A91,[1]Attendance!F:F,"نعم"))</f>
        <v/>
      </c>
      <c r="O91" s="3" t="str">
        <f>IFERROR(AVERAGEIF([2]Evaluation!B:B,A91,[2]Evaluation!H:H),"")</f>
        <v/>
      </c>
      <c r="P91" s="7"/>
      <c r="Q91" s="3"/>
    </row>
    <row r="92" spans="1:1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tr">
        <f>IF(A92="","",COUNTIFS([1]Attendance!B:B,A92,[1]Attendance!F:F,"نعم"))</f>
        <v/>
      </c>
      <c r="O92" s="3" t="str">
        <f>IFERROR(AVERAGEIF([2]Evaluation!B:B,A92,[2]Evaluation!H:H),"")</f>
        <v/>
      </c>
      <c r="P92" s="7"/>
      <c r="Q92" s="3"/>
    </row>
    <row r="93" spans="1:1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tr">
        <f>IF(A93="","",COUNTIFS([1]Attendance!B:B,A93,[1]Attendance!F:F,"نعم"))</f>
        <v/>
      </c>
      <c r="O93" s="3" t="str">
        <f>IFERROR(AVERAGEIF([2]Evaluation!B:B,A93,[2]Evaluation!H:H),"")</f>
        <v/>
      </c>
      <c r="P93" s="7"/>
      <c r="Q93" s="3"/>
    </row>
    <row r="94" spans="1:1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tr">
        <f>IF(A94="","",COUNTIFS([1]Attendance!B:B,A94,[1]Attendance!F:F,"نعم"))</f>
        <v/>
      </c>
      <c r="O94" s="3" t="str">
        <f>IFERROR(AVERAGEIF([2]Evaluation!B:B,A94,[2]Evaluation!H:H),"")</f>
        <v/>
      </c>
      <c r="P94" s="7"/>
      <c r="Q94" s="3"/>
    </row>
    <row r="95" spans="1:1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tr">
        <f>IF(A95="","",COUNTIFS([1]Attendance!B:B,A95,[1]Attendance!F:F,"نعم"))</f>
        <v/>
      </c>
      <c r="O95" s="3" t="str">
        <f>IFERROR(AVERAGEIF([2]Evaluation!B:B,A95,[2]Evaluation!H:H),"")</f>
        <v/>
      </c>
      <c r="P95" s="7"/>
      <c r="Q95" s="3"/>
    </row>
    <row r="96" spans="1:1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tr">
        <f>IF(A96="","",COUNTIFS([1]Attendance!B:B,A96,[1]Attendance!F:F,"نعم"))</f>
        <v/>
      </c>
      <c r="O96" s="3" t="str">
        <f>IFERROR(AVERAGEIF([2]Evaluation!B:B,A96,[2]Evaluation!H:H),"")</f>
        <v/>
      </c>
      <c r="P96" s="7"/>
      <c r="Q96" s="3"/>
    </row>
    <row r="97" spans="1:1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tr">
        <f>IF(A97="","",COUNTIFS([1]Attendance!B:B,A97,[1]Attendance!F:F,"نعم"))</f>
        <v/>
      </c>
      <c r="O97" s="3" t="str">
        <f>IFERROR(AVERAGEIF([2]Evaluation!B:B,A97,[2]Evaluation!H:H),"")</f>
        <v/>
      </c>
      <c r="P97" s="7"/>
      <c r="Q97" s="3"/>
    </row>
    <row r="98" spans="1:1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tr">
        <f>IF(A98="","",COUNTIFS([1]Attendance!B:B,A98,[1]Attendance!F:F,"نعم"))</f>
        <v/>
      </c>
      <c r="O98" s="3" t="str">
        <f>IFERROR(AVERAGEIF([2]Evaluation!B:B,A98,[2]Evaluation!H:H),"")</f>
        <v/>
      </c>
      <c r="P98" s="7"/>
      <c r="Q98" s="3"/>
    </row>
    <row r="99" spans="1:1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tr">
        <f>IF(A99="","",COUNTIFS([1]Attendance!B:B,A99,[1]Attendance!F:F,"نعم"))</f>
        <v/>
      </c>
      <c r="O99" s="3" t="str">
        <f>IFERROR(AVERAGEIF([2]Evaluation!B:B,A99,[2]Evaluation!H:H),"")</f>
        <v/>
      </c>
      <c r="P99" s="7"/>
      <c r="Q99" s="3"/>
    </row>
    <row r="100" spans="1:1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tr">
        <f>IF(A100="","",COUNTIFS([1]Attendance!B:B,A100,[1]Attendance!F:F,"نعم"))</f>
        <v/>
      </c>
      <c r="O100" s="3" t="str">
        <f>IFERROR(AVERAGEIF([2]Evaluation!B:B,A100,[2]Evaluation!H:H),"")</f>
        <v/>
      </c>
      <c r="P100" s="7"/>
      <c r="Q100" s="3"/>
    </row>
    <row r="101" spans="1:1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tr">
        <f>IF(A101="","",COUNTIFS([1]Attendance!B:B,A101,[1]Attendance!F:F,"نعم"))</f>
        <v/>
      </c>
      <c r="O101" s="3" t="str">
        <f>IFERROR(AVERAGEIF([2]Evaluation!B:B,A101,[2]Evaluation!H:H),"")</f>
        <v/>
      </c>
      <c r="P101" s="7"/>
      <c r="Q101" s="3"/>
    </row>
    <row r="102" spans="1:1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tr">
        <f>IF(A102="","",COUNTIFS([1]Attendance!B:B,A102,[1]Attendance!F:F,"نعم"))</f>
        <v/>
      </c>
      <c r="O102" s="3" t="str">
        <f>IFERROR(AVERAGEIF([2]Evaluation!B:B,A102,[2]Evaluation!H:H),"")</f>
        <v/>
      </c>
      <c r="P102" s="7"/>
      <c r="Q102" s="3"/>
    </row>
    <row r="103" spans="1:17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tr">
        <f>IF(A103="","",COUNTIFS([1]Attendance!B:B,A103,[1]Attendance!F:F,"نعم"))</f>
        <v/>
      </c>
      <c r="O103" s="3" t="str">
        <f>IFERROR(AVERAGEIF([2]Evaluation!B:B,A103,[2]Evaluation!H:H),"")</f>
        <v/>
      </c>
      <c r="P103" s="7"/>
      <c r="Q103" s="3"/>
    </row>
    <row r="104" spans="1:17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tr">
        <f>IF(A104="","",COUNTIFS([1]Attendance!B:B,A104,[1]Attendance!F:F,"نعم"))</f>
        <v/>
      </c>
      <c r="O104" s="3" t="str">
        <f>IFERROR(AVERAGEIF([2]Evaluation!B:B,A104,[2]Evaluation!H:H),"")</f>
        <v/>
      </c>
      <c r="P104" s="7"/>
      <c r="Q104" s="3"/>
    </row>
    <row r="105" spans="1:17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tr">
        <f>IF(A105="","",COUNTIFS([1]Attendance!B:B,A105,[1]Attendance!F:F,"نعم"))</f>
        <v/>
      </c>
      <c r="O105" s="3" t="str">
        <f>IFERROR(AVERAGEIF([2]Evaluation!B:B,A105,[2]Evaluation!H:H),"")</f>
        <v/>
      </c>
      <c r="P105" s="7"/>
      <c r="Q105" s="3"/>
    </row>
    <row r="106" spans="1:17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tr">
        <f>IF(A106="","",COUNTIFS([1]Attendance!B:B,A106,[1]Attendance!F:F,"نعم"))</f>
        <v/>
      </c>
      <c r="O106" s="3" t="str">
        <f>IFERROR(AVERAGEIF([2]Evaluation!B:B,A106,[2]Evaluation!H:H),"")</f>
        <v/>
      </c>
      <c r="P106" s="7"/>
      <c r="Q106" s="3"/>
    </row>
    <row r="107" spans="1:17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tr">
        <f>IF(A107="","",COUNTIFS([1]Attendance!B:B,A107,[1]Attendance!F:F,"نعم"))</f>
        <v/>
      </c>
      <c r="O107" s="3" t="str">
        <f>IFERROR(AVERAGEIF([2]Evaluation!B:B,A107,[2]Evaluation!H:H),"")</f>
        <v/>
      </c>
      <c r="P107" s="7"/>
      <c r="Q107" s="3"/>
    </row>
    <row r="108" spans="1:17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tr">
        <f>IF(A108="","",COUNTIFS([1]Attendance!B:B,A108,[1]Attendance!F:F,"نعم"))</f>
        <v/>
      </c>
      <c r="O108" s="3" t="str">
        <f>IFERROR(AVERAGEIF([2]Evaluation!B:B,A108,[2]Evaluation!H:H),"")</f>
        <v/>
      </c>
      <c r="P108" s="7"/>
      <c r="Q108" s="3"/>
    </row>
    <row r="109" spans="1:17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tr">
        <f>IF(A109="","",COUNTIFS([1]Attendance!B:B,A109,[1]Attendance!F:F,"نعم"))</f>
        <v/>
      </c>
      <c r="O109" s="3" t="str">
        <f>IFERROR(AVERAGEIF([2]Evaluation!B:B,A109,[2]Evaluation!H:H),"")</f>
        <v/>
      </c>
      <c r="P109" s="7"/>
      <c r="Q109" s="3"/>
    </row>
    <row r="110" spans="1:17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tr">
        <f>IF(A110="","",COUNTIFS([1]Attendance!B:B,A110,[1]Attendance!F:F,"نعم"))</f>
        <v/>
      </c>
      <c r="O110" s="3" t="str">
        <f>IFERROR(AVERAGEIF([2]Evaluation!B:B,A110,[2]Evaluation!H:H),"")</f>
        <v/>
      </c>
      <c r="P110" s="7"/>
      <c r="Q110" s="3"/>
    </row>
    <row r="111" spans="1:17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tr">
        <f>IF(A111="","",COUNTIFS([1]Attendance!B:B,A111,[1]Attendance!F:F,"نعم"))</f>
        <v/>
      </c>
      <c r="O111" s="3" t="str">
        <f>IFERROR(AVERAGEIF([2]Evaluation!B:B,A111,[2]Evaluation!H:H),"")</f>
        <v/>
      </c>
      <c r="P111" s="7"/>
      <c r="Q111" s="3"/>
    </row>
    <row r="112" spans="1:17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tr">
        <f>IF(A112="","",COUNTIFS([1]Attendance!B:B,A112,[1]Attendance!F:F,"نعم"))</f>
        <v/>
      </c>
      <c r="O112" s="3" t="str">
        <f>IFERROR(AVERAGEIF([2]Evaluation!B:B,A112,[2]Evaluation!H:H),"")</f>
        <v/>
      </c>
      <c r="P112" s="7"/>
      <c r="Q112" s="3"/>
    </row>
    <row r="113" spans="1:1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tr">
        <f>IF(A113="","",COUNTIFS([1]Attendance!B:B,A113,[1]Attendance!F:F,"نعم"))</f>
        <v/>
      </c>
      <c r="O113" s="3" t="str">
        <f>IFERROR(AVERAGEIF([2]Evaluation!B:B,A113,[2]Evaluation!H:H),"")</f>
        <v/>
      </c>
      <c r="P113" s="7"/>
      <c r="Q113" s="3"/>
    </row>
    <row r="114" spans="1:17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tr">
        <f>IF(A114="","",COUNTIFS([1]Attendance!B:B,A114,[1]Attendance!F:F,"نعم"))</f>
        <v/>
      </c>
      <c r="O114" s="3" t="str">
        <f>IFERROR(AVERAGEIF([2]Evaluation!B:B,A114,[2]Evaluation!H:H),"")</f>
        <v/>
      </c>
      <c r="P114" s="7"/>
      <c r="Q114" s="3"/>
    </row>
    <row r="115" spans="1:1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tr">
        <f>IF(A115="","",COUNTIFS([1]Attendance!B:B,A115,[1]Attendance!F:F,"نعم"))</f>
        <v/>
      </c>
      <c r="O115" s="3" t="str">
        <f>IFERROR(AVERAGEIF([2]Evaluation!B:B,A115,[2]Evaluation!H:H),"")</f>
        <v/>
      </c>
      <c r="P115" s="7"/>
      <c r="Q115" s="3"/>
    </row>
    <row r="116" spans="1:17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tr">
        <f>IF(A116="","",COUNTIFS([1]Attendance!B:B,A116,[1]Attendance!F:F,"نعم"))</f>
        <v/>
      </c>
      <c r="O116" s="3" t="str">
        <f>IFERROR(AVERAGEIF([2]Evaluation!B:B,A116,[2]Evaluation!H:H),"")</f>
        <v/>
      </c>
      <c r="P116" s="7"/>
      <c r="Q116" s="3"/>
    </row>
    <row r="117" spans="1:17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tr">
        <f>IF(A117="","",COUNTIFS([1]Attendance!B:B,A117,[1]Attendance!F:F,"نعم"))</f>
        <v/>
      </c>
      <c r="O117" s="3" t="str">
        <f>IFERROR(AVERAGEIF([2]Evaluation!B:B,A117,[2]Evaluation!H:H),"")</f>
        <v/>
      </c>
      <c r="P117" s="7"/>
      <c r="Q117" s="3"/>
    </row>
    <row r="118" spans="1:17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tr">
        <f>IF(A118="","",COUNTIFS([1]Attendance!B:B,A118,[1]Attendance!F:F,"نعم"))</f>
        <v/>
      </c>
      <c r="O118" s="3" t="str">
        <f>IFERROR(AVERAGEIF([2]Evaluation!B:B,A118,[2]Evaluation!H:H),"")</f>
        <v/>
      </c>
      <c r="P118" s="7"/>
      <c r="Q118" s="3"/>
    </row>
    <row r="119" spans="1:17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tr">
        <f>IF(A119="","",COUNTIFS([1]Attendance!B:B,A119,[1]Attendance!F:F,"نعم"))</f>
        <v/>
      </c>
      <c r="O119" s="3" t="str">
        <f>IFERROR(AVERAGEIF([2]Evaluation!B:B,A119,[2]Evaluation!H:H),"")</f>
        <v/>
      </c>
      <c r="P119" s="7"/>
      <c r="Q119" s="3"/>
    </row>
    <row r="120" spans="1:17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tr">
        <f>IF(A120="","",COUNTIFS([1]Attendance!B:B,A120,[1]Attendance!F:F,"نعم"))</f>
        <v/>
      </c>
      <c r="O120" s="3" t="str">
        <f>IFERROR(AVERAGEIF([2]Evaluation!B:B,A120,[2]Evaluation!H:H),"")</f>
        <v/>
      </c>
      <c r="P120" s="7"/>
      <c r="Q120" s="3"/>
    </row>
    <row r="121" spans="1:1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tr">
        <f>IF(A121="","",COUNTIFS([1]Attendance!B:B,A121,[1]Attendance!F:F,"نعم"))</f>
        <v/>
      </c>
      <c r="O121" s="3" t="str">
        <f>IFERROR(AVERAGEIF([2]Evaluation!B:B,A121,[2]Evaluation!H:H),"")</f>
        <v/>
      </c>
      <c r="P121" s="7"/>
      <c r="Q121" s="3"/>
    </row>
    <row r="122" spans="1:17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tr">
        <f>IF(A122="","",COUNTIFS([1]Attendance!B:B,A122,[1]Attendance!F:F,"نعم"))</f>
        <v/>
      </c>
      <c r="O122" s="3" t="str">
        <f>IFERROR(AVERAGEIF([2]Evaluation!B:B,A122,[2]Evaluation!H:H),"")</f>
        <v/>
      </c>
      <c r="P122" s="7"/>
      <c r="Q122" s="3"/>
    </row>
    <row r="123" spans="1:1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tr">
        <f>IF(A123="","",COUNTIFS([1]Attendance!B:B,A123,[1]Attendance!F:F,"نعم"))</f>
        <v/>
      </c>
      <c r="O123" s="3" t="str">
        <f>IFERROR(AVERAGEIF([2]Evaluation!B:B,A123,[2]Evaluation!H:H),"")</f>
        <v/>
      </c>
      <c r="P123" s="7"/>
      <c r="Q123" s="3"/>
    </row>
    <row r="124" spans="1:17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tr">
        <f>IF(A124="","",COUNTIFS([1]Attendance!B:B,A124,[1]Attendance!F:F,"نعم"))</f>
        <v/>
      </c>
      <c r="O124" s="3" t="str">
        <f>IFERROR(AVERAGEIF([2]Evaluation!B:B,A124,[2]Evaluation!H:H),"")</f>
        <v/>
      </c>
      <c r="P124" s="7"/>
      <c r="Q124" s="3"/>
    </row>
    <row r="125" spans="1:17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tr">
        <f>IF(A125="","",COUNTIFS([1]Attendance!B:B,A125,[1]Attendance!F:F,"نعم"))</f>
        <v/>
      </c>
      <c r="O125" s="3" t="str">
        <f>IFERROR(AVERAGEIF([2]Evaluation!B:B,A125,[2]Evaluation!H:H),"")</f>
        <v/>
      </c>
      <c r="P125" s="7"/>
      <c r="Q125" s="3"/>
    </row>
    <row r="126" spans="1:17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tr">
        <f>IF(A126="","",COUNTIFS([1]Attendance!B:B,A126,[1]Attendance!F:F,"نعم"))</f>
        <v/>
      </c>
      <c r="O126" s="3" t="str">
        <f>IFERROR(AVERAGEIF([2]Evaluation!B:B,A126,[2]Evaluation!H:H),"")</f>
        <v/>
      </c>
      <c r="P126" s="7"/>
      <c r="Q126" s="3"/>
    </row>
    <row r="127" spans="1:17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tr">
        <f>IF(A127="","",COUNTIFS([1]Attendance!B:B,A127,[1]Attendance!F:F,"نعم"))</f>
        <v/>
      </c>
      <c r="O127" s="3" t="str">
        <f>IFERROR(AVERAGEIF([2]Evaluation!B:B,A127,[2]Evaluation!H:H),"")</f>
        <v/>
      </c>
      <c r="P127" s="7"/>
      <c r="Q127" s="3"/>
    </row>
    <row r="128" spans="1:17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tr">
        <f>IF(A128="","",COUNTIFS([1]Attendance!B:B,A128,[1]Attendance!F:F,"نعم"))</f>
        <v/>
      </c>
      <c r="O128" s="3" t="str">
        <f>IFERROR(AVERAGEIF([2]Evaluation!B:B,A128,[2]Evaluation!H:H),"")</f>
        <v/>
      </c>
      <c r="P128" s="7"/>
      <c r="Q128" s="3"/>
    </row>
    <row r="129" spans="1:1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tr">
        <f>IF(A129="","",COUNTIFS([1]Attendance!B:B,A129,[1]Attendance!F:F,"نعم"))</f>
        <v/>
      </c>
      <c r="O129" s="3" t="str">
        <f>IFERROR(AVERAGEIF([2]Evaluation!B:B,A129,[2]Evaluation!H:H),"")</f>
        <v/>
      </c>
      <c r="P129" s="7"/>
      <c r="Q129" s="3"/>
    </row>
    <row r="130" spans="1:17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tr">
        <f>IF(A130="","",COUNTIFS([1]Attendance!B:B,A130,[1]Attendance!F:F,"نعم"))</f>
        <v/>
      </c>
      <c r="O130" s="3" t="str">
        <f>IFERROR(AVERAGEIF([2]Evaluation!B:B,A130,[2]Evaluation!H:H),"")</f>
        <v/>
      </c>
      <c r="P130" s="7"/>
      <c r="Q130" s="3"/>
    </row>
    <row r="131" spans="1:1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tr">
        <f>IF(A131="","",COUNTIFS([1]Attendance!B:B,A131,[1]Attendance!F:F,"نعم"))</f>
        <v/>
      </c>
      <c r="O131" s="3" t="str">
        <f>IFERROR(AVERAGEIF([2]Evaluation!B:B,A131,[2]Evaluation!H:H),"")</f>
        <v/>
      </c>
      <c r="P131" s="7"/>
      <c r="Q131" s="3"/>
    </row>
    <row r="132" spans="1:17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tr">
        <f>IF(A132="","",COUNTIFS([1]Attendance!B:B,A132,[1]Attendance!F:F,"نعم"))</f>
        <v/>
      </c>
      <c r="O132" s="3" t="str">
        <f>IFERROR(AVERAGEIF([2]Evaluation!B:B,A132,[2]Evaluation!H:H),"")</f>
        <v/>
      </c>
      <c r="P132" s="7"/>
      <c r="Q132" s="3"/>
    </row>
    <row r="133" spans="1:17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tr">
        <f>IF(A133="","",COUNTIFS([1]Attendance!B:B,A133,[1]Attendance!F:F,"نعم"))</f>
        <v/>
      </c>
      <c r="O133" s="3" t="str">
        <f>IFERROR(AVERAGEIF([2]Evaluation!B:B,A133,[2]Evaluation!H:H),"")</f>
        <v/>
      </c>
      <c r="P133" s="7"/>
      <c r="Q133" s="3"/>
    </row>
    <row r="134" spans="1:17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tr">
        <f>IF(A134="","",COUNTIFS([1]Attendance!B:B,A134,[1]Attendance!F:F,"نعم"))</f>
        <v/>
      </c>
      <c r="O134" s="3" t="str">
        <f>IFERROR(AVERAGEIF([2]Evaluation!B:B,A134,[2]Evaluation!H:H),"")</f>
        <v/>
      </c>
      <c r="P134" s="7"/>
      <c r="Q134" s="3"/>
    </row>
    <row r="135" spans="1:17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tr">
        <f>IF(A135="","",COUNTIFS([1]Attendance!B:B,A135,[1]Attendance!F:F,"نعم"))</f>
        <v/>
      </c>
      <c r="O135" s="3" t="str">
        <f>IFERROR(AVERAGEIF([2]Evaluation!B:B,A135,[2]Evaluation!H:H),"")</f>
        <v/>
      </c>
      <c r="P135" s="7"/>
      <c r="Q135" s="3"/>
    </row>
    <row r="136" spans="1:17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tr">
        <f>IF(A136="","",COUNTIFS([1]Attendance!B:B,A136,[1]Attendance!F:F,"نعم"))</f>
        <v/>
      </c>
      <c r="O136" s="3" t="str">
        <f>IFERROR(AVERAGEIF([2]Evaluation!B:B,A136,[2]Evaluation!H:H),"")</f>
        <v/>
      </c>
      <c r="P136" s="7"/>
      <c r="Q136" s="3"/>
    </row>
    <row r="137" spans="1:1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tr">
        <f>IF(A137="","",COUNTIFS([1]Attendance!B:B,A137,[1]Attendance!F:F,"نعم"))</f>
        <v/>
      </c>
      <c r="O137" s="3" t="str">
        <f>IFERROR(AVERAGEIF([2]Evaluation!B:B,A137,[2]Evaluation!H:H),"")</f>
        <v/>
      </c>
      <c r="P137" s="7"/>
      <c r="Q137" s="3"/>
    </row>
    <row r="138" spans="1:17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tr">
        <f>IF(A138="","",COUNTIFS([1]Attendance!B:B,A138,[1]Attendance!F:F,"نعم"))</f>
        <v/>
      </c>
      <c r="O138" s="3" t="str">
        <f>IFERROR(AVERAGEIF([2]Evaluation!B:B,A138,[2]Evaluation!H:H),"")</f>
        <v/>
      </c>
      <c r="P138" s="7"/>
      <c r="Q138" s="3"/>
    </row>
    <row r="139" spans="1:17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tr">
        <f>IF(A139="","",COUNTIFS([1]Attendance!B:B,A139,[1]Attendance!F:F,"نعم"))</f>
        <v/>
      </c>
      <c r="O139" s="3" t="str">
        <f>IFERROR(AVERAGEIF([2]Evaluation!B:B,A139,[2]Evaluation!H:H),"")</f>
        <v/>
      </c>
      <c r="P139" s="7"/>
      <c r="Q139" s="3"/>
    </row>
    <row r="140" spans="1:17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tr">
        <f>IF(A140="","",COUNTIFS([1]Attendance!B:B,A140,[1]Attendance!F:F,"نعم"))</f>
        <v/>
      </c>
      <c r="O140" s="3" t="str">
        <f>IFERROR(AVERAGEIF([2]Evaluation!B:B,A140,[2]Evaluation!H:H),"")</f>
        <v/>
      </c>
      <c r="P140" s="7"/>
      <c r="Q140" s="3"/>
    </row>
    <row r="141" spans="1:1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tr">
        <f>IF(A141="","",COUNTIFS([1]Attendance!B:B,A141,[1]Attendance!F:F,"نعم"))</f>
        <v/>
      </c>
      <c r="O141" s="3" t="str">
        <f>IFERROR(AVERAGEIF([2]Evaluation!B:B,A141,[2]Evaluation!H:H),"")</f>
        <v/>
      </c>
      <c r="P141" s="7"/>
      <c r="Q141" s="3"/>
    </row>
    <row r="142" spans="1:17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tr">
        <f>IF(A142="","",COUNTIFS([1]Attendance!B:B,A142,[1]Attendance!F:F,"نعم"))</f>
        <v/>
      </c>
      <c r="O142" s="3" t="str">
        <f>IFERROR(AVERAGEIF([2]Evaluation!B:B,A142,[2]Evaluation!H:H),"")</f>
        <v/>
      </c>
      <c r="P142" s="7"/>
      <c r="Q142" s="3"/>
    </row>
    <row r="143" spans="1:17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tr">
        <f>IF(A143="","",COUNTIFS([1]Attendance!B:B,A143,[1]Attendance!F:F,"نعم"))</f>
        <v/>
      </c>
      <c r="O143" s="3" t="str">
        <f>IFERROR(AVERAGEIF([2]Evaluation!B:B,A143,[2]Evaluation!H:H),"")</f>
        <v/>
      </c>
      <c r="P143" s="7"/>
      <c r="Q143" s="3"/>
    </row>
    <row r="144" spans="1:17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tr">
        <f>IF(A144="","",COUNTIFS([1]Attendance!B:B,A144,[1]Attendance!F:F,"نعم"))</f>
        <v/>
      </c>
      <c r="O144" s="3" t="str">
        <f>IFERROR(AVERAGEIF([2]Evaluation!B:B,A144,[2]Evaluation!H:H),"")</f>
        <v/>
      </c>
      <c r="P144" s="7"/>
      <c r="Q144" s="3"/>
    </row>
    <row r="145" spans="1:17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tr">
        <f>IF(A145="","",COUNTIFS([1]Attendance!B:B,A145,[1]Attendance!F:F,"نعم"))</f>
        <v/>
      </c>
      <c r="O145" s="3" t="str">
        <f>IFERROR(AVERAGEIF([2]Evaluation!B:B,A145,[2]Evaluation!H:H),"")</f>
        <v/>
      </c>
      <c r="P145" s="7"/>
      <c r="Q145" s="3"/>
    </row>
    <row r="146" spans="1:17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tr">
        <f>IF(A146="","",COUNTIFS([1]Attendance!B:B,A146,[1]Attendance!F:F,"نعم"))</f>
        <v/>
      </c>
      <c r="O146" s="3" t="str">
        <f>IFERROR(AVERAGEIF([2]Evaluation!B:B,A146,[2]Evaluation!H:H),"")</f>
        <v/>
      </c>
      <c r="P146" s="7"/>
      <c r="Q146" s="3"/>
    </row>
    <row r="147" spans="1:1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tr">
        <f>IF(A147="","",COUNTIFS([1]Attendance!B:B,A147,[1]Attendance!F:F,"نعم"))</f>
        <v/>
      </c>
      <c r="O147" s="3" t="str">
        <f>IFERROR(AVERAGEIF([2]Evaluation!B:B,A147,[2]Evaluation!H:H),"")</f>
        <v/>
      </c>
      <c r="P147" s="7"/>
      <c r="Q147" s="3"/>
    </row>
    <row r="148" spans="1:17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 t="str">
        <f>IF(A148="","",COUNTIFS([1]Attendance!B:B,A148,[1]Attendance!F:F,"نعم"))</f>
        <v/>
      </c>
      <c r="O148" s="3" t="str">
        <f>IFERROR(AVERAGEIF([2]Evaluation!B:B,A148,[2]Evaluation!H:H),"")</f>
        <v/>
      </c>
      <c r="P148" s="7"/>
      <c r="Q148" s="3"/>
    </row>
    <row r="149" spans="1:1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 t="str">
        <f>IF(A149="","",COUNTIFS([1]Attendance!B:B,A149,[1]Attendance!F:F,"نعم"))</f>
        <v/>
      </c>
      <c r="O149" s="3" t="str">
        <f>IFERROR(AVERAGEIF([2]Evaluation!B:B,A149,[2]Evaluation!H:H),"")</f>
        <v/>
      </c>
      <c r="P149" s="7"/>
      <c r="Q149" s="3"/>
    </row>
    <row r="150" spans="1:17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 t="str">
        <f>IF(A150="","",COUNTIFS([1]Attendance!B:B,A150,[1]Attendance!F:F,"نعم"))</f>
        <v/>
      </c>
      <c r="O150" s="3" t="str">
        <f>IFERROR(AVERAGEIF([2]Evaluation!B:B,A150,[2]Evaluation!H:H),"")</f>
        <v/>
      </c>
      <c r="P150" s="7"/>
      <c r="Q150" s="3"/>
    </row>
    <row r="151" spans="1:17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 t="str">
        <f>IF(A151="","",COUNTIFS([1]Attendance!B:B,A151,[1]Attendance!F:F,"نعم"))</f>
        <v/>
      </c>
      <c r="O151" s="3" t="str">
        <f>IFERROR(AVERAGEIF([2]Evaluation!B:B,A151,[2]Evaluation!H:H),"")</f>
        <v/>
      </c>
      <c r="P151" s="7"/>
      <c r="Q151" s="3"/>
    </row>
    <row r="152" spans="1:17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 t="str">
        <f>IF(A152="","",COUNTIFS([1]Attendance!B:B,A152,[1]Attendance!F:F,"نعم"))</f>
        <v/>
      </c>
      <c r="O152" s="3" t="str">
        <f>IFERROR(AVERAGEIF([2]Evaluation!B:B,A152,[2]Evaluation!H:H),"")</f>
        <v/>
      </c>
      <c r="P152" s="7"/>
      <c r="Q152" s="3"/>
    </row>
    <row r="153" spans="1:17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 t="str">
        <f>IF(A153="","",COUNTIFS([1]Attendance!B:B,A153,[1]Attendance!F:F,"نعم"))</f>
        <v/>
      </c>
      <c r="O153" s="3" t="str">
        <f>IFERROR(AVERAGEIF([2]Evaluation!B:B,A153,[2]Evaluation!H:H),"")</f>
        <v/>
      </c>
      <c r="P153" s="7"/>
      <c r="Q153" s="3"/>
    </row>
    <row r="154" spans="1:17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 t="str">
        <f>IF(A154="","",COUNTIFS([1]Attendance!B:B,A154,[1]Attendance!F:F,"نعم"))</f>
        <v/>
      </c>
      <c r="O154" s="3" t="str">
        <f>IFERROR(AVERAGEIF([2]Evaluation!B:B,A154,[2]Evaluation!H:H),"")</f>
        <v/>
      </c>
      <c r="P154" s="7"/>
      <c r="Q154" s="3"/>
    </row>
    <row r="155" spans="1:1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 t="str">
        <f>IF(A155="","",COUNTIFS([1]Attendance!B:B,A155,[1]Attendance!F:F,"نعم"))</f>
        <v/>
      </c>
      <c r="O155" s="3" t="str">
        <f>IFERROR(AVERAGEIF([2]Evaluation!B:B,A155,[2]Evaluation!H:H),"")</f>
        <v/>
      </c>
      <c r="P155" s="7"/>
      <c r="Q155" s="3"/>
    </row>
    <row r="156" spans="1:17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 t="str">
        <f>IF(A156="","",COUNTIFS([1]Attendance!B:B,A156,[1]Attendance!F:F,"نعم"))</f>
        <v/>
      </c>
      <c r="O156" s="3" t="str">
        <f>IFERROR(AVERAGEIF([2]Evaluation!B:B,A156,[2]Evaluation!H:H),"")</f>
        <v/>
      </c>
      <c r="P156" s="7"/>
      <c r="Q156" s="3"/>
    </row>
    <row r="157" spans="1:17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 t="str">
        <f>IF(A157="","",COUNTIFS([1]Attendance!B:B,A157,[1]Attendance!F:F,"نعم"))</f>
        <v/>
      </c>
      <c r="O157" s="3" t="str">
        <f>IFERROR(AVERAGEIF([2]Evaluation!B:B,A157,[2]Evaluation!H:H),"")</f>
        <v/>
      </c>
      <c r="P157" s="7"/>
      <c r="Q157" s="3"/>
    </row>
    <row r="158" spans="1:17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 t="str">
        <f>IF(A158="","",COUNTIFS([1]Attendance!B:B,A158,[1]Attendance!F:F,"نعم"))</f>
        <v/>
      </c>
      <c r="O158" s="3" t="str">
        <f>IFERROR(AVERAGEIF([2]Evaluation!B:B,A158,[2]Evaluation!H:H),"")</f>
        <v/>
      </c>
      <c r="P158" s="7"/>
      <c r="Q158" s="3"/>
    </row>
    <row r="159" spans="1:17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 t="str">
        <f>IF(A159="","",COUNTIFS([1]Attendance!B:B,A159,[1]Attendance!F:F,"نعم"))</f>
        <v/>
      </c>
      <c r="O159" s="3" t="str">
        <f>IFERROR(AVERAGEIF([2]Evaluation!B:B,A159,[2]Evaluation!H:H),"")</f>
        <v/>
      </c>
      <c r="P159" s="7"/>
      <c r="Q159" s="3"/>
    </row>
    <row r="160" spans="1:17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 t="str">
        <f>IF(A160="","",COUNTIFS([1]Attendance!B:B,A160,[1]Attendance!F:F,"نعم"))</f>
        <v/>
      </c>
      <c r="O160" s="3" t="str">
        <f>IFERROR(AVERAGEIF([2]Evaluation!B:B,A160,[2]Evaluation!H:H),"")</f>
        <v/>
      </c>
      <c r="P160" s="7"/>
      <c r="Q160" s="3"/>
    </row>
    <row r="161" spans="1:17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 t="str">
        <f>IF(A161="","",COUNTIFS([1]Attendance!B:B,A161,[1]Attendance!F:F,"نعم"))</f>
        <v/>
      </c>
      <c r="O161" s="3" t="str">
        <f>IFERROR(AVERAGEIF([2]Evaluation!B:B,A161,[2]Evaluation!H:H),"")</f>
        <v/>
      </c>
      <c r="P161" s="7"/>
      <c r="Q161" s="3"/>
    </row>
    <row r="162" spans="1:17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 t="str">
        <f>IF(A162="","",COUNTIFS([1]Attendance!B:B,A162,[1]Attendance!F:F,"نعم"))</f>
        <v/>
      </c>
      <c r="O162" s="3" t="str">
        <f>IFERROR(AVERAGEIF([2]Evaluation!B:B,A162,[2]Evaluation!H:H),"")</f>
        <v/>
      </c>
      <c r="P162" s="7"/>
      <c r="Q162" s="3"/>
    </row>
    <row r="163" spans="1:17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 t="str">
        <f>IF(A163="","",COUNTIFS([1]Attendance!B:B,A163,[1]Attendance!F:F,"نعم"))</f>
        <v/>
      </c>
      <c r="O163" s="3" t="str">
        <f>IFERROR(AVERAGEIF([2]Evaluation!B:B,A163,[2]Evaluation!H:H),"")</f>
        <v/>
      </c>
      <c r="P163" s="7"/>
      <c r="Q163" s="3"/>
    </row>
    <row r="164" spans="1:17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 t="str">
        <f>IF(A164="","",COUNTIFS([1]Attendance!B:B,A164,[1]Attendance!F:F,"نعم"))</f>
        <v/>
      </c>
      <c r="O164" s="3" t="str">
        <f>IFERROR(AVERAGEIF([2]Evaluation!B:B,A164,[2]Evaluation!H:H),"")</f>
        <v/>
      </c>
      <c r="P164" s="7"/>
      <c r="Q164" s="3"/>
    </row>
    <row r="165" spans="1:17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 t="str">
        <f>IF(A165="","",COUNTIFS([1]Attendance!B:B,A165,[1]Attendance!F:F,"نعم"))</f>
        <v/>
      </c>
      <c r="O165" s="3" t="str">
        <f>IFERROR(AVERAGEIF([2]Evaluation!B:B,A165,[2]Evaluation!H:H),"")</f>
        <v/>
      </c>
      <c r="P165" s="7"/>
      <c r="Q165" s="3"/>
    </row>
    <row r="166" spans="1:17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 t="str">
        <f>IF(A166="","",COUNTIFS([1]Attendance!B:B,A166,[1]Attendance!F:F,"نعم"))</f>
        <v/>
      </c>
      <c r="O166" s="3" t="str">
        <f>IFERROR(AVERAGEIF([2]Evaluation!B:B,A166,[2]Evaluation!H:H),"")</f>
        <v/>
      </c>
      <c r="P166" s="7"/>
      <c r="Q166" s="3"/>
    </row>
    <row r="167" spans="1:17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 t="str">
        <f>IF(A167="","",COUNTIFS([1]Attendance!B:B,A167,[1]Attendance!F:F,"نعم"))</f>
        <v/>
      </c>
      <c r="O167" s="3" t="str">
        <f>IFERROR(AVERAGEIF([2]Evaluation!B:B,A167,[2]Evaluation!H:H),"")</f>
        <v/>
      </c>
      <c r="P167" s="7"/>
      <c r="Q167" s="3"/>
    </row>
    <row r="168" spans="1:17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 t="str">
        <f>IF(A168="","",COUNTIFS([1]Attendance!B:B,A168,[1]Attendance!F:F,"نعم"))</f>
        <v/>
      </c>
      <c r="O168" s="3" t="str">
        <f>IFERROR(AVERAGEIF([2]Evaluation!B:B,A168,[2]Evaluation!H:H),"")</f>
        <v/>
      </c>
      <c r="P168" s="7"/>
      <c r="Q168" s="3"/>
    </row>
    <row r="169" spans="1:17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 t="str">
        <f>IF(A169="","",COUNTIFS([1]Attendance!B:B,A169,[1]Attendance!F:F,"نعم"))</f>
        <v/>
      </c>
      <c r="O169" s="3" t="str">
        <f>IFERROR(AVERAGEIF([2]Evaluation!B:B,A169,[2]Evaluation!H:H),"")</f>
        <v/>
      </c>
      <c r="P169" s="7"/>
      <c r="Q169" s="3"/>
    </row>
    <row r="170" spans="1:17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 t="str">
        <f>IF(A170="","",COUNTIFS([1]Attendance!B:B,A170,[1]Attendance!F:F,"نعم"))</f>
        <v/>
      </c>
      <c r="O170" s="3" t="str">
        <f>IFERROR(AVERAGEIF([2]Evaluation!B:B,A170,[2]Evaluation!H:H),"")</f>
        <v/>
      </c>
      <c r="P170" s="7"/>
      <c r="Q170" s="3"/>
    </row>
    <row r="171" spans="1:17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 t="str">
        <f>IF(A171="","",COUNTIFS([1]Attendance!B:B,A171,[1]Attendance!F:F,"نعم"))</f>
        <v/>
      </c>
      <c r="O171" s="3" t="str">
        <f>IFERROR(AVERAGEIF([2]Evaluation!B:B,A171,[2]Evaluation!H:H),"")</f>
        <v/>
      </c>
      <c r="P171" s="7"/>
      <c r="Q171" s="3"/>
    </row>
    <row r="172" spans="1:17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 t="str">
        <f>IF(A172="","",COUNTIFS([1]Attendance!B:B,A172,[1]Attendance!F:F,"نعم"))</f>
        <v/>
      </c>
      <c r="O172" s="3" t="str">
        <f>IFERROR(AVERAGEIF([2]Evaluation!B:B,A172,[2]Evaluation!H:H),"")</f>
        <v/>
      </c>
      <c r="P172" s="7"/>
      <c r="Q172" s="3"/>
    </row>
    <row r="173" spans="1:17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 t="str">
        <f>IF(A173="","",COUNTIFS([1]Attendance!B:B,A173,[1]Attendance!F:F,"نعم"))</f>
        <v/>
      </c>
      <c r="O173" s="3" t="str">
        <f>IFERROR(AVERAGEIF([2]Evaluation!B:B,A173,[2]Evaluation!H:H),"")</f>
        <v/>
      </c>
      <c r="P173" s="7"/>
      <c r="Q173" s="3"/>
    </row>
    <row r="174" spans="1:17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 t="str">
        <f>IF(A174="","",COUNTIFS([1]Attendance!B:B,A174,[1]Attendance!F:F,"نعم"))</f>
        <v/>
      </c>
      <c r="O174" s="3" t="str">
        <f>IFERROR(AVERAGEIF([2]Evaluation!B:B,A174,[2]Evaluation!H:H),"")</f>
        <v/>
      </c>
      <c r="P174" s="7"/>
      <c r="Q174" s="3"/>
    </row>
    <row r="175" spans="1:17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 t="str">
        <f>IF(A175="","",COUNTIFS([1]Attendance!B:B,A175,[1]Attendance!F:F,"نعم"))</f>
        <v/>
      </c>
      <c r="O175" s="3" t="str">
        <f>IFERROR(AVERAGEIF([2]Evaluation!B:B,A175,[2]Evaluation!H:H),"")</f>
        <v/>
      </c>
      <c r="P175" s="7"/>
      <c r="Q175" s="3"/>
    </row>
    <row r="176" spans="1:17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 t="str">
        <f>IF(A176="","",COUNTIFS([1]Attendance!B:B,A176,[1]Attendance!F:F,"نعم"))</f>
        <v/>
      </c>
      <c r="O176" s="3" t="str">
        <f>IFERROR(AVERAGEIF([2]Evaluation!B:B,A176,[2]Evaluation!H:H),"")</f>
        <v/>
      </c>
      <c r="P176" s="7"/>
      <c r="Q176" s="3"/>
    </row>
    <row r="177" spans="1:17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 t="str">
        <f>IF(A177="","",COUNTIFS([1]Attendance!B:B,A177,[1]Attendance!F:F,"نعم"))</f>
        <v/>
      </c>
      <c r="O177" s="3" t="str">
        <f>IFERROR(AVERAGEIF([2]Evaluation!B:B,A177,[2]Evaluation!H:H),"")</f>
        <v/>
      </c>
      <c r="P177" s="7"/>
      <c r="Q177" s="3"/>
    </row>
    <row r="178" spans="1:17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 t="str">
        <f>IF(A178="","",COUNTIFS([1]Attendance!B:B,A178,[1]Attendance!F:F,"نعم"))</f>
        <v/>
      </c>
      <c r="O178" s="3" t="str">
        <f>IFERROR(AVERAGEIF([2]Evaluation!B:B,A178,[2]Evaluation!H:H),"")</f>
        <v/>
      </c>
      <c r="P178" s="7"/>
      <c r="Q178" s="3"/>
    </row>
    <row r="179" spans="1:17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 t="str">
        <f>IF(A179="","",COUNTIFS([1]Attendance!B:B,A179,[1]Attendance!F:F,"نعم"))</f>
        <v/>
      </c>
      <c r="O179" s="3" t="str">
        <f>IFERROR(AVERAGEIF([2]Evaluation!B:B,A179,[2]Evaluation!H:H),"")</f>
        <v/>
      </c>
      <c r="P179" s="7"/>
      <c r="Q179" s="3"/>
    </row>
    <row r="180" spans="1:17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 t="str">
        <f>IF(A180="","",COUNTIFS([1]Attendance!B:B,A180,[1]Attendance!F:F,"نعم"))</f>
        <v/>
      </c>
      <c r="O180" s="3" t="str">
        <f>IFERROR(AVERAGEIF([2]Evaluation!B:B,A180,[2]Evaluation!H:H),"")</f>
        <v/>
      </c>
      <c r="P180" s="7"/>
      <c r="Q180" s="3"/>
    </row>
    <row r="181" spans="1:17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 t="str">
        <f>IF(A181="","",COUNTIFS([1]Attendance!B:B,A181,[1]Attendance!F:F,"نعم"))</f>
        <v/>
      </c>
      <c r="O181" s="3" t="str">
        <f>IFERROR(AVERAGEIF([2]Evaluation!B:B,A181,[2]Evaluation!H:H),"")</f>
        <v/>
      </c>
      <c r="P181" s="7"/>
      <c r="Q181" s="3"/>
    </row>
    <row r="182" spans="1:17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 t="str">
        <f>IF(A182="","",COUNTIFS([1]Attendance!B:B,A182,[1]Attendance!F:F,"نعم"))</f>
        <v/>
      </c>
      <c r="O182" s="3" t="str">
        <f>IFERROR(AVERAGEIF([2]Evaluation!B:B,A182,[2]Evaluation!H:H),"")</f>
        <v/>
      </c>
      <c r="P182" s="7"/>
      <c r="Q182" s="3"/>
    </row>
    <row r="183" spans="1:17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 t="str">
        <f>IF(A183="","",COUNTIFS([1]Attendance!B:B,A183,[1]Attendance!F:F,"نعم"))</f>
        <v/>
      </c>
      <c r="O183" s="3" t="str">
        <f>IFERROR(AVERAGEIF([2]Evaluation!B:B,A183,[2]Evaluation!H:H),"")</f>
        <v/>
      </c>
      <c r="P183" s="7"/>
      <c r="Q183" s="3"/>
    </row>
    <row r="184" spans="1:17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 t="str">
        <f>IF(A184="","",COUNTIFS([1]Attendance!B:B,A184,[1]Attendance!F:F,"نعم"))</f>
        <v/>
      </c>
      <c r="O184" s="3" t="str">
        <f>IFERROR(AVERAGEIF([2]Evaluation!B:B,A184,[2]Evaluation!H:H),"")</f>
        <v/>
      </c>
      <c r="P184" s="7"/>
      <c r="Q184" s="3"/>
    </row>
    <row r="185" spans="1:17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 t="str">
        <f>IF(A185="","",COUNTIFS([1]Attendance!B:B,A185,[1]Attendance!F:F,"نعم"))</f>
        <v/>
      </c>
      <c r="O185" s="3" t="str">
        <f>IFERROR(AVERAGEIF([2]Evaluation!B:B,A185,[2]Evaluation!H:H),"")</f>
        <v/>
      </c>
      <c r="P185" s="7"/>
      <c r="Q185" s="3"/>
    </row>
    <row r="186" spans="1:17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 t="str">
        <f>IF(A186="","",COUNTIFS([1]Attendance!B:B,A186,[1]Attendance!F:F,"نعم"))</f>
        <v/>
      </c>
      <c r="O186" s="3" t="str">
        <f>IFERROR(AVERAGEIF([2]Evaluation!B:B,A186,[2]Evaluation!H:H),"")</f>
        <v/>
      </c>
      <c r="P186" s="7"/>
      <c r="Q186" s="3"/>
    </row>
    <row r="187" spans="1:17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 t="str">
        <f>IF(A187="","",COUNTIFS([1]Attendance!B:B,A187,[1]Attendance!F:F,"نعم"))</f>
        <v/>
      </c>
      <c r="O187" s="3" t="str">
        <f>IFERROR(AVERAGEIF([2]Evaluation!B:B,A187,[2]Evaluation!H:H),"")</f>
        <v/>
      </c>
      <c r="P187" s="7"/>
      <c r="Q187" s="3"/>
    </row>
    <row r="188" spans="1:17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 t="str">
        <f>IF(A188="","",COUNTIFS([1]Attendance!B:B,A188,[1]Attendance!F:F,"نعم"))</f>
        <v/>
      </c>
      <c r="O188" s="3" t="str">
        <f>IFERROR(AVERAGEIF([2]Evaluation!B:B,A188,[2]Evaluation!H:H),"")</f>
        <v/>
      </c>
      <c r="P188" s="7"/>
      <c r="Q188" s="3"/>
    </row>
    <row r="189" spans="1:17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 t="str">
        <f>IF(A189="","",COUNTIFS([1]Attendance!B:B,A189,[1]Attendance!F:F,"نعم"))</f>
        <v/>
      </c>
      <c r="O189" s="3" t="str">
        <f>IFERROR(AVERAGEIF([2]Evaluation!B:B,A189,[2]Evaluation!H:H),"")</f>
        <v/>
      </c>
      <c r="P189" s="7"/>
      <c r="Q189" s="3"/>
    </row>
    <row r="190" spans="1:17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 t="str">
        <f>IF(A190="","",COUNTIFS([1]Attendance!B:B,A190,[1]Attendance!F:F,"نعم"))</f>
        <v/>
      </c>
      <c r="O190" s="3" t="str">
        <f>IFERROR(AVERAGEIF([2]Evaluation!B:B,A190,[2]Evaluation!H:H),"")</f>
        <v/>
      </c>
      <c r="P190" s="7"/>
      <c r="Q190" s="3"/>
    </row>
    <row r="191" spans="1:17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 t="str">
        <f>IF(A191="","",COUNTIFS([1]Attendance!B:B,A191,[1]Attendance!F:F,"نعم"))</f>
        <v/>
      </c>
      <c r="O191" s="3" t="str">
        <f>IFERROR(AVERAGEIF([2]Evaluation!B:B,A191,[2]Evaluation!H:H),"")</f>
        <v/>
      </c>
      <c r="P191" s="7"/>
      <c r="Q191" s="3"/>
    </row>
    <row r="192" spans="1:17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 t="str">
        <f>IF(A192="","",COUNTIFS([1]Attendance!B:B,A192,[1]Attendance!F:F,"نعم"))</f>
        <v/>
      </c>
      <c r="O192" s="3" t="str">
        <f>IFERROR(AVERAGEIF([2]Evaluation!B:B,A192,[2]Evaluation!H:H),"")</f>
        <v/>
      </c>
      <c r="P192" s="7"/>
      <c r="Q192" s="3"/>
    </row>
    <row r="193" spans="1:17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 t="str">
        <f>IF(A193="","",COUNTIFS([1]Attendance!B:B,A193,[1]Attendance!F:F,"نعم"))</f>
        <v/>
      </c>
      <c r="O193" s="3" t="str">
        <f>IFERROR(AVERAGEIF([2]Evaluation!B:B,A193,[2]Evaluation!H:H),"")</f>
        <v/>
      </c>
      <c r="P193" s="7"/>
      <c r="Q193" s="3"/>
    </row>
    <row r="194" spans="1:17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 t="str">
        <f>IF(A194="","",COUNTIFS([1]Attendance!B:B,A194,[1]Attendance!F:F,"نعم"))</f>
        <v/>
      </c>
      <c r="O194" s="3" t="str">
        <f>IFERROR(AVERAGEIF([2]Evaluation!B:B,A194,[2]Evaluation!H:H),"")</f>
        <v/>
      </c>
      <c r="P194" s="7"/>
      <c r="Q194" s="3"/>
    </row>
    <row r="195" spans="1:17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 t="str">
        <f>IF(A195="","",COUNTIFS([1]Attendance!B:B,A195,[1]Attendance!F:F,"نعم"))</f>
        <v/>
      </c>
      <c r="O195" s="3" t="str">
        <f>IFERROR(AVERAGEIF([2]Evaluation!B:B,A195,[2]Evaluation!H:H),"")</f>
        <v/>
      </c>
      <c r="P195" s="7"/>
      <c r="Q195" s="3"/>
    </row>
    <row r="196" spans="1:17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 t="str">
        <f>IF(A196="","",COUNTIFS([1]Attendance!B:B,A196,[1]Attendance!F:F,"نعم"))</f>
        <v/>
      </c>
      <c r="O196" s="3" t="str">
        <f>IFERROR(AVERAGEIF([2]Evaluation!B:B,A196,[2]Evaluation!H:H),"")</f>
        <v/>
      </c>
      <c r="P196" s="7"/>
      <c r="Q196" s="3"/>
    </row>
    <row r="197" spans="1:17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 t="str">
        <f>IF(A197="","",COUNTIFS([1]Attendance!B:B,A197,[1]Attendance!F:F,"نعم"))</f>
        <v/>
      </c>
      <c r="O197" s="3" t="str">
        <f>IFERROR(AVERAGEIF([2]Evaluation!B:B,A197,[2]Evaluation!H:H),"")</f>
        <v/>
      </c>
      <c r="P197" s="7"/>
      <c r="Q197" s="3"/>
    </row>
    <row r="198" spans="1:17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 t="str">
        <f>IF(A198="","",COUNTIFS([1]Attendance!B:B,A198,[1]Attendance!F:F,"نعم"))</f>
        <v/>
      </c>
      <c r="O198" s="3" t="str">
        <f>IFERROR(AVERAGEIF([2]Evaluation!B:B,A198,[2]Evaluation!H:H),"")</f>
        <v/>
      </c>
      <c r="P198" s="7"/>
      <c r="Q198" s="3"/>
    </row>
    <row r="199" spans="1:17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 t="str">
        <f>IF(A199="","",COUNTIFS([1]Attendance!B:B,A199,[1]Attendance!F:F,"نعم"))</f>
        <v/>
      </c>
      <c r="O199" s="3" t="str">
        <f>IFERROR(AVERAGEIF([2]Evaluation!B:B,A199,[2]Evaluation!H:H),"")</f>
        <v/>
      </c>
      <c r="P199" s="7"/>
      <c r="Q199" s="3"/>
    </row>
    <row r="200" spans="1:17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 t="str">
        <f>IF(A200="","",COUNTIFS([1]Attendance!B:B,A200,[1]Attendance!F:F,"نعم"))</f>
        <v/>
      </c>
      <c r="O200" s="3" t="str">
        <f>IFERROR(AVERAGEIF([2]Evaluation!B:B,A200,[2]Evaluation!H:H),"")</f>
        <v/>
      </c>
      <c r="P200" s="7"/>
      <c r="Q200" s="3"/>
    </row>
    <row r="201" spans="1:17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 t="str">
        <f>IF(A201="","",COUNTIFS([1]Attendance!B:B,A201,[1]Attendance!F:F,"نعم"))</f>
        <v/>
      </c>
      <c r="O201" s="3" t="str">
        <f>IFERROR(AVERAGEIF([2]Evaluation!B:B,A201,[2]Evaluation!H:H),"")</f>
        <v/>
      </c>
      <c r="P201" s="7"/>
      <c r="Q201" s="3"/>
    </row>
    <row r="202" spans="1:17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 t="str">
        <f>IF(A202="","",COUNTIFS([1]Attendance!B:B,A202,[1]Attendance!F:F,"نعم"))</f>
        <v/>
      </c>
      <c r="O202" s="3" t="str">
        <f>IFERROR(AVERAGEIF([2]Evaluation!B:B,A202,[2]Evaluation!H:H),"")</f>
        <v/>
      </c>
      <c r="P202" s="7"/>
      <c r="Q202" s="3"/>
    </row>
    <row r="203" spans="1:17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 t="str">
        <f>IF(A203="","",COUNTIFS([1]Attendance!B:B,A203,[1]Attendance!F:F,"نعم"))</f>
        <v/>
      </c>
      <c r="O203" s="3" t="str">
        <f>IFERROR(AVERAGEIF([2]Evaluation!B:B,A203,[2]Evaluation!H:H),"")</f>
        <v/>
      </c>
      <c r="P203" s="7"/>
      <c r="Q203" s="3"/>
    </row>
  </sheetData>
  <mergeCells count="1">
    <mergeCell ref="A1:Q1"/>
  </mergeCells>
  <dataValidations count="1">
    <dataValidation type="list" allowBlank="1" showInputMessage="1" showErrorMessage="1" sqref="M4:M203" xr:uid="{BA70AE68-EC2B-4F7A-8196-704F66FC930A}">
      <formula1>"مخطط,منفذ,مؤجل,ملغى"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43EC-BF23-4953-B808-FF4BB31FBEE0}">
  <dimension ref="A1:K6"/>
  <sheetViews>
    <sheetView rightToLeft="1" workbookViewId="0">
      <pane ySplit="3" topLeftCell="A4" activePane="bottomLeft" state="frozenSplit"/>
      <selection pane="bottomLeft" sqref="A1:K1"/>
    </sheetView>
  </sheetViews>
  <sheetFormatPr defaultRowHeight="12.75" x14ac:dyDescent="0.2"/>
  <cols>
    <col min="1" max="1" width="13.28515625" style="1" bestFit="1" customWidth="1"/>
    <col min="2" max="2" width="8.85546875" style="1" bestFit="1" customWidth="1"/>
    <col min="3" max="3" width="13.7109375" style="1" bestFit="1" customWidth="1"/>
    <col min="4" max="4" width="14.7109375" style="1" bestFit="1" customWidth="1"/>
    <col min="5" max="5" width="8.28515625" style="1" bestFit="1" customWidth="1"/>
    <col min="6" max="6" width="10.28515625" style="1" bestFit="1" customWidth="1"/>
    <col min="7" max="7" width="15.28515625" style="1" bestFit="1" customWidth="1"/>
    <col min="8" max="8" width="15.7109375" style="1" bestFit="1" customWidth="1"/>
    <col min="9" max="9" width="10.85546875" style="1" bestFit="1" customWidth="1"/>
    <col min="10" max="10" width="13.7109375" style="1" bestFit="1" customWidth="1"/>
    <col min="11" max="11" width="9" style="1" bestFit="1" customWidth="1"/>
    <col min="12" max="16384" width="9.140625" style="1"/>
  </cols>
  <sheetData>
    <row r="1" spans="1:11" x14ac:dyDescent="0.2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">
      <c r="A3" s="4" t="s">
        <v>114</v>
      </c>
      <c r="B3" s="4" t="s">
        <v>88</v>
      </c>
      <c r="C3" s="4" t="s">
        <v>115</v>
      </c>
      <c r="D3" s="4" t="s">
        <v>116</v>
      </c>
      <c r="E3" s="4" t="s">
        <v>117</v>
      </c>
      <c r="F3" s="4" t="s">
        <v>118</v>
      </c>
      <c r="G3" s="4" t="s">
        <v>119</v>
      </c>
      <c r="H3" s="4" t="s">
        <v>120</v>
      </c>
      <c r="I3" s="4" t="s">
        <v>121</v>
      </c>
      <c r="J3" s="4" t="s">
        <v>122</v>
      </c>
      <c r="K3" s="4" t="s">
        <v>92</v>
      </c>
    </row>
    <row r="4" spans="1:11" ht="25.5" x14ac:dyDescent="0.2">
      <c r="A4" s="3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15</v>
      </c>
      <c r="J4" s="3" t="s">
        <v>131</v>
      </c>
      <c r="K4" s="3" t="s">
        <v>132</v>
      </c>
    </row>
    <row r="5" spans="1:11" ht="25.5" x14ac:dyDescent="0.2">
      <c r="A5" s="3" t="s">
        <v>133</v>
      </c>
      <c r="B5" s="3" t="s">
        <v>98</v>
      </c>
      <c r="C5" s="3" t="s">
        <v>134</v>
      </c>
      <c r="D5" s="3" t="s">
        <v>135</v>
      </c>
      <c r="E5" s="3" t="s">
        <v>127</v>
      </c>
      <c r="F5" s="3" t="s">
        <v>128</v>
      </c>
      <c r="G5" s="3" t="s">
        <v>49</v>
      </c>
      <c r="H5" s="3" t="s">
        <v>136</v>
      </c>
      <c r="I5" s="3" t="s">
        <v>49</v>
      </c>
      <c r="J5" s="3" t="s">
        <v>137</v>
      </c>
      <c r="K5" s="3" t="s">
        <v>132</v>
      </c>
    </row>
    <row r="6" spans="1:11" ht="25.5" x14ac:dyDescent="0.2">
      <c r="A6" s="3" t="s">
        <v>138</v>
      </c>
      <c r="B6" s="3" t="s">
        <v>139</v>
      </c>
      <c r="C6" s="3" t="s">
        <v>140</v>
      </c>
      <c r="D6" s="3" t="s">
        <v>141</v>
      </c>
      <c r="E6" s="3" t="s">
        <v>127</v>
      </c>
      <c r="F6" s="3" t="s">
        <v>128</v>
      </c>
      <c r="G6" s="3" t="s">
        <v>142</v>
      </c>
      <c r="H6" s="3" t="s">
        <v>143</v>
      </c>
      <c r="I6" s="3" t="s">
        <v>104</v>
      </c>
      <c r="J6" s="3" t="s">
        <v>144</v>
      </c>
      <c r="K6" s="3" t="s">
        <v>132</v>
      </c>
    </row>
  </sheetData>
  <mergeCells count="1">
    <mergeCell ref="A1:K1"/>
  </mergeCells>
  <dataValidations count="2">
    <dataValidation type="list" allowBlank="1" showInputMessage="1" showErrorMessage="1" sqref="F4:F203" xr:uid="{BDB857BC-E8AE-42E6-96AF-6DB54C6564D4}">
      <formula1>"عاجل,مرتفع,متوسط,منخفض"</formula1>
    </dataValidation>
    <dataValidation type="list" allowBlank="1" showInputMessage="1" showErrorMessage="1" sqref="K4:K203" xr:uid="{22A0CC47-2F35-487F-BBD0-DCA645A5DE4C}">
      <formula1>"مفتوح,قيد التنفيذ,مغلق"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BDF6-CC2A-46D1-A7D6-25E4C65F9E0E}">
  <dimension ref="A1:L203"/>
  <sheetViews>
    <sheetView rightToLeft="1" workbookViewId="0">
      <pane ySplit="3" topLeftCell="A4" activePane="bottomLeft" state="frozenSplit"/>
      <selection pane="bottomLeft" sqref="A1:L1"/>
    </sheetView>
  </sheetViews>
  <sheetFormatPr defaultRowHeight="12.75" x14ac:dyDescent="0.2"/>
  <cols>
    <col min="1" max="1" width="13.140625" style="1" bestFit="1" customWidth="1"/>
    <col min="2" max="2" width="8.7109375" style="1" bestFit="1" customWidth="1"/>
    <col min="3" max="3" width="8.85546875" style="1" bestFit="1" customWidth="1"/>
    <col min="4" max="4" width="10" style="1" bestFit="1" customWidth="1"/>
    <col min="5" max="5" width="8.28515625" style="1" bestFit="1" customWidth="1"/>
    <col min="6" max="6" width="13.85546875" style="1" bestFit="1" customWidth="1"/>
    <col min="7" max="7" width="9" style="1" bestFit="1" customWidth="1"/>
    <col min="8" max="8" width="9.140625" style="1"/>
    <col min="9" max="9" width="13" style="1" bestFit="1" customWidth="1"/>
    <col min="10" max="10" width="14.140625" style="1" bestFit="1" customWidth="1"/>
    <col min="11" max="11" width="14.28515625" style="1" bestFit="1" customWidth="1"/>
    <col min="12" max="12" width="13.28515625" style="1" bestFit="1" customWidth="1"/>
    <col min="13" max="16384" width="9.140625" style="1"/>
  </cols>
  <sheetData>
    <row r="1" spans="1:12" x14ac:dyDescent="0.2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 t="s">
        <v>86</v>
      </c>
      <c r="B3" s="4" t="s">
        <v>87</v>
      </c>
      <c r="C3" s="4" t="s">
        <v>88</v>
      </c>
      <c r="D3" s="4" t="s">
        <v>89</v>
      </c>
      <c r="E3" s="4" t="s">
        <v>90</v>
      </c>
      <c r="F3" s="4" t="s">
        <v>91</v>
      </c>
      <c r="G3" s="4" t="s">
        <v>92</v>
      </c>
      <c r="H3" s="4" t="s">
        <v>93</v>
      </c>
      <c r="I3" s="4" t="s">
        <v>94</v>
      </c>
      <c r="J3" s="4" t="s">
        <v>19</v>
      </c>
      <c r="K3" s="4" t="s">
        <v>95</v>
      </c>
      <c r="L3" s="4" t="s">
        <v>96</v>
      </c>
    </row>
    <row r="4" spans="1:12" ht="25.5" x14ac:dyDescent="0.2">
      <c r="A4" s="3" t="s">
        <v>97</v>
      </c>
      <c r="B4" s="3" t="s">
        <v>6</v>
      </c>
      <c r="C4" s="3" t="s">
        <v>98</v>
      </c>
      <c r="D4" s="3" t="s">
        <v>99</v>
      </c>
      <c r="E4" s="3" t="s">
        <v>100</v>
      </c>
      <c r="F4" s="5">
        <v>45658</v>
      </c>
      <c r="G4" s="3" t="s">
        <v>101</v>
      </c>
      <c r="H4" s="3" t="s">
        <v>102</v>
      </c>
      <c r="I4" s="3" t="e">
        <f>IF(A4="","",COUNTIF([1]Attendance!D:D,A4))</f>
        <v>#VALUE!</v>
      </c>
      <c r="J4" s="6">
        <f>IFERROR(COUNTIFS([1]Attendance!D:D,A4,[1]Attendance!F:F,"نعم")/I4,0)</f>
        <v>0</v>
      </c>
      <c r="K4" s="6" t="str">
        <f>IFERROR(AVERAGEIF([2]Evaluation!D:D,A4,[2]Evaluation!H:H),"")</f>
        <v/>
      </c>
      <c r="L4" s="3" t="str">
        <f>IF(A4="","",IF(J4&lt;Setup!B8,"حضور غير مكتمل",IF(K4&lt;Setup!B7,"يحتاج إعادة تدريب","مكتمل")))</f>
        <v>حضور غير مكتمل</v>
      </c>
    </row>
    <row r="5" spans="1:12" x14ac:dyDescent="0.2">
      <c r="A5" s="3" t="s">
        <v>103</v>
      </c>
      <c r="B5" s="3" t="s">
        <v>6</v>
      </c>
      <c r="C5" s="3" t="s">
        <v>104</v>
      </c>
      <c r="D5" s="3" t="s">
        <v>105</v>
      </c>
      <c r="E5" s="3" t="s">
        <v>100</v>
      </c>
      <c r="F5" s="3" t="s">
        <v>106</v>
      </c>
      <c r="G5" s="3" t="s">
        <v>101</v>
      </c>
      <c r="H5" s="3" t="s">
        <v>107</v>
      </c>
      <c r="I5" s="3" t="e">
        <f>IF(A5="","",COUNTIF([1]Attendance!D:D,A5))</f>
        <v>#VALUE!</v>
      </c>
      <c r="J5" s="6">
        <f>IFERROR(COUNTIFS([1]Attendance!D:D,A5,[1]Attendance!F:F,"نعم")/I5,0)</f>
        <v>0</v>
      </c>
      <c r="K5" s="6" t="str">
        <f>IFERROR(AVERAGEIF([2]Evaluation!D:D,A5,[2]Evaluation!H:H),"")</f>
        <v/>
      </c>
      <c r="L5" s="3" t="str">
        <f>IF(A5="","",IF(J5&lt;Setup!B8,"حضور غير مكتمل",IF(K5&lt;Setup!B7,"يحتاج إعادة تدريب","مكتمل")))</f>
        <v>حضور غير مكتمل</v>
      </c>
    </row>
    <row r="6" spans="1:12" x14ac:dyDescent="0.2">
      <c r="A6" s="3" t="s">
        <v>108</v>
      </c>
      <c r="B6" s="3" t="s">
        <v>6</v>
      </c>
      <c r="C6" s="3" t="s">
        <v>109</v>
      </c>
      <c r="D6" s="3" t="s">
        <v>110</v>
      </c>
      <c r="E6" s="3" t="s">
        <v>111</v>
      </c>
      <c r="F6" s="5">
        <v>45933</v>
      </c>
      <c r="G6" s="3" t="s">
        <v>101</v>
      </c>
      <c r="H6" s="3" t="s">
        <v>112</v>
      </c>
      <c r="I6" s="3" t="e">
        <f>IF(A6="","",COUNTIF([1]Attendance!D:D,A6))</f>
        <v>#VALUE!</v>
      </c>
      <c r="J6" s="6">
        <f>IFERROR(COUNTIFS([1]Attendance!D:D,A6,[1]Attendance!F:F,"نعم")/I6,0)</f>
        <v>0</v>
      </c>
      <c r="K6" s="6" t="str">
        <f>IFERROR(AVERAGEIF([2]Evaluation!D:D,A6,[2]Evaluation!H:H),"")</f>
        <v/>
      </c>
      <c r="L6" s="3" t="str">
        <f>IF(A6="","",IF(J6&lt;Setup!B8,"حضور غير مكتمل",IF(K6&lt;Setup!B7,"يحتاج إعادة تدريب","مكتمل")))</f>
        <v>حضور غير مكتمل</v>
      </c>
    </row>
    <row r="7" spans="1:12" x14ac:dyDescent="0.2">
      <c r="A7" s="3"/>
      <c r="B7" s="3"/>
      <c r="C7" s="3"/>
      <c r="D7" s="3"/>
      <c r="E7" s="3"/>
      <c r="F7" s="3"/>
      <c r="G7" s="3"/>
      <c r="H7" s="3"/>
      <c r="I7" s="3" t="str">
        <f>IF(A7="","",COUNTIF([1]Attendance!D:D,A7))</f>
        <v/>
      </c>
      <c r="J7" s="6">
        <f>IFERROR(COUNTIFS([1]Attendance!D:D,A7,[1]Attendance!F:F,"نعم")/I7,0)</f>
        <v>0</v>
      </c>
      <c r="K7" s="6" t="str">
        <f>IFERROR(AVERAGEIF([2]Evaluation!D:D,A7,[2]Evaluation!H:H),"")</f>
        <v/>
      </c>
      <c r="L7" s="3" t="str">
        <f>IF(A7="","",IF(J7&lt;Setup!B8,"حضور غير مكتمل",IF(K7&lt;Setup!B7,"يحتاج إعادة تدريب","مكتمل")))</f>
        <v/>
      </c>
    </row>
    <row r="8" spans="1:12" x14ac:dyDescent="0.2">
      <c r="A8" s="3"/>
      <c r="B8" s="3"/>
      <c r="C8" s="3"/>
      <c r="D8" s="3"/>
      <c r="E8" s="3"/>
      <c r="F8" s="3"/>
      <c r="G8" s="3"/>
      <c r="H8" s="3"/>
      <c r="I8" s="3" t="str">
        <f>IF(A8="","",COUNTIF([1]Attendance!D:D,A8))</f>
        <v/>
      </c>
      <c r="J8" s="6">
        <f>IFERROR(COUNTIFS([1]Attendance!D:D,A8,[1]Attendance!F:F,"نعم")/I8,0)</f>
        <v>0</v>
      </c>
      <c r="K8" s="6" t="str">
        <f>IFERROR(AVERAGEIF([2]Evaluation!D:D,A8,[2]Evaluation!H:H),"")</f>
        <v/>
      </c>
      <c r="L8" s="3" t="str">
        <f>IF(A8="","",IF(J8&lt;Setup!B8,"حضور غير مكتمل",IF(K8&lt;Setup!B7,"يحتاج إعادة تدريب","مكتمل")))</f>
        <v/>
      </c>
    </row>
    <row r="9" spans="1:12" x14ac:dyDescent="0.2">
      <c r="A9" s="3"/>
      <c r="B9" s="3"/>
      <c r="C9" s="3"/>
      <c r="D9" s="3"/>
      <c r="E9" s="3"/>
      <c r="F9" s="3"/>
      <c r="G9" s="3"/>
      <c r="H9" s="3"/>
      <c r="I9" s="3" t="str">
        <f>IF(A9="","",COUNTIF([1]Attendance!D:D,A9))</f>
        <v/>
      </c>
      <c r="J9" s="6">
        <f>IFERROR(COUNTIFS([1]Attendance!D:D,A9,[1]Attendance!F:F,"نعم")/I9,0)</f>
        <v>0</v>
      </c>
      <c r="K9" s="6" t="str">
        <f>IFERROR(AVERAGEIF([2]Evaluation!D:D,A9,[2]Evaluation!H:H),"")</f>
        <v/>
      </c>
      <c r="L9" s="3" t="str">
        <f>IF(A9="","",IF(J9&lt;Setup!B8,"حضور غير مكتمل",IF(K9&lt;Setup!B7,"يحتاج إعادة تدريب","مكتمل")))</f>
        <v/>
      </c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 t="str">
        <f>IF(A10="","",COUNTIF([1]Attendance!D:D,A10))</f>
        <v/>
      </c>
      <c r="J10" s="6">
        <f>IFERROR(COUNTIFS([1]Attendance!D:D,A10,[1]Attendance!F:F,"نعم")/I10,0)</f>
        <v>0</v>
      </c>
      <c r="K10" s="6" t="str">
        <f>IFERROR(AVERAGEIF([2]Evaluation!D:D,A10,[2]Evaluation!H:H),"")</f>
        <v/>
      </c>
      <c r="L10" s="3" t="str">
        <f>IF(A10="","",IF(J10&lt;Setup!B8,"حضور غير مكتمل",IF(K10&lt;Setup!B7,"يحتاج إعادة تدريب","مكتمل")))</f>
        <v/>
      </c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 t="str">
        <f>IF(A11="","",COUNTIF([1]Attendance!D:D,A11))</f>
        <v/>
      </c>
      <c r="J11" s="6">
        <f>IFERROR(COUNTIFS([1]Attendance!D:D,A11,[1]Attendance!F:F,"نعم")/I11,0)</f>
        <v>0</v>
      </c>
      <c r="K11" s="6" t="str">
        <f>IFERROR(AVERAGEIF([2]Evaluation!D:D,A11,[2]Evaluation!H:H),"")</f>
        <v/>
      </c>
      <c r="L11" s="3" t="str">
        <f>IF(A11="","",IF(J11&lt;Setup!B8,"حضور غير مكتمل",IF(K11&lt;Setup!B7,"يحتاج إعادة تدريب","مكتمل")))</f>
        <v/>
      </c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 t="str">
        <f>IF(A12="","",COUNTIF([1]Attendance!D:D,A12))</f>
        <v/>
      </c>
      <c r="J12" s="6">
        <f>IFERROR(COUNTIFS([1]Attendance!D:D,A12,[1]Attendance!F:F,"نعم")/I12,0)</f>
        <v>0</v>
      </c>
      <c r="K12" s="6" t="str">
        <f>IFERROR(AVERAGEIF([2]Evaluation!D:D,A12,[2]Evaluation!H:H),"")</f>
        <v/>
      </c>
      <c r="L12" s="3" t="str">
        <f>IF(A12="","",IF(J12&lt;Setup!B8,"حضور غير مكتمل",IF(K12&lt;Setup!B7,"يحتاج إعادة تدريب","مكتمل")))</f>
        <v/>
      </c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 t="str">
        <f>IF(A13="","",COUNTIF([1]Attendance!D:D,A13))</f>
        <v/>
      </c>
      <c r="J13" s="6">
        <f>IFERROR(COUNTIFS([1]Attendance!D:D,A13,[1]Attendance!F:F,"نعم")/I13,0)</f>
        <v>0</v>
      </c>
      <c r="K13" s="6" t="str">
        <f>IFERROR(AVERAGEIF([2]Evaluation!D:D,A13,[2]Evaluation!H:H),"")</f>
        <v/>
      </c>
      <c r="L13" s="3" t="str">
        <f>IF(A13="","",IF(J13&lt;Setup!B8,"حضور غير مكتمل",IF(K13&lt;Setup!B7,"يحتاج إعادة تدريب","مكتمل")))</f>
        <v/>
      </c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 t="str">
        <f>IF(A14="","",COUNTIF([1]Attendance!D:D,A14))</f>
        <v/>
      </c>
      <c r="J14" s="6">
        <f>IFERROR(COUNTIFS([1]Attendance!D:D,A14,[1]Attendance!F:F,"نعم")/I14,0)</f>
        <v>0</v>
      </c>
      <c r="K14" s="6" t="str">
        <f>IFERROR(AVERAGEIF([2]Evaluation!D:D,A14,[2]Evaluation!H:H),"")</f>
        <v/>
      </c>
      <c r="L14" s="3" t="str">
        <f>IF(A14="","",IF(J14&lt;Setup!B8,"حضور غير مكتمل",IF(K14&lt;Setup!B7,"يحتاج إعادة تدريب","مكتمل")))</f>
        <v/>
      </c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 t="str">
        <f>IF(A15="","",COUNTIF([1]Attendance!D:D,A15))</f>
        <v/>
      </c>
      <c r="J15" s="6">
        <f>IFERROR(COUNTIFS([1]Attendance!D:D,A15,[1]Attendance!F:F,"نعم")/I15,0)</f>
        <v>0</v>
      </c>
      <c r="K15" s="6" t="str">
        <f>IFERROR(AVERAGEIF([2]Evaluation!D:D,A15,[2]Evaluation!H:H),"")</f>
        <v/>
      </c>
      <c r="L15" s="3" t="str">
        <f>IF(A15="","",IF(J15&lt;Setup!B8,"حضور غير مكتمل",IF(K15&lt;Setup!B7,"يحتاج إعادة تدريب","مكتمل")))</f>
        <v/>
      </c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 t="str">
        <f>IF(A16="","",COUNTIF([1]Attendance!D:D,A16))</f>
        <v/>
      </c>
      <c r="J16" s="6">
        <f>IFERROR(COUNTIFS([1]Attendance!D:D,A16,[1]Attendance!F:F,"نعم")/I16,0)</f>
        <v>0</v>
      </c>
      <c r="K16" s="6" t="str">
        <f>IFERROR(AVERAGEIF([2]Evaluation!D:D,A16,[2]Evaluation!H:H),"")</f>
        <v/>
      </c>
      <c r="L16" s="3" t="str">
        <f>IF(A16="","",IF(J16&lt;Setup!B8,"حضور غير مكتمل",IF(K16&lt;Setup!B7,"يحتاج إعادة تدريب","مكتمل")))</f>
        <v/>
      </c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 t="str">
        <f>IF(A17="","",COUNTIF([1]Attendance!D:D,A17))</f>
        <v/>
      </c>
      <c r="J17" s="6">
        <f>IFERROR(COUNTIFS([1]Attendance!D:D,A17,[1]Attendance!F:F,"نعم")/I17,0)</f>
        <v>0</v>
      </c>
      <c r="K17" s="6" t="str">
        <f>IFERROR(AVERAGEIF([2]Evaluation!D:D,A17,[2]Evaluation!H:H),"")</f>
        <v/>
      </c>
      <c r="L17" s="3" t="str">
        <f>IF(A17="","",IF(J17&lt;Setup!B8,"حضور غير مكتمل",IF(K17&lt;Setup!B7,"يحتاج إعادة تدريب","مكتمل")))</f>
        <v/>
      </c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 t="str">
        <f>IF(A18="","",COUNTIF([1]Attendance!D:D,A18))</f>
        <v/>
      </c>
      <c r="J18" s="6">
        <f>IFERROR(COUNTIFS([1]Attendance!D:D,A18,[1]Attendance!F:F,"نعم")/I18,0)</f>
        <v>0</v>
      </c>
      <c r="K18" s="6" t="str">
        <f>IFERROR(AVERAGEIF([2]Evaluation!D:D,A18,[2]Evaluation!H:H),"")</f>
        <v/>
      </c>
      <c r="L18" s="3" t="str">
        <f>IF(A18="","",IF(J18&lt;Setup!B8,"حضور غير مكتمل",IF(K18&lt;Setup!B7,"يحتاج إعادة تدريب","مكتمل")))</f>
        <v/>
      </c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 t="str">
        <f>IF(A19="","",COUNTIF([1]Attendance!D:D,A19))</f>
        <v/>
      </c>
      <c r="J19" s="6">
        <f>IFERROR(COUNTIFS([1]Attendance!D:D,A19,[1]Attendance!F:F,"نعم")/I19,0)</f>
        <v>0</v>
      </c>
      <c r="K19" s="6" t="str">
        <f>IFERROR(AVERAGEIF([2]Evaluation!D:D,A19,[2]Evaluation!H:H),"")</f>
        <v/>
      </c>
      <c r="L19" s="3" t="str">
        <f>IF(A19="","",IF(J19&lt;Setup!B8,"حضور غير مكتمل",IF(K19&lt;Setup!B7,"يحتاج إعادة تدريب","مكتمل")))</f>
        <v/>
      </c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 t="str">
        <f>IF(A20="","",COUNTIF([1]Attendance!D:D,A20))</f>
        <v/>
      </c>
      <c r="J20" s="6">
        <f>IFERROR(COUNTIFS([1]Attendance!D:D,A20,[1]Attendance!F:F,"نعم")/I20,0)</f>
        <v>0</v>
      </c>
      <c r="K20" s="6" t="str">
        <f>IFERROR(AVERAGEIF([2]Evaluation!D:D,A20,[2]Evaluation!H:H),"")</f>
        <v/>
      </c>
      <c r="L20" s="3" t="str">
        <f>IF(A20="","",IF(J20&lt;Setup!B8,"حضور غير مكتمل",IF(K20&lt;Setup!B7,"يحتاج إعادة تدريب","مكتمل")))</f>
        <v/>
      </c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 t="str">
        <f>IF(A21="","",COUNTIF([1]Attendance!D:D,A21))</f>
        <v/>
      </c>
      <c r="J21" s="6">
        <f>IFERROR(COUNTIFS([1]Attendance!D:D,A21,[1]Attendance!F:F,"نعم")/I21,0)</f>
        <v>0</v>
      </c>
      <c r="K21" s="6" t="str">
        <f>IFERROR(AVERAGEIF([2]Evaluation!D:D,A21,[2]Evaluation!H:H),"")</f>
        <v/>
      </c>
      <c r="L21" s="3" t="str">
        <f>IF(A21="","",IF(J21&lt;Setup!B8,"حضور غير مكتمل",IF(K21&lt;Setup!B7,"يحتاج إعادة تدريب","مكتمل")))</f>
        <v/>
      </c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 t="str">
        <f>IF(A22="","",COUNTIF([1]Attendance!D:D,A22))</f>
        <v/>
      </c>
      <c r="J22" s="6">
        <f>IFERROR(COUNTIFS([1]Attendance!D:D,A22,[1]Attendance!F:F,"نعم")/I22,0)</f>
        <v>0</v>
      </c>
      <c r="K22" s="6" t="str">
        <f>IFERROR(AVERAGEIF([2]Evaluation!D:D,A22,[2]Evaluation!H:H),"")</f>
        <v/>
      </c>
      <c r="L22" s="3" t="str">
        <f>IF(A22="","",IF(J22&lt;Setup!B8,"حضور غير مكتمل",IF(K22&lt;Setup!B7,"يحتاج إعادة تدريب","مكتمل")))</f>
        <v/>
      </c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 t="str">
        <f>IF(A23="","",COUNTIF([1]Attendance!D:D,A23))</f>
        <v/>
      </c>
      <c r="J23" s="6">
        <f>IFERROR(COUNTIFS([1]Attendance!D:D,A23,[1]Attendance!F:F,"نعم")/I23,0)</f>
        <v>0</v>
      </c>
      <c r="K23" s="6" t="str">
        <f>IFERROR(AVERAGEIF([2]Evaluation!D:D,A23,[2]Evaluation!H:H),"")</f>
        <v/>
      </c>
      <c r="L23" s="3" t="str">
        <f>IF(A23="","",IF(J23&lt;Setup!B8,"حضور غير مكتمل",IF(K23&lt;Setup!B7,"يحتاج إعادة تدريب","مكتمل")))</f>
        <v/>
      </c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 t="str">
        <f>IF(A24="","",COUNTIF([1]Attendance!D:D,A24))</f>
        <v/>
      </c>
      <c r="J24" s="6">
        <f>IFERROR(COUNTIFS([1]Attendance!D:D,A24,[1]Attendance!F:F,"نعم")/I24,0)</f>
        <v>0</v>
      </c>
      <c r="K24" s="6" t="str">
        <f>IFERROR(AVERAGEIF([2]Evaluation!D:D,A24,[2]Evaluation!H:H),"")</f>
        <v/>
      </c>
      <c r="L24" s="3" t="str">
        <f>IF(A24="","",IF(J24&lt;Setup!B8,"حضور غير مكتمل",IF(K24&lt;Setup!B7,"يحتاج إعادة تدريب","مكتمل")))</f>
        <v/>
      </c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 t="str">
        <f>IF(A25="","",COUNTIF([1]Attendance!D:D,A25))</f>
        <v/>
      </c>
      <c r="J25" s="6">
        <f>IFERROR(COUNTIFS([1]Attendance!D:D,A25,[1]Attendance!F:F,"نعم")/I25,0)</f>
        <v>0</v>
      </c>
      <c r="K25" s="6" t="str">
        <f>IFERROR(AVERAGEIF([2]Evaluation!D:D,A25,[2]Evaluation!H:H),"")</f>
        <v/>
      </c>
      <c r="L25" s="3" t="str">
        <f>IF(A25="","",IF(J25&lt;Setup!B8,"حضور غير مكتمل",IF(K25&lt;Setup!B7,"يحتاج إعادة تدريب","مكتمل")))</f>
        <v/>
      </c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 t="str">
        <f>IF(A26="","",COUNTIF([1]Attendance!D:D,A26))</f>
        <v/>
      </c>
      <c r="J26" s="6">
        <f>IFERROR(COUNTIFS([1]Attendance!D:D,A26,[1]Attendance!F:F,"نعم")/I26,0)</f>
        <v>0</v>
      </c>
      <c r="K26" s="6" t="str">
        <f>IFERROR(AVERAGEIF([2]Evaluation!D:D,A26,[2]Evaluation!H:H),"")</f>
        <v/>
      </c>
      <c r="L26" s="3" t="str">
        <f>IF(A26="","",IF(J26&lt;Setup!B8,"حضور غير مكتمل",IF(K26&lt;Setup!B7,"يحتاج إعادة تدريب","مكتمل")))</f>
        <v/>
      </c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 t="str">
        <f>IF(A27="","",COUNTIF([1]Attendance!D:D,A27))</f>
        <v/>
      </c>
      <c r="J27" s="6">
        <f>IFERROR(COUNTIFS([1]Attendance!D:D,A27,[1]Attendance!F:F,"نعم")/I27,0)</f>
        <v>0</v>
      </c>
      <c r="K27" s="6" t="str">
        <f>IFERROR(AVERAGEIF([2]Evaluation!D:D,A27,[2]Evaluation!H:H),"")</f>
        <v/>
      </c>
      <c r="L27" s="3" t="str">
        <f>IF(A27="","",IF(J27&lt;Setup!B8,"حضور غير مكتمل",IF(K27&lt;Setup!B7,"يحتاج إعادة تدريب","مكتمل")))</f>
        <v/>
      </c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 t="str">
        <f>IF(A28="","",COUNTIF([1]Attendance!D:D,A28))</f>
        <v/>
      </c>
      <c r="J28" s="6">
        <f>IFERROR(COUNTIFS([1]Attendance!D:D,A28,[1]Attendance!F:F,"نعم")/I28,0)</f>
        <v>0</v>
      </c>
      <c r="K28" s="6" t="str">
        <f>IFERROR(AVERAGEIF([2]Evaluation!D:D,A28,[2]Evaluation!H:H),"")</f>
        <v/>
      </c>
      <c r="L28" s="3" t="str">
        <f>IF(A28="","",IF(J28&lt;Setup!B8,"حضور غير مكتمل",IF(K28&lt;Setup!B7,"يحتاج إعادة تدريب","مكتمل")))</f>
        <v/>
      </c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 t="str">
        <f>IF(A29="","",COUNTIF([1]Attendance!D:D,A29))</f>
        <v/>
      </c>
      <c r="J29" s="6">
        <f>IFERROR(COUNTIFS([1]Attendance!D:D,A29,[1]Attendance!F:F,"نعم")/I29,0)</f>
        <v>0</v>
      </c>
      <c r="K29" s="6" t="str">
        <f>IFERROR(AVERAGEIF([2]Evaluation!D:D,A29,[2]Evaluation!H:H),"")</f>
        <v/>
      </c>
      <c r="L29" s="3" t="str">
        <f>IF(A29="","",IF(J29&lt;Setup!B8,"حضور غير مكتمل",IF(K29&lt;Setup!B7,"يحتاج إعادة تدريب","مكتمل")))</f>
        <v/>
      </c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 t="str">
        <f>IF(A30="","",COUNTIF([1]Attendance!D:D,A30))</f>
        <v/>
      </c>
      <c r="J30" s="6">
        <f>IFERROR(COUNTIFS([1]Attendance!D:D,A30,[1]Attendance!F:F,"نعم")/I30,0)</f>
        <v>0</v>
      </c>
      <c r="K30" s="6" t="str">
        <f>IFERROR(AVERAGEIF([2]Evaluation!D:D,A30,[2]Evaluation!H:H),"")</f>
        <v/>
      </c>
      <c r="L30" s="3" t="str">
        <f>IF(A30="","",IF(J30&lt;Setup!B8,"حضور غير مكتمل",IF(K30&lt;Setup!B7,"يحتاج إعادة تدريب","مكتمل")))</f>
        <v/>
      </c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 t="str">
        <f>IF(A31="","",COUNTIF([1]Attendance!D:D,A31))</f>
        <v/>
      </c>
      <c r="J31" s="6">
        <f>IFERROR(COUNTIFS([1]Attendance!D:D,A31,[1]Attendance!F:F,"نعم")/I31,0)</f>
        <v>0</v>
      </c>
      <c r="K31" s="6" t="str">
        <f>IFERROR(AVERAGEIF([2]Evaluation!D:D,A31,[2]Evaluation!H:H),"")</f>
        <v/>
      </c>
      <c r="L31" s="3" t="str">
        <f>IF(A31="","",IF(J31&lt;Setup!B8,"حضور غير مكتمل",IF(K31&lt;Setup!B7,"يحتاج إعادة تدريب","مكتمل")))</f>
        <v/>
      </c>
    </row>
    <row r="32" spans="1:12" x14ac:dyDescent="0.2">
      <c r="A32" s="3"/>
      <c r="B32" s="3"/>
      <c r="C32" s="3"/>
      <c r="D32" s="3"/>
      <c r="E32" s="3"/>
      <c r="F32" s="3"/>
      <c r="G32" s="3"/>
      <c r="H32" s="3"/>
      <c r="I32" s="3" t="str">
        <f>IF(A32="","",COUNTIF([1]Attendance!D:D,A32))</f>
        <v/>
      </c>
      <c r="J32" s="6">
        <f>IFERROR(COUNTIFS([1]Attendance!D:D,A32,[1]Attendance!F:F,"نعم")/I32,0)</f>
        <v>0</v>
      </c>
      <c r="K32" s="6" t="str">
        <f>IFERROR(AVERAGEIF([2]Evaluation!D:D,A32,[2]Evaluation!H:H),"")</f>
        <v/>
      </c>
      <c r="L32" s="3" t="str">
        <f>IF(A32="","",IF(J32&lt;Setup!B8,"حضور غير مكتمل",IF(K32&lt;Setup!B7,"يحتاج إعادة تدريب","مكتمل")))</f>
        <v/>
      </c>
    </row>
    <row r="33" spans="1:12" x14ac:dyDescent="0.2">
      <c r="A33" s="3"/>
      <c r="B33" s="3"/>
      <c r="C33" s="3"/>
      <c r="D33" s="3"/>
      <c r="E33" s="3"/>
      <c r="F33" s="3"/>
      <c r="G33" s="3"/>
      <c r="H33" s="3"/>
      <c r="I33" s="3" t="str">
        <f>IF(A33="","",COUNTIF([1]Attendance!D:D,A33))</f>
        <v/>
      </c>
      <c r="J33" s="6">
        <f>IFERROR(COUNTIFS([1]Attendance!D:D,A33,[1]Attendance!F:F,"نعم")/I33,0)</f>
        <v>0</v>
      </c>
      <c r="K33" s="6" t="str">
        <f>IFERROR(AVERAGEIF([2]Evaluation!D:D,A33,[2]Evaluation!H:H),"")</f>
        <v/>
      </c>
      <c r="L33" s="3" t="str">
        <f>IF(A33="","",IF(J33&lt;Setup!B8,"حضور غير مكتمل",IF(K33&lt;Setup!B7,"يحتاج إعادة تدريب","مكتمل")))</f>
        <v/>
      </c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 t="str">
        <f>IF(A34="","",COUNTIF([1]Attendance!D:D,A34))</f>
        <v/>
      </c>
      <c r="J34" s="6">
        <f>IFERROR(COUNTIFS([1]Attendance!D:D,A34,[1]Attendance!F:F,"نعم")/I34,0)</f>
        <v>0</v>
      </c>
      <c r="K34" s="6" t="str">
        <f>IFERROR(AVERAGEIF([2]Evaluation!D:D,A34,[2]Evaluation!H:H),"")</f>
        <v/>
      </c>
      <c r="L34" s="3" t="str">
        <f>IF(A34="","",IF(J34&lt;Setup!B8,"حضور غير مكتمل",IF(K34&lt;Setup!B7,"يحتاج إعادة تدريب","مكتمل")))</f>
        <v/>
      </c>
    </row>
    <row r="35" spans="1:12" x14ac:dyDescent="0.2">
      <c r="A35" s="3"/>
      <c r="B35" s="3"/>
      <c r="C35" s="3"/>
      <c r="D35" s="3"/>
      <c r="E35" s="3"/>
      <c r="F35" s="3"/>
      <c r="G35" s="3"/>
      <c r="H35" s="3"/>
      <c r="I35" s="3" t="str">
        <f>IF(A35="","",COUNTIF([1]Attendance!D:D,A35))</f>
        <v/>
      </c>
      <c r="J35" s="6">
        <f>IFERROR(COUNTIFS([1]Attendance!D:D,A35,[1]Attendance!F:F,"نعم")/I35,0)</f>
        <v>0</v>
      </c>
      <c r="K35" s="6" t="str">
        <f>IFERROR(AVERAGEIF([2]Evaluation!D:D,A35,[2]Evaluation!H:H),"")</f>
        <v/>
      </c>
      <c r="L35" s="3" t="str">
        <f>IF(A35="","",IF(J35&lt;Setup!B8,"حضور غير مكتمل",IF(K35&lt;Setup!B7,"يحتاج إعادة تدريب","مكتمل")))</f>
        <v/>
      </c>
    </row>
    <row r="36" spans="1:12" x14ac:dyDescent="0.2">
      <c r="A36" s="3"/>
      <c r="B36" s="3"/>
      <c r="C36" s="3"/>
      <c r="D36" s="3"/>
      <c r="E36" s="3"/>
      <c r="F36" s="3"/>
      <c r="G36" s="3"/>
      <c r="H36" s="3"/>
      <c r="I36" s="3" t="str">
        <f>IF(A36="","",COUNTIF([1]Attendance!D:D,A36))</f>
        <v/>
      </c>
      <c r="J36" s="6">
        <f>IFERROR(COUNTIFS([1]Attendance!D:D,A36,[1]Attendance!F:F,"نعم")/I36,0)</f>
        <v>0</v>
      </c>
      <c r="K36" s="6" t="str">
        <f>IFERROR(AVERAGEIF([2]Evaluation!D:D,A36,[2]Evaluation!H:H),"")</f>
        <v/>
      </c>
      <c r="L36" s="3" t="str">
        <f>IF(A36="","",IF(J36&lt;Setup!B8,"حضور غير مكتمل",IF(K36&lt;Setup!B7,"يحتاج إعادة تدريب","مكتمل")))</f>
        <v/>
      </c>
    </row>
    <row r="37" spans="1:12" x14ac:dyDescent="0.2">
      <c r="A37" s="3"/>
      <c r="B37" s="3"/>
      <c r="C37" s="3"/>
      <c r="D37" s="3"/>
      <c r="E37" s="3"/>
      <c r="F37" s="3"/>
      <c r="G37" s="3"/>
      <c r="H37" s="3"/>
      <c r="I37" s="3" t="str">
        <f>IF(A37="","",COUNTIF([1]Attendance!D:D,A37))</f>
        <v/>
      </c>
      <c r="J37" s="6">
        <f>IFERROR(COUNTIFS([1]Attendance!D:D,A37,[1]Attendance!F:F,"نعم")/I37,0)</f>
        <v>0</v>
      </c>
      <c r="K37" s="6" t="str">
        <f>IFERROR(AVERAGEIF([2]Evaluation!D:D,A37,[2]Evaluation!H:H),"")</f>
        <v/>
      </c>
      <c r="L37" s="3" t="str">
        <f>IF(A37="","",IF(J37&lt;Setup!B8,"حضور غير مكتمل",IF(K37&lt;Setup!B7,"يحتاج إعادة تدريب","مكتمل")))</f>
        <v/>
      </c>
    </row>
    <row r="38" spans="1:12" x14ac:dyDescent="0.2">
      <c r="A38" s="3"/>
      <c r="B38" s="3"/>
      <c r="C38" s="3"/>
      <c r="D38" s="3"/>
      <c r="E38" s="3"/>
      <c r="F38" s="3"/>
      <c r="G38" s="3"/>
      <c r="H38" s="3"/>
      <c r="I38" s="3" t="str">
        <f>IF(A38="","",COUNTIF([1]Attendance!D:D,A38))</f>
        <v/>
      </c>
      <c r="J38" s="6">
        <f>IFERROR(COUNTIFS([1]Attendance!D:D,A38,[1]Attendance!F:F,"نعم")/I38,0)</f>
        <v>0</v>
      </c>
      <c r="K38" s="6" t="str">
        <f>IFERROR(AVERAGEIF([2]Evaluation!D:D,A38,[2]Evaluation!H:H),"")</f>
        <v/>
      </c>
      <c r="L38" s="3" t="str">
        <f>IF(A38="","",IF(J38&lt;Setup!B8,"حضور غير مكتمل",IF(K38&lt;Setup!B7,"يحتاج إعادة تدريب","مكتمل")))</f>
        <v/>
      </c>
    </row>
    <row r="39" spans="1:12" x14ac:dyDescent="0.2">
      <c r="A39" s="3"/>
      <c r="B39" s="3"/>
      <c r="C39" s="3"/>
      <c r="D39" s="3"/>
      <c r="E39" s="3"/>
      <c r="F39" s="3"/>
      <c r="G39" s="3"/>
      <c r="H39" s="3"/>
      <c r="I39" s="3" t="str">
        <f>IF(A39="","",COUNTIF([1]Attendance!D:D,A39))</f>
        <v/>
      </c>
      <c r="J39" s="6">
        <f>IFERROR(COUNTIFS([1]Attendance!D:D,A39,[1]Attendance!F:F,"نعم")/I39,0)</f>
        <v>0</v>
      </c>
      <c r="K39" s="6" t="str">
        <f>IFERROR(AVERAGEIF([2]Evaluation!D:D,A39,[2]Evaluation!H:H),"")</f>
        <v/>
      </c>
      <c r="L39" s="3" t="str">
        <f>IF(A39="","",IF(J39&lt;Setup!B8,"حضور غير مكتمل",IF(K39&lt;Setup!B7,"يحتاج إعادة تدريب","مكتمل")))</f>
        <v/>
      </c>
    </row>
    <row r="40" spans="1:12" x14ac:dyDescent="0.2">
      <c r="A40" s="3"/>
      <c r="B40" s="3"/>
      <c r="C40" s="3"/>
      <c r="D40" s="3"/>
      <c r="E40" s="3"/>
      <c r="F40" s="3"/>
      <c r="G40" s="3"/>
      <c r="H40" s="3"/>
      <c r="I40" s="3" t="str">
        <f>IF(A40="","",COUNTIF([1]Attendance!D:D,A40))</f>
        <v/>
      </c>
      <c r="J40" s="6">
        <f>IFERROR(COUNTIFS([1]Attendance!D:D,A40,[1]Attendance!F:F,"نعم")/I40,0)</f>
        <v>0</v>
      </c>
      <c r="K40" s="6" t="str">
        <f>IFERROR(AVERAGEIF([2]Evaluation!D:D,A40,[2]Evaluation!H:H),"")</f>
        <v/>
      </c>
      <c r="L40" s="3" t="str">
        <f>IF(A40="","",IF(J40&lt;Setup!B8,"حضور غير مكتمل",IF(K40&lt;Setup!B7,"يحتاج إعادة تدريب","مكتمل")))</f>
        <v/>
      </c>
    </row>
    <row r="41" spans="1:12" x14ac:dyDescent="0.2">
      <c r="A41" s="3"/>
      <c r="B41" s="3"/>
      <c r="C41" s="3"/>
      <c r="D41" s="3"/>
      <c r="E41" s="3"/>
      <c r="F41" s="3"/>
      <c r="G41" s="3"/>
      <c r="H41" s="3"/>
      <c r="I41" s="3" t="str">
        <f>IF(A41="","",COUNTIF([1]Attendance!D:D,A41))</f>
        <v/>
      </c>
      <c r="J41" s="6">
        <f>IFERROR(COUNTIFS([1]Attendance!D:D,A41,[1]Attendance!F:F,"نعم")/I41,0)</f>
        <v>0</v>
      </c>
      <c r="K41" s="6" t="str">
        <f>IFERROR(AVERAGEIF([2]Evaluation!D:D,A41,[2]Evaluation!H:H),"")</f>
        <v/>
      </c>
      <c r="L41" s="3" t="str">
        <f>IF(A41="","",IF(J41&lt;Setup!B8,"حضور غير مكتمل",IF(K41&lt;Setup!B7,"يحتاج إعادة تدريب","مكتمل")))</f>
        <v/>
      </c>
    </row>
    <row r="42" spans="1:12" x14ac:dyDescent="0.2">
      <c r="A42" s="3"/>
      <c r="B42" s="3"/>
      <c r="C42" s="3"/>
      <c r="D42" s="3"/>
      <c r="E42" s="3"/>
      <c r="F42" s="3"/>
      <c r="G42" s="3"/>
      <c r="H42" s="3"/>
      <c r="I42" s="3" t="str">
        <f>IF(A42="","",COUNTIF([1]Attendance!D:D,A42))</f>
        <v/>
      </c>
      <c r="J42" s="6">
        <f>IFERROR(COUNTIFS([1]Attendance!D:D,A42,[1]Attendance!F:F,"نعم")/I42,0)</f>
        <v>0</v>
      </c>
      <c r="K42" s="6" t="str">
        <f>IFERROR(AVERAGEIF([2]Evaluation!D:D,A42,[2]Evaluation!H:H),"")</f>
        <v/>
      </c>
      <c r="L42" s="3" t="str">
        <f>IF(A42="","",IF(J42&lt;Setup!B8,"حضور غير مكتمل",IF(K42&lt;Setup!B7,"يحتاج إعادة تدريب","مكتمل")))</f>
        <v/>
      </c>
    </row>
    <row r="43" spans="1:12" x14ac:dyDescent="0.2">
      <c r="A43" s="3"/>
      <c r="B43" s="3"/>
      <c r="C43" s="3"/>
      <c r="D43" s="3"/>
      <c r="E43" s="3"/>
      <c r="F43" s="3"/>
      <c r="G43" s="3"/>
      <c r="H43" s="3"/>
      <c r="I43" s="3" t="str">
        <f>IF(A43="","",COUNTIF([1]Attendance!D:D,A43))</f>
        <v/>
      </c>
      <c r="J43" s="6">
        <f>IFERROR(COUNTIFS([1]Attendance!D:D,A43,[1]Attendance!F:F,"نعم")/I43,0)</f>
        <v>0</v>
      </c>
      <c r="K43" s="6" t="str">
        <f>IFERROR(AVERAGEIF([2]Evaluation!D:D,A43,[2]Evaluation!H:H),"")</f>
        <v/>
      </c>
      <c r="L43" s="3" t="str">
        <f>IF(A43="","",IF(J43&lt;Setup!B8,"حضور غير مكتمل",IF(K43&lt;Setup!B7,"يحتاج إعادة تدريب","مكتمل")))</f>
        <v/>
      </c>
    </row>
    <row r="44" spans="1:12" x14ac:dyDescent="0.2">
      <c r="A44" s="3"/>
      <c r="B44" s="3"/>
      <c r="C44" s="3"/>
      <c r="D44" s="3"/>
      <c r="E44" s="3"/>
      <c r="F44" s="3"/>
      <c r="G44" s="3"/>
      <c r="H44" s="3"/>
      <c r="I44" s="3" t="str">
        <f>IF(A44="","",COUNTIF([1]Attendance!D:D,A44))</f>
        <v/>
      </c>
      <c r="J44" s="6">
        <f>IFERROR(COUNTIFS([1]Attendance!D:D,A44,[1]Attendance!F:F,"نعم")/I44,0)</f>
        <v>0</v>
      </c>
      <c r="K44" s="6" t="str">
        <f>IFERROR(AVERAGEIF([2]Evaluation!D:D,A44,[2]Evaluation!H:H),"")</f>
        <v/>
      </c>
      <c r="L44" s="3" t="str">
        <f>IF(A44="","",IF(J44&lt;Setup!B8,"حضور غير مكتمل",IF(K44&lt;Setup!B7,"يحتاج إعادة تدريب","مكتمل")))</f>
        <v/>
      </c>
    </row>
    <row r="45" spans="1:12" x14ac:dyDescent="0.2">
      <c r="A45" s="3"/>
      <c r="B45" s="3"/>
      <c r="C45" s="3"/>
      <c r="D45" s="3"/>
      <c r="E45" s="3"/>
      <c r="F45" s="3"/>
      <c r="G45" s="3"/>
      <c r="H45" s="3"/>
      <c r="I45" s="3" t="str">
        <f>IF(A45="","",COUNTIF([1]Attendance!D:D,A45))</f>
        <v/>
      </c>
      <c r="J45" s="6">
        <f>IFERROR(COUNTIFS([1]Attendance!D:D,A45,[1]Attendance!F:F,"نعم")/I45,0)</f>
        <v>0</v>
      </c>
      <c r="K45" s="6" t="str">
        <f>IFERROR(AVERAGEIF([2]Evaluation!D:D,A45,[2]Evaluation!H:H),"")</f>
        <v/>
      </c>
      <c r="L45" s="3" t="str">
        <f>IF(A45="","",IF(J45&lt;Setup!B8,"حضور غير مكتمل",IF(K45&lt;Setup!B7,"يحتاج إعادة تدريب","مكتمل")))</f>
        <v/>
      </c>
    </row>
    <row r="46" spans="1:12" x14ac:dyDescent="0.2">
      <c r="A46" s="3"/>
      <c r="B46" s="3"/>
      <c r="C46" s="3"/>
      <c r="D46" s="3"/>
      <c r="E46" s="3"/>
      <c r="F46" s="3"/>
      <c r="G46" s="3"/>
      <c r="H46" s="3"/>
      <c r="I46" s="3" t="str">
        <f>IF(A46="","",COUNTIF([1]Attendance!D:D,A46))</f>
        <v/>
      </c>
      <c r="J46" s="6">
        <f>IFERROR(COUNTIFS([1]Attendance!D:D,A46,[1]Attendance!F:F,"نعم")/I46,0)</f>
        <v>0</v>
      </c>
      <c r="K46" s="6" t="str">
        <f>IFERROR(AVERAGEIF([2]Evaluation!D:D,A46,[2]Evaluation!H:H),"")</f>
        <v/>
      </c>
      <c r="L46" s="3" t="str">
        <f>IF(A46="","",IF(J46&lt;Setup!B8,"حضور غير مكتمل",IF(K46&lt;Setup!B7,"يحتاج إعادة تدريب","مكتمل")))</f>
        <v/>
      </c>
    </row>
    <row r="47" spans="1:12" x14ac:dyDescent="0.2">
      <c r="A47" s="3"/>
      <c r="B47" s="3"/>
      <c r="C47" s="3"/>
      <c r="D47" s="3"/>
      <c r="E47" s="3"/>
      <c r="F47" s="3"/>
      <c r="G47" s="3"/>
      <c r="H47" s="3"/>
      <c r="I47" s="3" t="str">
        <f>IF(A47="","",COUNTIF([1]Attendance!D:D,A47))</f>
        <v/>
      </c>
      <c r="J47" s="6">
        <f>IFERROR(COUNTIFS([1]Attendance!D:D,A47,[1]Attendance!F:F,"نعم")/I47,0)</f>
        <v>0</v>
      </c>
      <c r="K47" s="6" t="str">
        <f>IFERROR(AVERAGEIF([2]Evaluation!D:D,A47,[2]Evaluation!H:H),"")</f>
        <v/>
      </c>
      <c r="L47" s="3" t="str">
        <f>IF(A47="","",IF(J47&lt;Setup!B8,"حضور غير مكتمل",IF(K47&lt;Setup!B7,"يحتاج إعادة تدريب","مكتمل")))</f>
        <v/>
      </c>
    </row>
    <row r="48" spans="1:12" x14ac:dyDescent="0.2">
      <c r="A48" s="3"/>
      <c r="B48" s="3"/>
      <c r="C48" s="3"/>
      <c r="D48" s="3"/>
      <c r="E48" s="3"/>
      <c r="F48" s="3"/>
      <c r="G48" s="3"/>
      <c r="H48" s="3"/>
      <c r="I48" s="3" t="str">
        <f>IF(A48="","",COUNTIF([1]Attendance!D:D,A48))</f>
        <v/>
      </c>
      <c r="J48" s="6">
        <f>IFERROR(COUNTIFS([1]Attendance!D:D,A48,[1]Attendance!F:F,"نعم")/I48,0)</f>
        <v>0</v>
      </c>
      <c r="K48" s="6" t="str">
        <f>IFERROR(AVERAGEIF([2]Evaluation!D:D,A48,[2]Evaluation!H:H),"")</f>
        <v/>
      </c>
      <c r="L48" s="3" t="str">
        <f>IF(A48="","",IF(J48&lt;Setup!B8,"حضور غير مكتمل",IF(K48&lt;Setup!B7,"يحتاج إعادة تدريب","مكتمل")))</f>
        <v/>
      </c>
    </row>
    <row r="49" spans="1:12" x14ac:dyDescent="0.2">
      <c r="A49" s="3"/>
      <c r="B49" s="3"/>
      <c r="C49" s="3"/>
      <c r="D49" s="3"/>
      <c r="E49" s="3"/>
      <c r="F49" s="3"/>
      <c r="G49" s="3"/>
      <c r="H49" s="3"/>
      <c r="I49" s="3" t="str">
        <f>IF(A49="","",COUNTIF([1]Attendance!D:D,A49))</f>
        <v/>
      </c>
      <c r="J49" s="6">
        <f>IFERROR(COUNTIFS([1]Attendance!D:D,A49,[1]Attendance!F:F,"نعم")/I49,0)</f>
        <v>0</v>
      </c>
      <c r="K49" s="6" t="str">
        <f>IFERROR(AVERAGEIF([2]Evaluation!D:D,A49,[2]Evaluation!H:H),"")</f>
        <v/>
      </c>
      <c r="L49" s="3" t="str">
        <f>IF(A49="","",IF(J49&lt;Setup!B8,"حضور غير مكتمل",IF(K49&lt;Setup!B7,"يحتاج إعادة تدريب","مكتمل")))</f>
        <v/>
      </c>
    </row>
    <row r="50" spans="1:12" x14ac:dyDescent="0.2">
      <c r="A50" s="3"/>
      <c r="B50" s="3"/>
      <c r="C50" s="3"/>
      <c r="D50" s="3"/>
      <c r="E50" s="3"/>
      <c r="F50" s="3"/>
      <c r="G50" s="3"/>
      <c r="H50" s="3"/>
      <c r="I50" s="3" t="str">
        <f>IF(A50="","",COUNTIF([1]Attendance!D:D,A50))</f>
        <v/>
      </c>
      <c r="J50" s="6">
        <f>IFERROR(COUNTIFS([1]Attendance!D:D,A50,[1]Attendance!F:F,"نعم")/I50,0)</f>
        <v>0</v>
      </c>
      <c r="K50" s="6" t="str">
        <f>IFERROR(AVERAGEIF([2]Evaluation!D:D,A50,[2]Evaluation!H:H),"")</f>
        <v/>
      </c>
      <c r="L50" s="3" t="str">
        <f>IF(A50="","",IF(J50&lt;Setup!B8,"حضور غير مكتمل",IF(K50&lt;Setup!B7,"يحتاج إعادة تدريب","مكتمل")))</f>
        <v/>
      </c>
    </row>
    <row r="51" spans="1:12" x14ac:dyDescent="0.2">
      <c r="A51" s="3"/>
      <c r="B51" s="3"/>
      <c r="C51" s="3"/>
      <c r="D51" s="3"/>
      <c r="E51" s="3"/>
      <c r="F51" s="3"/>
      <c r="G51" s="3"/>
      <c r="H51" s="3"/>
      <c r="I51" s="3" t="str">
        <f>IF(A51="","",COUNTIF([1]Attendance!D:D,A51))</f>
        <v/>
      </c>
      <c r="J51" s="6">
        <f>IFERROR(COUNTIFS([1]Attendance!D:D,A51,[1]Attendance!F:F,"نعم")/I51,0)</f>
        <v>0</v>
      </c>
      <c r="K51" s="6" t="str">
        <f>IFERROR(AVERAGEIF([2]Evaluation!D:D,A51,[2]Evaluation!H:H),"")</f>
        <v/>
      </c>
      <c r="L51" s="3" t="str">
        <f>IF(A51="","",IF(J51&lt;Setup!B8,"حضور غير مكتمل",IF(K51&lt;Setup!B7,"يحتاج إعادة تدريب","مكتمل")))</f>
        <v/>
      </c>
    </row>
    <row r="52" spans="1:12" x14ac:dyDescent="0.2">
      <c r="A52" s="3"/>
      <c r="B52" s="3"/>
      <c r="C52" s="3"/>
      <c r="D52" s="3"/>
      <c r="E52" s="3"/>
      <c r="F52" s="3"/>
      <c r="G52" s="3"/>
      <c r="H52" s="3"/>
      <c r="I52" s="3" t="str">
        <f>IF(A52="","",COUNTIF([1]Attendance!D:D,A52))</f>
        <v/>
      </c>
      <c r="J52" s="6">
        <f>IFERROR(COUNTIFS([1]Attendance!D:D,A52,[1]Attendance!F:F,"نعم")/I52,0)</f>
        <v>0</v>
      </c>
      <c r="K52" s="6" t="str">
        <f>IFERROR(AVERAGEIF([2]Evaluation!D:D,A52,[2]Evaluation!H:H),"")</f>
        <v/>
      </c>
      <c r="L52" s="3" t="str">
        <f>IF(A52="","",IF(J52&lt;Setup!B8,"حضور غير مكتمل",IF(K52&lt;Setup!B7,"يحتاج إعادة تدريب","مكتمل")))</f>
        <v/>
      </c>
    </row>
    <row r="53" spans="1:12" x14ac:dyDescent="0.2">
      <c r="A53" s="3"/>
      <c r="B53" s="3"/>
      <c r="C53" s="3"/>
      <c r="D53" s="3"/>
      <c r="E53" s="3"/>
      <c r="F53" s="3"/>
      <c r="G53" s="3"/>
      <c r="H53" s="3"/>
      <c r="I53" s="3" t="str">
        <f>IF(A53="","",COUNTIF([1]Attendance!D:D,A53))</f>
        <v/>
      </c>
      <c r="J53" s="6">
        <f>IFERROR(COUNTIFS([1]Attendance!D:D,A53,[1]Attendance!F:F,"نعم")/I53,0)</f>
        <v>0</v>
      </c>
      <c r="K53" s="6" t="str">
        <f>IFERROR(AVERAGEIF([2]Evaluation!D:D,A53,[2]Evaluation!H:H),"")</f>
        <v/>
      </c>
      <c r="L53" s="3" t="str">
        <f>IF(A53="","",IF(J53&lt;Setup!B8,"حضور غير مكتمل",IF(K53&lt;Setup!B7,"يحتاج إعادة تدريب","مكتمل")))</f>
        <v/>
      </c>
    </row>
    <row r="54" spans="1:12" x14ac:dyDescent="0.2">
      <c r="A54" s="3"/>
      <c r="B54" s="3"/>
      <c r="C54" s="3"/>
      <c r="D54" s="3"/>
      <c r="E54" s="3"/>
      <c r="F54" s="3"/>
      <c r="G54" s="3"/>
      <c r="H54" s="3"/>
      <c r="I54" s="3" t="str">
        <f>IF(A54="","",COUNTIF([1]Attendance!D:D,A54))</f>
        <v/>
      </c>
      <c r="J54" s="6">
        <f>IFERROR(COUNTIFS([1]Attendance!D:D,A54,[1]Attendance!F:F,"نعم")/I54,0)</f>
        <v>0</v>
      </c>
      <c r="K54" s="6" t="str">
        <f>IFERROR(AVERAGEIF([2]Evaluation!D:D,A54,[2]Evaluation!H:H),"")</f>
        <v/>
      </c>
      <c r="L54" s="3" t="str">
        <f>IF(A54="","",IF(J54&lt;Setup!B8,"حضور غير مكتمل",IF(K54&lt;Setup!B7,"يحتاج إعادة تدريب","مكتمل")))</f>
        <v/>
      </c>
    </row>
    <row r="55" spans="1:12" x14ac:dyDescent="0.2">
      <c r="A55" s="3"/>
      <c r="B55" s="3"/>
      <c r="C55" s="3"/>
      <c r="D55" s="3"/>
      <c r="E55" s="3"/>
      <c r="F55" s="3"/>
      <c r="G55" s="3"/>
      <c r="H55" s="3"/>
      <c r="I55" s="3" t="str">
        <f>IF(A55="","",COUNTIF([1]Attendance!D:D,A55))</f>
        <v/>
      </c>
      <c r="J55" s="6">
        <f>IFERROR(COUNTIFS([1]Attendance!D:D,A55,[1]Attendance!F:F,"نعم")/I55,0)</f>
        <v>0</v>
      </c>
      <c r="K55" s="6" t="str">
        <f>IFERROR(AVERAGEIF([2]Evaluation!D:D,A55,[2]Evaluation!H:H),"")</f>
        <v/>
      </c>
      <c r="L55" s="3" t="str">
        <f>IF(A55="","",IF(J55&lt;Setup!B8,"حضور غير مكتمل",IF(K55&lt;Setup!B7,"يحتاج إعادة تدريب","مكتمل")))</f>
        <v/>
      </c>
    </row>
    <row r="56" spans="1:12" x14ac:dyDescent="0.2">
      <c r="A56" s="3"/>
      <c r="B56" s="3"/>
      <c r="C56" s="3"/>
      <c r="D56" s="3"/>
      <c r="E56" s="3"/>
      <c r="F56" s="3"/>
      <c r="G56" s="3"/>
      <c r="H56" s="3"/>
      <c r="I56" s="3" t="str">
        <f>IF(A56="","",COUNTIF([1]Attendance!D:D,A56))</f>
        <v/>
      </c>
      <c r="J56" s="6">
        <f>IFERROR(COUNTIFS([1]Attendance!D:D,A56,[1]Attendance!F:F,"نعم")/I56,0)</f>
        <v>0</v>
      </c>
      <c r="K56" s="6" t="str">
        <f>IFERROR(AVERAGEIF([2]Evaluation!D:D,A56,[2]Evaluation!H:H),"")</f>
        <v/>
      </c>
      <c r="L56" s="3" t="str">
        <f>IF(A56="","",IF(J56&lt;Setup!B8,"حضور غير مكتمل",IF(K56&lt;Setup!B7,"يحتاج إعادة تدريب","مكتمل")))</f>
        <v/>
      </c>
    </row>
    <row r="57" spans="1:12" x14ac:dyDescent="0.2">
      <c r="A57" s="3"/>
      <c r="B57" s="3"/>
      <c r="C57" s="3"/>
      <c r="D57" s="3"/>
      <c r="E57" s="3"/>
      <c r="F57" s="3"/>
      <c r="G57" s="3"/>
      <c r="H57" s="3"/>
      <c r="I57" s="3" t="str">
        <f>IF(A57="","",COUNTIF([1]Attendance!D:D,A57))</f>
        <v/>
      </c>
      <c r="J57" s="6">
        <f>IFERROR(COUNTIFS([1]Attendance!D:D,A57,[1]Attendance!F:F,"نعم")/I57,0)</f>
        <v>0</v>
      </c>
      <c r="K57" s="6" t="str">
        <f>IFERROR(AVERAGEIF([2]Evaluation!D:D,A57,[2]Evaluation!H:H),"")</f>
        <v/>
      </c>
      <c r="L57" s="3" t="str">
        <f>IF(A57="","",IF(J57&lt;Setup!B8,"حضور غير مكتمل",IF(K57&lt;Setup!B7,"يحتاج إعادة تدريب","مكتمل")))</f>
        <v/>
      </c>
    </row>
    <row r="58" spans="1:12" x14ac:dyDescent="0.2">
      <c r="A58" s="3"/>
      <c r="B58" s="3"/>
      <c r="C58" s="3"/>
      <c r="D58" s="3"/>
      <c r="E58" s="3"/>
      <c r="F58" s="3"/>
      <c r="G58" s="3"/>
      <c r="H58" s="3"/>
      <c r="I58" s="3" t="str">
        <f>IF(A58="","",COUNTIF([1]Attendance!D:D,A58))</f>
        <v/>
      </c>
      <c r="J58" s="6">
        <f>IFERROR(COUNTIFS([1]Attendance!D:D,A58,[1]Attendance!F:F,"نعم")/I58,0)</f>
        <v>0</v>
      </c>
      <c r="K58" s="6" t="str">
        <f>IFERROR(AVERAGEIF([2]Evaluation!D:D,A58,[2]Evaluation!H:H),"")</f>
        <v/>
      </c>
      <c r="L58" s="3" t="str">
        <f>IF(A58="","",IF(J58&lt;Setup!B8,"حضور غير مكتمل",IF(K58&lt;Setup!B7,"يحتاج إعادة تدريب","مكتمل")))</f>
        <v/>
      </c>
    </row>
    <row r="59" spans="1:12" x14ac:dyDescent="0.2">
      <c r="A59" s="3"/>
      <c r="B59" s="3"/>
      <c r="C59" s="3"/>
      <c r="D59" s="3"/>
      <c r="E59" s="3"/>
      <c r="F59" s="3"/>
      <c r="G59" s="3"/>
      <c r="H59" s="3"/>
      <c r="I59" s="3" t="str">
        <f>IF(A59="","",COUNTIF([1]Attendance!D:D,A59))</f>
        <v/>
      </c>
      <c r="J59" s="6">
        <f>IFERROR(COUNTIFS([1]Attendance!D:D,A59,[1]Attendance!F:F,"نعم")/I59,0)</f>
        <v>0</v>
      </c>
      <c r="K59" s="6" t="str">
        <f>IFERROR(AVERAGEIF([2]Evaluation!D:D,A59,[2]Evaluation!H:H),"")</f>
        <v/>
      </c>
      <c r="L59" s="3" t="str">
        <f>IF(A59="","",IF(J59&lt;Setup!B8,"حضور غير مكتمل",IF(K59&lt;Setup!B7,"يحتاج إعادة تدريب","مكتمل")))</f>
        <v/>
      </c>
    </row>
    <row r="60" spans="1:12" x14ac:dyDescent="0.2">
      <c r="A60" s="3"/>
      <c r="B60" s="3"/>
      <c r="C60" s="3"/>
      <c r="D60" s="3"/>
      <c r="E60" s="3"/>
      <c r="F60" s="3"/>
      <c r="G60" s="3"/>
      <c r="H60" s="3"/>
      <c r="I60" s="3" t="str">
        <f>IF(A60="","",COUNTIF([1]Attendance!D:D,A60))</f>
        <v/>
      </c>
      <c r="J60" s="6">
        <f>IFERROR(COUNTIFS([1]Attendance!D:D,A60,[1]Attendance!F:F,"نعم")/I60,0)</f>
        <v>0</v>
      </c>
      <c r="K60" s="6" t="str">
        <f>IFERROR(AVERAGEIF([2]Evaluation!D:D,A60,[2]Evaluation!H:H),"")</f>
        <v/>
      </c>
      <c r="L60" s="3" t="str">
        <f>IF(A60="","",IF(J60&lt;Setup!B8,"حضور غير مكتمل",IF(K60&lt;Setup!B7,"يحتاج إعادة تدريب","مكتمل")))</f>
        <v/>
      </c>
    </row>
    <row r="61" spans="1:12" x14ac:dyDescent="0.2">
      <c r="A61" s="3"/>
      <c r="B61" s="3"/>
      <c r="C61" s="3"/>
      <c r="D61" s="3"/>
      <c r="E61" s="3"/>
      <c r="F61" s="3"/>
      <c r="G61" s="3"/>
      <c r="H61" s="3"/>
      <c r="I61" s="3" t="str">
        <f>IF(A61="","",COUNTIF([1]Attendance!D:D,A61))</f>
        <v/>
      </c>
      <c r="J61" s="6">
        <f>IFERROR(COUNTIFS([1]Attendance!D:D,A61,[1]Attendance!F:F,"نعم")/I61,0)</f>
        <v>0</v>
      </c>
      <c r="K61" s="6" t="str">
        <f>IFERROR(AVERAGEIF([2]Evaluation!D:D,A61,[2]Evaluation!H:H),"")</f>
        <v/>
      </c>
      <c r="L61" s="3" t="str">
        <f>IF(A61="","",IF(J61&lt;Setup!B8,"حضور غير مكتمل",IF(K61&lt;Setup!B7,"يحتاج إعادة تدريب","مكتمل")))</f>
        <v/>
      </c>
    </row>
    <row r="62" spans="1:12" x14ac:dyDescent="0.2">
      <c r="A62" s="3"/>
      <c r="B62" s="3"/>
      <c r="C62" s="3"/>
      <c r="D62" s="3"/>
      <c r="E62" s="3"/>
      <c r="F62" s="3"/>
      <c r="G62" s="3"/>
      <c r="H62" s="3"/>
      <c r="I62" s="3" t="str">
        <f>IF(A62="","",COUNTIF([1]Attendance!D:D,A62))</f>
        <v/>
      </c>
      <c r="J62" s="6">
        <f>IFERROR(COUNTIFS([1]Attendance!D:D,A62,[1]Attendance!F:F,"نعم")/I62,0)</f>
        <v>0</v>
      </c>
      <c r="K62" s="6" t="str">
        <f>IFERROR(AVERAGEIF([2]Evaluation!D:D,A62,[2]Evaluation!H:H),"")</f>
        <v/>
      </c>
      <c r="L62" s="3" t="str">
        <f>IF(A62="","",IF(J62&lt;Setup!B8,"حضور غير مكتمل",IF(K62&lt;Setup!B7,"يحتاج إعادة تدريب","مكتمل")))</f>
        <v/>
      </c>
    </row>
    <row r="63" spans="1:12" x14ac:dyDescent="0.2">
      <c r="A63" s="3"/>
      <c r="B63" s="3"/>
      <c r="C63" s="3"/>
      <c r="D63" s="3"/>
      <c r="E63" s="3"/>
      <c r="F63" s="3"/>
      <c r="G63" s="3"/>
      <c r="H63" s="3"/>
      <c r="I63" s="3" t="str">
        <f>IF(A63="","",COUNTIF([1]Attendance!D:D,A63))</f>
        <v/>
      </c>
      <c r="J63" s="6">
        <f>IFERROR(COUNTIFS([1]Attendance!D:D,A63,[1]Attendance!F:F,"نعم")/I63,0)</f>
        <v>0</v>
      </c>
      <c r="K63" s="6" t="str">
        <f>IFERROR(AVERAGEIF([2]Evaluation!D:D,A63,[2]Evaluation!H:H),"")</f>
        <v/>
      </c>
      <c r="L63" s="3" t="str">
        <f>IF(A63="","",IF(J63&lt;Setup!B8,"حضور غير مكتمل",IF(K63&lt;Setup!B7,"يحتاج إعادة تدريب","مكتمل")))</f>
        <v/>
      </c>
    </row>
    <row r="64" spans="1:12" x14ac:dyDescent="0.2">
      <c r="A64" s="3"/>
      <c r="B64" s="3"/>
      <c r="C64" s="3"/>
      <c r="D64" s="3"/>
      <c r="E64" s="3"/>
      <c r="F64" s="3"/>
      <c r="G64" s="3"/>
      <c r="H64" s="3"/>
      <c r="I64" s="3" t="str">
        <f>IF(A64="","",COUNTIF([1]Attendance!D:D,A64))</f>
        <v/>
      </c>
      <c r="J64" s="6">
        <f>IFERROR(COUNTIFS([1]Attendance!D:D,A64,[1]Attendance!F:F,"نعم")/I64,0)</f>
        <v>0</v>
      </c>
      <c r="K64" s="6" t="str">
        <f>IFERROR(AVERAGEIF([2]Evaluation!D:D,A64,[2]Evaluation!H:H),"")</f>
        <v/>
      </c>
      <c r="L64" s="3" t="str">
        <f>IF(A64="","",IF(J64&lt;Setup!B8,"حضور غير مكتمل",IF(K64&lt;Setup!B7,"يحتاج إعادة تدريب","مكتمل")))</f>
        <v/>
      </c>
    </row>
    <row r="65" spans="1:12" x14ac:dyDescent="0.2">
      <c r="A65" s="3"/>
      <c r="B65" s="3"/>
      <c r="C65" s="3"/>
      <c r="D65" s="3"/>
      <c r="E65" s="3"/>
      <c r="F65" s="3"/>
      <c r="G65" s="3"/>
      <c r="H65" s="3"/>
      <c r="I65" s="3" t="str">
        <f>IF(A65="","",COUNTIF([1]Attendance!D:D,A65))</f>
        <v/>
      </c>
      <c r="J65" s="6">
        <f>IFERROR(COUNTIFS([1]Attendance!D:D,A65,[1]Attendance!F:F,"نعم")/I65,0)</f>
        <v>0</v>
      </c>
      <c r="K65" s="6" t="str">
        <f>IFERROR(AVERAGEIF([2]Evaluation!D:D,A65,[2]Evaluation!H:H),"")</f>
        <v/>
      </c>
      <c r="L65" s="3" t="str">
        <f>IF(A65="","",IF(J65&lt;Setup!B8,"حضور غير مكتمل",IF(K65&lt;Setup!B7,"يحتاج إعادة تدريب","مكتمل")))</f>
        <v/>
      </c>
    </row>
    <row r="66" spans="1:12" x14ac:dyDescent="0.2">
      <c r="A66" s="3"/>
      <c r="B66" s="3"/>
      <c r="C66" s="3"/>
      <c r="D66" s="3"/>
      <c r="E66" s="3"/>
      <c r="F66" s="3"/>
      <c r="G66" s="3"/>
      <c r="H66" s="3"/>
      <c r="I66" s="3" t="str">
        <f>IF(A66="","",COUNTIF([1]Attendance!D:D,A66))</f>
        <v/>
      </c>
      <c r="J66" s="6">
        <f>IFERROR(COUNTIFS([1]Attendance!D:D,A66,[1]Attendance!F:F,"نعم")/I66,0)</f>
        <v>0</v>
      </c>
      <c r="K66" s="6" t="str">
        <f>IFERROR(AVERAGEIF([2]Evaluation!D:D,A66,[2]Evaluation!H:H),"")</f>
        <v/>
      </c>
      <c r="L66" s="3" t="str">
        <f>IF(A66="","",IF(J66&lt;Setup!B8,"حضور غير مكتمل",IF(K66&lt;Setup!B7,"يحتاج إعادة تدريب","مكتمل")))</f>
        <v/>
      </c>
    </row>
    <row r="67" spans="1:12" x14ac:dyDescent="0.2">
      <c r="A67" s="3"/>
      <c r="B67" s="3"/>
      <c r="C67" s="3"/>
      <c r="D67" s="3"/>
      <c r="E67" s="3"/>
      <c r="F67" s="3"/>
      <c r="G67" s="3"/>
      <c r="H67" s="3"/>
      <c r="I67" s="3" t="str">
        <f>IF(A67="","",COUNTIF([1]Attendance!D:D,A67))</f>
        <v/>
      </c>
      <c r="J67" s="6">
        <f>IFERROR(COUNTIFS([1]Attendance!D:D,A67,[1]Attendance!F:F,"نعم")/I67,0)</f>
        <v>0</v>
      </c>
      <c r="K67" s="6" t="str">
        <f>IFERROR(AVERAGEIF([2]Evaluation!D:D,A67,[2]Evaluation!H:H),"")</f>
        <v/>
      </c>
      <c r="L67" s="3" t="str">
        <f>IF(A67="","",IF(J67&lt;Setup!B8,"حضور غير مكتمل",IF(K67&lt;Setup!B7,"يحتاج إعادة تدريب","مكتمل")))</f>
        <v/>
      </c>
    </row>
    <row r="68" spans="1:12" x14ac:dyDescent="0.2">
      <c r="A68" s="3"/>
      <c r="B68" s="3"/>
      <c r="C68" s="3"/>
      <c r="D68" s="3"/>
      <c r="E68" s="3"/>
      <c r="F68" s="3"/>
      <c r="G68" s="3"/>
      <c r="H68" s="3"/>
      <c r="I68" s="3" t="str">
        <f>IF(A68="","",COUNTIF([1]Attendance!D:D,A68))</f>
        <v/>
      </c>
      <c r="J68" s="6">
        <f>IFERROR(COUNTIFS([1]Attendance!D:D,A68,[1]Attendance!F:F,"نعم")/I68,0)</f>
        <v>0</v>
      </c>
      <c r="K68" s="6" t="str">
        <f>IFERROR(AVERAGEIF([2]Evaluation!D:D,A68,[2]Evaluation!H:H),"")</f>
        <v/>
      </c>
      <c r="L68" s="3" t="str">
        <f>IF(A68="","",IF(J68&lt;Setup!B8,"حضور غير مكتمل",IF(K68&lt;Setup!B7,"يحتاج إعادة تدريب","مكتمل")))</f>
        <v/>
      </c>
    </row>
    <row r="69" spans="1:12" x14ac:dyDescent="0.2">
      <c r="A69" s="3"/>
      <c r="B69" s="3"/>
      <c r="C69" s="3"/>
      <c r="D69" s="3"/>
      <c r="E69" s="3"/>
      <c r="F69" s="3"/>
      <c r="G69" s="3"/>
      <c r="H69" s="3"/>
      <c r="I69" s="3" t="str">
        <f>IF(A69="","",COUNTIF([1]Attendance!D:D,A69))</f>
        <v/>
      </c>
      <c r="J69" s="6">
        <f>IFERROR(COUNTIFS([1]Attendance!D:D,A69,[1]Attendance!F:F,"نعم")/I69,0)</f>
        <v>0</v>
      </c>
      <c r="K69" s="6" t="str">
        <f>IFERROR(AVERAGEIF([2]Evaluation!D:D,A69,[2]Evaluation!H:H),"")</f>
        <v/>
      </c>
      <c r="L69" s="3" t="str">
        <f>IF(A69="","",IF(J69&lt;Setup!B8,"حضور غير مكتمل",IF(K69&lt;Setup!B7,"يحتاج إعادة تدريب","مكتمل")))</f>
        <v/>
      </c>
    </row>
    <row r="70" spans="1:12" x14ac:dyDescent="0.2">
      <c r="A70" s="3"/>
      <c r="B70" s="3"/>
      <c r="C70" s="3"/>
      <c r="D70" s="3"/>
      <c r="E70" s="3"/>
      <c r="F70" s="3"/>
      <c r="G70" s="3"/>
      <c r="H70" s="3"/>
      <c r="I70" s="3" t="str">
        <f>IF(A70="","",COUNTIF([1]Attendance!D:D,A70))</f>
        <v/>
      </c>
      <c r="J70" s="6">
        <f>IFERROR(COUNTIFS([1]Attendance!D:D,A70,[1]Attendance!F:F,"نعم")/I70,0)</f>
        <v>0</v>
      </c>
      <c r="K70" s="6" t="str">
        <f>IFERROR(AVERAGEIF([2]Evaluation!D:D,A70,[2]Evaluation!H:H),"")</f>
        <v/>
      </c>
      <c r="L70" s="3" t="str">
        <f>IF(A70="","",IF(J70&lt;Setup!B8,"حضور غير مكتمل",IF(K70&lt;Setup!B7,"يحتاج إعادة تدريب","مكتمل")))</f>
        <v/>
      </c>
    </row>
    <row r="71" spans="1:12" x14ac:dyDescent="0.2">
      <c r="A71" s="3"/>
      <c r="B71" s="3"/>
      <c r="C71" s="3"/>
      <c r="D71" s="3"/>
      <c r="E71" s="3"/>
      <c r="F71" s="3"/>
      <c r="G71" s="3"/>
      <c r="H71" s="3"/>
      <c r="I71" s="3" t="str">
        <f>IF(A71="","",COUNTIF([1]Attendance!D:D,A71))</f>
        <v/>
      </c>
      <c r="J71" s="6">
        <f>IFERROR(COUNTIFS([1]Attendance!D:D,A71,[1]Attendance!F:F,"نعم")/I71,0)</f>
        <v>0</v>
      </c>
      <c r="K71" s="6" t="str">
        <f>IFERROR(AVERAGEIF([2]Evaluation!D:D,A71,[2]Evaluation!H:H),"")</f>
        <v/>
      </c>
      <c r="L71" s="3" t="str">
        <f>IF(A71="","",IF(J71&lt;Setup!B8,"حضور غير مكتمل",IF(K71&lt;Setup!B7,"يحتاج إعادة تدريب","مكتمل")))</f>
        <v/>
      </c>
    </row>
    <row r="72" spans="1:12" x14ac:dyDescent="0.2">
      <c r="A72" s="3"/>
      <c r="B72" s="3"/>
      <c r="C72" s="3"/>
      <c r="D72" s="3"/>
      <c r="E72" s="3"/>
      <c r="F72" s="3"/>
      <c r="G72" s="3"/>
      <c r="H72" s="3"/>
      <c r="I72" s="3" t="str">
        <f>IF(A72="","",COUNTIF([1]Attendance!D:D,A72))</f>
        <v/>
      </c>
      <c r="J72" s="6">
        <f>IFERROR(COUNTIFS([1]Attendance!D:D,A72,[1]Attendance!F:F,"نعم")/I72,0)</f>
        <v>0</v>
      </c>
      <c r="K72" s="6" t="str">
        <f>IFERROR(AVERAGEIF([2]Evaluation!D:D,A72,[2]Evaluation!H:H),"")</f>
        <v/>
      </c>
      <c r="L72" s="3" t="str">
        <f>IF(A72="","",IF(J72&lt;Setup!B8,"حضور غير مكتمل",IF(K72&lt;Setup!B7,"يحتاج إعادة تدريب","مكتمل")))</f>
        <v/>
      </c>
    </row>
    <row r="73" spans="1:12" x14ac:dyDescent="0.2">
      <c r="A73" s="3"/>
      <c r="B73" s="3"/>
      <c r="C73" s="3"/>
      <c r="D73" s="3"/>
      <c r="E73" s="3"/>
      <c r="F73" s="3"/>
      <c r="G73" s="3"/>
      <c r="H73" s="3"/>
      <c r="I73" s="3" t="str">
        <f>IF(A73="","",COUNTIF([1]Attendance!D:D,A73))</f>
        <v/>
      </c>
      <c r="J73" s="6">
        <f>IFERROR(COUNTIFS([1]Attendance!D:D,A73,[1]Attendance!F:F,"نعم")/I73,0)</f>
        <v>0</v>
      </c>
      <c r="K73" s="6" t="str">
        <f>IFERROR(AVERAGEIF([2]Evaluation!D:D,A73,[2]Evaluation!H:H),"")</f>
        <v/>
      </c>
      <c r="L73" s="3" t="str">
        <f>IF(A73="","",IF(J73&lt;Setup!B8,"حضور غير مكتمل",IF(K73&lt;Setup!B7,"يحتاج إعادة تدريب","مكتمل")))</f>
        <v/>
      </c>
    </row>
    <row r="74" spans="1:12" x14ac:dyDescent="0.2">
      <c r="A74" s="3"/>
      <c r="B74" s="3"/>
      <c r="C74" s="3"/>
      <c r="D74" s="3"/>
      <c r="E74" s="3"/>
      <c r="F74" s="3"/>
      <c r="G74" s="3"/>
      <c r="H74" s="3"/>
      <c r="I74" s="3" t="str">
        <f>IF(A74="","",COUNTIF([1]Attendance!D:D,A74))</f>
        <v/>
      </c>
      <c r="J74" s="6">
        <f>IFERROR(COUNTIFS([1]Attendance!D:D,A74,[1]Attendance!F:F,"نعم")/I74,0)</f>
        <v>0</v>
      </c>
      <c r="K74" s="6" t="str">
        <f>IFERROR(AVERAGEIF([2]Evaluation!D:D,A74,[2]Evaluation!H:H),"")</f>
        <v/>
      </c>
      <c r="L74" s="3" t="str">
        <f>IF(A74="","",IF(J74&lt;Setup!B8,"حضور غير مكتمل",IF(K74&lt;Setup!B7,"يحتاج إعادة تدريب","مكتمل")))</f>
        <v/>
      </c>
    </row>
    <row r="75" spans="1:12" x14ac:dyDescent="0.2">
      <c r="A75" s="3"/>
      <c r="B75" s="3"/>
      <c r="C75" s="3"/>
      <c r="D75" s="3"/>
      <c r="E75" s="3"/>
      <c r="F75" s="3"/>
      <c r="G75" s="3"/>
      <c r="H75" s="3"/>
      <c r="I75" s="3" t="str">
        <f>IF(A75="","",COUNTIF([1]Attendance!D:D,A75))</f>
        <v/>
      </c>
      <c r="J75" s="6">
        <f>IFERROR(COUNTIFS([1]Attendance!D:D,A75,[1]Attendance!F:F,"نعم")/I75,0)</f>
        <v>0</v>
      </c>
      <c r="K75" s="6" t="str">
        <f>IFERROR(AVERAGEIF([2]Evaluation!D:D,A75,[2]Evaluation!H:H),"")</f>
        <v/>
      </c>
      <c r="L75" s="3" t="str">
        <f>IF(A75="","",IF(J75&lt;Setup!B8,"حضور غير مكتمل",IF(K75&lt;Setup!B7,"يحتاج إعادة تدريب","مكتمل")))</f>
        <v/>
      </c>
    </row>
    <row r="76" spans="1:12" x14ac:dyDescent="0.2">
      <c r="A76" s="3"/>
      <c r="B76" s="3"/>
      <c r="C76" s="3"/>
      <c r="D76" s="3"/>
      <c r="E76" s="3"/>
      <c r="F76" s="3"/>
      <c r="G76" s="3"/>
      <c r="H76" s="3"/>
      <c r="I76" s="3" t="str">
        <f>IF(A76="","",COUNTIF([1]Attendance!D:D,A76))</f>
        <v/>
      </c>
      <c r="J76" s="6">
        <f>IFERROR(COUNTIFS([1]Attendance!D:D,A76,[1]Attendance!F:F,"نعم")/I76,0)</f>
        <v>0</v>
      </c>
      <c r="K76" s="6" t="str">
        <f>IFERROR(AVERAGEIF([2]Evaluation!D:D,A76,[2]Evaluation!H:H),"")</f>
        <v/>
      </c>
      <c r="L76" s="3" t="str">
        <f>IF(A76="","",IF(J76&lt;Setup!B8,"حضور غير مكتمل",IF(K76&lt;Setup!B7,"يحتاج إعادة تدريب","مكتمل")))</f>
        <v/>
      </c>
    </row>
    <row r="77" spans="1:12" x14ac:dyDescent="0.2">
      <c r="A77" s="3"/>
      <c r="B77" s="3"/>
      <c r="C77" s="3"/>
      <c r="D77" s="3"/>
      <c r="E77" s="3"/>
      <c r="F77" s="3"/>
      <c r="G77" s="3"/>
      <c r="H77" s="3"/>
      <c r="I77" s="3" t="str">
        <f>IF(A77="","",COUNTIF([1]Attendance!D:D,A77))</f>
        <v/>
      </c>
      <c r="J77" s="6">
        <f>IFERROR(COUNTIFS([1]Attendance!D:D,A77,[1]Attendance!F:F,"نعم")/I77,0)</f>
        <v>0</v>
      </c>
      <c r="K77" s="6" t="str">
        <f>IFERROR(AVERAGEIF([2]Evaluation!D:D,A77,[2]Evaluation!H:H),"")</f>
        <v/>
      </c>
      <c r="L77" s="3" t="str">
        <f>IF(A77="","",IF(J77&lt;Setup!B8,"حضور غير مكتمل",IF(K77&lt;Setup!B7,"يحتاج إعادة تدريب","مكتمل")))</f>
        <v/>
      </c>
    </row>
    <row r="78" spans="1:12" x14ac:dyDescent="0.2">
      <c r="A78" s="3"/>
      <c r="B78" s="3"/>
      <c r="C78" s="3"/>
      <c r="D78" s="3"/>
      <c r="E78" s="3"/>
      <c r="F78" s="3"/>
      <c r="G78" s="3"/>
      <c r="H78" s="3"/>
      <c r="I78" s="3" t="str">
        <f>IF(A78="","",COUNTIF([1]Attendance!D:D,A78))</f>
        <v/>
      </c>
      <c r="J78" s="6">
        <f>IFERROR(COUNTIFS([1]Attendance!D:D,A78,[1]Attendance!F:F,"نعم")/I78,0)</f>
        <v>0</v>
      </c>
      <c r="K78" s="6" t="str">
        <f>IFERROR(AVERAGEIF([2]Evaluation!D:D,A78,[2]Evaluation!H:H),"")</f>
        <v/>
      </c>
      <c r="L78" s="3" t="str">
        <f>IF(A78="","",IF(J78&lt;Setup!B8,"حضور غير مكتمل",IF(K78&lt;Setup!B7,"يحتاج إعادة تدريب","مكتمل")))</f>
        <v/>
      </c>
    </row>
    <row r="79" spans="1:12" x14ac:dyDescent="0.2">
      <c r="A79" s="3"/>
      <c r="B79" s="3"/>
      <c r="C79" s="3"/>
      <c r="D79" s="3"/>
      <c r="E79" s="3"/>
      <c r="F79" s="3"/>
      <c r="G79" s="3"/>
      <c r="H79" s="3"/>
      <c r="I79" s="3" t="str">
        <f>IF(A79="","",COUNTIF([1]Attendance!D:D,A79))</f>
        <v/>
      </c>
      <c r="J79" s="6">
        <f>IFERROR(COUNTIFS([1]Attendance!D:D,A79,[1]Attendance!F:F,"نعم")/I79,0)</f>
        <v>0</v>
      </c>
      <c r="K79" s="6" t="str">
        <f>IFERROR(AVERAGEIF([2]Evaluation!D:D,A79,[2]Evaluation!H:H),"")</f>
        <v/>
      </c>
      <c r="L79" s="3" t="str">
        <f>IF(A79="","",IF(J79&lt;Setup!B8,"حضور غير مكتمل",IF(K79&lt;Setup!B7,"يحتاج إعادة تدريب","مكتمل")))</f>
        <v/>
      </c>
    </row>
    <row r="80" spans="1:12" x14ac:dyDescent="0.2">
      <c r="A80" s="3"/>
      <c r="B80" s="3"/>
      <c r="C80" s="3"/>
      <c r="D80" s="3"/>
      <c r="E80" s="3"/>
      <c r="F80" s="3"/>
      <c r="G80" s="3"/>
      <c r="H80" s="3"/>
      <c r="I80" s="3" t="str">
        <f>IF(A80="","",COUNTIF([1]Attendance!D:D,A80))</f>
        <v/>
      </c>
      <c r="J80" s="6">
        <f>IFERROR(COUNTIFS([1]Attendance!D:D,A80,[1]Attendance!F:F,"نعم")/I80,0)</f>
        <v>0</v>
      </c>
      <c r="K80" s="6" t="str">
        <f>IFERROR(AVERAGEIF([2]Evaluation!D:D,A80,[2]Evaluation!H:H),"")</f>
        <v/>
      </c>
      <c r="L80" s="3" t="str">
        <f>IF(A80="","",IF(J80&lt;Setup!B8,"حضور غير مكتمل",IF(K80&lt;Setup!B7,"يحتاج إعادة تدريب","مكتمل")))</f>
        <v/>
      </c>
    </row>
    <row r="81" spans="1:12" x14ac:dyDescent="0.2">
      <c r="A81" s="3"/>
      <c r="B81" s="3"/>
      <c r="C81" s="3"/>
      <c r="D81" s="3"/>
      <c r="E81" s="3"/>
      <c r="F81" s="3"/>
      <c r="G81" s="3"/>
      <c r="H81" s="3"/>
      <c r="I81" s="3" t="str">
        <f>IF(A81="","",COUNTIF([1]Attendance!D:D,A81))</f>
        <v/>
      </c>
      <c r="J81" s="6">
        <f>IFERROR(COUNTIFS([1]Attendance!D:D,A81,[1]Attendance!F:F,"نعم")/I81,0)</f>
        <v>0</v>
      </c>
      <c r="K81" s="6" t="str">
        <f>IFERROR(AVERAGEIF([2]Evaluation!D:D,A81,[2]Evaluation!H:H),"")</f>
        <v/>
      </c>
      <c r="L81" s="3" t="str">
        <f>IF(A81="","",IF(J81&lt;Setup!B8,"حضور غير مكتمل",IF(K81&lt;Setup!B7,"يحتاج إعادة تدريب","مكتمل")))</f>
        <v/>
      </c>
    </row>
    <row r="82" spans="1:12" x14ac:dyDescent="0.2">
      <c r="A82" s="3"/>
      <c r="B82" s="3"/>
      <c r="C82" s="3"/>
      <c r="D82" s="3"/>
      <c r="E82" s="3"/>
      <c r="F82" s="3"/>
      <c r="G82" s="3"/>
      <c r="H82" s="3"/>
      <c r="I82" s="3" t="str">
        <f>IF(A82="","",COUNTIF([1]Attendance!D:D,A82))</f>
        <v/>
      </c>
      <c r="J82" s="6">
        <f>IFERROR(COUNTIFS([1]Attendance!D:D,A82,[1]Attendance!F:F,"نعم")/I82,0)</f>
        <v>0</v>
      </c>
      <c r="K82" s="6" t="str">
        <f>IFERROR(AVERAGEIF([2]Evaluation!D:D,A82,[2]Evaluation!H:H),"")</f>
        <v/>
      </c>
      <c r="L82" s="3" t="str">
        <f>IF(A82="","",IF(J82&lt;Setup!B8,"حضور غير مكتمل",IF(K82&lt;Setup!B7,"يحتاج إعادة تدريب","مكتمل")))</f>
        <v/>
      </c>
    </row>
    <row r="83" spans="1:12" x14ac:dyDescent="0.2">
      <c r="A83" s="3"/>
      <c r="B83" s="3"/>
      <c r="C83" s="3"/>
      <c r="D83" s="3"/>
      <c r="E83" s="3"/>
      <c r="F83" s="3"/>
      <c r="G83" s="3"/>
      <c r="H83" s="3"/>
      <c r="I83" s="3" t="str">
        <f>IF(A83="","",COUNTIF([1]Attendance!D:D,A83))</f>
        <v/>
      </c>
      <c r="J83" s="6">
        <f>IFERROR(COUNTIFS([1]Attendance!D:D,A83,[1]Attendance!F:F,"نعم")/I83,0)</f>
        <v>0</v>
      </c>
      <c r="K83" s="6" t="str">
        <f>IFERROR(AVERAGEIF([2]Evaluation!D:D,A83,[2]Evaluation!H:H),"")</f>
        <v/>
      </c>
      <c r="L83" s="3" t="str">
        <f>IF(A83="","",IF(J83&lt;Setup!B8,"حضور غير مكتمل",IF(K83&lt;Setup!B7,"يحتاج إعادة تدريب","مكتمل")))</f>
        <v/>
      </c>
    </row>
    <row r="84" spans="1:12" x14ac:dyDescent="0.2">
      <c r="A84" s="3"/>
      <c r="B84" s="3"/>
      <c r="C84" s="3"/>
      <c r="D84" s="3"/>
      <c r="E84" s="3"/>
      <c r="F84" s="3"/>
      <c r="G84" s="3"/>
      <c r="H84" s="3"/>
      <c r="I84" s="3" t="str">
        <f>IF(A84="","",COUNTIF([1]Attendance!D:D,A84))</f>
        <v/>
      </c>
      <c r="J84" s="6">
        <f>IFERROR(COUNTIFS([1]Attendance!D:D,A84,[1]Attendance!F:F,"نعم")/I84,0)</f>
        <v>0</v>
      </c>
      <c r="K84" s="6" t="str">
        <f>IFERROR(AVERAGEIF([2]Evaluation!D:D,A84,[2]Evaluation!H:H),"")</f>
        <v/>
      </c>
      <c r="L84" s="3" t="str">
        <f>IF(A84="","",IF(J84&lt;Setup!B8,"حضور غير مكتمل",IF(K84&lt;Setup!B7,"يحتاج إعادة تدريب","مكتمل")))</f>
        <v/>
      </c>
    </row>
    <row r="85" spans="1:12" x14ac:dyDescent="0.2">
      <c r="A85" s="3"/>
      <c r="B85" s="3"/>
      <c r="C85" s="3"/>
      <c r="D85" s="3"/>
      <c r="E85" s="3"/>
      <c r="F85" s="3"/>
      <c r="G85" s="3"/>
      <c r="H85" s="3"/>
      <c r="I85" s="3" t="str">
        <f>IF(A85="","",COUNTIF([1]Attendance!D:D,A85))</f>
        <v/>
      </c>
      <c r="J85" s="6">
        <f>IFERROR(COUNTIFS([1]Attendance!D:D,A85,[1]Attendance!F:F,"نعم")/I85,0)</f>
        <v>0</v>
      </c>
      <c r="K85" s="6" t="str">
        <f>IFERROR(AVERAGEIF([2]Evaluation!D:D,A85,[2]Evaluation!H:H),"")</f>
        <v/>
      </c>
      <c r="L85" s="3" t="str">
        <f>IF(A85="","",IF(J85&lt;Setup!B8,"حضور غير مكتمل",IF(K85&lt;Setup!B7,"يحتاج إعادة تدريب","مكتمل")))</f>
        <v/>
      </c>
    </row>
    <row r="86" spans="1:12" x14ac:dyDescent="0.2">
      <c r="A86" s="3"/>
      <c r="B86" s="3"/>
      <c r="C86" s="3"/>
      <c r="D86" s="3"/>
      <c r="E86" s="3"/>
      <c r="F86" s="3"/>
      <c r="G86" s="3"/>
      <c r="H86" s="3"/>
      <c r="I86" s="3" t="str">
        <f>IF(A86="","",COUNTIF([1]Attendance!D:D,A86))</f>
        <v/>
      </c>
      <c r="J86" s="6">
        <f>IFERROR(COUNTIFS([1]Attendance!D:D,A86,[1]Attendance!F:F,"نعم")/I86,0)</f>
        <v>0</v>
      </c>
      <c r="K86" s="6" t="str">
        <f>IFERROR(AVERAGEIF([2]Evaluation!D:D,A86,[2]Evaluation!H:H),"")</f>
        <v/>
      </c>
      <c r="L86" s="3" t="str">
        <f>IF(A86="","",IF(J86&lt;Setup!B8,"حضور غير مكتمل",IF(K86&lt;Setup!B7,"يحتاج إعادة تدريب","مكتمل")))</f>
        <v/>
      </c>
    </row>
    <row r="87" spans="1:12" x14ac:dyDescent="0.2">
      <c r="A87" s="3"/>
      <c r="B87" s="3"/>
      <c r="C87" s="3"/>
      <c r="D87" s="3"/>
      <c r="E87" s="3"/>
      <c r="F87" s="3"/>
      <c r="G87" s="3"/>
      <c r="H87" s="3"/>
      <c r="I87" s="3" t="str">
        <f>IF(A87="","",COUNTIF([1]Attendance!D:D,A87))</f>
        <v/>
      </c>
      <c r="J87" s="6">
        <f>IFERROR(COUNTIFS([1]Attendance!D:D,A87,[1]Attendance!F:F,"نعم")/I87,0)</f>
        <v>0</v>
      </c>
      <c r="K87" s="6" t="str">
        <f>IFERROR(AVERAGEIF([2]Evaluation!D:D,A87,[2]Evaluation!H:H),"")</f>
        <v/>
      </c>
      <c r="L87" s="3" t="str">
        <f>IF(A87="","",IF(J87&lt;Setup!B8,"حضور غير مكتمل",IF(K87&lt;Setup!B7,"يحتاج إعادة تدريب","مكتمل")))</f>
        <v/>
      </c>
    </row>
    <row r="88" spans="1:12" x14ac:dyDescent="0.2">
      <c r="A88" s="3"/>
      <c r="B88" s="3"/>
      <c r="C88" s="3"/>
      <c r="D88" s="3"/>
      <c r="E88" s="3"/>
      <c r="F88" s="3"/>
      <c r="G88" s="3"/>
      <c r="H88" s="3"/>
      <c r="I88" s="3" t="str">
        <f>IF(A88="","",COUNTIF([1]Attendance!D:D,A88))</f>
        <v/>
      </c>
      <c r="J88" s="6">
        <f>IFERROR(COUNTIFS([1]Attendance!D:D,A88,[1]Attendance!F:F,"نعم")/I88,0)</f>
        <v>0</v>
      </c>
      <c r="K88" s="6" t="str">
        <f>IFERROR(AVERAGEIF([2]Evaluation!D:D,A88,[2]Evaluation!H:H),"")</f>
        <v/>
      </c>
      <c r="L88" s="3" t="str">
        <f>IF(A88="","",IF(J88&lt;Setup!B8,"حضور غير مكتمل",IF(K88&lt;Setup!B7,"يحتاج إعادة تدريب","مكتمل")))</f>
        <v/>
      </c>
    </row>
    <row r="89" spans="1:12" x14ac:dyDescent="0.2">
      <c r="A89" s="3"/>
      <c r="B89" s="3"/>
      <c r="C89" s="3"/>
      <c r="D89" s="3"/>
      <c r="E89" s="3"/>
      <c r="F89" s="3"/>
      <c r="G89" s="3"/>
      <c r="H89" s="3"/>
      <c r="I89" s="3" t="str">
        <f>IF(A89="","",COUNTIF([1]Attendance!D:D,A89))</f>
        <v/>
      </c>
      <c r="J89" s="6">
        <f>IFERROR(COUNTIFS([1]Attendance!D:D,A89,[1]Attendance!F:F,"نعم")/I89,0)</f>
        <v>0</v>
      </c>
      <c r="K89" s="6" t="str">
        <f>IFERROR(AVERAGEIF([2]Evaluation!D:D,A89,[2]Evaluation!H:H),"")</f>
        <v/>
      </c>
      <c r="L89" s="3" t="str">
        <f>IF(A89="","",IF(J89&lt;Setup!B8,"حضور غير مكتمل",IF(K89&lt;Setup!B7,"يحتاج إعادة تدريب","مكتمل")))</f>
        <v/>
      </c>
    </row>
    <row r="90" spans="1:12" x14ac:dyDescent="0.2">
      <c r="A90" s="3"/>
      <c r="B90" s="3"/>
      <c r="C90" s="3"/>
      <c r="D90" s="3"/>
      <c r="E90" s="3"/>
      <c r="F90" s="3"/>
      <c r="G90" s="3"/>
      <c r="H90" s="3"/>
      <c r="I90" s="3" t="str">
        <f>IF(A90="","",COUNTIF([1]Attendance!D:D,A90))</f>
        <v/>
      </c>
      <c r="J90" s="6">
        <f>IFERROR(COUNTIFS([1]Attendance!D:D,A90,[1]Attendance!F:F,"نعم")/I90,0)</f>
        <v>0</v>
      </c>
      <c r="K90" s="6" t="str">
        <f>IFERROR(AVERAGEIF([2]Evaluation!D:D,A90,[2]Evaluation!H:H),"")</f>
        <v/>
      </c>
      <c r="L90" s="3" t="str">
        <f>IF(A90="","",IF(J90&lt;Setup!B8,"حضور غير مكتمل",IF(K90&lt;Setup!B7,"يحتاج إعادة تدريب","مكتمل")))</f>
        <v/>
      </c>
    </row>
    <row r="91" spans="1:12" x14ac:dyDescent="0.2">
      <c r="A91" s="3"/>
      <c r="B91" s="3"/>
      <c r="C91" s="3"/>
      <c r="D91" s="3"/>
      <c r="E91" s="3"/>
      <c r="F91" s="3"/>
      <c r="G91" s="3"/>
      <c r="H91" s="3"/>
      <c r="I91" s="3" t="str">
        <f>IF(A91="","",COUNTIF([1]Attendance!D:D,A91))</f>
        <v/>
      </c>
      <c r="J91" s="6">
        <f>IFERROR(COUNTIFS([1]Attendance!D:D,A91,[1]Attendance!F:F,"نعم")/I91,0)</f>
        <v>0</v>
      </c>
      <c r="K91" s="6" t="str">
        <f>IFERROR(AVERAGEIF([2]Evaluation!D:D,A91,[2]Evaluation!H:H),"")</f>
        <v/>
      </c>
      <c r="L91" s="3" t="str">
        <f>IF(A91="","",IF(J91&lt;Setup!B8,"حضور غير مكتمل",IF(K91&lt;Setup!B7,"يحتاج إعادة تدريب","مكتمل")))</f>
        <v/>
      </c>
    </row>
    <row r="92" spans="1:12" x14ac:dyDescent="0.2">
      <c r="A92" s="3"/>
      <c r="B92" s="3"/>
      <c r="C92" s="3"/>
      <c r="D92" s="3"/>
      <c r="E92" s="3"/>
      <c r="F92" s="3"/>
      <c r="G92" s="3"/>
      <c r="H92" s="3"/>
      <c r="I92" s="3" t="str">
        <f>IF(A92="","",COUNTIF([1]Attendance!D:D,A92))</f>
        <v/>
      </c>
      <c r="J92" s="6">
        <f>IFERROR(COUNTIFS([1]Attendance!D:D,A92,[1]Attendance!F:F,"نعم")/I92,0)</f>
        <v>0</v>
      </c>
      <c r="K92" s="6" t="str">
        <f>IFERROR(AVERAGEIF([2]Evaluation!D:D,A92,[2]Evaluation!H:H),"")</f>
        <v/>
      </c>
      <c r="L92" s="3" t="str">
        <f>IF(A92="","",IF(J92&lt;Setup!B8,"حضور غير مكتمل",IF(K92&lt;Setup!B7,"يحتاج إعادة تدريب","مكتمل")))</f>
        <v/>
      </c>
    </row>
    <row r="93" spans="1:12" x14ac:dyDescent="0.2">
      <c r="A93" s="3"/>
      <c r="B93" s="3"/>
      <c r="C93" s="3"/>
      <c r="D93" s="3"/>
      <c r="E93" s="3"/>
      <c r="F93" s="3"/>
      <c r="G93" s="3"/>
      <c r="H93" s="3"/>
      <c r="I93" s="3" t="str">
        <f>IF(A93="","",COUNTIF([1]Attendance!D:D,A93))</f>
        <v/>
      </c>
      <c r="J93" s="6">
        <f>IFERROR(COUNTIFS([1]Attendance!D:D,A93,[1]Attendance!F:F,"نعم")/I93,0)</f>
        <v>0</v>
      </c>
      <c r="K93" s="6" t="str">
        <f>IFERROR(AVERAGEIF([2]Evaluation!D:D,A93,[2]Evaluation!H:H),"")</f>
        <v/>
      </c>
      <c r="L93" s="3" t="str">
        <f>IF(A93="","",IF(J93&lt;Setup!B8,"حضور غير مكتمل",IF(K93&lt;Setup!B7,"يحتاج إعادة تدريب","مكتمل")))</f>
        <v/>
      </c>
    </row>
    <row r="94" spans="1:12" x14ac:dyDescent="0.2">
      <c r="A94" s="3"/>
      <c r="B94" s="3"/>
      <c r="C94" s="3"/>
      <c r="D94" s="3"/>
      <c r="E94" s="3"/>
      <c r="F94" s="3"/>
      <c r="G94" s="3"/>
      <c r="H94" s="3"/>
      <c r="I94" s="3" t="str">
        <f>IF(A94="","",COUNTIF([1]Attendance!D:D,A94))</f>
        <v/>
      </c>
      <c r="J94" s="6">
        <f>IFERROR(COUNTIFS([1]Attendance!D:D,A94,[1]Attendance!F:F,"نعم")/I94,0)</f>
        <v>0</v>
      </c>
      <c r="K94" s="6" t="str">
        <f>IFERROR(AVERAGEIF([2]Evaluation!D:D,A94,[2]Evaluation!H:H),"")</f>
        <v/>
      </c>
      <c r="L94" s="3" t="str">
        <f>IF(A94="","",IF(J94&lt;Setup!B8,"حضور غير مكتمل",IF(K94&lt;Setup!B7,"يحتاج إعادة تدريب","مكتمل")))</f>
        <v/>
      </c>
    </row>
    <row r="95" spans="1:12" x14ac:dyDescent="0.2">
      <c r="A95" s="3"/>
      <c r="B95" s="3"/>
      <c r="C95" s="3"/>
      <c r="D95" s="3"/>
      <c r="E95" s="3"/>
      <c r="F95" s="3"/>
      <c r="G95" s="3"/>
      <c r="H95" s="3"/>
      <c r="I95" s="3" t="str">
        <f>IF(A95="","",COUNTIF([1]Attendance!D:D,A95))</f>
        <v/>
      </c>
      <c r="J95" s="6">
        <f>IFERROR(COUNTIFS([1]Attendance!D:D,A95,[1]Attendance!F:F,"نعم")/I95,0)</f>
        <v>0</v>
      </c>
      <c r="K95" s="6" t="str">
        <f>IFERROR(AVERAGEIF([2]Evaluation!D:D,A95,[2]Evaluation!H:H),"")</f>
        <v/>
      </c>
      <c r="L95" s="3" t="str">
        <f>IF(A95="","",IF(J95&lt;Setup!B8,"حضور غير مكتمل",IF(K95&lt;Setup!B7,"يحتاج إعادة تدريب","مكتمل")))</f>
        <v/>
      </c>
    </row>
    <row r="96" spans="1:12" x14ac:dyDescent="0.2">
      <c r="A96" s="3"/>
      <c r="B96" s="3"/>
      <c r="C96" s="3"/>
      <c r="D96" s="3"/>
      <c r="E96" s="3"/>
      <c r="F96" s="3"/>
      <c r="G96" s="3"/>
      <c r="H96" s="3"/>
      <c r="I96" s="3" t="str">
        <f>IF(A96="","",COUNTIF([1]Attendance!D:D,A96))</f>
        <v/>
      </c>
      <c r="J96" s="6">
        <f>IFERROR(COUNTIFS([1]Attendance!D:D,A96,[1]Attendance!F:F,"نعم")/I96,0)</f>
        <v>0</v>
      </c>
      <c r="K96" s="6" t="str">
        <f>IFERROR(AVERAGEIF([2]Evaluation!D:D,A96,[2]Evaluation!H:H),"")</f>
        <v/>
      </c>
      <c r="L96" s="3" t="str">
        <f>IF(A96="","",IF(J96&lt;Setup!B8,"حضور غير مكتمل",IF(K96&lt;Setup!B7,"يحتاج إعادة تدريب","مكتمل")))</f>
        <v/>
      </c>
    </row>
    <row r="97" spans="1:12" x14ac:dyDescent="0.2">
      <c r="A97" s="3"/>
      <c r="B97" s="3"/>
      <c r="C97" s="3"/>
      <c r="D97" s="3"/>
      <c r="E97" s="3"/>
      <c r="F97" s="3"/>
      <c r="G97" s="3"/>
      <c r="H97" s="3"/>
      <c r="I97" s="3" t="str">
        <f>IF(A97="","",COUNTIF([1]Attendance!D:D,A97))</f>
        <v/>
      </c>
      <c r="J97" s="6">
        <f>IFERROR(COUNTIFS([1]Attendance!D:D,A97,[1]Attendance!F:F,"نعم")/I97,0)</f>
        <v>0</v>
      </c>
      <c r="K97" s="6" t="str">
        <f>IFERROR(AVERAGEIF([2]Evaluation!D:D,A97,[2]Evaluation!H:H),"")</f>
        <v/>
      </c>
      <c r="L97" s="3" t="str">
        <f>IF(A97="","",IF(J97&lt;Setup!B8,"حضور غير مكتمل",IF(K97&lt;Setup!B7,"يحتاج إعادة تدريب","مكتمل")))</f>
        <v/>
      </c>
    </row>
    <row r="98" spans="1:12" x14ac:dyDescent="0.2">
      <c r="A98" s="3"/>
      <c r="B98" s="3"/>
      <c r="C98" s="3"/>
      <c r="D98" s="3"/>
      <c r="E98" s="3"/>
      <c r="F98" s="3"/>
      <c r="G98" s="3"/>
      <c r="H98" s="3"/>
      <c r="I98" s="3" t="str">
        <f>IF(A98="","",COUNTIF([1]Attendance!D:D,A98))</f>
        <v/>
      </c>
      <c r="J98" s="6">
        <f>IFERROR(COUNTIFS([1]Attendance!D:D,A98,[1]Attendance!F:F,"نعم")/I98,0)</f>
        <v>0</v>
      </c>
      <c r="K98" s="6" t="str">
        <f>IFERROR(AVERAGEIF([2]Evaluation!D:D,A98,[2]Evaluation!H:H),"")</f>
        <v/>
      </c>
      <c r="L98" s="3" t="str">
        <f>IF(A98="","",IF(J98&lt;Setup!B8,"حضور غير مكتمل",IF(K98&lt;Setup!B7,"يحتاج إعادة تدريب","مكتمل")))</f>
        <v/>
      </c>
    </row>
    <row r="99" spans="1:12" x14ac:dyDescent="0.2">
      <c r="A99" s="3"/>
      <c r="B99" s="3"/>
      <c r="C99" s="3"/>
      <c r="D99" s="3"/>
      <c r="E99" s="3"/>
      <c r="F99" s="3"/>
      <c r="G99" s="3"/>
      <c r="H99" s="3"/>
      <c r="I99" s="3" t="str">
        <f>IF(A99="","",COUNTIF([1]Attendance!D:D,A99))</f>
        <v/>
      </c>
      <c r="J99" s="6">
        <f>IFERROR(COUNTIFS([1]Attendance!D:D,A99,[1]Attendance!F:F,"نعم")/I99,0)</f>
        <v>0</v>
      </c>
      <c r="K99" s="6" t="str">
        <f>IFERROR(AVERAGEIF([2]Evaluation!D:D,A99,[2]Evaluation!H:H),"")</f>
        <v/>
      </c>
      <c r="L99" s="3" t="str">
        <f>IF(A99="","",IF(J99&lt;Setup!B8,"حضور غير مكتمل",IF(K99&lt;Setup!B7,"يحتاج إعادة تدريب","مكتمل")))</f>
        <v/>
      </c>
    </row>
    <row r="100" spans="1:12" x14ac:dyDescent="0.2">
      <c r="A100" s="3"/>
      <c r="B100" s="3"/>
      <c r="C100" s="3"/>
      <c r="D100" s="3"/>
      <c r="E100" s="3"/>
      <c r="F100" s="3"/>
      <c r="G100" s="3"/>
      <c r="H100" s="3"/>
      <c r="I100" s="3" t="str">
        <f>IF(A100="","",COUNTIF([1]Attendance!D:D,A100))</f>
        <v/>
      </c>
      <c r="J100" s="6">
        <f>IFERROR(COUNTIFS([1]Attendance!D:D,A100,[1]Attendance!F:F,"نعم")/I100,0)</f>
        <v>0</v>
      </c>
      <c r="K100" s="6" t="str">
        <f>IFERROR(AVERAGEIF([2]Evaluation!D:D,A100,[2]Evaluation!H:H),"")</f>
        <v/>
      </c>
      <c r="L100" s="3" t="str">
        <f>IF(A100="","",IF(J100&lt;Setup!B8,"حضور غير مكتمل",IF(K100&lt;Setup!B7,"يحتاج إعادة تدريب","مكتمل")))</f>
        <v/>
      </c>
    </row>
    <row r="101" spans="1:12" x14ac:dyDescent="0.2">
      <c r="A101" s="3"/>
      <c r="B101" s="3"/>
      <c r="C101" s="3"/>
      <c r="D101" s="3"/>
      <c r="E101" s="3"/>
      <c r="F101" s="3"/>
      <c r="G101" s="3"/>
      <c r="H101" s="3"/>
      <c r="I101" s="3" t="str">
        <f>IF(A101="","",COUNTIF([1]Attendance!D:D,A101))</f>
        <v/>
      </c>
      <c r="J101" s="6">
        <f>IFERROR(COUNTIFS([1]Attendance!D:D,A101,[1]Attendance!F:F,"نعم")/I101,0)</f>
        <v>0</v>
      </c>
      <c r="K101" s="6" t="str">
        <f>IFERROR(AVERAGEIF([2]Evaluation!D:D,A101,[2]Evaluation!H:H),"")</f>
        <v/>
      </c>
      <c r="L101" s="3" t="str">
        <f>IF(A101="","",IF(J101&lt;Setup!B8,"حضور غير مكتمل",IF(K101&lt;Setup!B7,"يحتاج إعادة تدريب","مكتمل")))</f>
        <v/>
      </c>
    </row>
    <row r="102" spans="1:12" x14ac:dyDescent="0.2">
      <c r="A102" s="3"/>
      <c r="B102" s="3"/>
      <c r="C102" s="3"/>
      <c r="D102" s="3"/>
      <c r="E102" s="3"/>
      <c r="F102" s="3"/>
      <c r="G102" s="3"/>
      <c r="H102" s="3"/>
      <c r="I102" s="3" t="str">
        <f>IF(A102="","",COUNTIF([1]Attendance!D:D,A102))</f>
        <v/>
      </c>
      <c r="J102" s="6">
        <f>IFERROR(COUNTIFS([1]Attendance!D:D,A102,[1]Attendance!F:F,"نعم")/I102,0)</f>
        <v>0</v>
      </c>
      <c r="K102" s="6" t="str">
        <f>IFERROR(AVERAGEIF([2]Evaluation!D:D,A102,[2]Evaluation!H:H),"")</f>
        <v/>
      </c>
      <c r="L102" s="3" t="str">
        <f>IF(A102="","",IF(J102&lt;Setup!B8,"حضور غير مكتمل",IF(K102&lt;Setup!B7,"يحتاج إعادة تدريب","مكتمل")))</f>
        <v/>
      </c>
    </row>
    <row r="103" spans="1:12" x14ac:dyDescent="0.2">
      <c r="A103" s="3"/>
      <c r="B103" s="3"/>
      <c r="C103" s="3"/>
      <c r="D103" s="3"/>
      <c r="E103" s="3"/>
      <c r="F103" s="3"/>
      <c r="G103" s="3"/>
      <c r="H103" s="3"/>
      <c r="I103" s="3" t="str">
        <f>IF(A103="","",COUNTIF([1]Attendance!D:D,A103))</f>
        <v/>
      </c>
      <c r="J103" s="6">
        <f>IFERROR(COUNTIFS([1]Attendance!D:D,A103,[1]Attendance!F:F,"نعم")/I103,0)</f>
        <v>0</v>
      </c>
      <c r="K103" s="6" t="str">
        <f>IFERROR(AVERAGEIF([2]Evaluation!D:D,A103,[2]Evaluation!H:H),"")</f>
        <v/>
      </c>
      <c r="L103" s="3" t="str">
        <f>IF(A103="","",IF(J103&lt;Setup!B8,"حضور غير مكتمل",IF(K103&lt;Setup!B7,"يحتاج إعادة تدريب","مكتمل")))</f>
        <v/>
      </c>
    </row>
    <row r="104" spans="1:12" x14ac:dyDescent="0.2">
      <c r="A104" s="3"/>
      <c r="B104" s="3"/>
      <c r="C104" s="3"/>
      <c r="D104" s="3"/>
      <c r="E104" s="3"/>
      <c r="F104" s="3"/>
      <c r="G104" s="3"/>
      <c r="H104" s="3"/>
      <c r="I104" s="3" t="str">
        <f>IF(A104="","",COUNTIF([1]Attendance!D:D,A104))</f>
        <v/>
      </c>
      <c r="J104" s="6">
        <f>IFERROR(COUNTIFS([1]Attendance!D:D,A104,[1]Attendance!F:F,"نعم")/I104,0)</f>
        <v>0</v>
      </c>
      <c r="K104" s="6" t="str">
        <f>IFERROR(AVERAGEIF([2]Evaluation!D:D,A104,[2]Evaluation!H:H),"")</f>
        <v/>
      </c>
      <c r="L104" s="3" t="str">
        <f>IF(A104="","",IF(J104&lt;Setup!B8,"حضور غير مكتمل",IF(K104&lt;Setup!B7,"يحتاج إعادة تدريب","مكتمل")))</f>
        <v/>
      </c>
    </row>
    <row r="105" spans="1:12" x14ac:dyDescent="0.2">
      <c r="A105" s="3"/>
      <c r="B105" s="3"/>
      <c r="C105" s="3"/>
      <c r="D105" s="3"/>
      <c r="E105" s="3"/>
      <c r="F105" s="3"/>
      <c r="G105" s="3"/>
      <c r="H105" s="3"/>
      <c r="I105" s="3" t="str">
        <f>IF(A105="","",COUNTIF([1]Attendance!D:D,A105))</f>
        <v/>
      </c>
      <c r="J105" s="6">
        <f>IFERROR(COUNTIFS([1]Attendance!D:D,A105,[1]Attendance!F:F,"نعم")/I105,0)</f>
        <v>0</v>
      </c>
      <c r="K105" s="6" t="str">
        <f>IFERROR(AVERAGEIF([2]Evaluation!D:D,A105,[2]Evaluation!H:H),"")</f>
        <v/>
      </c>
      <c r="L105" s="3" t="str">
        <f>IF(A105="","",IF(J105&lt;Setup!B8,"حضور غير مكتمل",IF(K105&lt;Setup!B7,"يحتاج إعادة تدريب","مكتمل")))</f>
        <v/>
      </c>
    </row>
    <row r="106" spans="1:12" x14ac:dyDescent="0.2">
      <c r="A106" s="3"/>
      <c r="B106" s="3"/>
      <c r="C106" s="3"/>
      <c r="D106" s="3"/>
      <c r="E106" s="3"/>
      <c r="F106" s="3"/>
      <c r="G106" s="3"/>
      <c r="H106" s="3"/>
      <c r="I106" s="3" t="str">
        <f>IF(A106="","",COUNTIF([1]Attendance!D:D,A106))</f>
        <v/>
      </c>
      <c r="J106" s="6">
        <f>IFERROR(COUNTIFS([1]Attendance!D:D,A106,[1]Attendance!F:F,"نعم")/I106,0)</f>
        <v>0</v>
      </c>
      <c r="K106" s="6" t="str">
        <f>IFERROR(AVERAGEIF([2]Evaluation!D:D,A106,[2]Evaluation!H:H),"")</f>
        <v/>
      </c>
      <c r="L106" s="3" t="str">
        <f>IF(A106="","",IF(J106&lt;Setup!B8,"حضور غير مكتمل",IF(K106&lt;Setup!B7,"يحتاج إعادة تدريب","مكتمل")))</f>
        <v/>
      </c>
    </row>
    <row r="107" spans="1:12" x14ac:dyDescent="0.2">
      <c r="A107" s="3"/>
      <c r="B107" s="3"/>
      <c r="C107" s="3"/>
      <c r="D107" s="3"/>
      <c r="E107" s="3"/>
      <c r="F107" s="3"/>
      <c r="G107" s="3"/>
      <c r="H107" s="3"/>
      <c r="I107" s="3" t="str">
        <f>IF(A107="","",COUNTIF([1]Attendance!D:D,A107))</f>
        <v/>
      </c>
      <c r="J107" s="6">
        <f>IFERROR(COUNTIFS([1]Attendance!D:D,A107,[1]Attendance!F:F,"نعم")/I107,0)</f>
        <v>0</v>
      </c>
      <c r="K107" s="6" t="str">
        <f>IFERROR(AVERAGEIF([2]Evaluation!D:D,A107,[2]Evaluation!H:H),"")</f>
        <v/>
      </c>
      <c r="L107" s="3" t="str">
        <f>IF(A107="","",IF(J107&lt;Setup!B8,"حضور غير مكتمل",IF(K107&lt;Setup!B7,"يحتاج إعادة تدريب","مكتمل")))</f>
        <v/>
      </c>
    </row>
    <row r="108" spans="1:12" x14ac:dyDescent="0.2">
      <c r="A108" s="3"/>
      <c r="B108" s="3"/>
      <c r="C108" s="3"/>
      <c r="D108" s="3"/>
      <c r="E108" s="3"/>
      <c r="F108" s="3"/>
      <c r="G108" s="3"/>
      <c r="H108" s="3"/>
      <c r="I108" s="3" t="str">
        <f>IF(A108="","",COUNTIF([1]Attendance!D:D,A108))</f>
        <v/>
      </c>
      <c r="J108" s="6">
        <f>IFERROR(COUNTIFS([1]Attendance!D:D,A108,[1]Attendance!F:F,"نعم")/I108,0)</f>
        <v>0</v>
      </c>
      <c r="K108" s="6" t="str">
        <f>IFERROR(AVERAGEIF([2]Evaluation!D:D,A108,[2]Evaluation!H:H),"")</f>
        <v/>
      </c>
      <c r="L108" s="3" t="str">
        <f>IF(A108="","",IF(J108&lt;Setup!B8,"حضور غير مكتمل",IF(K108&lt;Setup!B7,"يحتاج إعادة تدريب","مكتمل")))</f>
        <v/>
      </c>
    </row>
    <row r="109" spans="1:12" x14ac:dyDescent="0.2">
      <c r="A109" s="3"/>
      <c r="B109" s="3"/>
      <c r="C109" s="3"/>
      <c r="D109" s="3"/>
      <c r="E109" s="3"/>
      <c r="F109" s="3"/>
      <c r="G109" s="3"/>
      <c r="H109" s="3"/>
      <c r="I109" s="3" t="str">
        <f>IF(A109="","",COUNTIF([1]Attendance!D:D,A109))</f>
        <v/>
      </c>
      <c r="J109" s="6">
        <f>IFERROR(COUNTIFS([1]Attendance!D:D,A109,[1]Attendance!F:F,"نعم")/I109,0)</f>
        <v>0</v>
      </c>
      <c r="K109" s="6" t="str">
        <f>IFERROR(AVERAGEIF([2]Evaluation!D:D,A109,[2]Evaluation!H:H),"")</f>
        <v/>
      </c>
      <c r="L109" s="3" t="str">
        <f>IF(A109="","",IF(J109&lt;Setup!B8,"حضور غير مكتمل",IF(K109&lt;Setup!B7,"يحتاج إعادة تدريب","مكتمل")))</f>
        <v/>
      </c>
    </row>
    <row r="110" spans="1:12" x14ac:dyDescent="0.2">
      <c r="A110" s="3"/>
      <c r="B110" s="3"/>
      <c r="C110" s="3"/>
      <c r="D110" s="3"/>
      <c r="E110" s="3"/>
      <c r="F110" s="3"/>
      <c r="G110" s="3"/>
      <c r="H110" s="3"/>
      <c r="I110" s="3" t="str">
        <f>IF(A110="","",COUNTIF([1]Attendance!D:D,A110))</f>
        <v/>
      </c>
      <c r="J110" s="6">
        <f>IFERROR(COUNTIFS([1]Attendance!D:D,A110,[1]Attendance!F:F,"نعم")/I110,0)</f>
        <v>0</v>
      </c>
      <c r="K110" s="6" t="str">
        <f>IFERROR(AVERAGEIF([2]Evaluation!D:D,A110,[2]Evaluation!H:H),"")</f>
        <v/>
      </c>
      <c r="L110" s="3" t="str">
        <f>IF(A110="","",IF(J110&lt;Setup!B8,"حضور غير مكتمل",IF(K110&lt;Setup!B7,"يحتاج إعادة تدريب","مكتمل")))</f>
        <v/>
      </c>
    </row>
    <row r="111" spans="1:12" x14ac:dyDescent="0.2">
      <c r="A111" s="3"/>
      <c r="B111" s="3"/>
      <c r="C111" s="3"/>
      <c r="D111" s="3"/>
      <c r="E111" s="3"/>
      <c r="F111" s="3"/>
      <c r="G111" s="3"/>
      <c r="H111" s="3"/>
      <c r="I111" s="3" t="str">
        <f>IF(A111="","",COUNTIF([1]Attendance!D:D,A111))</f>
        <v/>
      </c>
      <c r="J111" s="6">
        <f>IFERROR(COUNTIFS([1]Attendance!D:D,A111,[1]Attendance!F:F,"نعم")/I111,0)</f>
        <v>0</v>
      </c>
      <c r="K111" s="6" t="str">
        <f>IFERROR(AVERAGEIF([2]Evaluation!D:D,A111,[2]Evaluation!H:H),"")</f>
        <v/>
      </c>
      <c r="L111" s="3" t="str">
        <f>IF(A111="","",IF(J111&lt;Setup!B8,"حضور غير مكتمل",IF(K111&lt;Setup!B7,"يحتاج إعادة تدريب","مكتمل")))</f>
        <v/>
      </c>
    </row>
    <row r="112" spans="1:12" x14ac:dyDescent="0.2">
      <c r="A112" s="3"/>
      <c r="B112" s="3"/>
      <c r="C112" s="3"/>
      <c r="D112" s="3"/>
      <c r="E112" s="3"/>
      <c r="F112" s="3"/>
      <c r="G112" s="3"/>
      <c r="H112" s="3"/>
      <c r="I112" s="3" t="str">
        <f>IF(A112="","",COUNTIF([1]Attendance!D:D,A112))</f>
        <v/>
      </c>
      <c r="J112" s="6">
        <f>IFERROR(COUNTIFS([1]Attendance!D:D,A112,[1]Attendance!F:F,"نعم")/I112,0)</f>
        <v>0</v>
      </c>
      <c r="K112" s="6" t="str">
        <f>IFERROR(AVERAGEIF([2]Evaluation!D:D,A112,[2]Evaluation!H:H),"")</f>
        <v/>
      </c>
      <c r="L112" s="3" t="str">
        <f>IF(A112="","",IF(J112&lt;Setup!B8,"حضور غير مكتمل",IF(K112&lt;Setup!B7,"يحتاج إعادة تدريب","مكتمل")))</f>
        <v/>
      </c>
    </row>
    <row r="113" spans="1:12" x14ac:dyDescent="0.2">
      <c r="A113" s="3"/>
      <c r="B113" s="3"/>
      <c r="C113" s="3"/>
      <c r="D113" s="3"/>
      <c r="E113" s="3"/>
      <c r="F113" s="3"/>
      <c r="G113" s="3"/>
      <c r="H113" s="3"/>
      <c r="I113" s="3" t="str">
        <f>IF(A113="","",COUNTIF([1]Attendance!D:D,A113))</f>
        <v/>
      </c>
      <c r="J113" s="6">
        <f>IFERROR(COUNTIFS([1]Attendance!D:D,A113,[1]Attendance!F:F,"نعم")/I113,0)</f>
        <v>0</v>
      </c>
      <c r="K113" s="6" t="str">
        <f>IFERROR(AVERAGEIF([2]Evaluation!D:D,A113,[2]Evaluation!H:H),"")</f>
        <v/>
      </c>
      <c r="L113" s="3" t="str">
        <f>IF(A113="","",IF(J113&lt;Setup!B8,"حضور غير مكتمل",IF(K113&lt;Setup!B7,"يحتاج إعادة تدريب","مكتمل")))</f>
        <v/>
      </c>
    </row>
    <row r="114" spans="1:12" x14ac:dyDescent="0.2">
      <c r="A114" s="3"/>
      <c r="B114" s="3"/>
      <c r="C114" s="3"/>
      <c r="D114" s="3"/>
      <c r="E114" s="3"/>
      <c r="F114" s="3"/>
      <c r="G114" s="3"/>
      <c r="H114" s="3"/>
      <c r="I114" s="3" t="str">
        <f>IF(A114="","",COUNTIF([1]Attendance!D:D,A114))</f>
        <v/>
      </c>
      <c r="J114" s="6">
        <f>IFERROR(COUNTIFS([1]Attendance!D:D,A114,[1]Attendance!F:F,"نعم")/I114,0)</f>
        <v>0</v>
      </c>
      <c r="K114" s="6" t="str">
        <f>IFERROR(AVERAGEIF([2]Evaluation!D:D,A114,[2]Evaluation!H:H),"")</f>
        <v/>
      </c>
      <c r="L114" s="3" t="str">
        <f>IF(A114="","",IF(J114&lt;Setup!B8,"حضور غير مكتمل",IF(K114&lt;Setup!B7,"يحتاج إعادة تدريب","مكتمل")))</f>
        <v/>
      </c>
    </row>
    <row r="115" spans="1:12" x14ac:dyDescent="0.2">
      <c r="A115" s="3"/>
      <c r="B115" s="3"/>
      <c r="C115" s="3"/>
      <c r="D115" s="3"/>
      <c r="E115" s="3"/>
      <c r="F115" s="3"/>
      <c r="G115" s="3"/>
      <c r="H115" s="3"/>
      <c r="I115" s="3" t="str">
        <f>IF(A115="","",COUNTIF([1]Attendance!D:D,A115))</f>
        <v/>
      </c>
      <c r="J115" s="6">
        <f>IFERROR(COUNTIFS([1]Attendance!D:D,A115,[1]Attendance!F:F,"نعم")/I115,0)</f>
        <v>0</v>
      </c>
      <c r="K115" s="6" t="str">
        <f>IFERROR(AVERAGEIF([2]Evaluation!D:D,A115,[2]Evaluation!H:H),"")</f>
        <v/>
      </c>
      <c r="L115" s="3" t="str">
        <f>IF(A115="","",IF(J115&lt;Setup!B8,"حضور غير مكتمل",IF(K115&lt;Setup!B7,"يحتاج إعادة تدريب","مكتمل")))</f>
        <v/>
      </c>
    </row>
    <row r="116" spans="1:12" x14ac:dyDescent="0.2">
      <c r="A116" s="3"/>
      <c r="B116" s="3"/>
      <c r="C116" s="3"/>
      <c r="D116" s="3"/>
      <c r="E116" s="3"/>
      <c r="F116" s="3"/>
      <c r="G116" s="3"/>
      <c r="H116" s="3"/>
      <c r="I116" s="3" t="str">
        <f>IF(A116="","",COUNTIF([1]Attendance!D:D,A116))</f>
        <v/>
      </c>
      <c r="J116" s="6">
        <f>IFERROR(COUNTIFS([1]Attendance!D:D,A116,[1]Attendance!F:F,"نعم")/I116,0)</f>
        <v>0</v>
      </c>
      <c r="K116" s="6" t="str">
        <f>IFERROR(AVERAGEIF([2]Evaluation!D:D,A116,[2]Evaluation!H:H),"")</f>
        <v/>
      </c>
      <c r="L116" s="3" t="str">
        <f>IF(A116="","",IF(J116&lt;Setup!B8,"حضور غير مكتمل",IF(K116&lt;Setup!B7,"يحتاج إعادة تدريب","مكتمل")))</f>
        <v/>
      </c>
    </row>
    <row r="117" spans="1:12" x14ac:dyDescent="0.2">
      <c r="A117" s="3"/>
      <c r="B117" s="3"/>
      <c r="C117" s="3"/>
      <c r="D117" s="3"/>
      <c r="E117" s="3"/>
      <c r="F117" s="3"/>
      <c r="G117" s="3"/>
      <c r="H117" s="3"/>
      <c r="I117" s="3" t="str">
        <f>IF(A117="","",COUNTIF([1]Attendance!D:D,A117))</f>
        <v/>
      </c>
      <c r="J117" s="6">
        <f>IFERROR(COUNTIFS([1]Attendance!D:D,A117,[1]Attendance!F:F,"نعم")/I117,0)</f>
        <v>0</v>
      </c>
      <c r="K117" s="6" t="str">
        <f>IFERROR(AVERAGEIF([2]Evaluation!D:D,A117,[2]Evaluation!H:H),"")</f>
        <v/>
      </c>
      <c r="L117" s="3" t="str">
        <f>IF(A117="","",IF(J117&lt;Setup!B8,"حضور غير مكتمل",IF(K117&lt;Setup!B7,"يحتاج إعادة تدريب","مكتمل")))</f>
        <v/>
      </c>
    </row>
    <row r="118" spans="1:12" x14ac:dyDescent="0.2">
      <c r="A118" s="3"/>
      <c r="B118" s="3"/>
      <c r="C118" s="3"/>
      <c r="D118" s="3"/>
      <c r="E118" s="3"/>
      <c r="F118" s="3"/>
      <c r="G118" s="3"/>
      <c r="H118" s="3"/>
      <c r="I118" s="3" t="str">
        <f>IF(A118="","",COUNTIF([1]Attendance!D:D,A118))</f>
        <v/>
      </c>
      <c r="J118" s="6">
        <f>IFERROR(COUNTIFS([1]Attendance!D:D,A118,[1]Attendance!F:F,"نعم")/I118,0)</f>
        <v>0</v>
      </c>
      <c r="K118" s="6" t="str">
        <f>IFERROR(AVERAGEIF([2]Evaluation!D:D,A118,[2]Evaluation!H:H),"")</f>
        <v/>
      </c>
      <c r="L118" s="3" t="str">
        <f>IF(A118="","",IF(J118&lt;Setup!B8,"حضور غير مكتمل",IF(K118&lt;Setup!B7,"يحتاج إعادة تدريب","مكتمل")))</f>
        <v/>
      </c>
    </row>
    <row r="119" spans="1:12" x14ac:dyDescent="0.2">
      <c r="A119" s="3"/>
      <c r="B119" s="3"/>
      <c r="C119" s="3"/>
      <c r="D119" s="3"/>
      <c r="E119" s="3"/>
      <c r="F119" s="3"/>
      <c r="G119" s="3"/>
      <c r="H119" s="3"/>
      <c r="I119" s="3" t="str">
        <f>IF(A119="","",COUNTIF([1]Attendance!D:D,A119))</f>
        <v/>
      </c>
      <c r="J119" s="6">
        <f>IFERROR(COUNTIFS([1]Attendance!D:D,A119,[1]Attendance!F:F,"نعم")/I119,0)</f>
        <v>0</v>
      </c>
      <c r="K119" s="6" t="str">
        <f>IFERROR(AVERAGEIF([2]Evaluation!D:D,A119,[2]Evaluation!H:H),"")</f>
        <v/>
      </c>
      <c r="L119" s="3" t="str">
        <f>IF(A119="","",IF(J119&lt;Setup!B8,"حضور غير مكتمل",IF(K119&lt;Setup!B7,"يحتاج إعادة تدريب","مكتمل")))</f>
        <v/>
      </c>
    </row>
    <row r="120" spans="1:12" x14ac:dyDescent="0.2">
      <c r="A120" s="3"/>
      <c r="B120" s="3"/>
      <c r="C120" s="3"/>
      <c r="D120" s="3"/>
      <c r="E120" s="3"/>
      <c r="F120" s="3"/>
      <c r="G120" s="3"/>
      <c r="H120" s="3"/>
      <c r="I120" s="3" t="str">
        <f>IF(A120="","",COUNTIF([1]Attendance!D:D,A120))</f>
        <v/>
      </c>
      <c r="J120" s="6">
        <f>IFERROR(COUNTIFS([1]Attendance!D:D,A120,[1]Attendance!F:F,"نعم")/I120,0)</f>
        <v>0</v>
      </c>
      <c r="K120" s="6" t="str">
        <f>IFERROR(AVERAGEIF([2]Evaluation!D:D,A120,[2]Evaluation!H:H),"")</f>
        <v/>
      </c>
      <c r="L120" s="3" t="str">
        <f>IF(A120="","",IF(J120&lt;Setup!B8,"حضور غير مكتمل",IF(K120&lt;Setup!B7,"يحتاج إعادة تدريب","مكتمل")))</f>
        <v/>
      </c>
    </row>
    <row r="121" spans="1:12" x14ac:dyDescent="0.2">
      <c r="A121" s="3"/>
      <c r="B121" s="3"/>
      <c r="C121" s="3"/>
      <c r="D121" s="3"/>
      <c r="E121" s="3"/>
      <c r="F121" s="3"/>
      <c r="G121" s="3"/>
      <c r="H121" s="3"/>
      <c r="I121" s="3" t="str">
        <f>IF(A121="","",COUNTIF([1]Attendance!D:D,A121))</f>
        <v/>
      </c>
      <c r="J121" s="6">
        <f>IFERROR(COUNTIFS([1]Attendance!D:D,A121,[1]Attendance!F:F,"نعم")/I121,0)</f>
        <v>0</v>
      </c>
      <c r="K121" s="6" t="str">
        <f>IFERROR(AVERAGEIF([2]Evaluation!D:D,A121,[2]Evaluation!H:H),"")</f>
        <v/>
      </c>
      <c r="L121" s="3" t="str">
        <f>IF(A121="","",IF(J121&lt;Setup!B8,"حضور غير مكتمل",IF(K121&lt;Setup!B7,"يحتاج إعادة تدريب","مكتمل")))</f>
        <v/>
      </c>
    </row>
    <row r="122" spans="1:12" x14ac:dyDescent="0.2">
      <c r="A122" s="3"/>
      <c r="B122" s="3"/>
      <c r="C122" s="3"/>
      <c r="D122" s="3"/>
      <c r="E122" s="3"/>
      <c r="F122" s="3"/>
      <c r="G122" s="3"/>
      <c r="H122" s="3"/>
      <c r="I122" s="3" t="str">
        <f>IF(A122="","",COUNTIF([1]Attendance!D:D,A122))</f>
        <v/>
      </c>
      <c r="J122" s="6">
        <f>IFERROR(COUNTIFS([1]Attendance!D:D,A122,[1]Attendance!F:F,"نعم")/I122,0)</f>
        <v>0</v>
      </c>
      <c r="K122" s="6" t="str">
        <f>IFERROR(AVERAGEIF([2]Evaluation!D:D,A122,[2]Evaluation!H:H),"")</f>
        <v/>
      </c>
      <c r="L122" s="3" t="str">
        <f>IF(A122="","",IF(J122&lt;Setup!B8,"حضور غير مكتمل",IF(K122&lt;Setup!B7,"يحتاج إعادة تدريب","مكتمل")))</f>
        <v/>
      </c>
    </row>
    <row r="123" spans="1:12" x14ac:dyDescent="0.2">
      <c r="A123" s="3"/>
      <c r="B123" s="3"/>
      <c r="C123" s="3"/>
      <c r="D123" s="3"/>
      <c r="E123" s="3"/>
      <c r="F123" s="3"/>
      <c r="G123" s="3"/>
      <c r="H123" s="3"/>
      <c r="I123" s="3" t="str">
        <f>IF(A123="","",COUNTIF([1]Attendance!D:D,A123))</f>
        <v/>
      </c>
      <c r="J123" s="6">
        <f>IFERROR(COUNTIFS([1]Attendance!D:D,A123,[1]Attendance!F:F,"نعم")/I123,0)</f>
        <v>0</v>
      </c>
      <c r="K123" s="6" t="str">
        <f>IFERROR(AVERAGEIF([2]Evaluation!D:D,A123,[2]Evaluation!H:H),"")</f>
        <v/>
      </c>
      <c r="L123" s="3" t="str">
        <f>IF(A123="","",IF(J123&lt;Setup!B8,"حضور غير مكتمل",IF(K123&lt;Setup!B7,"يحتاج إعادة تدريب","مكتمل")))</f>
        <v/>
      </c>
    </row>
    <row r="124" spans="1:12" x14ac:dyDescent="0.2">
      <c r="A124" s="3"/>
      <c r="B124" s="3"/>
      <c r="C124" s="3"/>
      <c r="D124" s="3"/>
      <c r="E124" s="3"/>
      <c r="F124" s="3"/>
      <c r="G124" s="3"/>
      <c r="H124" s="3"/>
      <c r="I124" s="3" t="str">
        <f>IF(A124="","",COUNTIF([1]Attendance!D:D,A124))</f>
        <v/>
      </c>
      <c r="J124" s="6">
        <f>IFERROR(COUNTIFS([1]Attendance!D:D,A124,[1]Attendance!F:F,"نعم")/I124,0)</f>
        <v>0</v>
      </c>
      <c r="K124" s="6" t="str">
        <f>IFERROR(AVERAGEIF([2]Evaluation!D:D,A124,[2]Evaluation!H:H),"")</f>
        <v/>
      </c>
      <c r="L124" s="3" t="str">
        <f>IF(A124="","",IF(J124&lt;Setup!B8,"حضور غير مكتمل",IF(K124&lt;Setup!B7,"يحتاج إعادة تدريب","مكتمل")))</f>
        <v/>
      </c>
    </row>
    <row r="125" spans="1:12" x14ac:dyDescent="0.2">
      <c r="A125" s="3"/>
      <c r="B125" s="3"/>
      <c r="C125" s="3"/>
      <c r="D125" s="3"/>
      <c r="E125" s="3"/>
      <c r="F125" s="3"/>
      <c r="G125" s="3"/>
      <c r="H125" s="3"/>
      <c r="I125" s="3" t="str">
        <f>IF(A125="","",COUNTIF([1]Attendance!D:D,A125))</f>
        <v/>
      </c>
      <c r="J125" s="6">
        <f>IFERROR(COUNTIFS([1]Attendance!D:D,A125,[1]Attendance!F:F,"نعم")/I125,0)</f>
        <v>0</v>
      </c>
      <c r="K125" s="6" t="str">
        <f>IFERROR(AVERAGEIF([2]Evaluation!D:D,A125,[2]Evaluation!H:H),"")</f>
        <v/>
      </c>
      <c r="L125" s="3" t="str">
        <f>IF(A125="","",IF(J125&lt;Setup!B8,"حضور غير مكتمل",IF(K125&lt;Setup!B7,"يحتاج إعادة تدريب","مكتمل")))</f>
        <v/>
      </c>
    </row>
    <row r="126" spans="1:12" x14ac:dyDescent="0.2">
      <c r="A126" s="3"/>
      <c r="B126" s="3"/>
      <c r="C126" s="3"/>
      <c r="D126" s="3"/>
      <c r="E126" s="3"/>
      <c r="F126" s="3"/>
      <c r="G126" s="3"/>
      <c r="H126" s="3"/>
      <c r="I126" s="3" t="str">
        <f>IF(A126="","",COUNTIF([1]Attendance!D:D,A126))</f>
        <v/>
      </c>
      <c r="J126" s="6">
        <f>IFERROR(COUNTIFS([1]Attendance!D:D,A126,[1]Attendance!F:F,"نعم")/I126,0)</f>
        <v>0</v>
      </c>
      <c r="K126" s="6" t="str">
        <f>IFERROR(AVERAGEIF([2]Evaluation!D:D,A126,[2]Evaluation!H:H),"")</f>
        <v/>
      </c>
      <c r="L126" s="3" t="str">
        <f>IF(A126="","",IF(J126&lt;Setup!B8,"حضور غير مكتمل",IF(K126&lt;Setup!B7,"يحتاج إعادة تدريب","مكتمل")))</f>
        <v/>
      </c>
    </row>
    <row r="127" spans="1:12" x14ac:dyDescent="0.2">
      <c r="A127" s="3"/>
      <c r="B127" s="3"/>
      <c r="C127" s="3"/>
      <c r="D127" s="3"/>
      <c r="E127" s="3"/>
      <c r="F127" s="3"/>
      <c r="G127" s="3"/>
      <c r="H127" s="3"/>
      <c r="I127" s="3" t="str">
        <f>IF(A127="","",COUNTIF([1]Attendance!D:D,A127))</f>
        <v/>
      </c>
      <c r="J127" s="6">
        <f>IFERROR(COUNTIFS([1]Attendance!D:D,A127,[1]Attendance!F:F,"نعم")/I127,0)</f>
        <v>0</v>
      </c>
      <c r="K127" s="6" t="str">
        <f>IFERROR(AVERAGEIF([2]Evaluation!D:D,A127,[2]Evaluation!H:H),"")</f>
        <v/>
      </c>
      <c r="L127" s="3" t="str">
        <f>IF(A127="","",IF(J127&lt;Setup!B8,"حضور غير مكتمل",IF(K127&lt;Setup!B7,"يحتاج إعادة تدريب","مكتمل")))</f>
        <v/>
      </c>
    </row>
    <row r="128" spans="1:12" x14ac:dyDescent="0.2">
      <c r="A128" s="3"/>
      <c r="B128" s="3"/>
      <c r="C128" s="3"/>
      <c r="D128" s="3"/>
      <c r="E128" s="3"/>
      <c r="F128" s="3"/>
      <c r="G128" s="3"/>
      <c r="H128" s="3"/>
      <c r="I128" s="3" t="str">
        <f>IF(A128="","",COUNTIF([1]Attendance!D:D,A128))</f>
        <v/>
      </c>
      <c r="J128" s="6">
        <f>IFERROR(COUNTIFS([1]Attendance!D:D,A128,[1]Attendance!F:F,"نعم")/I128,0)</f>
        <v>0</v>
      </c>
      <c r="K128" s="6" t="str">
        <f>IFERROR(AVERAGEIF([2]Evaluation!D:D,A128,[2]Evaluation!H:H),"")</f>
        <v/>
      </c>
      <c r="L128" s="3" t="str">
        <f>IF(A128="","",IF(J128&lt;Setup!B8,"حضور غير مكتمل",IF(K128&lt;Setup!B7,"يحتاج إعادة تدريب","مكتمل")))</f>
        <v/>
      </c>
    </row>
    <row r="129" spans="1:12" x14ac:dyDescent="0.2">
      <c r="A129" s="3"/>
      <c r="B129" s="3"/>
      <c r="C129" s="3"/>
      <c r="D129" s="3"/>
      <c r="E129" s="3"/>
      <c r="F129" s="3"/>
      <c r="G129" s="3"/>
      <c r="H129" s="3"/>
      <c r="I129" s="3" t="str">
        <f>IF(A129="","",COUNTIF([1]Attendance!D:D,A129))</f>
        <v/>
      </c>
      <c r="J129" s="6">
        <f>IFERROR(COUNTIFS([1]Attendance!D:D,A129,[1]Attendance!F:F,"نعم")/I129,0)</f>
        <v>0</v>
      </c>
      <c r="K129" s="6" t="str">
        <f>IFERROR(AVERAGEIF([2]Evaluation!D:D,A129,[2]Evaluation!H:H),"")</f>
        <v/>
      </c>
      <c r="L129" s="3" t="str">
        <f>IF(A129="","",IF(J129&lt;Setup!B8,"حضور غير مكتمل",IF(K129&lt;Setup!B7,"يحتاج إعادة تدريب","مكتمل")))</f>
        <v/>
      </c>
    </row>
    <row r="130" spans="1:12" x14ac:dyDescent="0.2">
      <c r="A130" s="3"/>
      <c r="B130" s="3"/>
      <c r="C130" s="3"/>
      <c r="D130" s="3"/>
      <c r="E130" s="3"/>
      <c r="F130" s="3"/>
      <c r="G130" s="3"/>
      <c r="H130" s="3"/>
      <c r="I130" s="3" t="str">
        <f>IF(A130="","",COUNTIF([1]Attendance!D:D,A130))</f>
        <v/>
      </c>
      <c r="J130" s="6">
        <f>IFERROR(COUNTIFS([1]Attendance!D:D,A130,[1]Attendance!F:F,"نعم")/I130,0)</f>
        <v>0</v>
      </c>
      <c r="K130" s="6" t="str">
        <f>IFERROR(AVERAGEIF([2]Evaluation!D:D,A130,[2]Evaluation!H:H),"")</f>
        <v/>
      </c>
      <c r="L130" s="3" t="str">
        <f>IF(A130="","",IF(J130&lt;Setup!B8,"حضور غير مكتمل",IF(K130&lt;Setup!B7,"يحتاج إعادة تدريب","مكتمل")))</f>
        <v/>
      </c>
    </row>
    <row r="131" spans="1:12" x14ac:dyDescent="0.2">
      <c r="A131" s="3"/>
      <c r="B131" s="3"/>
      <c r="C131" s="3"/>
      <c r="D131" s="3"/>
      <c r="E131" s="3"/>
      <c r="F131" s="3"/>
      <c r="G131" s="3"/>
      <c r="H131" s="3"/>
      <c r="I131" s="3" t="str">
        <f>IF(A131="","",COUNTIF([1]Attendance!D:D,A131))</f>
        <v/>
      </c>
      <c r="J131" s="6">
        <f>IFERROR(COUNTIFS([1]Attendance!D:D,A131,[1]Attendance!F:F,"نعم")/I131,0)</f>
        <v>0</v>
      </c>
      <c r="K131" s="6" t="str">
        <f>IFERROR(AVERAGEIF([2]Evaluation!D:D,A131,[2]Evaluation!H:H),"")</f>
        <v/>
      </c>
      <c r="L131" s="3" t="str">
        <f>IF(A131="","",IF(J131&lt;Setup!B8,"حضور غير مكتمل",IF(K131&lt;Setup!B7,"يحتاج إعادة تدريب","مكتمل")))</f>
        <v/>
      </c>
    </row>
    <row r="132" spans="1:12" x14ac:dyDescent="0.2">
      <c r="A132" s="3"/>
      <c r="B132" s="3"/>
      <c r="C132" s="3"/>
      <c r="D132" s="3"/>
      <c r="E132" s="3"/>
      <c r="F132" s="3"/>
      <c r="G132" s="3"/>
      <c r="H132" s="3"/>
      <c r="I132" s="3" t="str">
        <f>IF(A132="","",COUNTIF([1]Attendance!D:D,A132))</f>
        <v/>
      </c>
      <c r="J132" s="6">
        <f>IFERROR(COUNTIFS([1]Attendance!D:D,A132,[1]Attendance!F:F,"نعم")/I132,0)</f>
        <v>0</v>
      </c>
      <c r="K132" s="6" t="str">
        <f>IFERROR(AVERAGEIF([2]Evaluation!D:D,A132,[2]Evaluation!H:H),"")</f>
        <v/>
      </c>
      <c r="L132" s="3" t="str">
        <f>IF(A132="","",IF(J132&lt;Setup!B8,"حضور غير مكتمل",IF(K132&lt;Setup!B7,"يحتاج إعادة تدريب","مكتمل")))</f>
        <v/>
      </c>
    </row>
    <row r="133" spans="1:12" x14ac:dyDescent="0.2">
      <c r="A133" s="3"/>
      <c r="B133" s="3"/>
      <c r="C133" s="3"/>
      <c r="D133" s="3"/>
      <c r="E133" s="3"/>
      <c r="F133" s="3"/>
      <c r="G133" s="3"/>
      <c r="H133" s="3"/>
      <c r="I133" s="3" t="str">
        <f>IF(A133="","",COUNTIF([1]Attendance!D:D,A133))</f>
        <v/>
      </c>
      <c r="J133" s="6">
        <f>IFERROR(COUNTIFS([1]Attendance!D:D,A133,[1]Attendance!F:F,"نعم")/I133,0)</f>
        <v>0</v>
      </c>
      <c r="K133" s="6" t="str">
        <f>IFERROR(AVERAGEIF([2]Evaluation!D:D,A133,[2]Evaluation!H:H),"")</f>
        <v/>
      </c>
      <c r="L133" s="3" t="str">
        <f>IF(A133="","",IF(J133&lt;Setup!B8,"حضور غير مكتمل",IF(K133&lt;Setup!B7,"يحتاج إعادة تدريب","مكتمل")))</f>
        <v/>
      </c>
    </row>
    <row r="134" spans="1:12" x14ac:dyDescent="0.2">
      <c r="A134" s="3"/>
      <c r="B134" s="3"/>
      <c r="C134" s="3"/>
      <c r="D134" s="3"/>
      <c r="E134" s="3"/>
      <c r="F134" s="3"/>
      <c r="G134" s="3"/>
      <c r="H134" s="3"/>
      <c r="I134" s="3" t="str">
        <f>IF(A134="","",COUNTIF([1]Attendance!D:D,A134))</f>
        <v/>
      </c>
      <c r="J134" s="6">
        <f>IFERROR(COUNTIFS([1]Attendance!D:D,A134,[1]Attendance!F:F,"نعم")/I134,0)</f>
        <v>0</v>
      </c>
      <c r="K134" s="6" t="str">
        <f>IFERROR(AVERAGEIF([2]Evaluation!D:D,A134,[2]Evaluation!H:H),"")</f>
        <v/>
      </c>
      <c r="L134" s="3" t="str">
        <f>IF(A134="","",IF(J134&lt;Setup!B8,"حضور غير مكتمل",IF(K134&lt;Setup!B7,"يحتاج إعادة تدريب","مكتمل")))</f>
        <v/>
      </c>
    </row>
    <row r="135" spans="1:12" x14ac:dyDescent="0.2">
      <c r="A135" s="3"/>
      <c r="B135" s="3"/>
      <c r="C135" s="3"/>
      <c r="D135" s="3"/>
      <c r="E135" s="3"/>
      <c r="F135" s="3"/>
      <c r="G135" s="3"/>
      <c r="H135" s="3"/>
      <c r="I135" s="3" t="str">
        <f>IF(A135="","",COUNTIF([1]Attendance!D:D,A135))</f>
        <v/>
      </c>
      <c r="J135" s="6">
        <f>IFERROR(COUNTIFS([1]Attendance!D:D,A135,[1]Attendance!F:F,"نعم")/I135,0)</f>
        <v>0</v>
      </c>
      <c r="K135" s="6" t="str">
        <f>IFERROR(AVERAGEIF([2]Evaluation!D:D,A135,[2]Evaluation!H:H),"")</f>
        <v/>
      </c>
      <c r="L135" s="3" t="str">
        <f>IF(A135="","",IF(J135&lt;Setup!B8,"حضور غير مكتمل",IF(K135&lt;Setup!B7,"يحتاج إعادة تدريب","مكتمل")))</f>
        <v/>
      </c>
    </row>
    <row r="136" spans="1:12" x14ac:dyDescent="0.2">
      <c r="A136" s="3"/>
      <c r="B136" s="3"/>
      <c r="C136" s="3"/>
      <c r="D136" s="3"/>
      <c r="E136" s="3"/>
      <c r="F136" s="3"/>
      <c r="G136" s="3"/>
      <c r="H136" s="3"/>
      <c r="I136" s="3" t="str">
        <f>IF(A136="","",COUNTIF([1]Attendance!D:D,A136))</f>
        <v/>
      </c>
      <c r="J136" s="6">
        <f>IFERROR(COUNTIFS([1]Attendance!D:D,A136,[1]Attendance!F:F,"نعم")/I136,0)</f>
        <v>0</v>
      </c>
      <c r="K136" s="6" t="str">
        <f>IFERROR(AVERAGEIF([2]Evaluation!D:D,A136,[2]Evaluation!H:H),"")</f>
        <v/>
      </c>
      <c r="L136" s="3" t="str">
        <f>IF(A136="","",IF(J136&lt;Setup!B8,"حضور غير مكتمل",IF(K136&lt;Setup!B7,"يحتاج إعادة تدريب","مكتمل")))</f>
        <v/>
      </c>
    </row>
    <row r="137" spans="1:12" x14ac:dyDescent="0.2">
      <c r="A137" s="3"/>
      <c r="B137" s="3"/>
      <c r="C137" s="3"/>
      <c r="D137" s="3"/>
      <c r="E137" s="3"/>
      <c r="F137" s="3"/>
      <c r="G137" s="3"/>
      <c r="H137" s="3"/>
      <c r="I137" s="3" t="str">
        <f>IF(A137="","",COUNTIF([1]Attendance!D:D,A137))</f>
        <v/>
      </c>
      <c r="J137" s="6">
        <f>IFERROR(COUNTIFS([1]Attendance!D:D,A137,[1]Attendance!F:F,"نعم")/I137,0)</f>
        <v>0</v>
      </c>
      <c r="K137" s="6" t="str">
        <f>IFERROR(AVERAGEIF([2]Evaluation!D:D,A137,[2]Evaluation!H:H),"")</f>
        <v/>
      </c>
      <c r="L137" s="3" t="str">
        <f>IF(A137="","",IF(J137&lt;Setup!B8,"حضور غير مكتمل",IF(K137&lt;Setup!B7,"يحتاج إعادة تدريب","مكتمل")))</f>
        <v/>
      </c>
    </row>
    <row r="138" spans="1:12" x14ac:dyDescent="0.2">
      <c r="A138" s="3"/>
      <c r="B138" s="3"/>
      <c r="C138" s="3"/>
      <c r="D138" s="3"/>
      <c r="E138" s="3"/>
      <c r="F138" s="3"/>
      <c r="G138" s="3"/>
      <c r="H138" s="3"/>
      <c r="I138" s="3" t="str">
        <f>IF(A138="","",COUNTIF([1]Attendance!D:D,A138))</f>
        <v/>
      </c>
      <c r="J138" s="6">
        <f>IFERROR(COUNTIFS([1]Attendance!D:D,A138,[1]Attendance!F:F,"نعم")/I138,0)</f>
        <v>0</v>
      </c>
      <c r="K138" s="6" t="str">
        <f>IFERROR(AVERAGEIF([2]Evaluation!D:D,A138,[2]Evaluation!H:H),"")</f>
        <v/>
      </c>
      <c r="L138" s="3" t="str">
        <f>IF(A138="","",IF(J138&lt;Setup!B8,"حضور غير مكتمل",IF(K138&lt;Setup!B7,"يحتاج إعادة تدريب","مكتمل")))</f>
        <v/>
      </c>
    </row>
    <row r="139" spans="1:12" x14ac:dyDescent="0.2">
      <c r="A139" s="3"/>
      <c r="B139" s="3"/>
      <c r="C139" s="3"/>
      <c r="D139" s="3"/>
      <c r="E139" s="3"/>
      <c r="F139" s="3"/>
      <c r="G139" s="3"/>
      <c r="H139" s="3"/>
      <c r="I139" s="3" t="str">
        <f>IF(A139="","",COUNTIF([1]Attendance!D:D,A139))</f>
        <v/>
      </c>
      <c r="J139" s="6">
        <f>IFERROR(COUNTIFS([1]Attendance!D:D,A139,[1]Attendance!F:F,"نعم")/I139,0)</f>
        <v>0</v>
      </c>
      <c r="K139" s="6" t="str">
        <f>IFERROR(AVERAGEIF([2]Evaluation!D:D,A139,[2]Evaluation!H:H),"")</f>
        <v/>
      </c>
      <c r="L139" s="3" t="str">
        <f>IF(A139="","",IF(J139&lt;Setup!B8,"حضور غير مكتمل",IF(K139&lt;Setup!B7,"يحتاج إعادة تدريب","مكتمل")))</f>
        <v/>
      </c>
    </row>
    <row r="140" spans="1:12" x14ac:dyDescent="0.2">
      <c r="A140" s="3"/>
      <c r="B140" s="3"/>
      <c r="C140" s="3"/>
      <c r="D140" s="3"/>
      <c r="E140" s="3"/>
      <c r="F140" s="3"/>
      <c r="G140" s="3"/>
      <c r="H140" s="3"/>
      <c r="I140" s="3" t="str">
        <f>IF(A140="","",COUNTIF([1]Attendance!D:D,A140))</f>
        <v/>
      </c>
      <c r="J140" s="6">
        <f>IFERROR(COUNTIFS([1]Attendance!D:D,A140,[1]Attendance!F:F,"نعم")/I140,0)</f>
        <v>0</v>
      </c>
      <c r="K140" s="6" t="str">
        <f>IFERROR(AVERAGEIF([2]Evaluation!D:D,A140,[2]Evaluation!H:H),"")</f>
        <v/>
      </c>
      <c r="L140" s="3" t="str">
        <f>IF(A140="","",IF(J140&lt;Setup!B8,"حضور غير مكتمل",IF(K140&lt;Setup!B7,"يحتاج إعادة تدريب","مكتمل")))</f>
        <v/>
      </c>
    </row>
    <row r="141" spans="1:12" x14ac:dyDescent="0.2">
      <c r="A141" s="3"/>
      <c r="B141" s="3"/>
      <c r="C141" s="3"/>
      <c r="D141" s="3"/>
      <c r="E141" s="3"/>
      <c r="F141" s="3"/>
      <c r="G141" s="3"/>
      <c r="H141" s="3"/>
      <c r="I141" s="3" t="str">
        <f>IF(A141="","",COUNTIF([1]Attendance!D:D,A141))</f>
        <v/>
      </c>
      <c r="J141" s="6">
        <f>IFERROR(COUNTIFS([1]Attendance!D:D,A141,[1]Attendance!F:F,"نعم")/I141,0)</f>
        <v>0</v>
      </c>
      <c r="K141" s="6" t="str">
        <f>IFERROR(AVERAGEIF([2]Evaluation!D:D,A141,[2]Evaluation!H:H),"")</f>
        <v/>
      </c>
      <c r="L141" s="3" t="str">
        <f>IF(A141="","",IF(J141&lt;Setup!B8,"حضور غير مكتمل",IF(K141&lt;Setup!B7,"يحتاج إعادة تدريب","مكتمل")))</f>
        <v/>
      </c>
    </row>
    <row r="142" spans="1:12" x14ac:dyDescent="0.2">
      <c r="A142" s="3"/>
      <c r="B142" s="3"/>
      <c r="C142" s="3"/>
      <c r="D142" s="3"/>
      <c r="E142" s="3"/>
      <c r="F142" s="3"/>
      <c r="G142" s="3"/>
      <c r="H142" s="3"/>
      <c r="I142" s="3" t="str">
        <f>IF(A142="","",COUNTIF([1]Attendance!D:D,A142))</f>
        <v/>
      </c>
      <c r="J142" s="6">
        <f>IFERROR(COUNTIFS([1]Attendance!D:D,A142,[1]Attendance!F:F,"نعم")/I142,0)</f>
        <v>0</v>
      </c>
      <c r="K142" s="6" t="str">
        <f>IFERROR(AVERAGEIF([2]Evaluation!D:D,A142,[2]Evaluation!H:H),"")</f>
        <v/>
      </c>
      <c r="L142" s="3" t="str">
        <f>IF(A142="","",IF(J142&lt;Setup!B8,"حضور غير مكتمل",IF(K142&lt;Setup!B7,"يحتاج إعادة تدريب","مكتمل")))</f>
        <v/>
      </c>
    </row>
    <row r="143" spans="1:12" x14ac:dyDescent="0.2">
      <c r="A143" s="3"/>
      <c r="B143" s="3"/>
      <c r="C143" s="3"/>
      <c r="D143" s="3"/>
      <c r="E143" s="3"/>
      <c r="F143" s="3"/>
      <c r="G143" s="3"/>
      <c r="H143" s="3"/>
      <c r="I143" s="3" t="str">
        <f>IF(A143="","",COUNTIF([1]Attendance!D:D,A143))</f>
        <v/>
      </c>
      <c r="J143" s="6">
        <f>IFERROR(COUNTIFS([1]Attendance!D:D,A143,[1]Attendance!F:F,"نعم")/I143,0)</f>
        <v>0</v>
      </c>
      <c r="K143" s="6" t="str">
        <f>IFERROR(AVERAGEIF([2]Evaluation!D:D,A143,[2]Evaluation!H:H),"")</f>
        <v/>
      </c>
      <c r="L143" s="3" t="str">
        <f>IF(A143="","",IF(J143&lt;Setup!B8,"حضور غير مكتمل",IF(K143&lt;Setup!B7,"يحتاج إعادة تدريب","مكتمل")))</f>
        <v/>
      </c>
    </row>
    <row r="144" spans="1:12" x14ac:dyDescent="0.2">
      <c r="A144" s="3"/>
      <c r="B144" s="3"/>
      <c r="C144" s="3"/>
      <c r="D144" s="3"/>
      <c r="E144" s="3"/>
      <c r="F144" s="3"/>
      <c r="G144" s="3"/>
      <c r="H144" s="3"/>
      <c r="I144" s="3" t="str">
        <f>IF(A144="","",COUNTIF([1]Attendance!D:D,A144))</f>
        <v/>
      </c>
      <c r="J144" s="6">
        <f>IFERROR(COUNTIFS([1]Attendance!D:D,A144,[1]Attendance!F:F,"نعم")/I144,0)</f>
        <v>0</v>
      </c>
      <c r="K144" s="6" t="str">
        <f>IFERROR(AVERAGEIF([2]Evaluation!D:D,A144,[2]Evaluation!H:H),"")</f>
        <v/>
      </c>
      <c r="L144" s="3" t="str">
        <f>IF(A144="","",IF(J144&lt;Setup!B8,"حضور غير مكتمل",IF(K144&lt;Setup!B7,"يحتاج إعادة تدريب","مكتمل")))</f>
        <v/>
      </c>
    </row>
    <row r="145" spans="1:12" x14ac:dyDescent="0.2">
      <c r="A145" s="3"/>
      <c r="B145" s="3"/>
      <c r="C145" s="3"/>
      <c r="D145" s="3"/>
      <c r="E145" s="3"/>
      <c r="F145" s="3"/>
      <c r="G145" s="3"/>
      <c r="H145" s="3"/>
      <c r="I145" s="3" t="str">
        <f>IF(A145="","",COUNTIF([1]Attendance!D:D,A145))</f>
        <v/>
      </c>
      <c r="J145" s="6">
        <f>IFERROR(COUNTIFS([1]Attendance!D:D,A145,[1]Attendance!F:F,"نعم")/I145,0)</f>
        <v>0</v>
      </c>
      <c r="K145" s="6" t="str">
        <f>IFERROR(AVERAGEIF([2]Evaluation!D:D,A145,[2]Evaluation!H:H),"")</f>
        <v/>
      </c>
      <c r="L145" s="3" t="str">
        <f>IF(A145="","",IF(J145&lt;Setup!B8,"حضور غير مكتمل",IF(K145&lt;Setup!B7,"يحتاج إعادة تدريب","مكتمل")))</f>
        <v/>
      </c>
    </row>
    <row r="146" spans="1:12" x14ac:dyDescent="0.2">
      <c r="A146" s="3"/>
      <c r="B146" s="3"/>
      <c r="C146" s="3"/>
      <c r="D146" s="3"/>
      <c r="E146" s="3"/>
      <c r="F146" s="3"/>
      <c r="G146" s="3"/>
      <c r="H146" s="3"/>
      <c r="I146" s="3" t="str">
        <f>IF(A146="","",COUNTIF([1]Attendance!D:D,A146))</f>
        <v/>
      </c>
      <c r="J146" s="6">
        <f>IFERROR(COUNTIFS([1]Attendance!D:D,A146,[1]Attendance!F:F,"نعم")/I146,0)</f>
        <v>0</v>
      </c>
      <c r="K146" s="6" t="str">
        <f>IFERROR(AVERAGEIF([2]Evaluation!D:D,A146,[2]Evaluation!H:H),"")</f>
        <v/>
      </c>
      <c r="L146" s="3" t="str">
        <f>IF(A146="","",IF(J146&lt;Setup!B8,"حضور غير مكتمل",IF(K146&lt;Setup!B7,"يحتاج إعادة تدريب","مكتمل")))</f>
        <v/>
      </c>
    </row>
    <row r="147" spans="1:12" x14ac:dyDescent="0.2">
      <c r="A147" s="3"/>
      <c r="B147" s="3"/>
      <c r="C147" s="3"/>
      <c r="D147" s="3"/>
      <c r="E147" s="3"/>
      <c r="F147" s="3"/>
      <c r="G147" s="3"/>
      <c r="H147" s="3"/>
      <c r="I147" s="3" t="str">
        <f>IF(A147="","",COUNTIF([1]Attendance!D:D,A147))</f>
        <v/>
      </c>
      <c r="J147" s="6">
        <f>IFERROR(COUNTIFS([1]Attendance!D:D,A147,[1]Attendance!F:F,"نعم")/I147,0)</f>
        <v>0</v>
      </c>
      <c r="K147" s="6" t="str">
        <f>IFERROR(AVERAGEIF([2]Evaluation!D:D,A147,[2]Evaluation!H:H),"")</f>
        <v/>
      </c>
      <c r="L147" s="3" t="str">
        <f>IF(A147="","",IF(J147&lt;Setup!B8,"حضور غير مكتمل",IF(K147&lt;Setup!B7,"يحتاج إعادة تدريب","مكتمل")))</f>
        <v/>
      </c>
    </row>
    <row r="148" spans="1:12" x14ac:dyDescent="0.2">
      <c r="A148" s="3"/>
      <c r="B148" s="3"/>
      <c r="C148" s="3"/>
      <c r="D148" s="3"/>
      <c r="E148" s="3"/>
      <c r="F148" s="3"/>
      <c r="G148" s="3"/>
      <c r="H148" s="3"/>
      <c r="I148" s="3" t="str">
        <f>IF(A148="","",COUNTIF([1]Attendance!D:D,A148))</f>
        <v/>
      </c>
      <c r="J148" s="6">
        <f>IFERROR(COUNTIFS([1]Attendance!D:D,A148,[1]Attendance!F:F,"نعم")/I148,0)</f>
        <v>0</v>
      </c>
      <c r="K148" s="6" t="str">
        <f>IFERROR(AVERAGEIF([2]Evaluation!D:D,A148,[2]Evaluation!H:H),"")</f>
        <v/>
      </c>
      <c r="L148" s="3" t="str">
        <f>IF(A148="","",IF(J148&lt;Setup!B8,"حضور غير مكتمل",IF(K148&lt;Setup!B7,"يحتاج إعادة تدريب","مكتمل")))</f>
        <v/>
      </c>
    </row>
    <row r="149" spans="1:12" x14ac:dyDescent="0.2">
      <c r="A149" s="3"/>
      <c r="B149" s="3"/>
      <c r="C149" s="3"/>
      <c r="D149" s="3"/>
      <c r="E149" s="3"/>
      <c r="F149" s="3"/>
      <c r="G149" s="3"/>
      <c r="H149" s="3"/>
      <c r="I149" s="3" t="str">
        <f>IF(A149="","",COUNTIF([1]Attendance!D:D,A149))</f>
        <v/>
      </c>
      <c r="J149" s="6">
        <f>IFERROR(COUNTIFS([1]Attendance!D:D,A149,[1]Attendance!F:F,"نعم")/I149,0)</f>
        <v>0</v>
      </c>
      <c r="K149" s="6" t="str">
        <f>IFERROR(AVERAGEIF([2]Evaluation!D:D,A149,[2]Evaluation!H:H),"")</f>
        <v/>
      </c>
      <c r="L149" s="3" t="str">
        <f>IF(A149="","",IF(J149&lt;Setup!B8,"حضور غير مكتمل",IF(K149&lt;Setup!B7,"يحتاج إعادة تدريب","مكتمل")))</f>
        <v/>
      </c>
    </row>
    <row r="150" spans="1:12" x14ac:dyDescent="0.2">
      <c r="A150" s="3"/>
      <c r="B150" s="3"/>
      <c r="C150" s="3"/>
      <c r="D150" s="3"/>
      <c r="E150" s="3"/>
      <c r="F150" s="3"/>
      <c r="G150" s="3"/>
      <c r="H150" s="3"/>
      <c r="I150" s="3" t="str">
        <f>IF(A150="","",COUNTIF([1]Attendance!D:D,A150))</f>
        <v/>
      </c>
      <c r="J150" s="6">
        <f>IFERROR(COUNTIFS([1]Attendance!D:D,A150,[1]Attendance!F:F,"نعم")/I150,0)</f>
        <v>0</v>
      </c>
      <c r="K150" s="6" t="str">
        <f>IFERROR(AVERAGEIF([2]Evaluation!D:D,A150,[2]Evaluation!H:H),"")</f>
        <v/>
      </c>
      <c r="L150" s="3" t="str">
        <f>IF(A150="","",IF(J150&lt;Setup!B8,"حضور غير مكتمل",IF(K150&lt;Setup!B7,"يحتاج إعادة تدريب","مكتمل")))</f>
        <v/>
      </c>
    </row>
    <row r="151" spans="1:12" x14ac:dyDescent="0.2">
      <c r="A151" s="3"/>
      <c r="B151" s="3"/>
      <c r="C151" s="3"/>
      <c r="D151" s="3"/>
      <c r="E151" s="3"/>
      <c r="F151" s="3"/>
      <c r="G151" s="3"/>
      <c r="H151" s="3"/>
      <c r="I151" s="3" t="str">
        <f>IF(A151="","",COUNTIF([1]Attendance!D:D,A151))</f>
        <v/>
      </c>
      <c r="J151" s="6">
        <f>IFERROR(COUNTIFS([1]Attendance!D:D,A151,[1]Attendance!F:F,"نعم")/I151,0)</f>
        <v>0</v>
      </c>
      <c r="K151" s="6" t="str">
        <f>IFERROR(AVERAGEIF([2]Evaluation!D:D,A151,[2]Evaluation!H:H),"")</f>
        <v/>
      </c>
      <c r="L151" s="3" t="str">
        <f>IF(A151="","",IF(J151&lt;Setup!B8,"حضور غير مكتمل",IF(K151&lt;Setup!B7,"يحتاج إعادة تدريب","مكتمل")))</f>
        <v/>
      </c>
    </row>
    <row r="152" spans="1:12" x14ac:dyDescent="0.2">
      <c r="A152" s="3"/>
      <c r="B152" s="3"/>
      <c r="C152" s="3"/>
      <c r="D152" s="3"/>
      <c r="E152" s="3"/>
      <c r="F152" s="3"/>
      <c r="G152" s="3"/>
      <c r="H152" s="3"/>
      <c r="I152" s="3" t="str">
        <f>IF(A152="","",COUNTIF([1]Attendance!D:D,A152))</f>
        <v/>
      </c>
      <c r="J152" s="6">
        <f>IFERROR(COUNTIFS([1]Attendance!D:D,A152,[1]Attendance!F:F,"نعم")/I152,0)</f>
        <v>0</v>
      </c>
      <c r="K152" s="6" t="str">
        <f>IFERROR(AVERAGEIF([2]Evaluation!D:D,A152,[2]Evaluation!H:H),"")</f>
        <v/>
      </c>
      <c r="L152" s="3" t="str">
        <f>IF(A152="","",IF(J152&lt;Setup!B8,"حضور غير مكتمل",IF(K152&lt;Setup!B7,"يحتاج إعادة تدريب","مكتمل")))</f>
        <v/>
      </c>
    </row>
    <row r="153" spans="1:12" x14ac:dyDescent="0.2">
      <c r="A153" s="3"/>
      <c r="B153" s="3"/>
      <c r="C153" s="3"/>
      <c r="D153" s="3"/>
      <c r="E153" s="3"/>
      <c r="F153" s="3"/>
      <c r="G153" s="3"/>
      <c r="H153" s="3"/>
      <c r="I153" s="3" t="str">
        <f>IF(A153="","",COUNTIF([1]Attendance!D:D,A153))</f>
        <v/>
      </c>
      <c r="J153" s="6">
        <f>IFERROR(COUNTIFS([1]Attendance!D:D,A153,[1]Attendance!F:F,"نعم")/I153,0)</f>
        <v>0</v>
      </c>
      <c r="K153" s="6" t="str">
        <f>IFERROR(AVERAGEIF([2]Evaluation!D:D,A153,[2]Evaluation!H:H),"")</f>
        <v/>
      </c>
      <c r="L153" s="3" t="str">
        <f>IF(A153="","",IF(J153&lt;Setup!B8,"حضور غير مكتمل",IF(K153&lt;Setup!B7,"يحتاج إعادة تدريب","مكتمل")))</f>
        <v/>
      </c>
    </row>
    <row r="154" spans="1:12" x14ac:dyDescent="0.2">
      <c r="A154" s="3"/>
      <c r="B154" s="3"/>
      <c r="C154" s="3"/>
      <c r="D154" s="3"/>
      <c r="E154" s="3"/>
      <c r="F154" s="3"/>
      <c r="G154" s="3"/>
      <c r="H154" s="3"/>
      <c r="I154" s="3" t="str">
        <f>IF(A154="","",COUNTIF([1]Attendance!D:D,A154))</f>
        <v/>
      </c>
      <c r="J154" s="6">
        <f>IFERROR(COUNTIFS([1]Attendance!D:D,A154,[1]Attendance!F:F,"نعم")/I154,0)</f>
        <v>0</v>
      </c>
      <c r="K154" s="6" t="str">
        <f>IFERROR(AVERAGEIF([2]Evaluation!D:D,A154,[2]Evaluation!H:H),"")</f>
        <v/>
      </c>
      <c r="L154" s="3" t="str">
        <f>IF(A154="","",IF(J154&lt;Setup!B8,"حضور غير مكتمل",IF(K154&lt;Setup!B7,"يحتاج إعادة تدريب","مكتمل")))</f>
        <v/>
      </c>
    </row>
    <row r="155" spans="1:12" x14ac:dyDescent="0.2">
      <c r="A155" s="3"/>
      <c r="B155" s="3"/>
      <c r="C155" s="3"/>
      <c r="D155" s="3"/>
      <c r="E155" s="3"/>
      <c r="F155" s="3"/>
      <c r="G155" s="3"/>
      <c r="H155" s="3"/>
      <c r="I155" s="3" t="str">
        <f>IF(A155="","",COUNTIF([1]Attendance!D:D,A155))</f>
        <v/>
      </c>
      <c r="J155" s="6">
        <f>IFERROR(COUNTIFS([1]Attendance!D:D,A155,[1]Attendance!F:F,"نعم")/I155,0)</f>
        <v>0</v>
      </c>
      <c r="K155" s="6" t="str">
        <f>IFERROR(AVERAGEIF([2]Evaluation!D:D,A155,[2]Evaluation!H:H),"")</f>
        <v/>
      </c>
      <c r="L155" s="3" t="str">
        <f>IF(A155="","",IF(J155&lt;Setup!B8,"حضور غير مكتمل",IF(K155&lt;Setup!B7,"يحتاج إعادة تدريب","مكتمل")))</f>
        <v/>
      </c>
    </row>
    <row r="156" spans="1:12" x14ac:dyDescent="0.2">
      <c r="A156" s="3"/>
      <c r="B156" s="3"/>
      <c r="C156" s="3"/>
      <c r="D156" s="3"/>
      <c r="E156" s="3"/>
      <c r="F156" s="3"/>
      <c r="G156" s="3"/>
      <c r="H156" s="3"/>
      <c r="I156" s="3" t="str">
        <f>IF(A156="","",COUNTIF([1]Attendance!D:D,A156))</f>
        <v/>
      </c>
      <c r="J156" s="6">
        <f>IFERROR(COUNTIFS([1]Attendance!D:D,A156,[1]Attendance!F:F,"نعم")/I156,0)</f>
        <v>0</v>
      </c>
      <c r="K156" s="6" t="str">
        <f>IFERROR(AVERAGEIF([2]Evaluation!D:D,A156,[2]Evaluation!H:H),"")</f>
        <v/>
      </c>
      <c r="L156" s="3" t="str">
        <f>IF(A156="","",IF(J156&lt;Setup!B8,"حضور غير مكتمل",IF(K156&lt;Setup!B7,"يحتاج إعادة تدريب","مكتمل")))</f>
        <v/>
      </c>
    </row>
    <row r="157" spans="1:12" x14ac:dyDescent="0.2">
      <c r="A157" s="3"/>
      <c r="B157" s="3"/>
      <c r="C157" s="3"/>
      <c r="D157" s="3"/>
      <c r="E157" s="3"/>
      <c r="F157" s="3"/>
      <c r="G157" s="3"/>
      <c r="H157" s="3"/>
      <c r="I157" s="3" t="str">
        <f>IF(A157="","",COUNTIF([1]Attendance!D:D,A157))</f>
        <v/>
      </c>
      <c r="J157" s="6">
        <f>IFERROR(COUNTIFS([1]Attendance!D:D,A157,[1]Attendance!F:F,"نعم")/I157,0)</f>
        <v>0</v>
      </c>
      <c r="K157" s="6" t="str">
        <f>IFERROR(AVERAGEIF([2]Evaluation!D:D,A157,[2]Evaluation!H:H),"")</f>
        <v/>
      </c>
      <c r="L157" s="3" t="str">
        <f>IF(A157="","",IF(J157&lt;Setup!B8,"حضور غير مكتمل",IF(K157&lt;Setup!B7,"يحتاج إعادة تدريب","مكتمل")))</f>
        <v/>
      </c>
    </row>
    <row r="158" spans="1:12" x14ac:dyDescent="0.2">
      <c r="A158" s="3"/>
      <c r="B158" s="3"/>
      <c r="C158" s="3"/>
      <c r="D158" s="3"/>
      <c r="E158" s="3"/>
      <c r="F158" s="3"/>
      <c r="G158" s="3"/>
      <c r="H158" s="3"/>
      <c r="I158" s="3" t="str">
        <f>IF(A158="","",COUNTIF([1]Attendance!D:D,A158))</f>
        <v/>
      </c>
      <c r="J158" s="6">
        <f>IFERROR(COUNTIFS([1]Attendance!D:D,A158,[1]Attendance!F:F,"نعم")/I158,0)</f>
        <v>0</v>
      </c>
      <c r="K158" s="6" t="str">
        <f>IFERROR(AVERAGEIF([2]Evaluation!D:D,A158,[2]Evaluation!H:H),"")</f>
        <v/>
      </c>
      <c r="L158" s="3" t="str">
        <f>IF(A158="","",IF(J158&lt;Setup!B8,"حضور غير مكتمل",IF(K158&lt;Setup!B7,"يحتاج إعادة تدريب","مكتمل")))</f>
        <v/>
      </c>
    </row>
    <row r="159" spans="1:12" x14ac:dyDescent="0.2">
      <c r="A159" s="3"/>
      <c r="B159" s="3"/>
      <c r="C159" s="3"/>
      <c r="D159" s="3"/>
      <c r="E159" s="3"/>
      <c r="F159" s="3"/>
      <c r="G159" s="3"/>
      <c r="H159" s="3"/>
      <c r="I159" s="3" t="str">
        <f>IF(A159="","",COUNTIF([1]Attendance!D:D,A159))</f>
        <v/>
      </c>
      <c r="J159" s="6">
        <f>IFERROR(COUNTIFS([1]Attendance!D:D,A159,[1]Attendance!F:F,"نعم")/I159,0)</f>
        <v>0</v>
      </c>
      <c r="K159" s="6" t="str">
        <f>IFERROR(AVERAGEIF([2]Evaluation!D:D,A159,[2]Evaluation!H:H),"")</f>
        <v/>
      </c>
      <c r="L159" s="3" t="str">
        <f>IF(A159="","",IF(J159&lt;Setup!B8,"حضور غير مكتمل",IF(K159&lt;Setup!B7,"يحتاج إعادة تدريب","مكتمل")))</f>
        <v/>
      </c>
    </row>
    <row r="160" spans="1:12" x14ac:dyDescent="0.2">
      <c r="A160" s="3"/>
      <c r="B160" s="3"/>
      <c r="C160" s="3"/>
      <c r="D160" s="3"/>
      <c r="E160" s="3"/>
      <c r="F160" s="3"/>
      <c r="G160" s="3"/>
      <c r="H160" s="3"/>
      <c r="I160" s="3" t="str">
        <f>IF(A160="","",COUNTIF([1]Attendance!D:D,A160))</f>
        <v/>
      </c>
      <c r="J160" s="6">
        <f>IFERROR(COUNTIFS([1]Attendance!D:D,A160,[1]Attendance!F:F,"نعم")/I160,0)</f>
        <v>0</v>
      </c>
      <c r="K160" s="6" t="str">
        <f>IFERROR(AVERAGEIF([2]Evaluation!D:D,A160,[2]Evaluation!H:H),"")</f>
        <v/>
      </c>
      <c r="L160" s="3" t="str">
        <f>IF(A160="","",IF(J160&lt;Setup!B8,"حضور غير مكتمل",IF(K160&lt;Setup!B7,"يحتاج إعادة تدريب","مكتمل")))</f>
        <v/>
      </c>
    </row>
    <row r="161" spans="1:12" x14ac:dyDescent="0.2">
      <c r="A161" s="3"/>
      <c r="B161" s="3"/>
      <c r="C161" s="3"/>
      <c r="D161" s="3"/>
      <c r="E161" s="3"/>
      <c r="F161" s="3"/>
      <c r="G161" s="3"/>
      <c r="H161" s="3"/>
      <c r="I161" s="3" t="str">
        <f>IF(A161="","",COUNTIF([1]Attendance!D:D,A161))</f>
        <v/>
      </c>
      <c r="J161" s="6">
        <f>IFERROR(COUNTIFS([1]Attendance!D:D,A161,[1]Attendance!F:F,"نعم")/I161,0)</f>
        <v>0</v>
      </c>
      <c r="K161" s="6" t="str">
        <f>IFERROR(AVERAGEIF([2]Evaluation!D:D,A161,[2]Evaluation!H:H),"")</f>
        <v/>
      </c>
      <c r="L161" s="3" t="str">
        <f>IF(A161="","",IF(J161&lt;Setup!B8,"حضور غير مكتمل",IF(K161&lt;Setup!B7,"يحتاج إعادة تدريب","مكتمل")))</f>
        <v/>
      </c>
    </row>
    <row r="162" spans="1:12" x14ac:dyDescent="0.2">
      <c r="A162" s="3"/>
      <c r="B162" s="3"/>
      <c r="C162" s="3"/>
      <c r="D162" s="3"/>
      <c r="E162" s="3"/>
      <c r="F162" s="3"/>
      <c r="G162" s="3"/>
      <c r="H162" s="3"/>
      <c r="I162" s="3" t="str">
        <f>IF(A162="","",COUNTIF([1]Attendance!D:D,A162))</f>
        <v/>
      </c>
      <c r="J162" s="6">
        <f>IFERROR(COUNTIFS([1]Attendance!D:D,A162,[1]Attendance!F:F,"نعم")/I162,0)</f>
        <v>0</v>
      </c>
      <c r="K162" s="6" t="str">
        <f>IFERROR(AVERAGEIF([2]Evaluation!D:D,A162,[2]Evaluation!H:H),"")</f>
        <v/>
      </c>
      <c r="L162" s="3" t="str">
        <f>IF(A162="","",IF(J162&lt;Setup!B8,"حضور غير مكتمل",IF(K162&lt;Setup!B7,"يحتاج إعادة تدريب","مكتمل")))</f>
        <v/>
      </c>
    </row>
    <row r="163" spans="1:12" x14ac:dyDescent="0.2">
      <c r="A163" s="3"/>
      <c r="B163" s="3"/>
      <c r="C163" s="3"/>
      <c r="D163" s="3"/>
      <c r="E163" s="3"/>
      <c r="F163" s="3"/>
      <c r="G163" s="3"/>
      <c r="H163" s="3"/>
      <c r="I163" s="3" t="str">
        <f>IF(A163="","",COUNTIF([1]Attendance!D:D,A163))</f>
        <v/>
      </c>
      <c r="J163" s="6">
        <f>IFERROR(COUNTIFS([1]Attendance!D:D,A163,[1]Attendance!F:F,"نعم")/I163,0)</f>
        <v>0</v>
      </c>
      <c r="K163" s="6" t="str">
        <f>IFERROR(AVERAGEIF([2]Evaluation!D:D,A163,[2]Evaluation!H:H),"")</f>
        <v/>
      </c>
      <c r="L163" s="3" t="str">
        <f>IF(A163="","",IF(J163&lt;Setup!B8,"حضور غير مكتمل",IF(K163&lt;Setup!B7,"يحتاج إعادة تدريب","مكتمل")))</f>
        <v/>
      </c>
    </row>
    <row r="164" spans="1:12" x14ac:dyDescent="0.2">
      <c r="A164" s="3"/>
      <c r="B164" s="3"/>
      <c r="C164" s="3"/>
      <c r="D164" s="3"/>
      <c r="E164" s="3"/>
      <c r="F164" s="3"/>
      <c r="G164" s="3"/>
      <c r="H164" s="3"/>
      <c r="I164" s="3" t="str">
        <f>IF(A164="","",COUNTIF([1]Attendance!D:D,A164))</f>
        <v/>
      </c>
      <c r="J164" s="6">
        <f>IFERROR(COUNTIFS([1]Attendance!D:D,A164,[1]Attendance!F:F,"نعم")/I164,0)</f>
        <v>0</v>
      </c>
      <c r="K164" s="6" t="str">
        <f>IFERROR(AVERAGEIF([2]Evaluation!D:D,A164,[2]Evaluation!H:H),"")</f>
        <v/>
      </c>
      <c r="L164" s="3" t="str">
        <f>IF(A164="","",IF(J164&lt;Setup!B8,"حضور غير مكتمل",IF(K164&lt;Setup!B7,"يحتاج إعادة تدريب","مكتمل")))</f>
        <v/>
      </c>
    </row>
    <row r="165" spans="1:12" x14ac:dyDescent="0.2">
      <c r="A165" s="3"/>
      <c r="B165" s="3"/>
      <c r="C165" s="3"/>
      <c r="D165" s="3"/>
      <c r="E165" s="3"/>
      <c r="F165" s="3"/>
      <c r="G165" s="3"/>
      <c r="H165" s="3"/>
      <c r="I165" s="3" t="str">
        <f>IF(A165="","",COUNTIF([1]Attendance!D:D,A165))</f>
        <v/>
      </c>
      <c r="J165" s="6">
        <f>IFERROR(COUNTIFS([1]Attendance!D:D,A165,[1]Attendance!F:F,"نعم")/I165,0)</f>
        <v>0</v>
      </c>
      <c r="K165" s="6" t="str">
        <f>IFERROR(AVERAGEIF([2]Evaluation!D:D,A165,[2]Evaluation!H:H),"")</f>
        <v/>
      </c>
      <c r="L165" s="3" t="str">
        <f>IF(A165="","",IF(J165&lt;Setup!B8,"حضور غير مكتمل",IF(K165&lt;Setup!B7,"يحتاج إعادة تدريب","مكتمل")))</f>
        <v/>
      </c>
    </row>
    <row r="166" spans="1:12" x14ac:dyDescent="0.2">
      <c r="A166" s="3"/>
      <c r="B166" s="3"/>
      <c r="C166" s="3"/>
      <c r="D166" s="3"/>
      <c r="E166" s="3"/>
      <c r="F166" s="3"/>
      <c r="G166" s="3"/>
      <c r="H166" s="3"/>
      <c r="I166" s="3" t="str">
        <f>IF(A166="","",COUNTIF([1]Attendance!D:D,A166))</f>
        <v/>
      </c>
      <c r="J166" s="6">
        <f>IFERROR(COUNTIFS([1]Attendance!D:D,A166,[1]Attendance!F:F,"نعم")/I166,0)</f>
        <v>0</v>
      </c>
      <c r="K166" s="6" t="str">
        <f>IFERROR(AVERAGEIF([2]Evaluation!D:D,A166,[2]Evaluation!H:H),"")</f>
        <v/>
      </c>
      <c r="L166" s="3" t="str">
        <f>IF(A166="","",IF(J166&lt;Setup!B8,"حضور غير مكتمل",IF(K166&lt;Setup!B7,"يحتاج إعادة تدريب","مكتمل")))</f>
        <v/>
      </c>
    </row>
    <row r="167" spans="1:12" x14ac:dyDescent="0.2">
      <c r="A167" s="3"/>
      <c r="B167" s="3"/>
      <c r="C167" s="3"/>
      <c r="D167" s="3"/>
      <c r="E167" s="3"/>
      <c r="F167" s="3"/>
      <c r="G167" s="3"/>
      <c r="H167" s="3"/>
      <c r="I167" s="3" t="str">
        <f>IF(A167="","",COUNTIF([1]Attendance!D:D,A167))</f>
        <v/>
      </c>
      <c r="J167" s="6">
        <f>IFERROR(COUNTIFS([1]Attendance!D:D,A167,[1]Attendance!F:F,"نعم")/I167,0)</f>
        <v>0</v>
      </c>
      <c r="K167" s="6" t="str">
        <f>IFERROR(AVERAGEIF([2]Evaluation!D:D,A167,[2]Evaluation!H:H),"")</f>
        <v/>
      </c>
      <c r="L167" s="3" t="str">
        <f>IF(A167="","",IF(J167&lt;Setup!B8,"حضور غير مكتمل",IF(K167&lt;Setup!B7,"يحتاج إعادة تدريب","مكتمل")))</f>
        <v/>
      </c>
    </row>
    <row r="168" spans="1:12" x14ac:dyDescent="0.2">
      <c r="A168" s="3"/>
      <c r="B168" s="3"/>
      <c r="C168" s="3"/>
      <c r="D168" s="3"/>
      <c r="E168" s="3"/>
      <c r="F168" s="3"/>
      <c r="G168" s="3"/>
      <c r="H168" s="3"/>
      <c r="I168" s="3" t="str">
        <f>IF(A168="","",COUNTIF([1]Attendance!D:D,A168))</f>
        <v/>
      </c>
      <c r="J168" s="6">
        <f>IFERROR(COUNTIFS([1]Attendance!D:D,A168,[1]Attendance!F:F,"نعم")/I168,0)</f>
        <v>0</v>
      </c>
      <c r="K168" s="6" t="str">
        <f>IFERROR(AVERAGEIF([2]Evaluation!D:D,A168,[2]Evaluation!H:H),"")</f>
        <v/>
      </c>
      <c r="L168" s="3" t="str">
        <f>IF(A168="","",IF(J168&lt;Setup!B8,"حضور غير مكتمل",IF(K168&lt;Setup!B7,"يحتاج إعادة تدريب","مكتمل")))</f>
        <v/>
      </c>
    </row>
    <row r="169" spans="1:12" x14ac:dyDescent="0.2">
      <c r="A169" s="3"/>
      <c r="B169" s="3"/>
      <c r="C169" s="3"/>
      <c r="D169" s="3"/>
      <c r="E169" s="3"/>
      <c r="F169" s="3"/>
      <c r="G169" s="3"/>
      <c r="H169" s="3"/>
      <c r="I169" s="3" t="str">
        <f>IF(A169="","",COUNTIF([1]Attendance!D:D,A169))</f>
        <v/>
      </c>
      <c r="J169" s="6">
        <f>IFERROR(COUNTIFS([1]Attendance!D:D,A169,[1]Attendance!F:F,"نعم")/I169,0)</f>
        <v>0</v>
      </c>
      <c r="K169" s="6" t="str">
        <f>IFERROR(AVERAGEIF([2]Evaluation!D:D,A169,[2]Evaluation!H:H),"")</f>
        <v/>
      </c>
      <c r="L169" s="3" t="str">
        <f>IF(A169="","",IF(J169&lt;Setup!B8,"حضور غير مكتمل",IF(K169&lt;Setup!B7,"يحتاج إعادة تدريب","مكتمل")))</f>
        <v/>
      </c>
    </row>
    <row r="170" spans="1:12" x14ac:dyDescent="0.2">
      <c r="A170" s="3"/>
      <c r="B170" s="3"/>
      <c r="C170" s="3"/>
      <c r="D170" s="3"/>
      <c r="E170" s="3"/>
      <c r="F170" s="3"/>
      <c r="G170" s="3"/>
      <c r="H170" s="3"/>
      <c r="I170" s="3" t="str">
        <f>IF(A170="","",COUNTIF([1]Attendance!D:D,A170))</f>
        <v/>
      </c>
      <c r="J170" s="6">
        <f>IFERROR(COUNTIFS([1]Attendance!D:D,A170,[1]Attendance!F:F,"نعم")/I170,0)</f>
        <v>0</v>
      </c>
      <c r="K170" s="6" t="str">
        <f>IFERROR(AVERAGEIF([2]Evaluation!D:D,A170,[2]Evaluation!H:H),"")</f>
        <v/>
      </c>
      <c r="L170" s="3" t="str">
        <f>IF(A170="","",IF(J170&lt;Setup!B8,"حضور غير مكتمل",IF(K170&lt;Setup!B7,"يحتاج إعادة تدريب","مكتمل")))</f>
        <v/>
      </c>
    </row>
    <row r="171" spans="1:12" x14ac:dyDescent="0.2">
      <c r="A171" s="3"/>
      <c r="B171" s="3"/>
      <c r="C171" s="3"/>
      <c r="D171" s="3"/>
      <c r="E171" s="3"/>
      <c r="F171" s="3"/>
      <c r="G171" s="3"/>
      <c r="H171" s="3"/>
      <c r="I171" s="3" t="str">
        <f>IF(A171="","",COUNTIF([1]Attendance!D:D,A171))</f>
        <v/>
      </c>
      <c r="J171" s="6">
        <f>IFERROR(COUNTIFS([1]Attendance!D:D,A171,[1]Attendance!F:F,"نعم")/I171,0)</f>
        <v>0</v>
      </c>
      <c r="K171" s="6" t="str">
        <f>IFERROR(AVERAGEIF([2]Evaluation!D:D,A171,[2]Evaluation!H:H),"")</f>
        <v/>
      </c>
      <c r="L171" s="3" t="str">
        <f>IF(A171="","",IF(J171&lt;Setup!B8,"حضور غير مكتمل",IF(K171&lt;Setup!B7,"يحتاج إعادة تدريب","مكتمل")))</f>
        <v/>
      </c>
    </row>
    <row r="172" spans="1:12" x14ac:dyDescent="0.2">
      <c r="A172" s="3"/>
      <c r="B172" s="3"/>
      <c r="C172" s="3"/>
      <c r="D172" s="3"/>
      <c r="E172" s="3"/>
      <c r="F172" s="3"/>
      <c r="G172" s="3"/>
      <c r="H172" s="3"/>
      <c r="I172" s="3" t="str">
        <f>IF(A172="","",COUNTIF([1]Attendance!D:D,A172))</f>
        <v/>
      </c>
      <c r="J172" s="6">
        <f>IFERROR(COUNTIFS([1]Attendance!D:D,A172,[1]Attendance!F:F,"نعم")/I172,0)</f>
        <v>0</v>
      </c>
      <c r="K172" s="6" t="str">
        <f>IFERROR(AVERAGEIF([2]Evaluation!D:D,A172,[2]Evaluation!H:H),"")</f>
        <v/>
      </c>
      <c r="L172" s="3" t="str">
        <f>IF(A172="","",IF(J172&lt;Setup!B8,"حضور غير مكتمل",IF(K172&lt;Setup!B7,"يحتاج إعادة تدريب","مكتمل")))</f>
        <v/>
      </c>
    </row>
    <row r="173" spans="1:12" x14ac:dyDescent="0.2">
      <c r="A173" s="3"/>
      <c r="B173" s="3"/>
      <c r="C173" s="3"/>
      <c r="D173" s="3"/>
      <c r="E173" s="3"/>
      <c r="F173" s="3"/>
      <c r="G173" s="3"/>
      <c r="H173" s="3"/>
      <c r="I173" s="3" t="str">
        <f>IF(A173="","",COUNTIF([1]Attendance!D:D,A173))</f>
        <v/>
      </c>
      <c r="J173" s="6">
        <f>IFERROR(COUNTIFS([1]Attendance!D:D,A173,[1]Attendance!F:F,"نعم")/I173,0)</f>
        <v>0</v>
      </c>
      <c r="K173" s="6" t="str">
        <f>IFERROR(AVERAGEIF([2]Evaluation!D:D,A173,[2]Evaluation!H:H),"")</f>
        <v/>
      </c>
      <c r="L173" s="3" t="str">
        <f>IF(A173="","",IF(J173&lt;Setup!B8,"حضور غير مكتمل",IF(K173&lt;Setup!B7,"يحتاج إعادة تدريب","مكتمل")))</f>
        <v/>
      </c>
    </row>
    <row r="174" spans="1:12" x14ac:dyDescent="0.2">
      <c r="A174" s="3"/>
      <c r="B174" s="3"/>
      <c r="C174" s="3"/>
      <c r="D174" s="3"/>
      <c r="E174" s="3"/>
      <c r="F174" s="3"/>
      <c r="G174" s="3"/>
      <c r="H174" s="3"/>
      <c r="I174" s="3" t="str">
        <f>IF(A174="","",COUNTIF([1]Attendance!D:D,A174))</f>
        <v/>
      </c>
      <c r="J174" s="6">
        <f>IFERROR(COUNTIFS([1]Attendance!D:D,A174,[1]Attendance!F:F,"نعم")/I174,0)</f>
        <v>0</v>
      </c>
      <c r="K174" s="6" t="str">
        <f>IFERROR(AVERAGEIF([2]Evaluation!D:D,A174,[2]Evaluation!H:H),"")</f>
        <v/>
      </c>
      <c r="L174" s="3" t="str">
        <f>IF(A174="","",IF(J174&lt;Setup!B8,"حضور غير مكتمل",IF(K174&lt;Setup!B7,"يحتاج إعادة تدريب","مكتمل")))</f>
        <v/>
      </c>
    </row>
    <row r="175" spans="1:12" x14ac:dyDescent="0.2">
      <c r="A175" s="3"/>
      <c r="B175" s="3"/>
      <c r="C175" s="3"/>
      <c r="D175" s="3"/>
      <c r="E175" s="3"/>
      <c r="F175" s="3"/>
      <c r="G175" s="3"/>
      <c r="H175" s="3"/>
      <c r="I175" s="3" t="str">
        <f>IF(A175="","",COUNTIF([1]Attendance!D:D,A175))</f>
        <v/>
      </c>
      <c r="J175" s="6">
        <f>IFERROR(COUNTIFS([1]Attendance!D:D,A175,[1]Attendance!F:F,"نعم")/I175,0)</f>
        <v>0</v>
      </c>
      <c r="K175" s="6" t="str">
        <f>IFERROR(AVERAGEIF([2]Evaluation!D:D,A175,[2]Evaluation!H:H),"")</f>
        <v/>
      </c>
      <c r="L175" s="3" t="str">
        <f>IF(A175="","",IF(J175&lt;Setup!B8,"حضور غير مكتمل",IF(K175&lt;Setup!B7,"يحتاج إعادة تدريب","مكتمل")))</f>
        <v/>
      </c>
    </row>
    <row r="176" spans="1:12" x14ac:dyDescent="0.2">
      <c r="A176" s="3"/>
      <c r="B176" s="3"/>
      <c r="C176" s="3"/>
      <c r="D176" s="3"/>
      <c r="E176" s="3"/>
      <c r="F176" s="3"/>
      <c r="G176" s="3"/>
      <c r="H176" s="3"/>
      <c r="I176" s="3" t="str">
        <f>IF(A176="","",COUNTIF([1]Attendance!D:D,A176))</f>
        <v/>
      </c>
      <c r="J176" s="6">
        <f>IFERROR(COUNTIFS([1]Attendance!D:D,A176,[1]Attendance!F:F,"نعم")/I176,0)</f>
        <v>0</v>
      </c>
      <c r="K176" s="6" t="str">
        <f>IFERROR(AVERAGEIF([2]Evaluation!D:D,A176,[2]Evaluation!H:H),"")</f>
        <v/>
      </c>
      <c r="L176" s="3" t="str">
        <f>IF(A176="","",IF(J176&lt;Setup!B8,"حضور غير مكتمل",IF(K176&lt;Setup!B7,"يحتاج إعادة تدريب","مكتمل")))</f>
        <v/>
      </c>
    </row>
    <row r="177" spans="1:12" x14ac:dyDescent="0.2">
      <c r="A177" s="3"/>
      <c r="B177" s="3"/>
      <c r="C177" s="3"/>
      <c r="D177" s="3"/>
      <c r="E177" s="3"/>
      <c r="F177" s="3"/>
      <c r="G177" s="3"/>
      <c r="H177" s="3"/>
      <c r="I177" s="3" t="str">
        <f>IF(A177="","",COUNTIF([1]Attendance!D:D,A177))</f>
        <v/>
      </c>
      <c r="J177" s="6">
        <f>IFERROR(COUNTIFS([1]Attendance!D:D,A177,[1]Attendance!F:F,"نعم")/I177,0)</f>
        <v>0</v>
      </c>
      <c r="K177" s="6" t="str">
        <f>IFERROR(AVERAGEIF([2]Evaluation!D:D,A177,[2]Evaluation!H:H),"")</f>
        <v/>
      </c>
      <c r="L177" s="3" t="str">
        <f>IF(A177="","",IF(J177&lt;Setup!B8,"حضور غير مكتمل",IF(K177&lt;Setup!B7,"يحتاج إعادة تدريب","مكتمل")))</f>
        <v/>
      </c>
    </row>
    <row r="178" spans="1:12" x14ac:dyDescent="0.2">
      <c r="A178" s="3"/>
      <c r="B178" s="3"/>
      <c r="C178" s="3"/>
      <c r="D178" s="3"/>
      <c r="E178" s="3"/>
      <c r="F178" s="3"/>
      <c r="G178" s="3"/>
      <c r="H178" s="3"/>
      <c r="I178" s="3" t="str">
        <f>IF(A178="","",COUNTIF([1]Attendance!D:D,A178))</f>
        <v/>
      </c>
      <c r="J178" s="6">
        <f>IFERROR(COUNTIFS([1]Attendance!D:D,A178,[1]Attendance!F:F,"نعم")/I178,0)</f>
        <v>0</v>
      </c>
      <c r="K178" s="6" t="str">
        <f>IFERROR(AVERAGEIF([2]Evaluation!D:D,A178,[2]Evaluation!H:H),"")</f>
        <v/>
      </c>
      <c r="L178" s="3" t="str">
        <f>IF(A178="","",IF(J178&lt;Setup!B8,"حضور غير مكتمل",IF(K178&lt;Setup!B7,"يحتاج إعادة تدريب","مكتمل")))</f>
        <v/>
      </c>
    </row>
    <row r="179" spans="1:12" x14ac:dyDescent="0.2">
      <c r="A179" s="3"/>
      <c r="B179" s="3"/>
      <c r="C179" s="3"/>
      <c r="D179" s="3"/>
      <c r="E179" s="3"/>
      <c r="F179" s="3"/>
      <c r="G179" s="3"/>
      <c r="H179" s="3"/>
      <c r="I179" s="3" t="str">
        <f>IF(A179="","",COUNTIF([1]Attendance!D:D,A179))</f>
        <v/>
      </c>
      <c r="J179" s="6">
        <f>IFERROR(COUNTIFS([1]Attendance!D:D,A179,[1]Attendance!F:F,"نعم")/I179,0)</f>
        <v>0</v>
      </c>
      <c r="K179" s="6" t="str">
        <f>IFERROR(AVERAGEIF([2]Evaluation!D:D,A179,[2]Evaluation!H:H),"")</f>
        <v/>
      </c>
      <c r="L179" s="3" t="str">
        <f>IF(A179="","",IF(J179&lt;Setup!B8,"حضور غير مكتمل",IF(K179&lt;Setup!B7,"يحتاج إعادة تدريب","مكتمل")))</f>
        <v/>
      </c>
    </row>
    <row r="180" spans="1:12" x14ac:dyDescent="0.2">
      <c r="A180" s="3"/>
      <c r="B180" s="3"/>
      <c r="C180" s="3"/>
      <c r="D180" s="3"/>
      <c r="E180" s="3"/>
      <c r="F180" s="3"/>
      <c r="G180" s="3"/>
      <c r="H180" s="3"/>
      <c r="I180" s="3" t="str">
        <f>IF(A180="","",COUNTIF([1]Attendance!D:D,A180))</f>
        <v/>
      </c>
      <c r="J180" s="6">
        <f>IFERROR(COUNTIFS([1]Attendance!D:D,A180,[1]Attendance!F:F,"نعم")/I180,0)</f>
        <v>0</v>
      </c>
      <c r="K180" s="6" t="str">
        <f>IFERROR(AVERAGEIF([2]Evaluation!D:D,A180,[2]Evaluation!H:H),"")</f>
        <v/>
      </c>
      <c r="L180" s="3" t="str">
        <f>IF(A180="","",IF(J180&lt;Setup!B8,"حضور غير مكتمل",IF(K180&lt;Setup!B7,"يحتاج إعادة تدريب","مكتمل")))</f>
        <v/>
      </c>
    </row>
    <row r="181" spans="1:12" x14ac:dyDescent="0.2">
      <c r="A181" s="3"/>
      <c r="B181" s="3"/>
      <c r="C181" s="3"/>
      <c r="D181" s="3"/>
      <c r="E181" s="3"/>
      <c r="F181" s="3"/>
      <c r="G181" s="3"/>
      <c r="H181" s="3"/>
      <c r="I181" s="3" t="str">
        <f>IF(A181="","",COUNTIF([1]Attendance!D:D,A181))</f>
        <v/>
      </c>
      <c r="J181" s="6">
        <f>IFERROR(COUNTIFS([1]Attendance!D:D,A181,[1]Attendance!F:F,"نعم")/I181,0)</f>
        <v>0</v>
      </c>
      <c r="K181" s="6" t="str">
        <f>IFERROR(AVERAGEIF([2]Evaluation!D:D,A181,[2]Evaluation!H:H),"")</f>
        <v/>
      </c>
      <c r="L181" s="3" t="str">
        <f>IF(A181="","",IF(J181&lt;Setup!B8,"حضور غير مكتمل",IF(K181&lt;Setup!B7,"يحتاج إعادة تدريب","مكتمل")))</f>
        <v/>
      </c>
    </row>
    <row r="182" spans="1:12" x14ac:dyDescent="0.2">
      <c r="A182" s="3"/>
      <c r="B182" s="3"/>
      <c r="C182" s="3"/>
      <c r="D182" s="3"/>
      <c r="E182" s="3"/>
      <c r="F182" s="3"/>
      <c r="G182" s="3"/>
      <c r="H182" s="3"/>
      <c r="I182" s="3" t="str">
        <f>IF(A182="","",COUNTIF([1]Attendance!D:D,A182))</f>
        <v/>
      </c>
      <c r="J182" s="6">
        <f>IFERROR(COUNTIFS([1]Attendance!D:D,A182,[1]Attendance!F:F,"نعم")/I182,0)</f>
        <v>0</v>
      </c>
      <c r="K182" s="6" t="str">
        <f>IFERROR(AVERAGEIF([2]Evaluation!D:D,A182,[2]Evaluation!H:H),"")</f>
        <v/>
      </c>
      <c r="L182" s="3" t="str">
        <f>IF(A182="","",IF(J182&lt;Setup!B8,"حضور غير مكتمل",IF(K182&lt;Setup!B7,"يحتاج إعادة تدريب","مكتمل")))</f>
        <v/>
      </c>
    </row>
    <row r="183" spans="1:12" x14ac:dyDescent="0.2">
      <c r="A183" s="3"/>
      <c r="B183" s="3"/>
      <c r="C183" s="3"/>
      <c r="D183" s="3"/>
      <c r="E183" s="3"/>
      <c r="F183" s="3"/>
      <c r="G183" s="3"/>
      <c r="H183" s="3"/>
      <c r="I183" s="3" t="str">
        <f>IF(A183="","",COUNTIF([1]Attendance!D:D,A183))</f>
        <v/>
      </c>
      <c r="J183" s="6">
        <f>IFERROR(COUNTIFS([1]Attendance!D:D,A183,[1]Attendance!F:F,"نعم")/I183,0)</f>
        <v>0</v>
      </c>
      <c r="K183" s="6" t="str">
        <f>IFERROR(AVERAGEIF([2]Evaluation!D:D,A183,[2]Evaluation!H:H),"")</f>
        <v/>
      </c>
      <c r="L183" s="3" t="str">
        <f>IF(A183="","",IF(J183&lt;Setup!B8,"حضور غير مكتمل",IF(K183&lt;Setup!B7,"يحتاج إعادة تدريب","مكتمل")))</f>
        <v/>
      </c>
    </row>
    <row r="184" spans="1:12" x14ac:dyDescent="0.2">
      <c r="A184" s="3"/>
      <c r="B184" s="3"/>
      <c r="C184" s="3"/>
      <c r="D184" s="3"/>
      <c r="E184" s="3"/>
      <c r="F184" s="3"/>
      <c r="G184" s="3"/>
      <c r="H184" s="3"/>
      <c r="I184" s="3" t="str">
        <f>IF(A184="","",COUNTIF([1]Attendance!D:D,A184))</f>
        <v/>
      </c>
      <c r="J184" s="6">
        <f>IFERROR(COUNTIFS([1]Attendance!D:D,A184,[1]Attendance!F:F,"نعم")/I184,0)</f>
        <v>0</v>
      </c>
      <c r="K184" s="6" t="str">
        <f>IFERROR(AVERAGEIF([2]Evaluation!D:D,A184,[2]Evaluation!H:H),"")</f>
        <v/>
      </c>
      <c r="L184" s="3" t="str">
        <f>IF(A184="","",IF(J184&lt;Setup!B8,"حضور غير مكتمل",IF(K184&lt;Setup!B7,"يحتاج إعادة تدريب","مكتمل")))</f>
        <v/>
      </c>
    </row>
    <row r="185" spans="1:12" x14ac:dyDescent="0.2">
      <c r="A185" s="3"/>
      <c r="B185" s="3"/>
      <c r="C185" s="3"/>
      <c r="D185" s="3"/>
      <c r="E185" s="3"/>
      <c r="F185" s="3"/>
      <c r="G185" s="3"/>
      <c r="H185" s="3"/>
      <c r="I185" s="3" t="str">
        <f>IF(A185="","",COUNTIF([1]Attendance!D:D,A185))</f>
        <v/>
      </c>
      <c r="J185" s="6">
        <f>IFERROR(COUNTIFS([1]Attendance!D:D,A185,[1]Attendance!F:F,"نعم")/I185,0)</f>
        <v>0</v>
      </c>
      <c r="K185" s="6" t="str">
        <f>IFERROR(AVERAGEIF([2]Evaluation!D:D,A185,[2]Evaluation!H:H),"")</f>
        <v/>
      </c>
      <c r="L185" s="3" t="str">
        <f>IF(A185="","",IF(J185&lt;Setup!B8,"حضور غير مكتمل",IF(K185&lt;Setup!B7,"يحتاج إعادة تدريب","مكتمل")))</f>
        <v/>
      </c>
    </row>
    <row r="186" spans="1:12" x14ac:dyDescent="0.2">
      <c r="A186" s="3"/>
      <c r="B186" s="3"/>
      <c r="C186" s="3"/>
      <c r="D186" s="3"/>
      <c r="E186" s="3"/>
      <c r="F186" s="3"/>
      <c r="G186" s="3"/>
      <c r="H186" s="3"/>
      <c r="I186" s="3" t="str">
        <f>IF(A186="","",COUNTIF([1]Attendance!D:D,A186))</f>
        <v/>
      </c>
      <c r="J186" s="6">
        <f>IFERROR(COUNTIFS([1]Attendance!D:D,A186,[1]Attendance!F:F,"نعم")/I186,0)</f>
        <v>0</v>
      </c>
      <c r="K186" s="6" t="str">
        <f>IFERROR(AVERAGEIF([2]Evaluation!D:D,A186,[2]Evaluation!H:H),"")</f>
        <v/>
      </c>
      <c r="L186" s="3" t="str">
        <f>IF(A186="","",IF(J186&lt;Setup!B8,"حضور غير مكتمل",IF(K186&lt;Setup!B7,"يحتاج إعادة تدريب","مكتمل")))</f>
        <v/>
      </c>
    </row>
    <row r="187" spans="1:12" x14ac:dyDescent="0.2">
      <c r="A187" s="3"/>
      <c r="B187" s="3"/>
      <c r="C187" s="3"/>
      <c r="D187" s="3"/>
      <c r="E187" s="3"/>
      <c r="F187" s="3"/>
      <c r="G187" s="3"/>
      <c r="H187" s="3"/>
      <c r="I187" s="3" t="str">
        <f>IF(A187="","",COUNTIF([1]Attendance!D:D,A187))</f>
        <v/>
      </c>
      <c r="J187" s="6">
        <f>IFERROR(COUNTIFS([1]Attendance!D:D,A187,[1]Attendance!F:F,"نعم")/I187,0)</f>
        <v>0</v>
      </c>
      <c r="K187" s="6" t="str">
        <f>IFERROR(AVERAGEIF([2]Evaluation!D:D,A187,[2]Evaluation!H:H),"")</f>
        <v/>
      </c>
      <c r="L187" s="3" t="str">
        <f>IF(A187="","",IF(J187&lt;Setup!B8,"حضور غير مكتمل",IF(K187&lt;Setup!B7,"يحتاج إعادة تدريب","مكتمل")))</f>
        <v/>
      </c>
    </row>
    <row r="188" spans="1:12" x14ac:dyDescent="0.2">
      <c r="A188" s="3"/>
      <c r="B188" s="3"/>
      <c r="C188" s="3"/>
      <c r="D188" s="3"/>
      <c r="E188" s="3"/>
      <c r="F188" s="3"/>
      <c r="G188" s="3"/>
      <c r="H188" s="3"/>
      <c r="I188" s="3" t="str">
        <f>IF(A188="","",COUNTIF([1]Attendance!D:D,A188))</f>
        <v/>
      </c>
      <c r="J188" s="6">
        <f>IFERROR(COUNTIFS([1]Attendance!D:D,A188,[1]Attendance!F:F,"نعم")/I188,0)</f>
        <v>0</v>
      </c>
      <c r="K188" s="6" t="str">
        <f>IFERROR(AVERAGEIF([2]Evaluation!D:D,A188,[2]Evaluation!H:H),"")</f>
        <v/>
      </c>
      <c r="L188" s="3" t="str">
        <f>IF(A188="","",IF(J188&lt;Setup!B8,"حضور غير مكتمل",IF(K188&lt;Setup!B7,"يحتاج إعادة تدريب","مكتمل")))</f>
        <v/>
      </c>
    </row>
    <row r="189" spans="1:12" x14ac:dyDescent="0.2">
      <c r="A189" s="3"/>
      <c r="B189" s="3"/>
      <c r="C189" s="3"/>
      <c r="D189" s="3"/>
      <c r="E189" s="3"/>
      <c r="F189" s="3"/>
      <c r="G189" s="3"/>
      <c r="H189" s="3"/>
      <c r="I189" s="3" t="str">
        <f>IF(A189="","",COUNTIF([1]Attendance!D:D,A189))</f>
        <v/>
      </c>
      <c r="J189" s="6">
        <f>IFERROR(COUNTIFS([1]Attendance!D:D,A189,[1]Attendance!F:F,"نعم")/I189,0)</f>
        <v>0</v>
      </c>
      <c r="K189" s="6" t="str">
        <f>IFERROR(AVERAGEIF([2]Evaluation!D:D,A189,[2]Evaluation!H:H),"")</f>
        <v/>
      </c>
      <c r="L189" s="3" t="str">
        <f>IF(A189="","",IF(J189&lt;Setup!B8,"حضور غير مكتمل",IF(K189&lt;Setup!B7,"يحتاج إعادة تدريب","مكتمل")))</f>
        <v/>
      </c>
    </row>
    <row r="190" spans="1:12" x14ac:dyDescent="0.2">
      <c r="A190" s="3"/>
      <c r="B190" s="3"/>
      <c r="C190" s="3"/>
      <c r="D190" s="3"/>
      <c r="E190" s="3"/>
      <c r="F190" s="3"/>
      <c r="G190" s="3"/>
      <c r="H190" s="3"/>
      <c r="I190" s="3" t="str">
        <f>IF(A190="","",COUNTIF([1]Attendance!D:D,A190))</f>
        <v/>
      </c>
      <c r="J190" s="6">
        <f>IFERROR(COUNTIFS([1]Attendance!D:D,A190,[1]Attendance!F:F,"نعم")/I190,0)</f>
        <v>0</v>
      </c>
      <c r="K190" s="6" t="str">
        <f>IFERROR(AVERAGEIF([2]Evaluation!D:D,A190,[2]Evaluation!H:H),"")</f>
        <v/>
      </c>
      <c r="L190" s="3" t="str">
        <f>IF(A190="","",IF(J190&lt;Setup!B8,"حضور غير مكتمل",IF(K190&lt;Setup!B7,"يحتاج إعادة تدريب","مكتمل")))</f>
        <v/>
      </c>
    </row>
    <row r="191" spans="1:12" x14ac:dyDescent="0.2">
      <c r="A191" s="3"/>
      <c r="B191" s="3"/>
      <c r="C191" s="3"/>
      <c r="D191" s="3"/>
      <c r="E191" s="3"/>
      <c r="F191" s="3"/>
      <c r="G191" s="3"/>
      <c r="H191" s="3"/>
      <c r="I191" s="3" t="str">
        <f>IF(A191="","",COUNTIF([1]Attendance!D:D,A191))</f>
        <v/>
      </c>
      <c r="J191" s="6">
        <f>IFERROR(COUNTIFS([1]Attendance!D:D,A191,[1]Attendance!F:F,"نعم")/I191,0)</f>
        <v>0</v>
      </c>
      <c r="K191" s="6" t="str">
        <f>IFERROR(AVERAGEIF([2]Evaluation!D:D,A191,[2]Evaluation!H:H),"")</f>
        <v/>
      </c>
      <c r="L191" s="3" t="str">
        <f>IF(A191="","",IF(J191&lt;Setup!B8,"حضور غير مكتمل",IF(K191&lt;Setup!B7,"يحتاج إعادة تدريب","مكتمل")))</f>
        <v/>
      </c>
    </row>
    <row r="192" spans="1:12" x14ac:dyDescent="0.2">
      <c r="A192" s="3"/>
      <c r="B192" s="3"/>
      <c r="C192" s="3"/>
      <c r="D192" s="3"/>
      <c r="E192" s="3"/>
      <c r="F192" s="3"/>
      <c r="G192" s="3"/>
      <c r="H192" s="3"/>
      <c r="I192" s="3" t="str">
        <f>IF(A192="","",COUNTIF([1]Attendance!D:D,A192))</f>
        <v/>
      </c>
      <c r="J192" s="6">
        <f>IFERROR(COUNTIFS([1]Attendance!D:D,A192,[1]Attendance!F:F,"نعم")/I192,0)</f>
        <v>0</v>
      </c>
      <c r="K192" s="6" t="str">
        <f>IFERROR(AVERAGEIF([2]Evaluation!D:D,A192,[2]Evaluation!H:H),"")</f>
        <v/>
      </c>
      <c r="L192" s="3" t="str">
        <f>IF(A192="","",IF(J192&lt;Setup!B8,"حضور غير مكتمل",IF(K192&lt;Setup!B7,"يحتاج إعادة تدريب","مكتمل")))</f>
        <v/>
      </c>
    </row>
    <row r="193" spans="1:12" x14ac:dyDescent="0.2">
      <c r="A193" s="3"/>
      <c r="B193" s="3"/>
      <c r="C193" s="3"/>
      <c r="D193" s="3"/>
      <c r="E193" s="3"/>
      <c r="F193" s="3"/>
      <c r="G193" s="3"/>
      <c r="H193" s="3"/>
      <c r="I193" s="3" t="str">
        <f>IF(A193="","",COUNTIF([1]Attendance!D:D,A193))</f>
        <v/>
      </c>
      <c r="J193" s="6">
        <f>IFERROR(COUNTIFS([1]Attendance!D:D,A193,[1]Attendance!F:F,"نعم")/I193,0)</f>
        <v>0</v>
      </c>
      <c r="K193" s="6" t="str">
        <f>IFERROR(AVERAGEIF([2]Evaluation!D:D,A193,[2]Evaluation!H:H),"")</f>
        <v/>
      </c>
      <c r="L193" s="3" t="str">
        <f>IF(A193="","",IF(J193&lt;Setup!B8,"حضور غير مكتمل",IF(K193&lt;Setup!B7,"يحتاج إعادة تدريب","مكتمل")))</f>
        <v/>
      </c>
    </row>
    <row r="194" spans="1:12" x14ac:dyDescent="0.2">
      <c r="A194" s="3"/>
      <c r="B194" s="3"/>
      <c r="C194" s="3"/>
      <c r="D194" s="3"/>
      <c r="E194" s="3"/>
      <c r="F194" s="3"/>
      <c r="G194" s="3"/>
      <c r="H194" s="3"/>
      <c r="I194" s="3" t="str">
        <f>IF(A194="","",COUNTIF([1]Attendance!D:D,A194))</f>
        <v/>
      </c>
      <c r="J194" s="6">
        <f>IFERROR(COUNTIFS([1]Attendance!D:D,A194,[1]Attendance!F:F,"نعم")/I194,0)</f>
        <v>0</v>
      </c>
      <c r="K194" s="6" t="str">
        <f>IFERROR(AVERAGEIF([2]Evaluation!D:D,A194,[2]Evaluation!H:H),"")</f>
        <v/>
      </c>
      <c r="L194" s="3" t="str">
        <f>IF(A194="","",IF(J194&lt;Setup!B8,"حضور غير مكتمل",IF(K194&lt;Setup!B7,"يحتاج إعادة تدريب","مكتمل")))</f>
        <v/>
      </c>
    </row>
    <row r="195" spans="1:12" x14ac:dyDescent="0.2">
      <c r="A195" s="3"/>
      <c r="B195" s="3"/>
      <c r="C195" s="3"/>
      <c r="D195" s="3"/>
      <c r="E195" s="3"/>
      <c r="F195" s="3"/>
      <c r="G195" s="3"/>
      <c r="H195" s="3"/>
      <c r="I195" s="3" t="str">
        <f>IF(A195="","",COUNTIF([1]Attendance!D:D,A195))</f>
        <v/>
      </c>
      <c r="J195" s="6">
        <f>IFERROR(COUNTIFS([1]Attendance!D:D,A195,[1]Attendance!F:F,"نعم")/I195,0)</f>
        <v>0</v>
      </c>
      <c r="K195" s="6" t="str">
        <f>IFERROR(AVERAGEIF([2]Evaluation!D:D,A195,[2]Evaluation!H:H),"")</f>
        <v/>
      </c>
      <c r="L195" s="3" t="str">
        <f>IF(A195="","",IF(J195&lt;Setup!B8,"حضور غير مكتمل",IF(K195&lt;Setup!B7,"يحتاج إعادة تدريب","مكتمل")))</f>
        <v/>
      </c>
    </row>
    <row r="196" spans="1:12" x14ac:dyDescent="0.2">
      <c r="A196" s="3"/>
      <c r="B196" s="3"/>
      <c r="C196" s="3"/>
      <c r="D196" s="3"/>
      <c r="E196" s="3"/>
      <c r="F196" s="3"/>
      <c r="G196" s="3"/>
      <c r="H196" s="3"/>
      <c r="I196" s="3" t="str">
        <f>IF(A196="","",COUNTIF([1]Attendance!D:D,A196))</f>
        <v/>
      </c>
      <c r="J196" s="6">
        <f>IFERROR(COUNTIFS([1]Attendance!D:D,A196,[1]Attendance!F:F,"نعم")/I196,0)</f>
        <v>0</v>
      </c>
      <c r="K196" s="6" t="str">
        <f>IFERROR(AVERAGEIF([2]Evaluation!D:D,A196,[2]Evaluation!H:H),"")</f>
        <v/>
      </c>
      <c r="L196" s="3" t="str">
        <f>IF(A196="","",IF(J196&lt;Setup!B8,"حضور غير مكتمل",IF(K196&lt;Setup!B7,"يحتاج إعادة تدريب","مكتمل")))</f>
        <v/>
      </c>
    </row>
    <row r="197" spans="1:12" x14ac:dyDescent="0.2">
      <c r="A197" s="3"/>
      <c r="B197" s="3"/>
      <c r="C197" s="3"/>
      <c r="D197" s="3"/>
      <c r="E197" s="3"/>
      <c r="F197" s="3"/>
      <c r="G197" s="3"/>
      <c r="H197" s="3"/>
      <c r="I197" s="3" t="str">
        <f>IF(A197="","",COUNTIF([1]Attendance!D:D,A197))</f>
        <v/>
      </c>
      <c r="J197" s="6">
        <f>IFERROR(COUNTIFS([1]Attendance!D:D,A197,[1]Attendance!F:F,"نعم")/I197,0)</f>
        <v>0</v>
      </c>
      <c r="K197" s="6" t="str">
        <f>IFERROR(AVERAGEIF([2]Evaluation!D:D,A197,[2]Evaluation!H:H),"")</f>
        <v/>
      </c>
      <c r="L197" s="3" t="str">
        <f>IF(A197="","",IF(J197&lt;Setup!B8,"حضور غير مكتمل",IF(K197&lt;Setup!B7,"يحتاج إعادة تدريب","مكتمل")))</f>
        <v/>
      </c>
    </row>
    <row r="198" spans="1:12" x14ac:dyDescent="0.2">
      <c r="A198" s="3"/>
      <c r="B198" s="3"/>
      <c r="C198" s="3"/>
      <c r="D198" s="3"/>
      <c r="E198" s="3"/>
      <c r="F198" s="3"/>
      <c r="G198" s="3"/>
      <c r="H198" s="3"/>
      <c r="I198" s="3" t="str">
        <f>IF(A198="","",COUNTIF([1]Attendance!D:D,A198))</f>
        <v/>
      </c>
      <c r="J198" s="6">
        <f>IFERROR(COUNTIFS([1]Attendance!D:D,A198,[1]Attendance!F:F,"نعم")/I198,0)</f>
        <v>0</v>
      </c>
      <c r="K198" s="6" t="str">
        <f>IFERROR(AVERAGEIF([2]Evaluation!D:D,A198,[2]Evaluation!H:H),"")</f>
        <v/>
      </c>
      <c r="L198" s="3" t="str">
        <f>IF(A198="","",IF(J198&lt;Setup!B8,"حضور غير مكتمل",IF(K198&lt;Setup!B7,"يحتاج إعادة تدريب","مكتمل")))</f>
        <v/>
      </c>
    </row>
    <row r="199" spans="1:12" x14ac:dyDescent="0.2">
      <c r="A199" s="3"/>
      <c r="B199" s="3"/>
      <c r="C199" s="3"/>
      <c r="D199" s="3"/>
      <c r="E199" s="3"/>
      <c r="F199" s="3"/>
      <c r="G199" s="3"/>
      <c r="H199" s="3"/>
      <c r="I199" s="3" t="str">
        <f>IF(A199="","",COUNTIF([1]Attendance!D:D,A199))</f>
        <v/>
      </c>
      <c r="J199" s="6">
        <f>IFERROR(COUNTIFS([1]Attendance!D:D,A199,[1]Attendance!F:F,"نعم")/I199,0)</f>
        <v>0</v>
      </c>
      <c r="K199" s="6" t="str">
        <f>IFERROR(AVERAGEIF([2]Evaluation!D:D,A199,[2]Evaluation!H:H),"")</f>
        <v/>
      </c>
      <c r="L199" s="3" t="str">
        <f>IF(A199="","",IF(J199&lt;Setup!B8,"حضور غير مكتمل",IF(K199&lt;Setup!B7,"يحتاج إعادة تدريب","مكتمل")))</f>
        <v/>
      </c>
    </row>
    <row r="200" spans="1:12" x14ac:dyDescent="0.2">
      <c r="A200" s="3"/>
      <c r="B200" s="3"/>
      <c r="C200" s="3"/>
      <c r="D200" s="3"/>
      <c r="E200" s="3"/>
      <c r="F200" s="3"/>
      <c r="G200" s="3"/>
      <c r="H200" s="3"/>
      <c r="I200" s="3" t="str">
        <f>IF(A200="","",COUNTIF([1]Attendance!D:D,A200))</f>
        <v/>
      </c>
      <c r="J200" s="6">
        <f>IFERROR(COUNTIFS([1]Attendance!D:D,A200,[1]Attendance!F:F,"نعم")/I200,0)</f>
        <v>0</v>
      </c>
      <c r="K200" s="6" t="str">
        <f>IFERROR(AVERAGEIF([2]Evaluation!D:D,A200,[2]Evaluation!H:H),"")</f>
        <v/>
      </c>
      <c r="L200" s="3" t="str">
        <f>IF(A200="","",IF(J200&lt;Setup!B8,"حضور غير مكتمل",IF(K200&lt;Setup!B7,"يحتاج إعادة تدريب","مكتمل")))</f>
        <v/>
      </c>
    </row>
    <row r="201" spans="1:12" x14ac:dyDescent="0.2">
      <c r="A201" s="3"/>
      <c r="B201" s="3"/>
      <c r="C201" s="3"/>
      <c r="D201" s="3"/>
      <c r="E201" s="3"/>
      <c r="F201" s="3"/>
      <c r="G201" s="3"/>
      <c r="H201" s="3"/>
      <c r="I201" s="3" t="str">
        <f>IF(A201="","",COUNTIF([1]Attendance!D:D,A201))</f>
        <v/>
      </c>
      <c r="J201" s="6">
        <f>IFERROR(COUNTIFS([1]Attendance!D:D,A201,[1]Attendance!F:F,"نعم")/I201,0)</f>
        <v>0</v>
      </c>
      <c r="K201" s="6" t="str">
        <f>IFERROR(AVERAGEIF([2]Evaluation!D:D,A201,[2]Evaluation!H:H),"")</f>
        <v/>
      </c>
      <c r="L201" s="3" t="str">
        <f>IF(A201="","",IF(J201&lt;Setup!B8,"حضور غير مكتمل",IF(K201&lt;Setup!B7,"يحتاج إعادة تدريب","مكتمل")))</f>
        <v/>
      </c>
    </row>
    <row r="202" spans="1:12" x14ac:dyDescent="0.2">
      <c r="A202" s="3"/>
      <c r="B202" s="3"/>
      <c r="C202" s="3"/>
      <c r="D202" s="3"/>
      <c r="E202" s="3"/>
      <c r="F202" s="3"/>
      <c r="G202" s="3"/>
      <c r="H202" s="3"/>
      <c r="I202" s="3" t="str">
        <f>IF(A202="","",COUNTIF([1]Attendance!D:D,A202))</f>
        <v/>
      </c>
      <c r="J202" s="6">
        <f>IFERROR(COUNTIFS([1]Attendance!D:D,A202,[1]Attendance!F:F,"نعم")/I202,0)</f>
        <v>0</v>
      </c>
      <c r="K202" s="6" t="str">
        <f>IFERROR(AVERAGEIF([2]Evaluation!D:D,A202,[2]Evaluation!H:H),"")</f>
        <v/>
      </c>
      <c r="L202" s="3" t="str">
        <f>IF(A202="","",IF(J202&lt;Setup!B8,"حضور غير مكتمل",IF(K202&lt;Setup!B7,"يحتاج إعادة تدريب","مكتمل")))</f>
        <v/>
      </c>
    </row>
    <row r="203" spans="1:12" x14ac:dyDescent="0.2">
      <c r="A203" s="3"/>
      <c r="B203" s="3"/>
      <c r="C203" s="3"/>
      <c r="D203" s="3"/>
      <c r="E203" s="3"/>
      <c r="F203" s="3"/>
      <c r="G203" s="3"/>
      <c r="H203" s="3"/>
      <c r="I203" s="3" t="str">
        <f>IF(A203="","",COUNTIF([1]Attendance!D:D,A203))</f>
        <v/>
      </c>
      <c r="J203" s="6">
        <f>IFERROR(COUNTIFS([1]Attendance!D:D,A203,[1]Attendance!F:F,"نعم")/I203,0)</f>
        <v>0</v>
      </c>
      <c r="K203" s="6" t="str">
        <f>IFERROR(AVERAGEIF([2]Evaluation!D:D,A203,[2]Evaluation!H:H),"")</f>
        <v/>
      </c>
      <c r="L203" s="3" t="str">
        <f>IF(A203="","",IF(J203&lt;Setup!B8,"حضور غير مكتمل",IF(K203&lt;Setup!B7,"يحتاج إعادة تدريب","مكتمل")))</f>
        <v/>
      </c>
    </row>
  </sheetData>
  <mergeCells count="1">
    <mergeCell ref="A1:L1"/>
  </mergeCells>
  <dataValidations count="1">
    <dataValidation type="list" allowBlank="1" showInputMessage="1" showErrorMessage="1" sqref="G4:G203" xr:uid="{88F549E2-281A-46C6-A292-063E47A52515}">
      <formula1>"نشط,موقوف,منتهية الخدمة"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DFE4-DEF4-4BA0-A8A2-395EB9BC6431}">
  <dimension ref="A1:G11"/>
  <sheetViews>
    <sheetView rightToLeft="1" workbookViewId="0">
      <pane ySplit="3" topLeftCell="A4" activePane="bottomLeft" state="frozenSplit"/>
      <selection pane="bottomLeft" sqref="A1:G1"/>
    </sheetView>
  </sheetViews>
  <sheetFormatPr defaultRowHeight="12.75" x14ac:dyDescent="0.2"/>
  <cols>
    <col min="1" max="1" width="12.5703125" style="1" bestFit="1" customWidth="1"/>
    <col min="2" max="2" width="9.85546875" style="1" bestFit="1" customWidth="1"/>
    <col min="3" max="3" width="20.140625" style="1" bestFit="1" customWidth="1"/>
    <col min="4" max="4" width="13.85546875" style="1" bestFit="1" customWidth="1"/>
    <col min="5" max="5" width="17.7109375" style="1" bestFit="1" customWidth="1"/>
    <col min="6" max="6" width="13.42578125" style="1" bestFit="1" customWidth="1"/>
    <col min="7" max="7" width="16.28515625" style="1" bestFit="1" customWidth="1"/>
    <col min="8" max="16384" width="9.140625" style="1"/>
  </cols>
  <sheetData>
    <row r="1" spans="1:7" x14ac:dyDescent="0.2">
      <c r="A1" s="2" t="s">
        <v>27</v>
      </c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</row>
    <row r="4" spans="1:7" ht="38.25" x14ac:dyDescent="0.2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</row>
    <row r="5" spans="1:7" ht="38.25" x14ac:dyDescent="0.2">
      <c r="A5" s="3" t="s">
        <v>42</v>
      </c>
      <c r="B5" s="3" t="s">
        <v>43</v>
      </c>
      <c r="C5" s="3" t="s">
        <v>44</v>
      </c>
      <c r="D5" s="3" t="s">
        <v>38</v>
      </c>
      <c r="E5" s="3" t="s">
        <v>45</v>
      </c>
      <c r="F5" s="3" t="s">
        <v>46</v>
      </c>
      <c r="G5" s="3" t="s">
        <v>47</v>
      </c>
    </row>
    <row r="6" spans="1:7" ht="25.5" x14ac:dyDescent="0.2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</row>
    <row r="7" spans="1:7" ht="25.5" x14ac:dyDescent="0.2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46</v>
      </c>
      <c r="G7" s="3" t="s">
        <v>60</v>
      </c>
    </row>
    <row r="8" spans="1:7" ht="25.5" x14ac:dyDescent="0.2">
      <c r="A8" s="3" t="s">
        <v>61</v>
      </c>
      <c r="B8" s="3" t="s">
        <v>62</v>
      </c>
      <c r="C8" s="3" t="s">
        <v>63</v>
      </c>
      <c r="D8" s="3" t="s">
        <v>38</v>
      </c>
      <c r="E8" s="3" t="s">
        <v>64</v>
      </c>
      <c r="F8" s="3" t="s">
        <v>65</v>
      </c>
      <c r="G8" s="3" t="s">
        <v>66</v>
      </c>
    </row>
    <row r="9" spans="1:7" ht="38.25" x14ac:dyDescent="0.2">
      <c r="A9" s="3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53</v>
      </c>
      <c r="G9" s="3" t="s">
        <v>72</v>
      </c>
    </row>
    <row r="10" spans="1:7" ht="25.5" x14ac:dyDescent="0.2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46</v>
      </c>
      <c r="G10" s="3" t="s">
        <v>78</v>
      </c>
    </row>
    <row r="11" spans="1:7" ht="25.5" x14ac:dyDescent="0.2">
      <c r="A11" s="3" t="s">
        <v>79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46</v>
      </c>
      <c r="G11" s="3" t="s">
        <v>84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EAED-2C5B-47E2-87EF-FDF90917C69C}">
  <dimension ref="A1:D10"/>
  <sheetViews>
    <sheetView rightToLeft="1" tabSelected="1" workbookViewId="0">
      <pane ySplit="3" topLeftCell="A4" activePane="bottomLeft" state="frozenSplit"/>
      <selection pane="bottomLeft" sqref="A1:D1"/>
    </sheetView>
  </sheetViews>
  <sheetFormatPr defaultRowHeight="12.75" x14ac:dyDescent="0.2"/>
  <cols>
    <col min="1" max="1" width="9.28515625" style="1" bestFit="1" customWidth="1"/>
    <col min="2" max="2" width="36.7109375" style="1" bestFit="1" customWidth="1"/>
    <col min="3" max="3" width="38" style="1" bestFit="1" customWidth="1"/>
    <col min="4" max="4" width="14.85546875" style="1" bestFit="1" customWidth="1"/>
    <col min="5" max="16384" width="9.140625" style="1"/>
  </cols>
  <sheetData>
    <row r="1" spans="1:4" x14ac:dyDescent="0.2">
      <c r="A1" s="2" t="s">
        <v>0</v>
      </c>
      <c r="B1" s="2"/>
      <c r="C1" s="2"/>
      <c r="D1" s="2"/>
    </row>
    <row r="2" spans="1:4" x14ac:dyDescent="0.2">
      <c r="A2" s="3"/>
      <c r="B2" s="3"/>
      <c r="C2" s="3"/>
      <c r="D2" s="3"/>
    </row>
    <row r="3" spans="1:4" x14ac:dyDescent="0.2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2">
      <c r="A4" s="3" t="s">
        <v>5</v>
      </c>
      <c r="B4" s="3" t="s">
        <v>6</v>
      </c>
      <c r="C4" s="3" t="s">
        <v>7</v>
      </c>
      <c r="D4" s="3" t="s">
        <v>8</v>
      </c>
    </row>
    <row r="5" spans="1:4" x14ac:dyDescent="0.2">
      <c r="A5" s="3" t="s">
        <v>9</v>
      </c>
      <c r="B5" s="3" t="s">
        <v>10</v>
      </c>
      <c r="C5" s="3" t="s">
        <v>11</v>
      </c>
      <c r="D5" s="3" t="s">
        <v>12</v>
      </c>
    </row>
    <row r="6" spans="1:4" x14ac:dyDescent="0.2">
      <c r="A6" s="3" t="s">
        <v>13</v>
      </c>
      <c r="B6" s="3">
        <v>2026</v>
      </c>
      <c r="C6" s="3" t="s">
        <v>14</v>
      </c>
      <c r="D6" s="3" t="s">
        <v>15</v>
      </c>
    </row>
    <row r="7" spans="1:4" x14ac:dyDescent="0.2">
      <c r="A7" s="3" t="s">
        <v>16</v>
      </c>
      <c r="B7" s="3">
        <v>70</v>
      </c>
      <c r="C7" s="3" t="s">
        <v>17</v>
      </c>
      <c r="D7" s="3" t="s">
        <v>18</v>
      </c>
    </row>
    <row r="8" spans="1:4" x14ac:dyDescent="0.2">
      <c r="A8" s="3" t="s">
        <v>19</v>
      </c>
      <c r="B8" s="3">
        <v>80</v>
      </c>
      <c r="C8" s="3" t="s">
        <v>20</v>
      </c>
      <c r="D8" s="3" t="s">
        <v>18</v>
      </c>
    </row>
    <row r="9" spans="1:4" x14ac:dyDescent="0.2">
      <c r="A9" s="3" t="s">
        <v>21</v>
      </c>
      <c r="B9" s="3" t="s">
        <v>6</v>
      </c>
      <c r="C9" s="3" t="s">
        <v>22</v>
      </c>
      <c r="D9" s="3" t="s">
        <v>12</v>
      </c>
    </row>
    <row r="10" spans="1:4" x14ac:dyDescent="0.2">
      <c r="A10" s="3" t="s">
        <v>23</v>
      </c>
      <c r="B10" s="3" t="s">
        <v>24</v>
      </c>
      <c r="C10" s="3" t="s">
        <v>25</v>
      </c>
      <c r="D10" s="3" t="s">
        <v>26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Monthly</vt:lpstr>
      <vt:lpstr>Dashboard</vt:lpstr>
      <vt:lpstr>Evidence</vt:lpstr>
      <vt:lpstr>Competency</vt:lpstr>
      <vt:lpstr>Evaluation</vt:lpstr>
      <vt:lpstr>Attendance</vt:lpstr>
      <vt:lpstr>Sessions</vt:lpstr>
      <vt:lpstr>Plan</vt:lpstr>
      <vt:lpstr>Needs</vt:lpstr>
      <vt:lpstr>Employees</vt:lpstr>
      <vt:lpstr>Standards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samir</dc:creator>
  <cp:lastModifiedBy>mohamed samir</cp:lastModifiedBy>
  <dcterms:created xsi:type="dcterms:W3CDTF">2026-09-10T18:33:49Z</dcterms:created>
  <dcterms:modified xsi:type="dcterms:W3CDTF">2026-09-10T18:34:14Z</dcterms:modified>
</cp:coreProperties>
</file>