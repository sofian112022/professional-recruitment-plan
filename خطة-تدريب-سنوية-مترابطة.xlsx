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n\.copilot\repos\copilot-worktrees\professional-recruitment-plan\sofian112022-cuddly-pancake\"/>
    </mc:Choice>
  </mc:AlternateContent>
  <xr:revisionPtr revIDLastSave="0" documentId="8_{59A50DE6-431F-4BB0-9158-4E43B2E5AFF0}" xr6:coauthVersionLast="47" xr6:coauthVersionMax="47" xr10:uidLastSave="{00000000-0000-0000-0000-000000000000}"/>
  <bookViews>
    <workbookView xWindow="-120" yWindow="-120" windowWidth="29040" windowHeight="15720" activeTab="7" xr2:uid="{BEEA5AF6-83B9-4B78-BCED-2B2561E9CF27}"/>
  </bookViews>
  <sheets>
    <sheet name="نموذج تقييم" sheetId="8" r:id="rId1"/>
    <sheet name="نموذج حضور" sheetId="7" r:id="rId2"/>
    <sheet name="لوحة التحكم" sheetId="6" r:id="rId3"/>
    <sheet name="التقييمات" sheetId="5" r:id="rId4"/>
    <sheet name="الحضور" sheetId="4" r:id="rId5"/>
    <sheet name="الخطة" sheetId="3" r:id="rId6"/>
    <sheet name="الموظفون" sheetId="2" r:id="rId7"/>
    <sheet name="الإعدادات" sheetId="1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6" l="1"/>
  <c r="B11" i="6"/>
  <c r="B10" i="6"/>
  <c r="B9" i="6"/>
  <c r="B8" i="6"/>
  <c r="B7" i="6"/>
  <c r="B6" i="6"/>
  <c r="B5" i="6"/>
  <c r="B4" i="6"/>
  <c r="I503" i="5"/>
  <c r="H503" i="5"/>
  <c r="E503" i="5"/>
  <c r="C503" i="5"/>
  <c r="I502" i="5"/>
  <c r="H502" i="5"/>
  <c r="E502" i="5"/>
  <c r="C502" i="5"/>
  <c r="I501" i="5"/>
  <c r="H501" i="5"/>
  <c r="E501" i="5"/>
  <c r="C501" i="5"/>
  <c r="I500" i="5"/>
  <c r="H500" i="5"/>
  <c r="E500" i="5"/>
  <c r="C500" i="5"/>
  <c r="I499" i="5"/>
  <c r="H499" i="5"/>
  <c r="E499" i="5"/>
  <c r="C499" i="5"/>
  <c r="I498" i="5"/>
  <c r="H498" i="5"/>
  <c r="E498" i="5"/>
  <c r="C498" i="5"/>
  <c r="I497" i="5"/>
  <c r="H497" i="5"/>
  <c r="E497" i="5"/>
  <c r="C497" i="5"/>
  <c r="I496" i="5"/>
  <c r="H496" i="5"/>
  <c r="E496" i="5"/>
  <c r="C496" i="5"/>
  <c r="I495" i="5"/>
  <c r="H495" i="5"/>
  <c r="E495" i="5"/>
  <c r="C495" i="5"/>
  <c r="I494" i="5"/>
  <c r="H494" i="5"/>
  <c r="E494" i="5"/>
  <c r="C494" i="5"/>
  <c r="I493" i="5"/>
  <c r="H493" i="5"/>
  <c r="E493" i="5"/>
  <c r="C493" i="5"/>
  <c r="I492" i="5"/>
  <c r="H492" i="5"/>
  <c r="E492" i="5"/>
  <c r="C492" i="5"/>
  <c r="I491" i="5"/>
  <c r="H491" i="5"/>
  <c r="E491" i="5"/>
  <c r="C491" i="5"/>
  <c r="I490" i="5"/>
  <c r="H490" i="5"/>
  <c r="E490" i="5"/>
  <c r="C490" i="5"/>
  <c r="I489" i="5"/>
  <c r="H489" i="5"/>
  <c r="E489" i="5"/>
  <c r="C489" i="5"/>
  <c r="I488" i="5"/>
  <c r="H488" i="5"/>
  <c r="E488" i="5"/>
  <c r="C488" i="5"/>
  <c r="I487" i="5"/>
  <c r="H487" i="5"/>
  <c r="E487" i="5"/>
  <c r="C487" i="5"/>
  <c r="I486" i="5"/>
  <c r="H486" i="5"/>
  <c r="E486" i="5"/>
  <c r="C486" i="5"/>
  <c r="I485" i="5"/>
  <c r="H485" i="5"/>
  <c r="E485" i="5"/>
  <c r="C485" i="5"/>
  <c r="I484" i="5"/>
  <c r="H484" i="5"/>
  <c r="E484" i="5"/>
  <c r="C484" i="5"/>
  <c r="I483" i="5"/>
  <c r="H483" i="5"/>
  <c r="E483" i="5"/>
  <c r="C483" i="5"/>
  <c r="I482" i="5"/>
  <c r="H482" i="5"/>
  <c r="E482" i="5"/>
  <c r="C482" i="5"/>
  <c r="I481" i="5"/>
  <c r="H481" i="5"/>
  <c r="E481" i="5"/>
  <c r="C481" i="5"/>
  <c r="I480" i="5"/>
  <c r="H480" i="5"/>
  <c r="E480" i="5"/>
  <c r="C480" i="5"/>
  <c r="I479" i="5"/>
  <c r="H479" i="5"/>
  <c r="E479" i="5"/>
  <c r="C479" i="5"/>
  <c r="I478" i="5"/>
  <c r="H478" i="5"/>
  <c r="E478" i="5"/>
  <c r="C478" i="5"/>
  <c r="I477" i="5"/>
  <c r="H477" i="5"/>
  <c r="E477" i="5"/>
  <c r="C477" i="5"/>
  <c r="I476" i="5"/>
  <c r="H476" i="5"/>
  <c r="E476" i="5"/>
  <c r="C476" i="5"/>
  <c r="I475" i="5"/>
  <c r="H475" i="5"/>
  <c r="E475" i="5"/>
  <c r="C475" i="5"/>
  <c r="I474" i="5"/>
  <c r="H474" i="5"/>
  <c r="E474" i="5"/>
  <c r="C474" i="5"/>
  <c r="I473" i="5"/>
  <c r="H473" i="5"/>
  <c r="E473" i="5"/>
  <c r="C473" i="5"/>
  <c r="I472" i="5"/>
  <c r="H472" i="5"/>
  <c r="E472" i="5"/>
  <c r="C472" i="5"/>
  <c r="I471" i="5"/>
  <c r="H471" i="5"/>
  <c r="E471" i="5"/>
  <c r="C471" i="5"/>
  <c r="I470" i="5"/>
  <c r="H470" i="5"/>
  <c r="E470" i="5"/>
  <c r="C470" i="5"/>
  <c r="I469" i="5"/>
  <c r="H469" i="5"/>
  <c r="E469" i="5"/>
  <c r="C469" i="5"/>
  <c r="I468" i="5"/>
  <c r="H468" i="5"/>
  <c r="E468" i="5"/>
  <c r="C468" i="5"/>
  <c r="I467" i="5"/>
  <c r="H467" i="5"/>
  <c r="E467" i="5"/>
  <c r="C467" i="5"/>
  <c r="I466" i="5"/>
  <c r="H466" i="5"/>
  <c r="E466" i="5"/>
  <c r="C466" i="5"/>
  <c r="I465" i="5"/>
  <c r="H465" i="5"/>
  <c r="E465" i="5"/>
  <c r="C465" i="5"/>
  <c r="I464" i="5"/>
  <c r="H464" i="5"/>
  <c r="E464" i="5"/>
  <c r="C464" i="5"/>
  <c r="I463" i="5"/>
  <c r="H463" i="5"/>
  <c r="E463" i="5"/>
  <c r="C463" i="5"/>
  <c r="I462" i="5"/>
  <c r="H462" i="5"/>
  <c r="E462" i="5"/>
  <c r="C462" i="5"/>
  <c r="I461" i="5"/>
  <c r="H461" i="5"/>
  <c r="E461" i="5"/>
  <c r="C461" i="5"/>
  <c r="I460" i="5"/>
  <c r="H460" i="5"/>
  <c r="E460" i="5"/>
  <c r="C460" i="5"/>
  <c r="I459" i="5"/>
  <c r="H459" i="5"/>
  <c r="E459" i="5"/>
  <c r="C459" i="5"/>
  <c r="I458" i="5"/>
  <c r="H458" i="5"/>
  <c r="E458" i="5"/>
  <c r="C458" i="5"/>
  <c r="I457" i="5"/>
  <c r="H457" i="5"/>
  <c r="E457" i="5"/>
  <c r="C457" i="5"/>
  <c r="I456" i="5"/>
  <c r="H456" i="5"/>
  <c r="E456" i="5"/>
  <c r="C456" i="5"/>
  <c r="I455" i="5"/>
  <c r="H455" i="5"/>
  <c r="E455" i="5"/>
  <c r="C455" i="5"/>
  <c r="I454" i="5"/>
  <c r="H454" i="5"/>
  <c r="E454" i="5"/>
  <c r="C454" i="5"/>
  <c r="I453" i="5"/>
  <c r="H453" i="5"/>
  <c r="E453" i="5"/>
  <c r="C453" i="5"/>
  <c r="I452" i="5"/>
  <c r="H452" i="5"/>
  <c r="E452" i="5"/>
  <c r="C452" i="5"/>
  <c r="I451" i="5"/>
  <c r="H451" i="5"/>
  <c r="E451" i="5"/>
  <c r="C451" i="5"/>
  <c r="I450" i="5"/>
  <c r="H450" i="5"/>
  <c r="E450" i="5"/>
  <c r="C450" i="5"/>
  <c r="I449" i="5"/>
  <c r="H449" i="5"/>
  <c r="E449" i="5"/>
  <c r="C449" i="5"/>
  <c r="I448" i="5"/>
  <c r="H448" i="5"/>
  <c r="E448" i="5"/>
  <c r="C448" i="5"/>
  <c r="I447" i="5"/>
  <c r="H447" i="5"/>
  <c r="E447" i="5"/>
  <c r="C447" i="5"/>
  <c r="I446" i="5"/>
  <c r="H446" i="5"/>
  <c r="E446" i="5"/>
  <c r="C446" i="5"/>
  <c r="I445" i="5"/>
  <c r="H445" i="5"/>
  <c r="E445" i="5"/>
  <c r="C445" i="5"/>
  <c r="I444" i="5"/>
  <c r="H444" i="5"/>
  <c r="E444" i="5"/>
  <c r="C444" i="5"/>
  <c r="I443" i="5"/>
  <c r="H443" i="5"/>
  <c r="E443" i="5"/>
  <c r="C443" i="5"/>
  <c r="I442" i="5"/>
  <c r="H442" i="5"/>
  <c r="E442" i="5"/>
  <c r="C442" i="5"/>
  <c r="I441" i="5"/>
  <c r="H441" i="5"/>
  <c r="E441" i="5"/>
  <c r="C441" i="5"/>
  <c r="I440" i="5"/>
  <c r="H440" i="5"/>
  <c r="E440" i="5"/>
  <c r="C440" i="5"/>
  <c r="I439" i="5"/>
  <c r="H439" i="5"/>
  <c r="E439" i="5"/>
  <c r="C439" i="5"/>
  <c r="I438" i="5"/>
  <c r="H438" i="5"/>
  <c r="E438" i="5"/>
  <c r="C438" i="5"/>
  <c r="I437" i="5"/>
  <c r="H437" i="5"/>
  <c r="E437" i="5"/>
  <c r="C437" i="5"/>
  <c r="I436" i="5"/>
  <c r="H436" i="5"/>
  <c r="E436" i="5"/>
  <c r="C436" i="5"/>
  <c r="I435" i="5"/>
  <c r="H435" i="5"/>
  <c r="E435" i="5"/>
  <c r="C435" i="5"/>
  <c r="I434" i="5"/>
  <c r="H434" i="5"/>
  <c r="E434" i="5"/>
  <c r="C434" i="5"/>
  <c r="I433" i="5"/>
  <c r="H433" i="5"/>
  <c r="E433" i="5"/>
  <c r="C433" i="5"/>
  <c r="I432" i="5"/>
  <c r="H432" i="5"/>
  <c r="E432" i="5"/>
  <c r="C432" i="5"/>
  <c r="I431" i="5"/>
  <c r="H431" i="5"/>
  <c r="E431" i="5"/>
  <c r="C431" i="5"/>
  <c r="I430" i="5"/>
  <c r="H430" i="5"/>
  <c r="E430" i="5"/>
  <c r="C430" i="5"/>
  <c r="I429" i="5"/>
  <c r="H429" i="5"/>
  <c r="E429" i="5"/>
  <c r="C429" i="5"/>
  <c r="I428" i="5"/>
  <c r="H428" i="5"/>
  <c r="E428" i="5"/>
  <c r="C428" i="5"/>
  <c r="I427" i="5"/>
  <c r="H427" i="5"/>
  <c r="E427" i="5"/>
  <c r="C427" i="5"/>
  <c r="I426" i="5"/>
  <c r="H426" i="5"/>
  <c r="E426" i="5"/>
  <c r="C426" i="5"/>
  <c r="I425" i="5"/>
  <c r="H425" i="5"/>
  <c r="E425" i="5"/>
  <c r="C425" i="5"/>
  <c r="I424" i="5"/>
  <c r="H424" i="5"/>
  <c r="E424" i="5"/>
  <c r="C424" i="5"/>
  <c r="I423" i="5"/>
  <c r="H423" i="5"/>
  <c r="E423" i="5"/>
  <c r="C423" i="5"/>
  <c r="I422" i="5"/>
  <c r="H422" i="5"/>
  <c r="E422" i="5"/>
  <c r="C422" i="5"/>
  <c r="I421" i="5"/>
  <c r="H421" i="5"/>
  <c r="E421" i="5"/>
  <c r="C421" i="5"/>
  <c r="I420" i="5"/>
  <c r="H420" i="5"/>
  <c r="E420" i="5"/>
  <c r="C420" i="5"/>
  <c r="I419" i="5"/>
  <c r="H419" i="5"/>
  <c r="E419" i="5"/>
  <c r="C419" i="5"/>
  <c r="I418" i="5"/>
  <c r="H418" i="5"/>
  <c r="E418" i="5"/>
  <c r="C418" i="5"/>
  <c r="I417" i="5"/>
  <c r="H417" i="5"/>
  <c r="E417" i="5"/>
  <c r="C417" i="5"/>
  <c r="I416" i="5"/>
  <c r="H416" i="5"/>
  <c r="E416" i="5"/>
  <c r="C416" i="5"/>
  <c r="I415" i="5"/>
  <c r="H415" i="5"/>
  <c r="E415" i="5"/>
  <c r="C415" i="5"/>
  <c r="I414" i="5"/>
  <c r="H414" i="5"/>
  <c r="E414" i="5"/>
  <c r="C414" i="5"/>
  <c r="I413" i="5"/>
  <c r="H413" i="5"/>
  <c r="E413" i="5"/>
  <c r="C413" i="5"/>
  <c r="I412" i="5"/>
  <c r="H412" i="5"/>
  <c r="E412" i="5"/>
  <c r="C412" i="5"/>
  <c r="I411" i="5"/>
  <c r="H411" i="5"/>
  <c r="E411" i="5"/>
  <c r="C411" i="5"/>
  <c r="I410" i="5"/>
  <c r="H410" i="5"/>
  <c r="E410" i="5"/>
  <c r="C410" i="5"/>
  <c r="I409" i="5"/>
  <c r="H409" i="5"/>
  <c r="E409" i="5"/>
  <c r="C409" i="5"/>
  <c r="I408" i="5"/>
  <c r="H408" i="5"/>
  <c r="E408" i="5"/>
  <c r="C408" i="5"/>
  <c r="I407" i="5"/>
  <c r="H407" i="5"/>
  <c r="E407" i="5"/>
  <c r="C407" i="5"/>
  <c r="I406" i="5"/>
  <c r="H406" i="5"/>
  <c r="E406" i="5"/>
  <c r="C406" i="5"/>
  <c r="I405" i="5"/>
  <c r="H405" i="5"/>
  <c r="E405" i="5"/>
  <c r="C405" i="5"/>
  <c r="I404" i="5"/>
  <c r="H404" i="5"/>
  <c r="E404" i="5"/>
  <c r="C404" i="5"/>
  <c r="I403" i="5"/>
  <c r="H403" i="5"/>
  <c r="E403" i="5"/>
  <c r="C403" i="5"/>
  <c r="I402" i="5"/>
  <c r="H402" i="5"/>
  <c r="E402" i="5"/>
  <c r="C402" i="5"/>
  <c r="I401" i="5"/>
  <c r="H401" i="5"/>
  <c r="E401" i="5"/>
  <c r="C401" i="5"/>
  <c r="I400" i="5"/>
  <c r="H400" i="5"/>
  <c r="E400" i="5"/>
  <c r="C400" i="5"/>
  <c r="I399" i="5"/>
  <c r="H399" i="5"/>
  <c r="E399" i="5"/>
  <c r="C399" i="5"/>
  <c r="I398" i="5"/>
  <c r="H398" i="5"/>
  <c r="E398" i="5"/>
  <c r="C398" i="5"/>
  <c r="I397" i="5"/>
  <c r="H397" i="5"/>
  <c r="E397" i="5"/>
  <c r="C397" i="5"/>
  <c r="I396" i="5"/>
  <c r="H396" i="5"/>
  <c r="E396" i="5"/>
  <c r="C396" i="5"/>
  <c r="I395" i="5"/>
  <c r="H395" i="5"/>
  <c r="E395" i="5"/>
  <c r="C395" i="5"/>
  <c r="I394" i="5"/>
  <c r="H394" i="5"/>
  <c r="E394" i="5"/>
  <c r="C394" i="5"/>
  <c r="I393" i="5"/>
  <c r="H393" i="5"/>
  <c r="E393" i="5"/>
  <c r="C393" i="5"/>
  <c r="I392" i="5"/>
  <c r="H392" i="5"/>
  <c r="E392" i="5"/>
  <c r="C392" i="5"/>
  <c r="I391" i="5"/>
  <c r="H391" i="5"/>
  <c r="E391" i="5"/>
  <c r="C391" i="5"/>
  <c r="I390" i="5"/>
  <c r="H390" i="5"/>
  <c r="E390" i="5"/>
  <c r="C390" i="5"/>
  <c r="I389" i="5"/>
  <c r="H389" i="5"/>
  <c r="E389" i="5"/>
  <c r="C389" i="5"/>
  <c r="I388" i="5"/>
  <c r="H388" i="5"/>
  <c r="E388" i="5"/>
  <c r="C388" i="5"/>
  <c r="I387" i="5"/>
  <c r="H387" i="5"/>
  <c r="E387" i="5"/>
  <c r="C387" i="5"/>
  <c r="I386" i="5"/>
  <c r="H386" i="5"/>
  <c r="E386" i="5"/>
  <c r="C386" i="5"/>
  <c r="I385" i="5"/>
  <c r="H385" i="5"/>
  <c r="E385" i="5"/>
  <c r="C385" i="5"/>
  <c r="I384" i="5"/>
  <c r="H384" i="5"/>
  <c r="E384" i="5"/>
  <c r="C384" i="5"/>
  <c r="I383" i="5"/>
  <c r="H383" i="5"/>
  <c r="E383" i="5"/>
  <c r="C383" i="5"/>
  <c r="I382" i="5"/>
  <c r="H382" i="5"/>
  <c r="E382" i="5"/>
  <c r="C382" i="5"/>
  <c r="I381" i="5"/>
  <c r="H381" i="5"/>
  <c r="E381" i="5"/>
  <c r="C381" i="5"/>
  <c r="I380" i="5"/>
  <c r="H380" i="5"/>
  <c r="E380" i="5"/>
  <c r="C380" i="5"/>
  <c r="I379" i="5"/>
  <c r="H379" i="5"/>
  <c r="E379" i="5"/>
  <c r="C379" i="5"/>
  <c r="I378" i="5"/>
  <c r="H378" i="5"/>
  <c r="E378" i="5"/>
  <c r="C378" i="5"/>
  <c r="I377" i="5"/>
  <c r="H377" i="5"/>
  <c r="E377" i="5"/>
  <c r="C377" i="5"/>
  <c r="I376" i="5"/>
  <c r="H376" i="5"/>
  <c r="E376" i="5"/>
  <c r="C376" i="5"/>
  <c r="I375" i="5"/>
  <c r="H375" i="5"/>
  <c r="E375" i="5"/>
  <c r="C375" i="5"/>
  <c r="I374" i="5"/>
  <c r="H374" i="5"/>
  <c r="E374" i="5"/>
  <c r="C374" i="5"/>
  <c r="I373" i="5"/>
  <c r="H373" i="5"/>
  <c r="E373" i="5"/>
  <c r="C373" i="5"/>
  <c r="I372" i="5"/>
  <c r="H372" i="5"/>
  <c r="E372" i="5"/>
  <c r="C372" i="5"/>
  <c r="I371" i="5"/>
  <c r="H371" i="5"/>
  <c r="E371" i="5"/>
  <c r="C371" i="5"/>
  <c r="I370" i="5"/>
  <c r="H370" i="5"/>
  <c r="E370" i="5"/>
  <c r="C370" i="5"/>
  <c r="I369" i="5"/>
  <c r="H369" i="5"/>
  <c r="E369" i="5"/>
  <c r="C369" i="5"/>
  <c r="I368" i="5"/>
  <c r="H368" i="5"/>
  <c r="E368" i="5"/>
  <c r="C368" i="5"/>
  <c r="I367" i="5"/>
  <c r="H367" i="5"/>
  <c r="E367" i="5"/>
  <c r="C367" i="5"/>
  <c r="I366" i="5"/>
  <c r="H366" i="5"/>
  <c r="E366" i="5"/>
  <c r="C366" i="5"/>
  <c r="I365" i="5"/>
  <c r="H365" i="5"/>
  <c r="E365" i="5"/>
  <c r="C365" i="5"/>
  <c r="I364" i="5"/>
  <c r="H364" i="5"/>
  <c r="E364" i="5"/>
  <c r="C364" i="5"/>
  <c r="I363" i="5"/>
  <c r="H363" i="5"/>
  <c r="E363" i="5"/>
  <c r="C363" i="5"/>
  <c r="I362" i="5"/>
  <c r="H362" i="5"/>
  <c r="E362" i="5"/>
  <c r="C362" i="5"/>
  <c r="I361" i="5"/>
  <c r="H361" i="5"/>
  <c r="E361" i="5"/>
  <c r="C361" i="5"/>
  <c r="I360" i="5"/>
  <c r="H360" i="5"/>
  <c r="E360" i="5"/>
  <c r="C360" i="5"/>
  <c r="I359" i="5"/>
  <c r="H359" i="5"/>
  <c r="E359" i="5"/>
  <c r="C359" i="5"/>
  <c r="I358" i="5"/>
  <c r="H358" i="5"/>
  <c r="E358" i="5"/>
  <c r="C358" i="5"/>
  <c r="I357" i="5"/>
  <c r="H357" i="5"/>
  <c r="E357" i="5"/>
  <c r="C357" i="5"/>
  <c r="I356" i="5"/>
  <c r="H356" i="5"/>
  <c r="E356" i="5"/>
  <c r="C356" i="5"/>
  <c r="I355" i="5"/>
  <c r="H355" i="5"/>
  <c r="E355" i="5"/>
  <c r="C355" i="5"/>
  <c r="I354" i="5"/>
  <c r="H354" i="5"/>
  <c r="E354" i="5"/>
  <c r="C354" i="5"/>
  <c r="I353" i="5"/>
  <c r="H353" i="5"/>
  <c r="E353" i="5"/>
  <c r="C353" i="5"/>
  <c r="I352" i="5"/>
  <c r="H352" i="5"/>
  <c r="E352" i="5"/>
  <c r="C352" i="5"/>
  <c r="I351" i="5"/>
  <c r="H351" i="5"/>
  <c r="E351" i="5"/>
  <c r="C351" i="5"/>
  <c r="I350" i="5"/>
  <c r="H350" i="5"/>
  <c r="E350" i="5"/>
  <c r="C350" i="5"/>
  <c r="I349" i="5"/>
  <c r="H349" i="5"/>
  <c r="E349" i="5"/>
  <c r="C349" i="5"/>
  <c r="I348" i="5"/>
  <c r="H348" i="5"/>
  <c r="E348" i="5"/>
  <c r="C348" i="5"/>
  <c r="I347" i="5"/>
  <c r="H347" i="5"/>
  <c r="E347" i="5"/>
  <c r="C347" i="5"/>
  <c r="I346" i="5"/>
  <c r="H346" i="5"/>
  <c r="E346" i="5"/>
  <c r="C346" i="5"/>
  <c r="I345" i="5"/>
  <c r="H345" i="5"/>
  <c r="E345" i="5"/>
  <c r="C345" i="5"/>
  <c r="I344" i="5"/>
  <c r="H344" i="5"/>
  <c r="E344" i="5"/>
  <c r="C344" i="5"/>
  <c r="I343" i="5"/>
  <c r="H343" i="5"/>
  <c r="E343" i="5"/>
  <c r="C343" i="5"/>
  <c r="I342" i="5"/>
  <c r="H342" i="5"/>
  <c r="E342" i="5"/>
  <c r="C342" i="5"/>
  <c r="I341" i="5"/>
  <c r="H341" i="5"/>
  <c r="E341" i="5"/>
  <c r="C341" i="5"/>
  <c r="I340" i="5"/>
  <c r="H340" i="5"/>
  <c r="E340" i="5"/>
  <c r="C340" i="5"/>
  <c r="I339" i="5"/>
  <c r="H339" i="5"/>
  <c r="E339" i="5"/>
  <c r="C339" i="5"/>
  <c r="I338" i="5"/>
  <c r="H338" i="5"/>
  <c r="E338" i="5"/>
  <c r="C338" i="5"/>
  <c r="I337" i="5"/>
  <c r="H337" i="5"/>
  <c r="E337" i="5"/>
  <c r="C337" i="5"/>
  <c r="I336" i="5"/>
  <c r="H336" i="5"/>
  <c r="E336" i="5"/>
  <c r="C336" i="5"/>
  <c r="I335" i="5"/>
  <c r="H335" i="5"/>
  <c r="E335" i="5"/>
  <c r="C335" i="5"/>
  <c r="I334" i="5"/>
  <c r="H334" i="5"/>
  <c r="E334" i="5"/>
  <c r="C334" i="5"/>
  <c r="I333" i="5"/>
  <c r="H333" i="5"/>
  <c r="E333" i="5"/>
  <c r="C333" i="5"/>
  <c r="I332" i="5"/>
  <c r="H332" i="5"/>
  <c r="E332" i="5"/>
  <c r="C332" i="5"/>
  <c r="I331" i="5"/>
  <c r="H331" i="5"/>
  <c r="E331" i="5"/>
  <c r="C331" i="5"/>
  <c r="I330" i="5"/>
  <c r="H330" i="5"/>
  <c r="E330" i="5"/>
  <c r="C330" i="5"/>
  <c r="I329" i="5"/>
  <c r="H329" i="5"/>
  <c r="E329" i="5"/>
  <c r="C329" i="5"/>
  <c r="I328" i="5"/>
  <c r="H328" i="5"/>
  <c r="E328" i="5"/>
  <c r="C328" i="5"/>
  <c r="I327" i="5"/>
  <c r="H327" i="5"/>
  <c r="E327" i="5"/>
  <c r="C327" i="5"/>
  <c r="I326" i="5"/>
  <c r="H326" i="5"/>
  <c r="E326" i="5"/>
  <c r="C326" i="5"/>
  <c r="I325" i="5"/>
  <c r="H325" i="5"/>
  <c r="E325" i="5"/>
  <c r="C325" i="5"/>
  <c r="I324" i="5"/>
  <c r="H324" i="5"/>
  <c r="E324" i="5"/>
  <c r="C324" i="5"/>
  <c r="I323" i="5"/>
  <c r="H323" i="5"/>
  <c r="E323" i="5"/>
  <c r="C323" i="5"/>
  <c r="I322" i="5"/>
  <c r="H322" i="5"/>
  <c r="E322" i="5"/>
  <c r="C322" i="5"/>
  <c r="I321" i="5"/>
  <c r="H321" i="5"/>
  <c r="E321" i="5"/>
  <c r="C321" i="5"/>
  <c r="I320" i="5"/>
  <c r="H320" i="5"/>
  <c r="E320" i="5"/>
  <c r="C320" i="5"/>
  <c r="I319" i="5"/>
  <c r="H319" i="5"/>
  <c r="E319" i="5"/>
  <c r="C319" i="5"/>
  <c r="I318" i="5"/>
  <c r="H318" i="5"/>
  <c r="E318" i="5"/>
  <c r="C318" i="5"/>
  <c r="I317" i="5"/>
  <c r="H317" i="5"/>
  <c r="E317" i="5"/>
  <c r="C317" i="5"/>
  <c r="I316" i="5"/>
  <c r="H316" i="5"/>
  <c r="E316" i="5"/>
  <c r="C316" i="5"/>
  <c r="I315" i="5"/>
  <c r="H315" i="5"/>
  <c r="E315" i="5"/>
  <c r="C315" i="5"/>
  <c r="I314" i="5"/>
  <c r="H314" i="5"/>
  <c r="E314" i="5"/>
  <c r="C314" i="5"/>
  <c r="I313" i="5"/>
  <c r="H313" i="5"/>
  <c r="E313" i="5"/>
  <c r="C313" i="5"/>
  <c r="I312" i="5"/>
  <c r="H312" i="5"/>
  <c r="E312" i="5"/>
  <c r="C312" i="5"/>
  <c r="I311" i="5"/>
  <c r="H311" i="5"/>
  <c r="E311" i="5"/>
  <c r="C311" i="5"/>
  <c r="I310" i="5"/>
  <c r="H310" i="5"/>
  <c r="E310" i="5"/>
  <c r="C310" i="5"/>
  <c r="I309" i="5"/>
  <c r="H309" i="5"/>
  <c r="E309" i="5"/>
  <c r="C309" i="5"/>
  <c r="I308" i="5"/>
  <c r="H308" i="5"/>
  <c r="E308" i="5"/>
  <c r="C308" i="5"/>
  <c r="I307" i="5"/>
  <c r="H307" i="5"/>
  <c r="E307" i="5"/>
  <c r="C307" i="5"/>
  <c r="I306" i="5"/>
  <c r="H306" i="5"/>
  <c r="E306" i="5"/>
  <c r="C306" i="5"/>
  <c r="I305" i="5"/>
  <c r="H305" i="5"/>
  <c r="E305" i="5"/>
  <c r="C305" i="5"/>
  <c r="I304" i="5"/>
  <c r="H304" i="5"/>
  <c r="E304" i="5"/>
  <c r="C304" i="5"/>
  <c r="I303" i="5"/>
  <c r="H303" i="5"/>
  <c r="E303" i="5"/>
  <c r="C303" i="5"/>
  <c r="I302" i="5"/>
  <c r="H302" i="5"/>
  <c r="E302" i="5"/>
  <c r="C302" i="5"/>
  <c r="I301" i="5"/>
  <c r="H301" i="5"/>
  <c r="E301" i="5"/>
  <c r="C301" i="5"/>
  <c r="I300" i="5"/>
  <c r="H300" i="5"/>
  <c r="E300" i="5"/>
  <c r="C300" i="5"/>
  <c r="I299" i="5"/>
  <c r="H299" i="5"/>
  <c r="E299" i="5"/>
  <c r="C299" i="5"/>
  <c r="I298" i="5"/>
  <c r="H298" i="5"/>
  <c r="E298" i="5"/>
  <c r="C298" i="5"/>
  <c r="I297" i="5"/>
  <c r="H297" i="5"/>
  <c r="E297" i="5"/>
  <c r="C297" i="5"/>
  <c r="I296" i="5"/>
  <c r="H296" i="5"/>
  <c r="E296" i="5"/>
  <c r="C296" i="5"/>
  <c r="I295" i="5"/>
  <c r="H295" i="5"/>
  <c r="E295" i="5"/>
  <c r="C295" i="5"/>
  <c r="I294" i="5"/>
  <c r="H294" i="5"/>
  <c r="E294" i="5"/>
  <c r="C294" i="5"/>
  <c r="I293" i="5"/>
  <c r="H293" i="5"/>
  <c r="E293" i="5"/>
  <c r="C293" i="5"/>
  <c r="I292" i="5"/>
  <c r="H292" i="5"/>
  <c r="E292" i="5"/>
  <c r="C292" i="5"/>
  <c r="I291" i="5"/>
  <c r="H291" i="5"/>
  <c r="E291" i="5"/>
  <c r="C291" i="5"/>
  <c r="I290" i="5"/>
  <c r="H290" i="5"/>
  <c r="E290" i="5"/>
  <c r="C290" i="5"/>
  <c r="I289" i="5"/>
  <c r="H289" i="5"/>
  <c r="E289" i="5"/>
  <c r="C289" i="5"/>
  <c r="I288" i="5"/>
  <c r="H288" i="5"/>
  <c r="E288" i="5"/>
  <c r="C288" i="5"/>
  <c r="I287" i="5"/>
  <c r="H287" i="5"/>
  <c r="E287" i="5"/>
  <c r="C287" i="5"/>
  <c r="I286" i="5"/>
  <c r="H286" i="5"/>
  <c r="E286" i="5"/>
  <c r="C286" i="5"/>
  <c r="I285" i="5"/>
  <c r="H285" i="5"/>
  <c r="E285" i="5"/>
  <c r="C285" i="5"/>
  <c r="I284" i="5"/>
  <c r="H284" i="5"/>
  <c r="E284" i="5"/>
  <c r="C284" i="5"/>
  <c r="I283" i="5"/>
  <c r="H283" i="5"/>
  <c r="E283" i="5"/>
  <c r="C283" i="5"/>
  <c r="I282" i="5"/>
  <c r="H282" i="5"/>
  <c r="E282" i="5"/>
  <c r="C282" i="5"/>
  <c r="I281" i="5"/>
  <c r="H281" i="5"/>
  <c r="E281" i="5"/>
  <c r="C281" i="5"/>
  <c r="I280" i="5"/>
  <c r="H280" i="5"/>
  <c r="E280" i="5"/>
  <c r="C280" i="5"/>
  <c r="I279" i="5"/>
  <c r="H279" i="5"/>
  <c r="E279" i="5"/>
  <c r="C279" i="5"/>
  <c r="I278" i="5"/>
  <c r="H278" i="5"/>
  <c r="E278" i="5"/>
  <c r="C278" i="5"/>
  <c r="I277" i="5"/>
  <c r="H277" i="5"/>
  <c r="E277" i="5"/>
  <c r="C277" i="5"/>
  <c r="I276" i="5"/>
  <c r="H276" i="5"/>
  <c r="E276" i="5"/>
  <c r="C276" i="5"/>
  <c r="I275" i="5"/>
  <c r="H275" i="5"/>
  <c r="E275" i="5"/>
  <c r="C275" i="5"/>
  <c r="I274" i="5"/>
  <c r="H274" i="5"/>
  <c r="E274" i="5"/>
  <c r="C274" i="5"/>
  <c r="I273" i="5"/>
  <c r="H273" i="5"/>
  <c r="E273" i="5"/>
  <c r="C273" i="5"/>
  <c r="I272" i="5"/>
  <c r="H272" i="5"/>
  <c r="E272" i="5"/>
  <c r="C272" i="5"/>
  <c r="I271" i="5"/>
  <c r="H271" i="5"/>
  <c r="E271" i="5"/>
  <c r="C271" i="5"/>
  <c r="I270" i="5"/>
  <c r="H270" i="5"/>
  <c r="E270" i="5"/>
  <c r="C270" i="5"/>
  <c r="I269" i="5"/>
  <c r="H269" i="5"/>
  <c r="E269" i="5"/>
  <c r="C269" i="5"/>
  <c r="I268" i="5"/>
  <c r="H268" i="5"/>
  <c r="E268" i="5"/>
  <c r="C268" i="5"/>
  <c r="I267" i="5"/>
  <c r="H267" i="5"/>
  <c r="E267" i="5"/>
  <c r="C267" i="5"/>
  <c r="I266" i="5"/>
  <c r="H266" i="5"/>
  <c r="E266" i="5"/>
  <c r="C266" i="5"/>
  <c r="I265" i="5"/>
  <c r="H265" i="5"/>
  <c r="E265" i="5"/>
  <c r="C265" i="5"/>
  <c r="I264" i="5"/>
  <c r="H264" i="5"/>
  <c r="E264" i="5"/>
  <c r="C264" i="5"/>
  <c r="I263" i="5"/>
  <c r="H263" i="5"/>
  <c r="E263" i="5"/>
  <c r="C263" i="5"/>
  <c r="I262" i="5"/>
  <c r="H262" i="5"/>
  <c r="E262" i="5"/>
  <c r="C262" i="5"/>
  <c r="I261" i="5"/>
  <c r="H261" i="5"/>
  <c r="E261" i="5"/>
  <c r="C261" i="5"/>
  <c r="I260" i="5"/>
  <c r="H260" i="5"/>
  <c r="E260" i="5"/>
  <c r="C260" i="5"/>
  <c r="I259" i="5"/>
  <c r="H259" i="5"/>
  <c r="E259" i="5"/>
  <c r="C259" i="5"/>
  <c r="I258" i="5"/>
  <c r="H258" i="5"/>
  <c r="E258" i="5"/>
  <c r="C258" i="5"/>
  <c r="I257" i="5"/>
  <c r="H257" i="5"/>
  <c r="E257" i="5"/>
  <c r="C257" i="5"/>
  <c r="I256" i="5"/>
  <c r="H256" i="5"/>
  <c r="E256" i="5"/>
  <c r="C256" i="5"/>
  <c r="I255" i="5"/>
  <c r="H255" i="5"/>
  <c r="E255" i="5"/>
  <c r="C255" i="5"/>
  <c r="I254" i="5"/>
  <c r="H254" i="5"/>
  <c r="E254" i="5"/>
  <c r="C254" i="5"/>
  <c r="I253" i="5"/>
  <c r="H253" i="5"/>
  <c r="E253" i="5"/>
  <c r="C253" i="5"/>
  <c r="I252" i="5"/>
  <c r="H252" i="5"/>
  <c r="E252" i="5"/>
  <c r="C252" i="5"/>
  <c r="I251" i="5"/>
  <c r="H251" i="5"/>
  <c r="E251" i="5"/>
  <c r="C251" i="5"/>
  <c r="I250" i="5"/>
  <c r="H250" i="5"/>
  <c r="E250" i="5"/>
  <c r="C250" i="5"/>
  <c r="I249" i="5"/>
  <c r="H249" i="5"/>
  <c r="E249" i="5"/>
  <c r="C249" i="5"/>
  <c r="I248" i="5"/>
  <c r="H248" i="5"/>
  <c r="E248" i="5"/>
  <c r="C248" i="5"/>
  <c r="I247" i="5"/>
  <c r="H247" i="5"/>
  <c r="E247" i="5"/>
  <c r="C247" i="5"/>
  <c r="I246" i="5"/>
  <c r="H246" i="5"/>
  <c r="E246" i="5"/>
  <c r="C246" i="5"/>
  <c r="I245" i="5"/>
  <c r="H245" i="5"/>
  <c r="E245" i="5"/>
  <c r="C245" i="5"/>
  <c r="I244" i="5"/>
  <c r="H244" i="5"/>
  <c r="E244" i="5"/>
  <c r="C244" i="5"/>
  <c r="I243" i="5"/>
  <c r="H243" i="5"/>
  <c r="E243" i="5"/>
  <c r="C243" i="5"/>
  <c r="I242" i="5"/>
  <c r="H242" i="5"/>
  <c r="E242" i="5"/>
  <c r="C242" i="5"/>
  <c r="I241" i="5"/>
  <c r="H241" i="5"/>
  <c r="E241" i="5"/>
  <c r="C241" i="5"/>
  <c r="I240" i="5"/>
  <c r="H240" i="5"/>
  <c r="E240" i="5"/>
  <c r="C240" i="5"/>
  <c r="I239" i="5"/>
  <c r="H239" i="5"/>
  <c r="E239" i="5"/>
  <c r="C239" i="5"/>
  <c r="I238" i="5"/>
  <c r="H238" i="5"/>
  <c r="E238" i="5"/>
  <c r="C238" i="5"/>
  <c r="I237" i="5"/>
  <c r="H237" i="5"/>
  <c r="E237" i="5"/>
  <c r="C237" i="5"/>
  <c r="I236" i="5"/>
  <c r="H236" i="5"/>
  <c r="E236" i="5"/>
  <c r="C236" i="5"/>
  <c r="I235" i="5"/>
  <c r="H235" i="5"/>
  <c r="E235" i="5"/>
  <c r="C235" i="5"/>
  <c r="I234" i="5"/>
  <c r="H234" i="5"/>
  <c r="E234" i="5"/>
  <c r="C234" i="5"/>
  <c r="I233" i="5"/>
  <c r="H233" i="5"/>
  <c r="E233" i="5"/>
  <c r="C233" i="5"/>
  <c r="I232" i="5"/>
  <c r="H232" i="5"/>
  <c r="E232" i="5"/>
  <c r="C232" i="5"/>
  <c r="I231" i="5"/>
  <c r="H231" i="5"/>
  <c r="E231" i="5"/>
  <c r="C231" i="5"/>
  <c r="I230" i="5"/>
  <c r="H230" i="5"/>
  <c r="E230" i="5"/>
  <c r="C230" i="5"/>
  <c r="I229" i="5"/>
  <c r="H229" i="5"/>
  <c r="E229" i="5"/>
  <c r="C229" i="5"/>
  <c r="I228" i="5"/>
  <c r="H228" i="5"/>
  <c r="E228" i="5"/>
  <c r="C228" i="5"/>
  <c r="I227" i="5"/>
  <c r="H227" i="5"/>
  <c r="E227" i="5"/>
  <c r="C227" i="5"/>
  <c r="I226" i="5"/>
  <c r="H226" i="5"/>
  <c r="E226" i="5"/>
  <c r="C226" i="5"/>
  <c r="I225" i="5"/>
  <c r="H225" i="5"/>
  <c r="E225" i="5"/>
  <c r="C225" i="5"/>
  <c r="I224" i="5"/>
  <c r="H224" i="5"/>
  <c r="E224" i="5"/>
  <c r="C224" i="5"/>
  <c r="I223" i="5"/>
  <c r="H223" i="5"/>
  <c r="E223" i="5"/>
  <c r="C223" i="5"/>
  <c r="I222" i="5"/>
  <c r="H222" i="5"/>
  <c r="E222" i="5"/>
  <c r="C222" i="5"/>
  <c r="I221" i="5"/>
  <c r="H221" i="5"/>
  <c r="E221" i="5"/>
  <c r="C221" i="5"/>
  <c r="I220" i="5"/>
  <c r="H220" i="5"/>
  <c r="E220" i="5"/>
  <c r="C220" i="5"/>
  <c r="I219" i="5"/>
  <c r="H219" i="5"/>
  <c r="E219" i="5"/>
  <c r="C219" i="5"/>
  <c r="I218" i="5"/>
  <c r="H218" i="5"/>
  <c r="E218" i="5"/>
  <c r="C218" i="5"/>
  <c r="I217" i="5"/>
  <c r="H217" i="5"/>
  <c r="E217" i="5"/>
  <c r="C217" i="5"/>
  <c r="I216" i="5"/>
  <c r="H216" i="5"/>
  <c r="E216" i="5"/>
  <c r="C216" i="5"/>
  <c r="I215" i="5"/>
  <c r="H215" i="5"/>
  <c r="E215" i="5"/>
  <c r="C215" i="5"/>
  <c r="I214" i="5"/>
  <c r="H214" i="5"/>
  <c r="E214" i="5"/>
  <c r="C214" i="5"/>
  <c r="I213" i="5"/>
  <c r="H213" i="5"/>
  <c r="E213" i="5"/>
  <c r="C213" i="5"/>
  <c r="I212" i="5"/>
  <c r="H212" i="5"/>
  <c r="E212" i="5"/>
  <c r="C212" i="5"/>
  <c r="I211" i="5"/>
  <c r="H211" i="5"/>
  <c r="E211" i="5"/>
  <c r="C211" i="5"/>
  <c r="I210" i="5"/>
  <c r="H210" i="5"/>
  <c r="E210" i="5"/>
  <c r="C210" i="5"/>
  <c r="I209" i="5"/>
  <c r="H209" i="5"/>
  <c r="E209" i="5"/>
  <c r="C209" i="5"/>
  <c r="I208" i="5"/>
  <c r="H208" i="5"/>
  <c r="E208" i="5"/>
  <c r="C208" i="5"/>
  <c r="I207" i="5"/>
  <c r="H207" i="5"/>
  <c r="E207" i="5"/>
  <c r="C207" i="5"/>
  <c r="I206" i="5"/>
  <c r="H206" i="5"/>
  <c r="E206" i="5"/>
  <c r="C206" i="5"/>
  <c r="I205" i="5"/>
  <c r="H205" i="5"/>
  <c r="E205" i="5"/>
  <c r="C205" i="5"/>
  <c r="I204" i="5"/>
  <c r="H204" i="5"/>
  <c r="E204" i="5"/>
  <c r="C204" i="5"/>
  <c r="I203" i="5"/>
  <c r="H203" i="5"/>
  <c r="E203" i="5"/>
  <c r="C203" i="5"/>
  <c r="I202" i="5"/>
  <c r="H202" i="5"/>
  <c r="E202" i="5"/>
  <c r="C202" i="5"/>
  <c r="I201" i="5"/>
  <c r="H201" i="5"/>
  <c r="E201" i="5"/>
  <c r="C201" i="5"/>
  <c r="I200" i="5"/>
  <c r="H200" i="5"/>
  <c r="E200" i="5"/>
  <c r="C200" i="5"/>
  <c r="I199" i="5"/>
  <c r="H199" i="5"/>
  <c r="E199" i="5"/>
  <c r="C199" i="5"/>
  <c r="I198" i="5"/>
  <c r="H198" i="5"/>
  <c r="E198" i="5"/>
  <c r="C198" i="5"/>
  <c r="I197" i="5"/>
  <c r="H197" i="5"/>
  <c r="E197" i="5"/>
  <c r="C197" i="5"/>
  <c r="I196" i="5"/>
  <c r="H196" i="5"/>
  <c r="E196" i="5"/>
  <c r="C196" i="5"/>
  <c r="I195" i="5"/>
  <c r="H195" i="5"/>
  <c r="E195" i="5"/>
  <c r="C195" i="5"/>
  <c r="I194" i="5"/>
  <c r="H194" i="5"/>
  <c r="E194" i="5"/>
  <c r="C194" i="5"/>
  <c r="I193" i="5"/>
  <c r="H193" i="5"/>
  <c r="E193" i="5"/>
  <c r="C193" i="5"/>
  <c r="I192" i="5"/>
  <c r="H192" i="5"/>
  <c r="E192" i="5"/>
  <c r="C192" i="5"/>
  <c r="I191" i="5"/>
  <c r="H191" i="5"/>
  <c r="E191" i="5"/>
  <c r="C191" i="5"/>
  <c r="I190" i="5"/>
  <c r="H190" i="5"/>
  <c r="E190" i="5"/>
  <c r="C190" i="5"/>
  <c r="I189" i="5"/>
  <c r="H189" i="5"/>
  <c r="E189" i="5"/>
  <c r="C189" i="5"/>
  <c r="I188" i="5"/>
  <c r="H188" i="5"/>
  <c r="E188" i="5"/>
  <c r="C188" i="5"/>
  <c r="I187" i="5"/>
  <c r="H187" i="5"/>
  <c r="E187" i="5"/>
  <c r="C187" i="5"/>
  <c r="I186" i="5"/>
  <c r="H186" i="5"/>
  <c r="E186" i="5"/>
  <c r="C186" i="5"/>
  <c r="I185" i="5"/>
  <c r="H185" i="5"/>
  <c r="E185" i="5"/>
  <c r="C185" i="5"/>
  <c r="I184" i="5"/>
  <c r="H184" i="5"/>
  <c r="E184" i="5"/>
  <c r="C184" i="5"/>
  <c r="I183" i="5"/>
  <c r="H183" i="5"/>
  <c r="E183" i="5"/>
  <c r="C183" i="5"/>
  <c r="I182" i="5"/>
  <c r="H182" i="5"/>
  <c r="E182" i="5"/>
  <c r="C182" i="5"/>
  <c r="I181" i="5"/>
  <c r="H181" i="5"/>
  <c r="E181" i="5"/>
  <c r="C181" i="5"/>
  <c r="I180" i="5"/>
  <c r="H180" i="5"/>
  <c r="E180" i="5"/>
  <c r="C180" i="5"/>
  <c r="I179" i="5"/>
  <c r="H179" i="5"/>
  <c r="E179" i="5"/>
  <c r="C179" i="5"/>
  <c r="I178" i="5"/>
  <c r="H178" i="5"/>
  <c r="E178" i="5"/>
  <c r="C178" i="5"/>
  <c r="I177" i="5"/>
  <c r="H177" i="5"/>
  <c r="E177" i="5"/>
  <c r="C177" i="5"/>
  <c r="I176" i="5"/>
  <c r="H176" i="5"/>
  <c r="E176" i="5"/>
  <c r="C176" i="5"/>
  <c r="I175" i="5"/>
  <c r="H175" i="5"/>
  <c r="E175" i="5"/>
  <c r="C175" i="5"/>
  <c r="I174" i="5"/>
  <c r="H174" i="5"/>
  <c r="E174" i="5"/>
  <c r="C174" i="5"/>
  <c r="I173" i="5"/>
  <c r="H173" i="5"/>
  <c r="E173" i="5"/>
  <c r="C173" i="5"/>
  <c r="I172" i="5"/>
  <c r="H172" i="5"/>
  <c r="E172" i="5"/>
  <c r="C172" i="5"/>
  <c r="I171" i="5"/>
  <c r="H171" i="5"/>
  <c r="E171" i="5"/>
  <c r="C171" i="5"/>
  <c r="I170" i="5"/>
  <c r="H170" i="5"/>
  <c r="E170" i="5"/>
  <c r="C170" i="5"/>
  <c r="I169" i="5"/>
  <c r="H169" i="5"/>
  <c r="E169" i="5"/>
  <c r="C169" i="5"/>
  <c r="I168" i="5"/>
  <c r="H168" i="5"/>
  <c r="E168" i="5"/>
  <c r="C168" i="5"/>
  <c r="I167" i="5"/>
  <c r="H167" i="5"/>
  <c r="E167" i="5"/>
  <c r="C167" i="5"/>
  <c r="I166" i="5"/>
  <c r="H166" i="5"/>
  <c r="E166" i="5"/>
  <c r="C166" i="5"/>
  <c r="I165" i="5"/>
  <c r="H165" i="5"/>
  <c r="E165" i="5"/>
  <c r="C165" i="5"/>
  <c r="I164" i="5"/>
  <c r="H164" i="5"/>
  <c r="E164" i="5"/>
  <c r="C164" i="5"/>
  <c r="I163" i="5"/>
  <c r="H163" i="5"/>
  <c r="E163" i="5"/>
  <c r="C163" i="5"/>
  <c r="I162" i="5"/>
  <c r="H162" i="5"/>
  <c r="E162" i="5"/>
  <c r="C162" i="5"/>
  <c r="I161" i="5"/>
  <c r="H161" i="5"/>
  <c r="E161" i="5"/>
  <c r="C161" i="5"/>
  <c r="I160" i="5"/>
  <c r="H160" i="5"/>
  <c r="E160" i="5"/>
  <c r="C160" i="5"/>
  <c r="I159" i="5"/>
  <c r="H159" i="5"/>
  <c r="E159" i="5"/>
  <c r="C159" i="5"/>
  <c r="I158" i="5"/>
  <c r="H158" i="5"/>
  <c r="E158" i="5"/>
  <c r="C158" i="5"/>
  <c r="I157" i="5"/>
  <c r="H157" i="5"/>
  <c r="E157" i="5"/>
  <c r="C157" i="5"/>
  <c r="I156" i="5"/>
  <c r="H156" i="5"/>
  <c r="E156" i="5"/>
  <c r="C156" i="5"/>
  <c r="I155" i="5"/>
  <c r="H155" i="5"/>
  <c r="E155" i="5"/>
  <c r="C155" i="5"/>
  <c r="I154" i="5"/>
  <c r="H154" i="5"/>
  <c r="E154" i="5"/>
  <c r="C154" i="5"/>
  <c r="I153" i="5"/>
  <c r="H153" i="5"/>
  <c r="E153" i="5"/>
  <c r="C153" i="5"/>
  <c r="I152" i="5"/>
  <c r="H152" i="5"/>
  <c r="E152" i="5"/>
  <c r="C152" i="5"/>
  <c r="I151" i="5"/>
  <c r="H151" i="5"/>
  <c r="E151" i="5"/>
  <c r="C151" i="5"/>
  <c r="I150" i="5"/>
  <c r="H150" i="5"/>
  <c r="E150" i="5"/>
  <c r="C150" i="5"/>
  <c r="I149" i="5"/>
  <c r="H149" i="5"/>
  <c r="E149" i="5"/>
  <c r="C149" i="5"/>
  <c r="I148" i="5"/>
  <c r="H148" i="5"/>
  <c r="E148" i="5"/>
  <c r="C148" i="5"/>
  <c r="I147" i="5"/>
  <c r="H147" i="5"/>
  <c r="E147" i="5"/>
  <c r="C147" i="5"/>
  <c r="I146" i="5"/>
  <c r="H146" i="5"/>
  <c r="E146" i="5"/>
  <c r="C146" i="5"/>
  <c r="I145" i="5"/>
  <c r="H145" i="5"/>
  <c r="E145" i="5"/>
  <c r="C145" i="5"/>
  <c r="I144" i="5"/>
  <c r="H144" i="5"/>
  <c r="E144" i="5"/>
  <c r="C144" i="5"/>
  <c r="I143" i="5"/>
  <c r="H143" i="5"/>
  <c r="E143" i="5"/>
  <c r="C143" i="5"/>
  <c r="I142" i="5"/>
  <c r="H142" i="5"/>
  <c r="E142" i="5"/>
  <c r="C142" i="5"/>
  <c r="I141" i="5"/>
  <c r="H141" i="5"/>
  <c r="E141" i="5"/>
  <c r="C141" i="5"/>
  <c r="I140" i="5"/>
  <c r="H140" i="5"/>
  <c r="E140" i="5"/>
  <c r="C140" i="5"/>
  <c r="I139" i="5"/>
  <c r="H139" i="5"/>
  <c r="E139" i="5"/>
  <c r="C139" i="5"/>
  <c r="I138" i="5"/>
  <c r="H138" i="5"/>
  <c r="E138" i="5"/>
  <c r="C138" i="5"/>
  <c r="I137" i="5"/>
  <c r="H137" i="5"/>
  <c r="E137" i="5"/>
  <c r="C137" i="5"/>
  <c r="I136" i="5"/>
  <c r="H136" i="5"/>
  <c r="E136" i="5"/>
  <c r="C136" i="5"/>
  <c r="I135" i="5"/>
  <c r="H135" i="5"/>
  <c r="E135" i="5"/>
  <c r="C135" i="5"/>
  <c r="I134" i="5"/>
  <c r="H134" i="5"/>
  <c r="E134" i="5"/>
  <c r="C134" i="5"/>
  <c r="I133" i="5"/>
  <c r="H133" i="5"/>
  <c r="E133" i="5"/>
  <c r="C133" i="5"/>
  <c r="I132" i="5"/>
  <c r="H132" i="5"/>
  <c r="E132" i="5"/>
  <c r="C132" i="5"/>
  <c r="I131" i="5"/>
  <c r="H131" i="5"/>
  <c r="E131" i="5"/>
  <c r="C131" i="5"/>
  <c r="I130" i="5"/>
  <c r="H130" i="5"/>
  <c r="E130" i="5"/>
  <c r="C130" i="5"/>
  <c r="I129" i="5"/>
  <c r="H129" i="5"/>
  <c r="E129" i="5"/>
  <c r="C129" i="5"/>
  <c r="I128" i="5"/>
  <c r="H128" i="5"/>
  <c r="E128" i="5"/>
  <c r="C128" i="5"/>
  <c r="I127" i="5"/>
  <c r="H127" i="5"/>
  <c r="E127" i="5"/>
  <c r="C127" i="5"/>
  <c r="I126" i="5"/>
  <c r="H126" i="5"/>
  <c r="E126" i="5"/>
  <c r="C126" i="5"/>
  <c r="I125" i="5"/>
  <c r="H125" i="5"/>
  <c r="E125" i="5"/>
  <c r="C125" i="5"/>
  <c r="I124" i="5"/>
  <c r="H124" i="5"/>
  <c r="E124" i="5"/>
  <c r="C124" i="5"/>
  <c r="I123" i="5"/>
  <c r="H123" i="5"/>
  <c r="E123" i="5"/>
  <c r="C123" i="5"/>
  <c r="I122" i="5"/>
  <c r="H122" i="5"/>
  <c r="E122" i="5"/>
  <c r="C122" i="5"/>
  <c r="I121" i="5"/>
  <c r="H121" i="5"/>
  <c r="E121" i="5"/>
  <c r="C121" i="5"/>
  <c r="I120" i="5"/>
  <c r="H120" i="5"/>
  <c r="E120" i="5"/>
  <c r="C120" i="5"/>
  <c r="I119" i="5"/>
  <c r="H119" i="5"/>
  <c r="E119" i="5"/>
  <c r="C119" i="5"/>
  <c r="I118" i="5"/>
  <c r="H118" i="5"/>
  <c r="E118" i="5"/>
  <c r="C118" i="5"/>
  <c r="I117" i="5"/>
  <c r="H117" i="5"/>
  <c r="E117" i="5"/>
  <c r="C117" i="5"/>
  <c r="I116" i="5"/>
  <c r="H116" i="5"/>
  <c r="E116" i="5"/>
  <c r="C116" i="5"/>
  <c r="I115" i="5"/>
  <c r="H115" i="5"/>
  <c r="E115" i="5"/>
  <c r="C115" i="5"/>
  <c r="I114" i="5"/>
  <c r="H114" i="5"/>
  <c r="E114" i="5"/>
  <c r="C114" i="5"/>
  <c r="I113" i="5"/>
  <c r="H113" i="5"/>
  <c r="E113" i="5"/>
  <c r="C113" i="5"/>
  <c r="I112" i="5"/>
  <c r="H112" i="5"/>
  <c r="E112" i="5"/>
  <c r="C112" i="5"/>
  <c r="I111" i="5"/>
  <c r="H111" i="5"/>
  <c r="E111" i="5"/>
  <c r="C111" i="5"/>
  <c r="I110" i="5"/>
  <c r="H110" i="5"/>
  <c r="E110" i="5"/>
  <c r="C110" i="5"/>
  <c r="I109" i="5"/>
  <c r="H109" i="5"/>
  <c r="E109" i="5"/>
  <c r="C109" i="5"/>
  <c r="I108" i="5"/>
  <c r="H108" i="5"/>
  <c r="E108" i="5"/>
  <c r="C108" i="5"/>
  <c r="I107" i="5"/>
  <c r="H107" i="5"/>
  <c r="E107" i="5"/>
  <c r="C107" i="5"/>
  <c r="I106" i="5"/>
  <c r="H106" i="5"/>
  <c r="E106" i="5"/>
  <c r="C106" i="5"/>
  <c r="I105" i="5"/>
  <c r="H105" i="5"/>
  <c r="E105" i="5"/>
  <c r="C105" i="5"/>
  <c r="I104" i="5"/>
  <c r="H104" i="5"/>
  <c r="E104" i="5"/>
  <c r="C104" i="5"/>
  <c r="I103" i="5"/>
  <c r="H103" i="5"/>
  <c r="E103" i="5"/>
  <c r="C103" i="5"/>
  <c r="I102" i="5"/>
  <c r="H102" i="5"/>
  <c r="E102" i="5"/>
  <c r="C102" i="5"/>
  <c r="I101" i="5"/>
  <c r="H101" i="5"/>
  <c r="E101" i="5"/>
  <c r="C101" i="5"/>
  <c r="I100" i="5"/>
  <c r="H100" i="5"/>
  <c r="E100" i="5"/>
  <c r="C100" i="5"/>
  <c r="I99" i="5"/>
  <c r="H99" i="5"/>
  <c r="E99" i="5"/>
  <c r="C99" i="5"/>
  <c r="I98" i="5"/>
  <c r="H98" i="5"/>
  <c r="E98" i="5"/>
  <c r="C98" i="5"/>
  <c r="I97" i="5"/>
  <c r="H97" i="5"/>
  <c r="E97" i="5"/>
  <c r="C97" i="5"/>
  <c r="I96" i="5"/>
  <c r="H96" i="5"/>
  <c r="E96" i="5"/>
  <c r="C96" i="5"/>
  <c r="I95" i="5"/>
  <c r="H95" i="5"/>
  <c r="E95" i="5"/>
  <c r="C95" i="5"/>
  <c r="I94" i="5"/>
  <c r="H94" i="5"/>
  <c r="E94" i="5"/>
  <c r="C94" i="5"/>
  <c r="I93" i="5"/>
  <c r="H93" i="5"/>
  <c r="E93" i="5"/>
  <c r="C93" i="5"/>
  <c r="I92" i="5"/>
  <c r="H92" i="5"/>
  <c r="E92" i="5"/>
  <c r="C92" i="5"/>
  <c r="I91" i="5"/>
  <c r="H91" i="5"/>
  <c r="E91" i="5"/>
  <c r="C91" i="5"/>
  <c r="I90" i="5"/>
  <c r="H90" i="5"/>
  <c r="E90" i="5"/>
  <c r="C90" i="5"/>
  <c r="I89" i="5"/>
  <c r="H89" i="5"/>
  <c r="E89" i="5"/>
  <c r="C89" i="5"/>
  <c r="I88" i="5"/>
  <c r="H88" i="5"/>
  <c r="E88" i="5"/>
  <c r="C88" i="5"/>
  <c r="I87" i="5"/>
  <c r="H87" i="5"/>
  <c r="E87" i="5"/>
  <c r="C87" i="5"/>
  <c r="I86" i="5"/>
  <c r="H86" i="5"/>
  <c r="E86" i="5"/>
  <c r="C86" i="5"/>
  <c r="I85" i="5"/>
  <c r="H85" i="5"/>
  <c r="E85" i="5"/>
  <c r="C85" i="5"/>
  <c r="I84" i="5"/>
  <c r="H84" i="5"/>
  <c r="E84" i="5"/>
  <c r="C84" i="5"/>
  <c r="I83" i="5"/>
  <c r="H83" i="5"/>
  <c r="E83" i="5"/>
  <c r="C83" i="5"/>
  <c r="I82" i="5"/>
  <c r="H82" i="5"/>
  <c r="E82" i="5"/>
  <c r="C82" i="5"/>
  <c r="I81" i="5"/>
  <c r="H81" i="5"/>
  <c r="E81" i="5"/>
  <c r="C81" i="5"/>
  <c r="I80" i="5"/>
  <c r="H80" i="5"/>
  <c r="E80" i="5"/>
  <c r="C80" i="5"/>
  <c r="I79" i="5"/>
  <c r="H79" i="5"/>
  <c r="E79" i="5"/>
  <c r="C79" i="5"/>
  <c r="I78" i="5"/>
  <c r="H78" i="5"/>
  <c r="E78" i="5"/>
  <c r="C78" i="5"/>
  <c r="I77" i="5"/>
  <c r="H77" i="5"/>
  <c r="E77" i="5"/>
  <c r="C77" i="5"/>
  <c r="I76" i="5"/>
  <c r="H76" i="5"/>
  <c r="E76" i="5"/>
  <c r="C76" i="5"/>
  <c r="I75" i="5"/>
  <c r="H75" i="5"/>
  <c r="E75" i="5"/>
  <c r="C75" i="5"/>
  <c r="I74" i="5"/>
  <c r="H74" i="5"/>
  <c r="E74" i="5"/>
  <c r="C74" i="5"/>
  <c r="I73" i="5"/>
  <c r="H73" i="5"/>
  <c r="E73" i="5"/>
  <c r="C73" i="5"/>
  <c r="I72" i="5"/>
  <c r="H72" i="5"/>
  <c r="E72" i="5"/>
  <c r="C72" i="5"/>
  <c r="I71" i="5"/>
  <c r="H71" i="5"/>
  <c r="E71" i="5"/>
  <c r="C71" i="5"/>
  <c r="I70" i="5"/>
  <c r="H70" i="5"/>
  <c r="E70" i="5"/>
  <c r="C70" i="5"/>
  <c r="I69" i="5"/>
  <c r="H69" i="5"/>
  <c r="E69" i="5"/>
  <c r="C69" i="5"/>
  <c r="I68" i="5"/>
  <c r="H68" i="5"/>
  <c r="E68" i="5"/>
  <c r="C68" i="5"/>
  <c r="I67" i="5"/>
  <c r="H67" i="5"/>
  <c r="E67" i="5"/>
  <c r="C67" i="5"/>
  <c r="I66" i="5"/>
  <c r="H66" i="5"/>
  <c r="E66" i="5"/>
  <c r="C66" i="5"/>
  <c r="I65" i="5"/>
  <c r="H65" i="5"/>
  <c r="E65" i="5"/>
  <c r="C65" i="5"/>
  <c r="I64" i="5"/>
  <c r="H64" i="5"/>
  <c r="E64" i="5"/>
  <c r="C64" i="5"/>
  <c r="I63" i="5"/>
  <c r="H63" i="5"/>
  <c r="E63" i="5"/>
  <c r="C63" i="5"/>
  <c r="I62" i="5"/>
  <c r="H62" i="5"/>
  <c r="E62" i="5"/>
  <c r="C62" i="5"/>
  <c r="I61" i="5"/>
  <c r="H61" i="5"/>
  <c r="E61" i="5"/>
  <c r="C61" i="5"/>
  <c r="I60" i="5"/>
  <c r="H60" i="5"/>
  <c r="E60" i="5"/>
  <c r="C60" i="5"/>
  <c r="I59" i="5"/>
  <c r="H59" i="5"/>
  <c r="E59" i="5"/>
  <c r="C59" i="5"/>
  <c r="I58" i="5"/>
  <c r="H58" i="5"/>
  <c r="E58" i="5"/>
  <c r="C58" i="5"/>
  <c r="I57" i="5"/>
  <c r="H57" i="5"/>
  <c r="E57" i="5"/>
  <c r="C57" i="5"/>
  <c r="I56" i="5"/>
  <c r="H56" i="5"/>
  <c r="E56" i="5"/>
  <c r="C56" i="5"/>
  <c r="I55" i="5"/>
  <c r="H55" i="5"/>
  <c r="E55" i="5"/>
  <c r="C55" i="5"/>
  <c r="I54" i="5"/>
  <c r="H54" i="5"/>
  <c r="E54" i="5"/>
  <c r="C54" i="5"/>
  <c r="I53" i="5"/>
  <c r="H53" i="5"/>
  <c r="E53" i="5"/>
  <c r="C53" i="5"/>
  <c r="I52" i="5"/>
  <c r="H52" i="5"/>
  <c r="E52" i="5"/>
  <c r="C52" i="5"/>
  <c r="I51" i="5"/>
  <c r="H51" i="5"/>
  <c r="E51" i="5"/>
  <c r="C51" i="5"/>
  <c r="I50" i="5"/>
  <c r="H50" i="5"/>
  <c r="E50" i="5"/>
  <c r="C50" i="5"/>
  <c r="I49" i="5"/>
  <c r="H49" i="5"/>
  <c r="E49" i="5"/>
  <c r="C49" i="5"/>
  <c r="I48" i="5"/>
  <c r="H48" i="5"/>
  <c r="E48" i="5"/>
  <c r="C48" i="5"/>
  <c r="I47" i="5"/>
  <c r="H47" i="5"/>
  <c r="E47" i="5"/>
  <c r="C47" i="5"/>
  <c r="I46" i="5"/>
  <c r="H46" i="5"/>
  <c r="E46" i="5"/>
  <c r="C46" i="5"/>
  <c r="I45" i="5"/>
  <c r="H45" i="5"/>
  <c r="E45" i="5"/>
  <c r="C45" i="5"/>
  <c r="I44" i="5"/>
  <c r="H44" i="5"/>
  <c r="E44" i="5"/>
  <c r="C44" i="5"/>
  <c r="I43" i="5"/>
  <c r="H43" i="5"/>
  <c r="E43" i="5"/>
  <c r="C43" i="5"/>
  <c r="I42" i="5"/>
  <c r="H42" i="5"/>
  <c r="E42" i="5"/>
  <c r="C42" i="5"/>
  <c r="I41" i="5"/>
  <c r="H41" i="5"/>
  <c r="E41" i="5"/>
  <c r="C41" i="5"/>
  <c r="I40" i="5"/>
  <c r="H40" i="5"/>
  <c r="E40" i="5"/>
  <c r="C40" i="5"/>
  <c r="I39" i="5"/>
  <c r="H39" i="5"/>
  <c r="E39" i="5"/>
  <c r="C39" i="5"/>
  <c r="I38" i="5"/>
  <c r="H38" i="5"/>
  <c r="E38" i="5"/>
  <c r="C38" i="5"/>
  <c r="I37" i="5"/>
  <c r="H37" i="5"/>
  <c r="E37" i="5"/>
  <c r="C37" i="5"/>
  <c r="I36" i="5"/>
  <c r="H36" i="5"/>
  <c r="E36" i="5"/>
  <c r="C36" i="5"/>
  <c r="I35" i="5"/>
  <c r="H35" i="5"/>
  <c r="E35" i="5"/>
  <c r="C35" i="5"/>
  <c r="I34" i="5"/>
  <c r="H34" i="5"/>
  <c r="E34" i="5"/>
  <c r="C34" i="5"/>
  <c r="I33" i="5"/>
  <c r="H33" i="5"/>
  <c r="E33" i="5"/>
  <c r="C33" i="5"/>
  <c r="I32" i="5"/>
  <c r="H32" i="5"/>
  <c r="E32" i="5"/>
  <c r="C32" i="5"/>
  <c r="I31" i="5"/>
  <c r="H31" i="5"/>
  <c r="E31" i="5"/>
  <c r="C31" i="5"/>
  <c r="I30" i="5"/>
  <c r="H30" i="5"/>
  <c r="E30" i="5"/>
  <c r="C30" i="5"/>
  <c r="I29" i="5"/>
  <c r="H29" i="5"/>
  <c r="E29" i="5"/>
  <c r="C29" i="5"/>
  <c r="I28" i="5"/>
  <c r="H28" i="5"/>
  <c r="E28" i="5"/>
  <c r="C28" i="5"/>
  <c r="I27" i="5"/>
  <c r="H27" i="5"/>
  <c r="E27" i="5"/>
  <c r="C27" i="5"/>
  <c r="I26" i="5"/>
  <c r="H26" i="5"/>
  <c r="E26" i="5"/>
  <c r="C26" i="5"/>
  <c r="I25" i="5"/>
  <c r="H25" i="5"/>
  <c r="E25" i="5"/>
  <c r="C25" i="5"/>
  <c r="I24" i="5"/>
  <c r="H24" i="5"/>
  <c r="E24" i="5"/>
  <c r="C24" i="5"/>
  <c r="I23" i="5"/>
  <c r="H23" i="5"/>
  <c r="E23" i="5"/>
  <c r="C23" i="5"/>
  <c r="I22" i="5"/>
  <c r="H22" i="5"/>
  <c r="E22" i="5"/>
  <c r="C22" i="5"/>
  <c r="I21" i="5"/>
  <c r="H21" i="5"/>
  <c r="E21" i="5"/>
  <c r="C21" i="5"/>
  <c r="I20" i="5"/>
  <c r="H20" i="5"/>
  <c r="E20" i="5"/>
  <c r="C20" i="5"/>
  <c r="I19" i="5"/>
  <c r="H19" i="5"/>
  <c r="E19" i="5"/>
  <c r="C19" i="5"/>
  <c r="I18" i="5"/>
  <c r="H18" i="5"/>
  <c r="E18" i="5"/>
  <c r="C18" i="5"/>
  <c r="I17" i="5"/>
  <c r="H17" i="5"/>
  <c r="E17" i="5"/>
  <c r="C17" i="5"/>
  <c r="I16" i="5"/>
  <c r="H16" i="5"/>
  <c r="E16" i="5"/>
  <c r="C16" i="5"/>
  <c r="I15" i="5"/>
  <c r="H15" i="5"/>
  <c r="E15" i="5"/>
  <c r="C15" i="5"/>
  <c r="I14" i="5"/>
  <c r="H14" i="5"/>
  <c r="E14" i="5"/>
  <c r="C14" i="5"/>
  <c r="I13" i="5"/>
  <c r="H13" i="5"/>
  <c r="E13" i="5"/>
  <c r="C13" i="5"/>
  <c r="I12" i="5"/>
  <c r="H12" i="5"/>
  <c r="E12" i="5"/>
  <c r="C12" i="5"/>
  <c r="I11" i="5"/>
  <c r="H11" i="5"/>
  <c r="E11" i="5"/>
  <c r="C11" i="5"/>
  <c r="I10" i="5"/>
  <c r="H10" i="5"/>
  <c r="E10" i="5"/>
  <c r="C10" i="5"/>
  <c r="I9" i="5"/>
  <c r="H9" i="5"/>
  <c r="E9" i="5"/>
  <c r="C9" i="5"/>
  <c r="I8" i="5"/>
  <c r="H8" i="5"/>
  <c r="E8" i="5"/>
  <c r="C8" i="5"/>
  <c r="I7" i="5"/>
  <c r="H7" i="5"/>
  <c r="E7" i="5"/>
  <c r="C7" i="5"/>
  <c r="I6" i="5"/>
  <c r="H6" i="5"/>
  <c r="E6" i="5"/>
  <c r="C6" i="5"/>
  <c r="I5" i="5"/>
  <c r="H5" i="5"/>
  <c r="E5" i="5"/>
  <c r="C5" i="5"/>
  <c r="I4" i="5"/>
  <c r="H4" i="5"/>
  <c r="E4" i="5"/>
  <c r="C4" i="5"/>
  <c r="K503" i="4"/>
  <c r="E503" i="4"/>
  <c r="C503" i="4"/>
  <c r="K502" i="4"/>
  <c r="E502" i="4"/>
  <c r="C502" i="4"/>
  <c r="K501" i="4"/>
  <c r="E501" i="4"/>
  <c r="C501" i="4"/>
  <c r="K500" i="4"/>
  <c r="E500" i="4"/>
  <c r="C500" i="4"/>
  <c r="K499" i="4"/>
  <c r="E499" i="4"/>
  <c r="C499" i="4"/>
  <c r="K498" i="4"/>
  <c r="E498" i="4"/>
  <c r="C498" i="4"/>
  <c r="K497" i="4"/>
  <c r="E497" i="4"/>
  <c r="C497" i="4"/>
  <c r="K496" i="4"/>
  <c r="E496" i="4"/>
  <c r="C496" i="4"/>
  <c r="K495" i="4"/>
  <c r="E495" i="4"/>
  <c r="C495" i="4"/>
  <c r="K494" i="4"/>
  <c r="E494" i="4"/>
  <c r="C494" i="4"/>
  <c r="K493" i="4"/>
  <c r="E493" i="4"/>
  <c r="C493" i="4"/>
  <c r="K492" i="4"/>
  <c r="E492" i="4"/>
  <c r="C492" i="4"/>
  <c r="K491" i="4"/>
  <c r="E491" i="4"/>
  <c r="C491" i="4"/>
  <c r="K490" i="4"/>
  <c r="E490" i="4"/>
  <c r="C490" i="4"/>
  <c r="K489" i="4"/>
  <c r="E489" i="4"/>
  <c r="C489" i="4"/>
  <c r="K488" i="4"/>
  <c r="E488" i="4"/>
  <c r="C488" i="4"/>
  <c r="K487" i="4"/>
  <c r="E487" i="4"/>
  <c r="C487" i="4"/>
  <c r="K486" i="4"/>
  <c r="E486" i="4"/>
  <c r="C486" i="4"/>
  <c r="K485" i="4"/>
  <c r="E485" i="4"/>
  <c r="C485" i="4"/>
  <c r="K484" i="4"/>
  <c r="E484" i="4"/>
  <c r="C484" i="4"/>
  <c r="K483" i="4"/>
  <c r="E483" i="4"/>
  <c r="C483" i="4"/>
  <c r="K482" i="4"/>
  <c r="E482" i="4"/>
  <c r="C482" i="4"/>
  <c r="K481" i="4"/>
  <c r="E481" i="4"/>
  <c r="C481" i="4"/>
  <c r="K480" i="4"/>
  <c r="E480" i="4"/>
  <c r="C480" i="4"/>
  <c r="K479" i="4"/>
  <c r="E479" i="4"/>
  <c r="C479" i="4"/>
  <c r="K478" i="4"/>
  <c r="E478" i="4"/>
  <c r="C478" i="4"/>
  <c r="K477" i="4"/>
  <c r="E477" i="4"/>
  <c r="C477" i="4"/>
  <c r="K476" i="4"/>
  <c r="E476" i="4"/>
  <c r="C476" i="4"/>
  <c r="K475" i="4"/>
  <c r="E475" i="4"/>
  <c r="C475" i="4"/>
  <c r="K474" i="4"/>
  <c r="E474" i="4"/>
  <c r="C474" i="4"/>
  <c r="K473" i="4"/>
  <c r="E473" i="4"/>
  <c r="C473" i="4"/>
  <c r="K472" i="4"/>
  <c r="E472" i="4"/>
  <c r="C472" i="4"/>
  <c r="K471" i="4"/>
  <c r="E471" i="4"/>
  <c r="C471" i="4"/>
  <c r="K470" i="4"/>
  <c r="E470" i="4"/>
  <c r="C470" i="4"/>
  <c r="K469" i="4"/>
  <c r="E469" i="4"/>
  <c r="C469" i="4"/>
  <c r="K468" i="4"/>
  <c r="E468" i="4"/>
  <c r="C468" i="4"/>
  <c r="K467" i="4"/>
  <c r="E467" i="4"/>
  <c r="C467" i="4"/>
  <c r="K466" i="4"/>
  <c r="E466" i="4"/>
  <c r="C466" i="4"/>
  <c r="K465" i="4"/>
  <c r="E465" i="4"/>
  <c r="C465" i="4"/>
  <c r="K464" i="4"/>
  <c r="E464" i="4"/>
  <c r="C464" i="4"/>
  <c r="K463" i="4"/>
  <c r="E463" i="4"/>
  <c r="C463" i="4"/>
  <c r="K462" i="4"/>
  <c r="E462" i="4"/>
  <c r="C462" i="4"/>
  <c r="K461" i="4"/>
  <c r="E461" i="4"/>
  <c r="C461" i="4"/>
  <c r="K460" i="4"/>
  <c r="E460" i="4"/>
  <c r="C460" i="4"/>
  <c r="K459" i="4"/>
  <c r="E459" i="4"/>
  <c r="C459" i="4"/>
  <c r="K458" i="4"/>
  <c r="E458" i="4"/>
  <c r="C458" i="4"/>
  <c r="K457" i="4"/>
  <c r="E457" i="4"/>
  <c r="C457" i="4"/>
  <c r="K456" i="4"/>
  <c r="E456" i="4"/>
  <c r="C456" i="4"/>
  <c r="K455" i="4"/>
  <c r="E455" i="4"/>
  <c r="C455" i="4"/>
  <c r="K454" i="4"/>
  <c r="E454" i="4"/>
  <c r="C454" i="4"/>
  <c r="K453" i="4"/>
  <c r="E453" i="4"/>
  <c r="C453" i="4"/>
  <c r="K452" i="4"/>
  <c r="E452" i="4"/>
  <c r="C452" i="4"/>
  <c r="K451" i="4"/>
  <c r="E451" i="4"/>
  <c r="C451" i="4"/>
  <c r="K450" i="4"/>
  <c r="E450" i="4"/>
  <c r="C450" i="4"/>
  <c r="K449" i="4"/>
  <c r="E449" i="4"/>
  <c r="C449" i="4"/>
  <c r="K448" i="4"/>
  <c r="E448" i="4"/>
  <c r="C448" i="4"/>
  <c r="K447" i="4"/>
  <c r="E447" i="4"/>
  <c r="C447" i="4"/>
  <c r="K446" i="4"/>
  <c r="E446" i="4"/>
  <c r="C446" i="4"/>
  <c r="K445" i="4"/>
  <c r="E445" i="4"/>
  <c r="C445" i="4"/>
  <c r="K444" i="4"/>
  <c r="E444" i="4"/>
  <c r="C444" i="4"/>
  <c r="K443" i="4"/>
  <c r="E443" i="4"/>
  <c r="C443" i="4"/>
  <c r="K442" i="4"/>
  <c r="E442" i="4"/>
  <c r="C442" i="4"/>
  <c r="K441" i="4"/>
  <c r="E441" i="4"/>
  <c r="C441" i="4"/>
  <c r="K440" i="4"/>
  <c r="E440" i="4"/>
  <c r="C440" i="4"/>
  <c r="K439" i="4"/>
  <c r="E439" i="4"/>
  <c r="C439" i="4"/>
  <c r="K438" i="4"/>
  <c r="E438" i="4"/>
  <c r="C438" i="4"/>
  <c r="K437" i="4"/>
  <c r="E437" i="4"/>
  <c r="C437" i="4"/>
  <c r="K436" i="4"/>
  <c r="E436" i="4"/>
  <c r="C436" i="4"/>
  <c r="K435" i="4"/>
  <c r="E435" i="4"/>
  <c r="C435" i="4"/>
  <c r="K434" i="4"/>
  <c r="E434" i="4"/>
  <c r="C434" i="4"/>
  <c r="K433" i="4"/>
  <c r="E433" i="4"/>
  <c r="C433" i="4"/>
  <c r="K432" i="4"/>
  <c r="E432" i="4"/>
  <c r="C432" i="4"/>
  <c r="K431" i="4"/>
  <c r="E431" i="4"/>
  <c r="C431" i="4"/>
  <c r="K430" i="4"/>
  <c r="E430" i="4"/>
  <c r="C430" i="4"/>
  <c r="K429" i="4"/>
  <c r="E429" i="4"/>
  <c r="C429" i="4"/>
  <c r="K428" i="4"/>
  <c r="E428" i="4"/>
  <c r="C428" i="4"/>
  <c r="K427" i="4"/>
  <c r="E427" i="4"/>
  <c r="C427" i="4"/>
  <c r="K426" i="4"/>
  <c r="E426" i="4"/>
  <c r="C426" i="4"/>
  <c r="K425" i="4"/>
  <c r="E425" i="4"/>
  <c r="C425" i="4"/>
  <c r="K424" i="4"/>
  <c r="E424" i="4"/>
  <c r="C424" i="4"/>
  <c r="K423" i="4"/>
  <c r="E423" i="4"/>
  <c r="C423" i="4"/>
  <c r="K422" i="4"/>
  <c r="E422" i="4"/>
  <c r="C422" i="4"/>
  <c r="K421" i="4"/>
  <c r="E421" i="4"/>
  <c r="C421" i="4"/>
  <c r="K420" i="4"/>
  <c r="E420" i="4"/>
  <c r="C420" i="4"/>
  <c r="K419" i="4"/>
  <c r="E419" i="4"/>
  <c r="C419" i="4"/>
  <c r="K418" i="4"/>
  <c r="E418" i="4"/>
  <c r="C418" i="4"/>
  <c r="K417" i="4"/>
  <c r="E417" i="4"/>
  <c r="C417" i="4"/>
  <c r="K416" i="4"/>
  <c r="E416" i="4"/>
  <c r="C416" i="4"/>
  <c r="K415" i="4"/>
  <c r="E415" i="4"/>
  <c r="C415" i="4"/>
  <c r="K414" i="4"/>
  <c r="E414" i="4"/>
  <c r="C414" i="4"/>
  <c r="K413" i="4"/>
  <c r="E413" i="4"/>
  <c r="C413" i="4"/>
  <c r="K412" i="4"/>
  <c r="E412" i="4"/>
  <c r="C412" i="4"/>
  <c r="K411" i="4"/>
  <c r="E411" i="4"/>
  <c r="C411" i="4"/>
  <c r="K410" i="4"/>
  <c r="E410" i="4"/>
  <c r="C410" i="4"/>
  <c r="K409" i="4"/>
  <c r="E409" i="4"/>
  <c r="C409" i="4"/>
  <c r="K408" i="4"/>
  <c r="E408" i="4"/>
  <c r="C408" i="4"/>
  <c r="K407" i="4"/>
  <c r="E407" i="4"/>
  <c r="C407" i="4"/>
  <c r="K406" i="4"/>
  <c r="E406" i="4"/>
  <c r="C406" i="4"/>
  <c r="K405" i="4"/>
  <c r="E405" i="4"/>
  <c r="C405" i="4"/>
  <c r="K404" i="4"/>
  <c r="E404" i="4"/>
  <c r="C404" i="4"/>
  <c r="K403" i="4"/>
  <c r="E403" i="4"/>
  <c r="C403" i="4"/>
  <c r="K402" i="4"/>
  <c r="E402" i="4"/>
  <c r="C402" i="4"/>
  <c r="K401" i="4"/>
  <c r="E401" i="4"/>
  <c r="C401" i="4"/>
  <c r="K400" i="4"/>
  <c r="E400" i="4"/>
  <c r="C400" i="4"/>
  <c r="K399" i="4"/>
  <c r="E399" i="4"/>
  <c r="C399" i="4"/>
  <c r="K398" i="4"/>
  <c r="E398" i="4"/>
  <c r="C398" i="4"/>
  <c r="K397" i="4"/>
  <c r="E397" i="4"/>
  <c r="C397" i="4"/>
  <c r="K396" i="4"/>
  <c r="E396" i="4"/>
  <c r="C396" i="4"/>
  <c r="K395" i="4"/>
  <c r="E395" i="4"/>
  <c r="C395" i="4"/>
  <c r="K394" i="4"/>
  <c r="E394" i="4"/>
  <c r="C394" i="4"/>
  <c r="K393" i="4"/>
  <c r="E393" i="4"/>
  <c r="C393" i="4"/>
  <c r="K392" i="4"/>
  <c r="E392" i="4"/>
  <c r="C392" i="4"/>
  <c r="K391" i="4"/>
  <c r="E391" i="4"/>
  <c r="C391" i="4"/>
  <c r="K390" i="4"/>
  <c r="E390" i="4"/>
  <c r="C390" i="4"/>
  <c r="K389" i="4"/>
  <c r="E389" i="4"/>
  <c r="C389" i="4"/>
  <c r="K388" i="4"/>
  <c r="E388" i="4"/>
  <c r="C388" i="4"/>
  <c r="K387" i="4"/>
  <c r="E387" i="4"/>
  <c r="C387" i="4"/>
  <c r="K386" i="4"/>
  <c r="E386" i="4"/>
  <c r="C386" i="4"/>
  <c r="K385" i="4"/>
  <c r="E385" i="4"/>
  <c r="C385" i="4"/>
  <c r="K384" i="4"/>
  <c r="E384" i="4"/>
  <c r="C384" i="4"/>
  <c r="K383" i="4"/>
  <c r="E383" i="4"/>
  <c r="C383" i="4"/>
  <c r="K382" i="4"/>
  <c r="E382" i="4"/>
  <c r="C382" i="4"/>
  <c r="K381" i="4"/>
  <c r="E381" i="4"/>
  <c r="C381" i="4"/>
  <c r="K380" i="4"/>
  <c r="E380" i="4"/>
  <c r="C380" i="4"/>
  <c r="K379" i="4"/>
  <c r="E379" i="4"/>
  <c r="C379" i="4"/>
  <c r="K378" i="4"/>
  <c r="E378" i="4"/>
  <c r="C378" i="4"/>
  <c r="K377" i="4"/>
  <c r="E377" i="4"/>
  <c r="C377" i="4"/>
  <c r="K376" i="4"/>
  <c r="E376" i="4"/>
  <c r="C376" i="4"/>
  <c r="K375" i="4"/>
  <c r="E375" i="4"/>
  <c r="C375" i="4"/>
  <c r="K374" i="4"/>
  <c r="E374" i="4"/>
  <c r="C374" i="4"/>
  <c r="K373" i="4"/>
  <c r="E373" i="4"/>
  <c r="C373" i="4"/>
  <c r="K372" i="4"/>
  <c r="E372" i="4"/>
  <c r="C372" i="4"/>
  <c r="K371" i="4"/>
  <c r="E371" i="4"/>
  <c r="C371" i="4"/>
  <c r="K370" i="4"/>
  <c r="E370" i="4"/>
  <c r="C370" i="4"/>
  <c r="K369" i="4"/>
  <c r="E369" i="4"/>
  <c r="C369" i="4"/>
  <c r="K368" i="4"/>
  <c r="E368" i="4"/>
  <c r="C368" i="4"/>
  <c r="K367" i="4"/>
  <c r="E367" i="4"/>
  <c r="C367" i="4"/>
  <c r="K366" i="4"/>
  <c r="E366" i="4"/>
  <c r="C366" i="4"/>
  <c r="K365" i="4"/>
  <c r="E365" i="4"/>
  <c r="C365" i="4"/>
  <c r="K364" i="4"/>
  <c r="E364" i="4"/>
  <c r="C364" i="4"/>
  <c r="K363" i="4"/>
  <c r="E363" i="4"/>
  <c r="C363" i="4"/>
  <c r="K362" i="4"/>
  <c r="E362" i="4"/>
  <c r="C362" i="4"/>
  <c r="K361" i="4"/>
  <c r="E361" i="4"/>
  <c r="C361" i="4"/>
  <c r="K360" i="4"/>
  <c r="E360" i="4"/>
  <c r="C360" i="4"/>
  <c r="K359" i="4"/>
  <c r="E359" i="4"/>
  <c r="C359" i="4"/>
  <c r="K358" i="4"/>
  <c r="E358" i="4"/>
  <c r="C358" i="4"/>
  <c r="K357" i="4"/>
  <c r="E357" i="4"/>
  <c r="C357" i="4"/>
  <c r="K356" i="4"/>
  <c r="E356" i="4"/>
  <c r="C356" i="4"/>
  <c r="K355" i="4"/>
  <c r="E355" i="4"/>
  <c r="C355" i="4"/>
  <c r="K354" i="4"/>
  <c r="E354" i="4"/>
  <c r="C354" i="4"/>
  <c r="K353" i="4"/>
  <c r="E353" i="4"/>
  <c r="C353" i="4"/>
  <c r="K352" i="4"/>
  <c r="E352" i="4"/>
  <c r="C352" i="4"/>
  <c r="K351" i="4"/>
  <c r="E351" i="4"/>
  <c r="C351" i="4"/>
  <c r="K350" i="4"/>
  <c r="E350" i="4"/>
  <c r="C350" i="4"/>
  <c r="K349" i="4"/>
  <c r="E349" i="4"/>
  <c r="C349" i="4"/>
  <c r="K348" i="4"/>
  <c r="E348" i="4"/>
  <c r="C348" i="4"/>
  <c r="K347" i="4"/>
  <c r="E347" i="4"/>
  <c r="C347" i="4"/>
  <c r="K346" i="4"/>
  <c r="E346" i="4"/>
  <c r="C346" i="4"/>
  <c r="K345" i="4"/>
  <c r="E345" i="4"/>
  <c r="C345" i="4"/>
  <c r="K344" i="4"/>
  <c r="E344" i="4"/>
  <c r="C344" i="4"/>
  <c r="K343" i="4"/>
  <c r="E343" i="4"/>
  <c r="C343" i="4"/>
  <c r="K342" i="4"/>
  <c r="E342" i="4"/>
  <c r="C342" i="4"/>
  <c r="K341" i="4"/>
  <c r="E341" i="4"/>
  <c r="C341" i="4"/>
  <c r="K340" i="4"/>
  <c r="E340" i="4"/>
  <c r="C340" i="4"/>
  <c r="K339" i="4"/>
  <c r="E339" i="4"/>
  <c r="C339" i="4"/>
  <c r="K338" i="4"/>
  <c r="E338" i="4"/>
  <c r="C338" i="4"/>
  <c r="K337" i="4"/>
  <c r="E337" i="4"/>
  <c r="C337" i="4"/>
  <c r="K336" i="4"/>
  <c r="E336" i="4"/>
  <c r="C336" i="4"/>
  <c r="K335" i="4"/>
  <c r="E335" i="4"/>
  <c r="C335" i="4"/>
  <c r="K334" i="4"/>
  <c r="E334" i="4"/>
  <c r="C334" i="4"/>
  <c r="K333" i="4"/>
  <c r="E333" i="4"/>
  <c r="C333" i="4"/>
  <c r="K332" i="4"/>
  <c r="E332" i="4"/>
  <c r="C332" i="4"/>
  <c r="K331" i="4"/>
  <c r="E331" i="4"/>
  <c r="C331" i="4"/>
  <c r="K330" i="4"/>
  <c r="E330" i="4"/>
  <c r="C330" i="4"/>
  <c r="K329" i="4"/>
  <c r="E329" i="4"/>
  <c r="C329" i="4"/>
  <c r="K328" i="4"/>
  <c r="E328" i="4"/>
  <c r="C328" i="4"/>
  <c r="K327" i="4"/>
  <c r="E327" i="4"/>
  <c r="C327" i="4"/>
  <c r="K326" i="4"/>
  <c r="E326" i="4"/>
  <c r="C326" i="4"/>
  <c r="K325" i="4"/>
  <c r="E325" i="4"/>
  <c r="C325" i="4"/>
  <c r="K324" i="4"/>
  <c r="E324" i="4"/>
  <c r="C324" i="4"/>
  <c r="K323" i="4"/>
  <c r="E323" i="4"/>
  <c r="C323" i="4"/>
  <c r="K322" i="4"/>
  <c r="E322" i="4"/>
  <c r="C322" i="4"/>
  <c r="K321" i="4"/>
  <c r="E321" i="4"/>
  <c r="C321" i="4"/>
  <c r="K320" i="4"/>
  <c r="E320" i="4"/>
  <c r="C320" i="4"/>
  <c r="K319" i="4"/>
  <c r="E319" i="4"/>
  <c r="C319" i="4"/>
  <c r="K318" i="4"/>
  <c r="E318" i="4"/>
  <c r="C318" i="4"/>
  <c r="K317" i="4"/>
  <c r="E317" i="4"/>
  <c r="C317" i="4"/>
  <c r="K316" i="4"/>
  <c r="E316" i="4"/>
  <c r="C316" i="4"/>
  <c r="K315" i="4"/>
  <c r="E315" i="4"/>
  <c r="C315" i="4"/>
  <c r="K314" i="4"/>
  <c r="E314" i="4"/>
  <c r="C314" i="4"/>
  <c r="K313" i="4"/>
  <c r="E313" i="4"/>
  <c r="C313" i="4"/>
  <c r="K312" i="4"/>
  <c r="E312" i="4"/>
  <c r="C312" i="4"/>
  <c r="K311" i="4"/>
  <c r="E311" i="4"/>
  <c r="C311" i="4"/>
  <c r="K310" i="4"/>
  <c r="E310" i="4"/>
  <c r="C310" i="4"/>
  <c r="K309" i="4"/>
  <c r="E309" i="4"/>
  <c r="C309" i="4"/>
  <c r="K308" i="4"/>
  <c r="E308" i="4"/>
  <c r="C308" i="4"/>
  <c r="K307" i="4"/>
  <c r="E307" i="4"/>
  <c r="C307" i="4"/>
  <c r="K306" i="4"/>
  <c r="E306" i="4"/>
  <c r="C306" i="4"/>
  <c r="K305" i="4"/>
  <c r="E305" i="4"/>
  <c r="C305" i="4"/>
  <c r="K304" i="4"/>
  <c r="E304" i="4"/>
  <c r="C304" i="4"/>
  <c r="K303" i="4"/>
  <c r="E303" i="4"/>
  <c r="C303" i="4"/>
  <c r="K302" i="4"/>
  <c r="E302" i="4"/>
  <c r="C302" i="4"/>
  <c r="K301" i="4"/>
  <c r="E301" i="4"/>
  <c r="C301" i="4"/>
  <c r="K300" i="4"/>
  <c r="E300" i="4"/>
  <c r="C300" i="4"/>
  <c r="K299" i="4"/>
  <c r="E299" i="4"/>
  <c r="C299" i="4"/>
  <c r="K298" i="4"/>
  <c r="E298" i="4"/>
  <c r="C298" i="4"/>
  <c r="K297" i="4"/>
  <c r="E297" i="4"/>
  <c r="C297" i="4"/>
  <c r="K296" i="4"/>
  <c r="E296" i="4"/>
  <c r="C296" i="4"/>
  <c r="K295" i="4"/>
  <c r="E295" i="4"/>
  <c r="C295" i="4"/>
  <c r="K294" i="4"/>
  <c r="E294" i="4"/>
  <c r="C294" i="4"/>
  <c r="K293" i="4"/>
  <c r="E293" i="4"/>
  <c r="C293" i="4"/>
  <c r="K292" i="4"/>
  <c r="E292" i="4"/>
  <c r="C292" i="4"/>
  <c r="K291" i="4"/>
  <c r="E291" i="4"/>
  <c r="C291" i="4"/>
  <c r="K290" i="4"/>
  <c r="E290" i="4"/>
  <c r="C290" i="4"/>
  <c r="K289" i="4"/>
  <c r="E289" i="4"/>
  <c r="C289" i="4"/>
  <c r="K288" i="4"/>
  <c r="E288" i="4"/>
  <c r="C288" i="4"/>
  <c r="K287" i="4"/>
  <c r="E287" i="4"/>
  <c r="C287" i="4"/>
  <c r="K286" i="4"/>
  <c r="E286" i="4"/>
  <c r="C286" i="4"/>
  <c r="K285" i="4"/>
  <c r="E285" i="4"/>
  <c r="C285" i="4"/>
  <c r="K284" i="4"/>
  <c r="E284" i="4"/>
  <c r="C284" i="4"/>
  <c r="K283" i="4"/>
  <c r="E283" i="4"/>
  <c r="C283" i="4"/>
  <c r="K282" i="4"/>
  <c r="E282" i="4"/>
  <c r="C282" i="4"/>
  <c r="K281" i="4"/>
  <c r="E281" i="4"/>
  <c r="C281" i="4"/>
  <c r="K280" i="4"/>
  <c r="E280" i="4"/>
  <c r="C280" i="4"/>
  <c r="K279" i="4"/>
  <c r="E279" i="4"/>
  <c r="C279" i="4"/>
  <c r="K278" i="4"/>
  <c r="E278" i="4"/>
  <c r="C278" i="4"/>
  <c r="K277" i="4"/>
  <c r="E277" i="4"/>
  <c r="C277" i="4"/>
  <c r="K276" i="4"/>
  <c r="E276" i="4"/>
  <c r="C276" i="4"/>
  <c r="K275" i="4"/>
  <c r="E275" i="4"/>
  <c r="C275" i="4"/>
  <c r="K274" i="4"/>
  <c r="E274" i="4"/>
  <c r="C274" i="4"/>
  <c r="K273" i="4"/>
  <c r="E273" i="4"/>
  <c r="C273" i="4"/>
  <c r="K272" i="4"/>
  <c r="E272" i="4"/>
  <c r="C272" i="4"/>
  <c r="K271" i="4"/>
  <c r="E271" i="4"/>
  <c r="C271" i="4"/>
  <c r="K270" i="4"/>
  <c r="E270" i="4"/>
  <c r="C270" i="4"/>
  <c r="K269" i="4"/>
  <c r="E269" i="4"/>
  <c r="C269" i="4"/>
  <c r="K268" i="4"/>
  <c r="E268" i="4"/>
  <c r="C268" i="4"/>
  <c r="K267" i="4"/>
  <c r="E267" i="4"/>
  <c r="C267" i="4"/>
  <c r="K266" i="4"/>
  <c r="E266" i="4"/>
  <c r="C266" i="4"/>
  <c r="K265" i="4"/>
  <c r="E265" i="4"/>
  <c r="C265" i="4"/>
  <c r="K264" i="4"/>
  <c r="E264" i="4"/>
  <c r="C264" i="4"/>
  <c r="K263" i="4"/>
  <c r="E263" i="4"/>
  <c r="C263" i="4"/>
  <c r="K262" i="4"/>
  <c r="E262" i="4"/>
  <c r="C262" i="4"/>
  <c r="K261" i="4"/>
  <c r="E261" i="4"/>
  <c r="C261" i="4"/>
  <c r="K260" i="4"/>
  <c r="E260" i="4"/>
  <c r="C260" i="4"/>
  <c r="K259" i="4"/>
  <c r="E259" i="4"/>
  <c r="C259" i="4"/>
  <c r="K258" i="4"/>
  <c r="E258" i="4"/>
  <c r="C258" i="4"/>
  <c r="K257" i="4"/>
  <c r="E257" i="4"/>
  <c r="C257" i="4"/>
  <c r="K256" i="4"/>
  <c r="E256" i="4"/>
  <c r="C256" i="4"/>
  <c r="K255" i="4"/>
  <c r="E255" i="4"/>
  <c r="C255" i="4"/>
  <c r="K254" i="4"/>
  <c r="E254" i="4"/>
  <c r="C254" i="4"/>
  <c r="K253" i="4"/>
  <c r="E253" i="4"/>
  <c r="C253" i="4"/>
  <c r="K252" i="4"/>
  <c r="E252" i="4"/>
  <c r="C252" i="4"/>
  <c r="K251" i="4"/>
  <c r="E251" i="4"/>
  <c r="C251" i="4"/>
  <c r="K250" i="4"/>
  <c r="E250" i="4"/>
  <c r="C250" i="4"/>
  <c r="K249" i="4"/>
  <c r="E249" i="4"/>
  <c r="C249" i="4"/>
  <c r="K248" i="4"/>
  <c r="E248" i="4"/>
  <c r="C248" i="4"/>
  <c r="K247" i="4"/>
  <c r="E247" i="4"/>
  <c r="C247" i="4"/>
  <c r="K246" i="4"/>
  <c r="E246" i="4"/>
  <c r="C246" i="4"/>
  <c r="K245" i="4"/>
  <c r="E245" i="4"/>
  <c r="C245" i="4"/>
  <c r="K244" i="4"/>
  <c r="E244" i="4"/>
  <c r="C244" i="4"/>
  <c r="K243" i="4"/>
  <c r="E243" i="4"/>
  <c r="C243" i="4"/>
  <c r="K242" i="4"/>
  <c r="E242" i="4"/>
  <c r="C242" i="4"/>
  <c r="K241" i="4"/>
  <c r="E241" i="4"/>
  <c r="C241" i="4"/>
  <c r="K240" i="4"/>
  <c r="E240" i="4"/>
  <c r="C240" i="4"/>
  <c r="K239" i="4"/>
  <c r="E239" i="4"/>
  <c r="C239" i="4"/>
  <c r="K238" i="4"/>
  <c r="E238" i="4"/>
  <c r="C238" i="4"/>
  <c r="K237" i="4"/>
  <c r="E237" i="4"/>
  <c r="C237" i="4"/>
  <c r="K236" i="4"/>
  <c r="E236" i="4"/>
  <c r="C236" i="4"/>
  <c r="K235" i="4"/>
  <c r="E235" i="4"/>
  <c r="C235" i="4"/>
  <c r="K234" i="4"/>
  <c r="E234" i="4"/>
  <c r="C234" i="4"/>
  <c r="K233" i="4"/>
  <c r="E233" i="4"/>
  <c r="C233" i="4"/>
  <c r="K232" i="4"/>
  <c r="E232" i="4"/>
  <c r="C232" i="4"/>
  <c r="K231" i="4"/>
  <c r="E231" i="4"/>
  <c r="C231" i="4"/>
  <c r="K230" i="4"/>
  <c r="E230" i="4"/>
  <c r="C230" i="4"/>
  <c r="K229" i="4"/>
  <c r="E229" i="4"/>
  <c r="C229" i="4"/>
  <c r="K228" i="4"/>
  <c r="E228" i="4"/>
  <c r="C228" i="4"/>
  <c r="K227" i="4"/>
  <c r="E227" i="4"/>
  <c r="C227" i="4"/>
  <c r="K226" i="4"/>
  <c r="E226" i="4"/>
  <c r="C226" i="4"/>
  <c r="K225" i="4"/>
  <c r="E225" i="4"/>
  <c r="C225" i="4"/>
  <c r="K224" i="4"/>
  <c r="E224" i="4"/>
  <c r="C224" i="4"/>
  <c r="K223" i="4"/>
  <c r="E223" i="4"/>
  <c r="C223" i="4"/>
  <c r="K222" i="4"/>
  <c r="E222" i="4"/>
  <c r="C222" i="4"/>
  <c r="K221" i="4"/>
  <c r="E221" i="4"/>
  <c r="C221" i="4"/>
  <c r="K220" i="4"/>
  <c r="E220" i="4"/>
  <c r="C220" i="4"/>
  <c r="K219" i="4"/>
  <c r="E219" i="4"/>
  <c r="C219" i="4"/>
  <c r="K218" i="4"/>
  <c r="E218" i="4"/>
  <c r="C218" i="4"/>
  <c r="K217" i="4"/>
  <c r="E217" i="4"/>
  <c r="C217" i="4"/>
  <c r="K216" i="4"/>
  <c r="E216" i="4"/>
  <c r="C216" i="4"/>
  <c r="K215" i="4"/>
  <c r="E215" i="4"/>
  <c r="C215" i="4"/>
  <c r="K214" i="4"/>
  <c r="E214" i="4"/>
  <c r="C214" i="4"/>
  <c r="K213" i="4"/>
  <c r="E213" i="4"/>
  <c r="C213" i="4"/>
  <c r="K212" i="4"/>
  <c r="E212" i="4"/>
  <c r="C212" i="4"/>
  <c r="K211" i="4"/>
  <c r="E211" i="4"/>
  <c r="C211" i="4"/>
  <c r="K210" i="4"/>
  <c r="E210" i="4"/>
  <c r="C210" i="4"/>
  <c r="K209" i="4"/>
  <c r="E209" i="4"/>
  <c r="C209" i="4"/>
  <c r="K208" i="4"/>
  <c r="E208" i="4"/>
  <c r="C208" i="4"/>
  <c r="K207" i="4"/>
  <c r="E207" i="4"/>
  <c r="C207" i="4"/>
  <c r="K206" i="4"/>
  <c r="E206" i="4"/>
  <c r="C206" i="4"/>
  <c r="K205" i="4"/>
  <c r="E205" i="4"/>
  <c r="C205" i="4"/>
  <c r="K204" i="4"/>
  <c r="E204" i="4"/>
  <c r="C204" i="4"/>
  <c r="K203" i="4"/>
  <c r="E203" i="4"/>
  <c r="C203" i="4"/>
  <c r="K202" i="4"/>
  <c r="E202" i="4"/>
  <c r="C202" i="4"/>
  <c r="K201" i="4"/>
  <c r="E201" i="4"/>
  <c r="C201" i="4"/>
  <c r="K200" i="4"/>
  <c r="E200" i="4"/>
  <c r="C200" i="4"/>
  <c r="K199" i="4"/>
  <c r="E199" i="4"/>
  <c r="C199" i="4"/>
  <c r="K198" i="4"/>
  <c r="E198" i="4"/>
  <c r="C198" i="4"/>
  <c r="K197" i="4"/>
  <c r="E197" i="4"/>
  <c r="C197" i="4"/>
  <c r="K196" i="4"/>
  <c r="E196" i="4"/>
  <c r="C196" i="4"/>
  <c r="K195" i="4"/>
  <c r="E195" i="4"/>
  <c r="C195" i="4"/>
  <c r="K194" i="4"/>
  <c r="E194" i="4"/>
  <c r="C194" i="4"/>
  <c r="K193" i="4"/>
  <c r="E193" i="4"/>
  <c r="C193" i="4"/>
  <c r="K192" i="4"/>
  <c r="E192" i="4"/>
  <c r="C192" i="4"/>
  <c r="K191" i="4"/>
  <c r="E191" i="4"/>
  <c r="C191" i="4"/>
  <c r="K190" i="4"/>
  <c r="E190" i="4"/>
  <c r="C190" i="4"/>
  <c r="K189" i="4"/>
  <c r="E189" i="4"/>
  <c r="C189" i="4"/>
  <c r="K188" i="4"/>
  <c r="E188" i="4"/>
  <c r="C188" i="4"/>
  <c r="K187" i="4"/>
  <c r="E187" i="4"/>
  <c r="C187" i="4"/>
  <c r="K186" i="4"/>
  <c r="E186" i="4"/>
  <c r="C186" i="4"/>
  <c r="K185" i="4"/>
  <c r="E185" i="4"/>
  <c r="C185" i="4"/>
  <c r="K184" i="4"/>
  <c r="E184" i="4"/>
  <c r="C184" i="4"/>
  <c r="K183" i="4"/>
  <c r="E183" i="4"/>
  <c r="C183" i="4"/>
  <c r="K182" i="4"/>
  <c r="E182" i="4"/>
  <c r="C182" i="4"/>
  <c r="K181" i="4"/>
  <c r="E181" i="4"/>
  <c r="C181" i="4"/>
  <c r="K180" i="4"/>
  <c r="E180" i="4"/>
  <c r="C180" i="4"/>
  <c r="K179" i="4"/>
  <c r="E179" i="4"/>
  <c r="C179" i="4"/>
  <c r="K178" i="4"/>
  <c r="E178" i="4"/>
  <c r="C178" i="4"/>
  <c r="K177" i="4"/>
  <c r="E177" i="4"/>
  <c r="C177" i="4"/>
  <c r="K176" i="4"/>
  <c r="E176" i="4"/>
  <c r="C176" i="4"/>
  <c r="K175" i="4"/>
  <c r="E175" i="4"/>
  <c r="C175" i="4"/>
  <c r="K174" i="4"/>
  <c r="E174" i="4"/>
  <c r="C174" i="4"/>
  <c r="K173" i="4"/>
  <c r="E173" i="4"/>
  <c r="C173" i="4"/>
  <c r="K172" i="4"/>
  <c r="E172" i="4"/>
  <c r="C172" i="4"/>
  <c r="K171" i="4"/>
  <c r="E171" i="4"/>
  <c r="C171" i="4"/>
  <c r="K170" i="4"/>
  <c r="E170" i="4"/>
  <c r="C170" i="4"/>
  <c r="K169" i="4"/>
  <c r="E169" i="4"/>
  <c r="C169" i="4"/>
  <c r="K168" i="4"/>
  <c r="E168" i="4"/>
  <c r="C168" i="4"/>
  <c r="K167" i="4"/>
  <c r="E167" i="4"/>
  <c r="C167" i="4"/>
  <c r="K166" i="4"/>
  <c r="E166" i="4"/>
  <c r="C166" i="4"/>
  <c r="K165" i="4"/>
  <c r="E165" i="4"/>
  <c r="C165" i="4"/>
  <c r="K164" i="4"/>
  <c r="E164" i="4"/>
  <c r="C164" i="4"/>
  <c r="K163" i="4"/>
  <c r="E163" i="4"/>
  <c r="C163" i="4"/>
  <c r="K162" i="4"/>
  <c r="E162" i="4"/>
  <c r="C162" i="4"/>
  <c r="K161" i="4"/>
  <c r="E161" i="4"/>
  <c r="C161" i="4"/>
  <c r="K160" i="4"/>
  <c r="E160" i="4"/>
  <c r="C160" i="4"/>
  <c r="K159" i="4"/>
  <c r="E159" i="4"/>
  <c r="C159" i="4"/>
  <c r="K158" i="4"/>
  <c r="E158" i="4"/>
  <c r="C158" i="4"/>
  <c r="K157" i="4"/>
  <c r="E157" i="4"/>
  <c r="C157" i="4"/>
  <c r="K156" i="4"/>
  <c r="E156" i="4"/>
  <c r="C156" i="4"/>
  <c r="K155" i="4"/>
  <c r="E155" i="4"/>
  <c r="C155" i="4"/>
  <c r="K154" i="4"/>
  <c r="E154" i="4"/>
  <c r="C154" i="4"/>
  <c r="K153" i="4"/>
  <c r="E153" i="4"/>
  <c r="C153" i="4"/>
  <c r="K152" i="4"/>
  <c r="E152" i="4"/>
  <c r="C152" i="4"/>
  <c r="K151" i="4"/>
  <c r="E151" i="4"/>
  <c r="C151" i="4"/>
  <c r="K150" i="4"/>
  <c r="E150" i="4"/>
  <c r="C150" i="4"/>
  <c r="K149" i="4"/>
  <c r="E149" i="4"/>
  <c r="C149" i="4"/>
  <c r="K148" i="4"/>
  <c r="E148" i="4"/>
  <c r="C148" i="4"/>
  <c r="K147" i="4"/>
  <c r="E147" i="4"/>
  <c r="C147" i="4"/>
  <c r="K146" i="4"/>
  <c r="E146" i="4"/>
  <c r="C146" i="4"/>
  <c r="K145" i="4"/>
  <c r="E145" i="4"/>
  <c r="C145" i="4"/>
  <c r="K144" i="4"/>
  <c r="E144" i="4"/>
  <c r="C144" i="4"/>
  <c r="K143" i="4"/>
  <c r="E143" i="4"/>
  <c r="C143" i="4"/>
  <c r="K142" i="4"/>
  <c r="E142" i="4"/>
  <c r="C142" i="4"/>
  <c r="K141" i="4"/>
  <c r="E141" i="4"/>
  <c r="C141" i="4"/>
  <c r="K140" i="4"/>
  <c r="E140" i="4"/>
  <c r="C140" i="4"/>
  <c r="K139" i="4"/>
  <c r="E139" i="4"/>
  <c r="C139" i="4"/>
  <c r="K138" i="4"/>
  <c r="E138" i="4"/>
  <c r="C138" i="4"/>
  <c r="K137" i="4"/>
  <c r="E137" i="4"/>
  <c r="C137" i="4"/>
  <c r="K136" i="4"/>
  <c r="E136" i="4"/>
  <c r="C136" i="4"/>
  <c r="K135" i="4"/>
  <c r="E135" i="4"/>
  <c r="C135" i="4"/>
  <c r="K134" i="4"/>
  <c r="E134" i="4"/>
  <c r="C134" i="4"/>
  <c r="K133" i="4"/>
  <c r="E133" i="4"/>
  <c r="C133" i="4"/>
  <c r="K132" i="4"/>
  <c r="E132" i="4"/>
  <c r="C132" i="4"/>
  <c r="K131" i="4"/>
  <c r="E131" i="4"/>
  <c r="C131" i="4"/>
  <c r="K130" i="4"/>
  <c r="E130" i="4"/>
  <c r="C130" i="4"/>
  <c r="K129" i="4"/>
  <c r="E129" i="4"/>
  <c r="C129" i="4"/>
  <c r="K128" i="4"/>
  <c r="E128" i="4"/>
  <c r="C128" i="4"/>
  <c r="K127" i="4"/>
  <c r="E127" i="4"/>
  <c r="C127" i="4"/>
  <c r="K126" i="4"/>
  <c r="E126" i="4"/>
  <c r="C126" i="4"/>
  <c r="K125" i="4"/>
  <c r="E125" i="4"/>
  <c r="C125" i="4"/>
  <c r="K124" i="4"/>
  <c r="E124" i="4"/>
  <c r="C124" i="4"/>
  <c r="K123" i="4"/>
  <c r="E123" i="4"/>
  <c r="C123" i="4"/>
  <c r="K122" i="4"/>
  <c r="E122" i="4"/>
  <c r="C122" i="4"/>
  <c r="K121" i="4"/>
  <c r="E121" i="4"/>
  <c r="C121" i="4"/>
  <c r="K120" i="4"/>
  <c r="E120" i="4"/>
  <c r="C120" i="4"/>
  <c r="K119" i="4"/>
  <c r="E119" i="4"/>
  <c r="C119" i="4"/>
  <c r="K118" i="4"/>
  <c r="E118" i="4"/>
  <c r="C118" i="4"/>
  <c r="K117" i="4"/>
  <c r="E117" i="4"/>
  <c r="C117" i="4"/>
  <c r="K116" i="4"/>
  <c r="E116" i="4"/>
  <c r="C116" i="4"/>
  <c r="K115" i="4"/>
  <c r="E115" i="4"/>
  <c r="C115" i="4"/>
  <c r="K114" i="4"/>
  <c r="E114" i="4"/>
  <c r="C114" i="4"/>
  <c r="K113" i="4"/>
  <c r="E113" i="4"/>
  <c r="C113" i="4"/>
  <c r="K112" i="4"/>
  <c r="E112" i="4"/>
  <c r="C112" i="4"/>
  <c r="K111" i="4"/>
  <c r="E111" i="4"/>
  <c r="C111" i="4"/>
  <c r="K110" i="4"/>
  <c r="E110" i="4"/>
  <c r="C110" i="4"/>
  <c r="K109" i="4"/>
  <c r="E109" i="4"/>
  <c r="C109" i="4"/>
  <c r="K108" i="4"/>
  <c r="E108" i="4"/>
  <c r="C108" i="4"/>
  <c r="K107" i="4"/>
  <c r="E107" i="4"/>
  <c r="C107" i="4"/>
  <c r="K106" i="4"/>
  <c r="E106" i="4"/>
  <c r="C106" i="4"/>
  <c r="K105" i="4"/>
  <c r="E105" i="4"/>
  <c r="C105" i="4"/>
  <c r="K104" i="4"/>
  <c r="E104" i="4"/>
  <c r="C104" i="4"/>
  <c r="K103" i="4"/>
  <c r="E103" i="4"/>
  <c r="C103" i="4"/>
  <c r="K102" i="4"/>
  <c r="E102" i="4"/>
  <c r="C102" i="4"/>
  <c r="K101" i="4"/>
  <c r="E101" i="4"/>
  <c r="C101" i="4"/>
  <c r="K100" i="4"/>
  <c r="E100" i="4"/>
  <c r="C100" i="4"/>
  <c r="K99" i="4"/>
  <c r="E99" i="4"/>
  <c r="C99" i="4"/>
  <c r="K98" i="4"/>
  <c r="E98" i="4"/>
  <c r="C98" i="4"/>
  <c r="K97" i="4"/>
  <c r="E97" i="4"/>
  <c r="C97" i="4"/>
  <c r="K96" i="4"/>
  <c r="E96" i="4"/>
  <c r="C96" i="4"/>
  <c r="K95" i="4"/>
  <c r="E95" i="4"/>
  <c r="C95" i="4"/>
  <c r="K94" i="4"/>
  <c r="E94" i="4"/>
  <c r="C94" i="4"/>
  <c r="K93" i="4"/>
  <c r="E93" i="4"/>
  <c r="C93" i="4"/>
  <c r="K92" i="4"/>
  <c r="E92" i="4"/>
  <c r="C92" i="4"/>
  <c r="K91" i="4"/>
  <c r="E91" i="4"/>
  <c r="C91" i="4"/>
  <c r="K90" i="4"/>
  <c r="E90" i="4"/>
  <c r="C90" i="4"/>
  <c r="K89" i="4"/>
  <c r="E89" i="4"/>
  <c r="C89" i="4"/>
  <c r="K88" i="4"/>
  <c r="E88" i="4"/>
  <c r="C88" i="4"/>
  <c r="K87" i="4"/>
  <c r="E87" i="4"/>
  <c r="C87" i="4"/>
  <c r="K86" i="4"/>
  <c r="E86" i="4"/>
  <c r="C86" i="4"/>
  <c r="K85" i="4"/>
  <c r="E85" i="4"/>
  <c r="C85" i="4"/>
  <c r="K84" i="4"/>
  <c r="E84" i="4"/>
  <c r="C84" i="4"/>
  <c r="K83" i="4"/>
  <c r="E83" i="4"/>
  <c r="C83" i="4"/>
  <c r="K82" i="4"/>
  <c r="E82" i="4"/>
  <c r="C82" i="4"/>
  <c r="K81" i="4"/>
  <c r="E81" i="4"/>
  <c r="C81" i="4"/>
  <c r="K80" i="4"/>
  <c r="E80" i="4"/>
  <c r="C80" i="4"/>
  <c r="K79" i="4"/>
  <c r="E79" i="4"/>
  <c r="C79" i="4"/>
  <c r="K78" i="4"/>
  <c r="E78" i="4"/>
  <c r="C78" i="4"/>
  <c r="K77" i="4"/>
  <c r="E77" i="4"/>
  <c r="C77" i="4"/>
  <c r="K76" i="4"/>
  <c r="E76" i="4"/>
  <c r="C76" i="4"/>
  <c r="K75" i="4"/>
  <c r="E75" i="4"/>
  <c r="C75" i="4"/>
  <c r="K74" i="4"/>
  <c r="E74" i="4"/>
  <c r="C74" i="4"/>
  <c r="K73" i="4"/>
  <c r="E73" i="4"/>
  <c r="C73" i="4"/>
  <c r="K72" i="4"/>
  <c r="E72" i="4"/>
  <c r="C72" i="4"/>
  <c r="K71" i="4"/>
  <c r="E71" i="4"/>
  <c r="C71" i="4"/>
  <c r="K70" i="4"/>
  <c r="E70" i="4"/>
  <c r="C70" i="4"/>
  <c r="K69" i="4"/>
  <c r="E69" i="4"/>
  <c r="C69" i="4"/>
  <c r="K68" i="4"/>
  <c r="E68" i="4"/>
  <c r="C68" i="4"/>
  <c r="K67" i="4"/>
  <c r="E67" i="4"/>
  <c r="C67" i="4"/>
  <c r="K66" i="4"/>
  <c r="E66" i="4"/>
  <c r="C66" i="4"/>
  <c r="K65" i="4"/>
  <c r="E65" i="4"/>
  <c r="C65" i="4"/>
  <c r="K64" i="4"/>
  <c r="E64" i="4"/>
  <c r="C64" i="4"/>
  <c r="K63" i="4"/>
  <c r="E63" i="4"/>
  <c r="C63" i="4"/>
  <c r="K62" i="4"/>
  <c r="E62" i="4"/>
  <c r="C62" i="4"/>
  <c r="K61" i="4"/>
  <c r="E61" i="4"/>
  <c r="C61" i="4"/>
  <c r="K60" i="4"/>
  <c r="E60" i="4"/>
  <c r="C60" i="4"/>
  <c r="K59" i="4"/>
  <c r="E59" i="4"/>
  <c r="C59" i="4"/>
  <c r="K58" i="4"/>
  <c r="E58" i="4"/>
  <c r="C58" i="4"/>
  <c r="K57" i="4"/>
  <c r="E57" i="4"/>
  <c r="C57" i="4"/>
  <c r="K56" i="4"/>
  <c r="E56" i="4"/>
  <c r="C56" i="4"/>
  <c r="K55" i="4"/>
  <c r="E55" i="4"/>
  <c r="C55" i="4"/>
  <c r="K54" i="4"/>
  <c r="E54" i="4"/>
  <c r="C54" i="4"/>
  <c r="K53" i="4"/>
  <c r="E53" i="4"/>
  <c r="C53" i="4"/>
  <c r="K52" i="4"/>
  <c r="E52" i="4"/>
  <c r="C52" i="4"/>
  <c r="K51" i="4"/>
  <c r="E51" i="4"/>
  <c r="C51" i="4"/>
  <c r="K50" i="4"/>
  <c r="E50" i="4"/>
  <c r="C50" i="4"/>
  <c r="K49" i="4"/>
  <c r="E49" i="4"/>
  <c r="C49" i="4"/>
  <c r="K48" i="4"/>
  <c r="E48" i="4"/>
  <c r="C48" i="4"/>
  <c r="K47" i="4"/>
  <c r="E47" i="4"/>
  <c r="C47" i="4"/>
  <c r="K46" i="4"/>
  <c r="E46" i="4"/>
  <c r="C46" i="4"/>
  <c r="K45" i="4"/>
  <c r="E45" i="4"/>
  <c r="C45" i="4"/>
  <c r="K44" i="4"/>
  <c r="E44" i="4"/>
  <c r="C44" i="4"/>
  <c r="K43" i="4"/>
  <c r="E43" i="4"/>
  <c r="C43" i="4"/>
  <c r="K42" i="4"/>
  <c r="E42" i="4"/>
  <c r="C42" i="4"/>
  <c r="K41" i="4"/>
  <c r="E41" i="4"/>
  <c r="C41" i="4"/>
  <c r="K40" i="4"/>
  <c r="E40" i="4"/>
  <c r="C40" i="4"/>
  <c r="K39" i="4"/>
  <c r="E39" i="4"/>
  <c r="C39" i="4"/>
  <c r="K38" i="4"/>
  <c r="E38" i="4"/>
  <c r="C38" i="4"/>
  <c r="K37" i="4"/>
  <c r="E37" i="4"/>
  <c r="C37" i="4"/>
  <c r="K36" i="4"/>
  <c r="E36" i="4"/>
  <c r="C36" i="4"/>
  <c r="K35" i="4"/>
  <c r="E35" i="4"/>
  <c r="C35" i="4"/>
  <c r="K34" i="4"/>
  <c r="E34" i="4"/>
  <c r="C34" i="4"/>
  <c r="K33" i="4"/>
  <c r="E33" i="4"/>
  <c r="C33" i="4"/>
  <c r="K32" i="4"/>
  <c r="E32" i="4"/>
  <c r="C32" i="4"/>
  <c r="K31" i="4"/>
  <c r="E31" i="4"/>
  <c r="C31" i="4"/>
  <c r="K30" i="4"/>
  <c r="E30" i="4"/>
  <c r="C30" i="4"/>
  <c r="K29" i="4"/>
  <c r="E29" i="4"/>
  <c r="C29" i="4"/>
  <c r="K28" i="4"/>
  <c r="E28" i="4"/>
  <c r="C28" i="4"/>
  <c r="K27" i="4"/>
  <c r="E27" i="4"/>
  <c r="C27" i="4"/>
  <c r="K26" i="4"/>
  <c r="E26" i="4"/>
  <c r="C26" i="4"/>
  <c r="K25" i="4"/>
  <c r="E25" i="4"/>
  <c r="C25" i="4"/>
  <c r="K24" i="4"/>
  <c r="E24" i="4"/>
  <c r="C24" i="4"/>
  <c r="K23" i="4"/>
  <c r="E23" i="4"/>
  <c r="C23" i="4"/>
  <c r="K22" i="4"/>
  <c r="E22" i="4"/>
  <c r="C22" i="4"/>
  <c r="K21" i="4"/>
  <c r="E21" i="4"/>
  <c r="C21" i="4"/>
  <c r="K20" i="4"/>
  <c r="E20" i="4"/>
  <c r="C20" i="4"/>
  <c r="K19" i="4"/>
  <c r="E19" i="4"/>
  <c r="C19" i="4"/>
  <c r="K18" i="4"/>
  <c r="E18" i="4"/>
  <c r="C18" i="4"/>
  <c r="K17" i="4"/>
  <c r="E17" i="4"/>
  <c r="C17" i="4"/>
  <c r="K16" i="4"/>
  <c r="E16" i="4"/>
  <c r="C16" i="4"/>
  <c r="K15" i="4"/>
  <c r="E15" i="4"/>
  <c r="C15" i="4"/>
  <c r="K14" i="4"/>
  <c r="E14" i="4"/>
  <c r="C14" i="4"/>
  <c r="K13" i="4"/>
  <c r="E13" i="4"/>
  <c r="C13" i="4"/>
  <c r="K12" i="4"/>
  <c r="E12" i="4"/>
  <c r="C12" i="4"/>
  <c r="K11" i="4"/>
  <c r="E11" i="4"/>
  <c r="C11" i="4"/>
  <c r="K10" i="4"/>
  <c r="E10" i="4"/>
  <c r="C10" i="4"/>
  <c r="K9" i="4"/>
  <c r="E9" i="4"/>
  <c r="C9" i="4"/>
  <c r="K8" i="4"/>
  <c r="E8" i="4"/>
  <c r="C8" i="4"/>
  <c r="K7" i="4"/>
  <c r="E7" i="4"/>
  <c r="C7" i="4"/>
  <c r="K6" i="4"/>
  <c r="E6" i="4"/>
  <c r="C6" i="4"/>
  <c r="K5" i="4"/>
  <c r="E5" i="4"/>
  <c r="C5" i="4"/>
  <c r="K4" i="4"/>
  <c r="E4" i="4"/>
  <c r="C4" i="4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4" i="3"/>
  <c r="M4" i="3"/>
  <c r="K103" i="2"/>
  <c r="J103" i="2"/>
  <c r="K102" i="2"/>
  <c r="J102" i="2"/>
  <c r="K101" i="2"/>
  <c r="J101" i="2"/>
  <c r="K100" i="2"/>
  <c r="J100" i="2"/>
  <c r="K99" i="2"/>
  <c r="J99" i="2"/>
  <c r="K98" i="2"/>
  <c r="J98" i="2"/>
  <c r="K97" i="2"/>
  <c r="J97" i="2"/>
  <c r="K96" i="2"/>
  <c r="J96" i="2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</calcChain>
</file>

<file path=xl/sharedStrings.xml><?xml version="1.0" encoding="utf-8"?>
<sst xmlns="http://schemas.openxmlformats.org/spreadsheetml/2006/main" count="1220" uniqueCount="690">
  <si>
    <t>نظام خطة التدريب والتقييم المترابط</t>
  </si>
  <si>
    <t>البند</t>
  </si>
  <si>
    <t>القيمة</t>
  </si>
  <si>
    <t>اسم المنشأة</t>
  </si>
  <si>
    <t>يُستكمل</t>
  </si>
  <si>
    <t>نوع المنشأة</t>
  </si>
  <si>
    <t>مستشفى / مركز طبي</t>
  </si>
  <si>
    <t>سنة الخطة</t>
  </si>
  <si>
    <t>حد النجاح %</t>
  </si>
  <si>
    <t>حد الحضور %</t>
  </si>
  <si>
    <t>مسؤول التدريب</t>
  </si>
  <si>
    <t>ملاحظة</t>
  </si>
  <si>
    <t>راجع آخر إصدار رسمي من دليل GAHAR ونطاق المنشأة قبل الاعتماد.</t>
  </si>
  <si>
    <t>قاعدة بيانات الموظفين</t>
  </si>
  <si>
    <t>كود الموظف</t>
  </si>
  <si>
    <t>اسم الموظف</t>
  </si>
  <si>
    <t>القسم</t>
  </si>
  <si>
    <t>المسمى الوظيفي</t>
  </si>
  <si>
    <t>نوع التعاقد</t>
  </si>
  <si>
    <t>تاريخ التعيين</t>
  </si>
  <si>
    <t>حالة الموظف</t>
  </si>
  <si>
    <t>المدير المباشر</t>
  </si>
  <si>
    <t>الهاتف/البريد</t>
  </si>
  <si>
    <t>عدد الأنشطة</t>
  </si>
  <si>
    <t>نسبة الإكمال</t>
  </si>
  <si>
    <t>ملاحظات</t>
  </si>
  <si>
    <t>EMP-001</t>
  </si>
  <si>
    <t>أحمد محمد</t>
  </si>
  <si>
    <t>التمريض</t>
  </si>
  <si>
    <t>ممرض/ة</t>
  </si>
  <si>
    <t>دوام كامل</t>
  </si>
  <si>
    <t>نشط</t>
  </si>
  <si>
    <t>رئيس التمريض</t>
  </si>
  <si>
    <t>EMP-002</t>
  </si>
  <si>
    <t>سارة علي</t>
  </si>
  <si>
    <t>الصيدلية</t>
  </si>
  <si>
    <t>صيدلي</t>
  </si>
  <si>
    <t>15/02/2025</t>
  </si>
  <si>
    <t>مدير الصيدلية</t>
  </si>
  <si>
    <t>EMP-003</t>
  </si>
  <si>
    <t>محمود حسن</t>
  </si>
  <si>
    <t>الاستقبال</t>
  </si>
  <si>
    <t>موظف استقبال</t>
  </si>
  <si>
    <t>مدير خدمة العملاء</t>
  </si>
  <si>
    <t>الخطة السنوية للتدريب</t>
  </si>
  <si>
    <t>كود النشاط</t>
  </si>
  <si>
    <t>الشهر</t>
  </si>
  <si>
    <t>محور GAHAR</t>
  </si>
  <si>
    <t>موضوع التدريب</t>
  </si>
  <si>
    <t>الفئة المستهدفة</t>
  </si>
  <si>
    <t>الهدف والكفاءة</t>
  </si>
  <si>
    <t>نوع التدريب</t>
  </si>
  <si>
    <t>المسؤول</t>
  </si>
  <si>
    <t>الساعات</t>
  </si>
  <si>
    <t>التاريخ المخطط</t>
  </si>
  <si>
    <t>التاريخ المنفذ</t>
  </si>
  <si>
    <t>الحالة</t>
  </si>
  <si>
    <t>عدد الحضور</t>
  </si>
  <si>
    <t>متوسط التقييم</t>
  </si>
  <si>
    <t>رابط الدليل</t>
  </si>
  <si>
    <t>TR-001</t>
  </si>
  <si>
    <t>يناير</t>
  </si>
  <si>
    <t>HRP / GLD</t>
  </si>
  <si>
    <t>التعريف بالمنشأة وحقوق وواجبات العاملين</t>
  </si>
  <si>
    <t>جميع العاملين</t>
  </si>
  <si>
    <t>فهم السياسات ومدونة السلوك وقنوات الإبلاغ</t>
  </si>
  <si>
    <t>تعريفي</t>
  </si>
  <si>
    <t>الموارد البشرية</t>
  </si>
  <si>
    <t>15/01</t>
  </si>
  <si>
    <t>مخطط</t>
  </si>
  <si>
    <t>TR-002</t>
  </si>
  <si>
    <t>فبراير</t>
  </si>
  <si>
    <t>IPC</t>
  </si>
  <si>
    <t>الوقاية من العدوى ومكافحة العدوى</t>
  </si>
  <si>
    <t>السريريون والخدمات المعاونة</t>
  </si>
  <si>
    <t>تطبيق نظافة اليدين ومعدات الوقاية والعزل</t>
  </si>
  <si>
    <t>عملي</t>
  </si>
  <si>
    <t>فريق مكافحة العدوى</t>
  </si>
  <si>
    <t>TR-003</t>
  </si>
  <si>
    <t>مارس</t>
  </si>
  <si>
    <t>MMU</t>
  </si>
  <si>
    <t>سلامة الدواء والإبلاغ عن الأخطاء</t>
  </si>
  <si>
    <t>الأطباء والتمريض والصيدلة</t>
  </si>
  <si>
    <t>تطبيق التحقق الآمن من الدواء والإبلاغ</t>
  </si>
  <si>
    <t>محاكاة</t>
  </si>
  <si>
    <t>TR-004</t>
  </si>
  <si>
    <t>FMS</t>
  </si>
  <si>
    <t>السلامة من الحريق والإخلاء</t>
  </si>
  <si>
    <t>تنفيذ الإنذار والإخلاء واستخدام الطفاية</t>
  </si>
  <si>
    <t>تمرين</t>
  </si>
  <si>
    <t>السلامة المهنية</t>
  </si>
  <si>
    <t>24/03</t>
  </si>
  <si>
    <t>TR-005</t>
  </si>
  <si>
    <t>مايو</t>
  </si>
  <si>
    <t>QPS</t>
  </si>
  <si>
    <t>سلامة المريض والتحسين المستمر</t>
  </si>
  <si>
    <t>قادة الوحدات والجودة</t>
  </si>
  <si>
    <t>تحليل السبب الجذري وبناء خطة PDSA</t>
  </si>
  <si>
    <t>دراسة حالة</t>
  </si>
  <si>
    <t>إدارة الجودة</t>
  </si>
  <si>
    <t>TR-006</t>
  </si>
  <si>
    <t>يونيو</t>
  </si>
  <si>
    <t>HIS</t>
  </si>
  <si>
    <t>التوثيق الطبي وسرية المعلومات</t>
  </si>
  <si>
    <t>الأطباء والتمريض والسجلات</t>
  </si>
  <si>
    <t>تسجيل دقيق وحماية البيانات والصلاحيات</t>
  </si>
  <si>
    <t>تطبيقي</t>
  </si>
  <si>
    <t>السجلات الطبية</t>
  </si>
  <si>
    <t>16/06</t>
  </si>
  <si>
    <t>TR-007</t>
  </si>
  <si>
    <t>يوليو</t>
  </si>
  <si>
    <t>AOP / COP</t>
  </si>
  <si>
    <t>التقييم الأولي والتصعيد السريري</t>
  </si>
  <si>
    <t>الأطباء والتمريض والاستقبال</t>
  </si>
  <si>
    <t>اكتشاف التدهور والتواصل المنظم SBAR</t>
  </si>
  <si>
    <t>الإدارة الطبية</t>
  </si>
  <si>
    <t>14/07</t>
  </si>
  <si>
    <t>TR-008</t>
  </si>
  <si>
    <t>سبتمبر</t>
  </si>
  <si>
    <t>PFR / QPS</t>
  </si>
  <si>
    <t>تجربة المريض والشكاوى</t>
  </si>
  <si>
    <t>الاستقبال وخدمة العملاء</t>
  </si>
  <si>
    <t>استقبال الشكوى والرد والتحسين</t>
  </si>
  <si>
    <t>لعب أدوار</t>
  </si>
  <si>
    <t>خدمة العملاء</t>
  </si>
  <si>
    <t>15/09</t>
  </si>
  <si>
    <t>TR-009</t>
  </si>
  <si>
    <t>أكتوبر</t>
  </si>
  <si>
    <t>HRP</t>
  </si>
  <si>
    <t>تقييم الكفاءة وإعادة التأهيل</t>
  </si>
  <si>
    <t>جميع الفئات</t>
  </si>
  <si>
    <t>إثبات الكفاءة وتحديد فجوات الأداء</t>
  </si>
  <si>
    <t>تقييم عملي</t>
  </si>
  <si>
    <t>13/10</t>
  </si>
  <si>
    <t>TR-010</t>
  </si>
  <si>
    <t>نوفمبر</t>
  </si>
  <si>
    <t>GLD / QPS</t>
  </si>
  <si>
    <t>إدارة الأزمات واستمرارية الأعمال</t>
  </si>
  <si>
    <t>لجنة الطوارئ وقادة الوحدات</t>
  </si>
  <si>
    <t>تنفيذ الاستجابة واستمرارية الخدمات</t>
  </si>
  <si>
    <t>تمرين مكتبي</t>
  </si>
  <si>
    <t>إدارة المنشأة</t>
  </si>
  <si>
    <t>17/11</t>
  </si>
  <si>
    <t>TR-011</t>
  </si>
  <si>
    <t>ديسمبر</t>
  </si>
  <si>
    <t>QPS / HRP</t>
  </si>
  <si>
    <t>المراجعة السنوية وخطة العام القادم</t>
  </si>
  <si>
    <t>الإدارة ورؤساء الأقسام</t>
  </si>
  <si>
    <t>تحليل مؤشرات التدريب وخطة التحسين</t>
  </si>
  <si>
    <t>مراجعة</t>
  </si>
  <si>
    <t>الجودة والموارد البشرية</t>
  </si>
  <si>
    <t>سجل الحضور المركزي - أدخل البيانات هنا</t>
  </si>
  <si>
    <t>رقم السجل</t>
  </si>
  <si>
    <t>حضر؟</t>
  </si>
  <si>
    <t>وقت الحضور</t>
  </si>
  <si>
    <t>التوقيع/الإثبات</t>
  </si>
  <si>
    <t>المدرب</t>
  </si>
  <si>
    <t>التاريخ</t>
  </si>
  <si>
    <t>حالة السجل</t>
  </si>
  <si>
    <t>13-3</t>
  </si>
  <si>
    <t>14-3</t>
  </si>
  <si>
    <t>15-3</t>
  </si>
  <si>
    <t>16-3</t>
  </si>
  <si>
    <t>17-3</t>
  </si>
  <si>
    <t>18-3</t>
  </si>
  <si>
    <t>19-3</t>
  </si>
  <si>
    <t>20-3</t>
  </si>
  <si>
    <t>21-3</t>
  </si>
  <si>
    <t>22-3</t>
  </si>
  <si>
    <t>23-3</t>
  </si>
  <si>
    <t>24-3</t>
  </si>
  <si>
    <t>25-3</t>
  </si>
  <si>
    <t>26-3</t>
  </si>
  <si>
    <t>27-3</t>
  </si>
  <si>
    <t>28-3</t>
  </si>
  <si>
    <t>29-3</t>
  </si>
  <si>
    <t>30-3</t>
  </si>
  <si>
    <t>31-3</t>
  </si>
  <si>
    <t>32-3</t>
  </si>
  <si>
    <t>33-3</t>
  </si>
  <si>
    <t>34-3</t>
  </si>
  <si>
    <t>35-3</t>
  </si>
  <si>
    <t>36-3</t>
  </si>
  <si>
    <t>37-3</t>
  </si>
  <si>
    <t>38-3</t>
  </si>
  <si>
    <t>39-3</t>
  </si>
  <si>
    <t>40-3</t>
  </si>
  <si>
    <t>41-3</t>
  </si>
  <si>
    <t>42-3</t>
  </si>
  <si>
    <t>43-3</t>
  </si>
  <si>
    <t>44-3</t>
  </si>
  <si>
    <t>45-3</t>
  </si>
  <si>
    <t>46-3</t>
  </si>
  <si>
    <t>47-3</t>
  </si>
  <si>
    <t>48-3</t>
  </si>
  <si>
    <t>49-3</t>
  </si>
  <si>
    <t>50-3</t>
  </si>
  <si>
    <t>51-3</t>
  </si>
  <si>
    <t>52-3</t>
  </si>
  <si>
    <t>53-3</t>
  </si>
  <si>
    <t>54-3</t>
  </si>
  <si>
    <t>55-3</t>
  </si>
  <si>
    <t>56-3</t>
  </si>
  <si>
    <t>57-3</t>
  </si>
  <si>
    <t>58-3</t>
  </si>
  <si>
    <t>59-3</t>
  </si>
  <si>
    <t>60-3</t>
  </si>
  <si>
    <t>61-3</t>
  </si>
  <si>
    <t>62-3</t>
  </si>
  <si>
    <t>63-3</t>
  </si>
  <si>
    <t>64-3</t>
  </si>
  <si>
    <t>65-3</t>
  </si>
  <si>
    <t>66-3</t>
  </si>
  <si>
    <t>67-3</t>
  </si>
  <si>
    <t>68-3</t>
  </si>
  <si>
    <t>69-3</t>
  </si>
  <si>
    <t>70-3</t>
  </si>
  <si>
    <t>71-3</t>
  </si>
  <si>
    <t>72-3</t>
  </si>
  <si>
    <t>73-3</t>
  </si>
  <si>
    <t>74-3</t>
  </si>
  <si>
    <t>75-3</t>
  </si>
  <si>
    <t>76-3</t>
  </si>
  <si>
    <t>77-3</t>
  </si>
  <si>
    <t>78-3</t>
  </si>
  <si>
    <t>79-3</t>
  </si>
  <si>
    <t>80-3</t>
  </si>
  <si>
    <t>81-3</t>
  </si>
  <si>
    <t>82-3</t>
  </si>
  <si>
    <t>83-3</t>
  </si>
  <si>
    <t>84-3</t>
  </si>
  <si>
    <t>85-3</t>
  </si>
  <si>
    <t>86-3</t>
  </si>
  <si>
    <t>87-3</t>
  </si>
  <si>
    <t>88-3</t>
  </si>
  <si>
    <t>89-3</t>
  </si>
  <si>
    <t>90-3</t>
  </si>
  <si>
    <t>91-3</t>
  </si>
  <si>
    <t>92-3</t>
  </si>
  <si>
    <t>93-3</t>
  </si>
  <si>
    <t>94-3</t>
  </si>
  <si>
    <t>95-3</t>
  </si>
  <si>
    <t>96-3</t>
  </si>
  <si>
    <t>97-3</t>
  </si>
  <si>
    <t>98-3</t>
  </si>
  <si>
    <t>99-3</t>
  </si>
  <si>
    <t>100-3</t>
  </si>
  <si>
    <t>101-3</t>
  </si>
  <si>
    <t>102-3</t>
  </si>
  <si>
    <t>103-3</t>
  </si>
  <si>
    <t>104-3</t>
  </si>
  <si>
    <t>105-3</t>
  </si>
  <si>
    <t>106-3</t>
  </si>
  <si>
    <t>107-3</t>
  </si>
  <si>
    <t>108-3</t>
  </si>
  <si>
    <t>109-3</t>
  </si>
  <si>
    <t>110-3</t>
  </si>
  <si>
    <t>111-3</t>
  </si>
  <si>
    <t>112-3</t>
  </si>
  <si>
    <t>113-3</t>
  </si>
  <si>
    <t>114-3</t>
  </si>
  <si>
    <t>115-3</t>
  </si>
  <si>
    <t>116-3</t>
  </si>
  <si>
    <t>117-3</t>
  </si>
  <si>
    <t>118-3</t>
  </si>
  <si>
    <t>119-3</t>
  </si>
  <si>
    <t>120-3</t>
  </si>
  <si>
    <t>121-3</t>
  </si>
  <si>
    <t>122-3</t>
  </si>
  <si>
    <t>123-3</t>
  </si>
  <si>
    <t>124-3</t>
  </si>
  <si>
    <t>125-3</t>
  </si>
  <si>
    <t>126-3</t>
  </si>
  <si>
    <t>127-3</t>
  </si>
  <si>
    <t>128-3</t>
  </si>
  <si>
    <t>129-3</t>
  </si>
  <si>
    <t>130-3</t>
  </si>
  <si>
    <t>131-3</t>
  </si>
  <si>
    <t>132-3</t>
  </si>
  <si>
    <t>133-3</t>
  </si>
  <si>
    <t>134-3</t>
  </si>
  <si>
    <t>135-3</t>
  </si>
  <si>
    <t>136-3</t>
  </si>
  <si>
    <t>137-3</t>
  </si>
  <si>
    <t>138-3</t>
  </si>
  <si>
    <t>139-3</t>
  </si>
  <si>
    <t>140-3</t>
  </si>
  <si>
    <t>141-3</t>
  </si>
  <si>
    <t>142-3</t>
  </si>
  <si>
    <t>143-3</t>
  </si>
  <si>
    <t>144-3</t>
  </si>
  <si>
    <t>145-3</t>
  </si>
  <si>
    <t>146-3</t>
  </si>
  <si>
    <t>147-3</t>
  </si>
  <si>
    <t>148-3</t>
  </si>
  <si>
    <t>149-3</t>
  </si>
  <si>
    <t>150-3</t>
  </si>
  <si>
    <t>151-3</t>
  </si>
  <si>
    <t>152-3</t>
  </si>
  <si>
    <t>153-3</t>
  </si>
  <si>
    <t>154-3</t>
  </si>
  <si>
    <t>155-3</t>
  </si>
  <si>
    <t>156-3</t>
  </si>
  <si>
    <t>157-3</t>
  </si>
  <si>
    <t>158-3</t>
  </si>
  <si>
    <t>159-3</t>
  </si>
  <si>
    <t>160-3</t>
  </si>
  <si>
    <t>161-3</t>
  </si>
  <si>
    <t>162-3</t>
  </si>
  <si>
    <t>163-3</t>
  </si>
  <si>
    <t>164-3</t>
  </si>
  <si>
    <t>165-3</t>
  </si>
  <si>
    <t>166-3</t>
  </si>
  <si>
    <t>167-3</t>
  </si>
  <si>
    <t>168-3</t>
  </si>
  <si>
    <t>169-3</t>
  </si>
  <si>
    <t>170-3</t>
  </si>
  <si>
    <t>171-3</t>
  </si>
  <si>
    <t>172-3</t>
  </si>
  <si>
    <t>173-3</t>
  </si>
  <si>
    <t>174-3</t>
  </si>
  <si>
    <t>175-3</t>
  </si>
  <si>
    <t>176-3</t>
  </si>
  <si>
    <t>177-3</t>
  </si>
  <si>
    <t>178-3</t>
  </si>
  <si>
    <t>179-3</t>
  </si>
  <si>
    <t>180-3</t>
  </si>
  <si>
    <t>181-3</t>
  </si>
  <si>
    <t>182-3</t>
  </si>
  <si>
    <t>183-3</t>
  </si>
  <si>
    <t>184-3</t>
  </si>
  <si>
    <t>185-3</t>
  </si>
  <si>
    <t>186-3</t>
  </si>
  <si>
    <t>187-3</t>
  </si>
  <si>
    <t>188-3</t>
  </si>
  <si>
    <t>189-3</t>
  </si>
  <si>
    <t>190-3</t>
  </si>
  <si>
    <t>191-3</t>
  </si>
  <si>
    <t>192-3</t>
  </si>
  <si>
    <t>193-3</t>
  </si>
  <si>
    <t>194-3</t>
  </si>
  <si>
    <t>195-3</t>
  </si>
  <si>
    <t>196-3</t>
  </si>
  <si>
    <t>197-3</t>
  </si>
  <si>
    <t>198-3</t>
  </si>
  <si>
    <t>199-3</t>
  </si>
  <si>
    <t>200-3</t>
  </si>
  <si>
    <t>201-3</t>
  </si>
  <si>
    <t>202-3</t>
  </si>
  <si>
    <t>203-3</t>
  </si>
  <si>
    <t>204-3</t>
  </si>
  <si>
    <t>205-3</t>
  </si>
  <si>
    <t>206-3</t>
  </si>
  <si>
    <t>207-3</t>
  </si>
  <si>
    <t>208-3</t>
  </si>
  <si>
    <t>209-3</t>
  </si>
  <si>
    <t>210-3</t>
  </si>
  <si>
    <t>211-3</t>
  </si>
  <si>
    <t>212-3</t>
  </si>
  <si>
    <t>213-3</t>
  </si>
  <si>
    <t>214-3</t>
  </si>
  <si>
    <t>215-3</t>
  </si>
  <si>
    <t>216-3</t>
  </si>
  <si>
    <t>217-3</t>
  </si>
  <si>
    <t>218-3</t>
  </si>
  <si>
    <t>219-3</t>
  </si>
  <si>
    <t>220-3</t>
  </si>
  <si>
    <t>221-3</t>
  </si>
  <si>
    <t>222-3</t>
  </si>
  <si>
    <t>223-3</t>
  </si>
  <si>
    <t>224-3</t>
  </si>
  <si>
    <t>225-3</t>
  </si>
  <si>
    <t>226-3</t>
  </si>
  <si>
    <t>227-3</t>
  </si>
  <si>
    <t>228-3</t>
  </si>
  <si>
    <t>229-3</t>
  </si>
  <si>
    <t>230-3</t>
  </si>
  <si>
    <t>231-3</t>
  </si>
  <si>
    <t>232-3</t>
  </si>
  <si>
    <t>233-3</t>
  </si>
  <si>
    <t>234-3</t>
  </si>
  <si>
    <t>235-3</t>
  </si>
  <si>
    <t>236-3</t>
  </si>
  <si>
    <t>237-3</t>
  </si>
  <si>
    <t>238-3</t>
  </si>
  <si>
    <t>239-3</t>
  </si>
  <si>
    <t>240-3</t>
  </si>
  <si>
    <t>241-3</t>
  </si>
  <si>
    <t>242-3</t>
  </si>
  <si>
    <t>243-3</t>
  </si>
  <si>
    <t>244-3</t>
  </si>
  <si>
    <t>245-3</t>
  </si>
  <si>
    <t>246-3</t>
  </si>
  <si>
    <t>247-3</t>
  </si>
  <si>
    <t>248-3</t>
  </si>
  <si>
    <t>249-3</t>
  </si>
  <si>
    <t>250-3</t>
  </si>
  <si>
    <t>251-3</t>
  </si>
  <si>
    <t>252-3</t>
  </si>
  <si>
    <t>253-3</t>
  </si>
  <si>
    <t>254-3</t>
  </si>
  <si>
    <t>255-3</t>
  </si>
  <si>
    <t>256-3</t>
  </si>
  <si>
    <t>257-3</t>
  </si>
  <si>
    <t>258-3</t>
  </si>
  <si>
    <t>259-3</t>
  </si>
  <si>
    <t>260-3</t>
  </si>
  <si>
    <t>261-3</t>
  </si>
  <si>
    <t>262-3</t>
  </si>
  <si>
    <t>263-3</t>
  </si>
  <si>
    <t>264-3</t>
  </si>
  <si>
    <t>265-3</t>
  </si>
  <si>
    <t>266-3</t>
  </si>
  <si>
    <t>267-3</t>
  </si>
  <si>
    <t>268-3</t>
  </si>
  <si>
    <t>269-3</t>
  </si>
  <si>
    <t>270-3</t>
  </si>
  <si>
    <t>271-3</t>
  </si>
  <si>
    <t>272-3</t>
  </si>
  <si>
    <t>273-3</t>
  </si>
  <si>
    <t>274-3</t>
  </si>
  <si>
    <t>275-3</t>
  </si>
  <si>
    <t>276-3</t>
  </si>
  <si>
    <t>277-3</t>
  </si>
  <si>
    <t>278-3</t>
  </si>
  <si>
    <t>279-3</t>
  </si>
  <si>
    <t>280-3</t>
  </si>
  <si>
    <t>281-3</t>
  </si>
  <si>
    <t>282-3</t>
  </si>
  <si>
    <t>283-3</t>
  </si>
  <si>
    <t>284-3</t>
  </si>
  <si>
    <t>285-3</t>
  </si>
  <si>
    <t>286-3</t>
  </si>
  <si>
    <t>287-3</t>
  </si>
  <si>
    <t>288-3</t>
  </si>
  <si>
    <t>289-3</t>
  </si>
  <si>
    <t>290-3</t>
  </si>
  <si>
    <t>291-3</t>
  </si>
  <si>
    <t>292-3</t>
  </si>
  <si>
    <t>293-3</t>
  </si>
  <si>
    <t>294-3</t>
  </si>
  <si>
    <t>295-3</t>
  </si>
  <si>
    <t>296-3</t>
  </si>
  <si>
    <t>297-3</t>
  </si>
  <si>
    <t>298-3</t>
  </si>
  <si>
    <t>299-3</t>
  </si>
  <si>
    <t>300-3</t>
  </si>
  <si>
    <t>301-3</t>
  </si>
  <si>
    <t>302-3</t>
  </si>
  <si>
    <t>303-3</t>
  </si>
  <si>
    <t>304-3</t>
  </si>
  <si>
    <t>305-3</t>
  </si>
  <si>
    <t>306-3</t>
  </si>
  <si>
    <t>307-3</t>
  </si>
  <si>
    <t>308-3</t>
  </si>
  <si>
    <t>309-3</t>
  </si>
  <si>
    <t>310-3</t>
  </si>
  <si>
    <t>311-3</t>
  </si>
  <si>
    <t>312-3</t>
  </si>
  <si>
    <t>313-3</t>
  </si>
  <si>
    <t>314-3</t>
  </si>
  <si>
    <t>315-3</t>
  </si>
  <si>
    <t>316-3</t>
  </si>
  <si>
    <t>317-3</t>
  </si>
  <si>
    <t>318-3</t>
  </si>
  <si>
    <t>319-3</t>
  </si>
  <si>
    <t>320-3</t>
  </si>
  <si>
    <t>321-3</t>
  </si>
  <si>
    <t>322-3</t>
  </si>
  <si>
    <t>323-3</t>
  </si>
  <si>
    <t>324-3</t>
  </si>
  <si>
    <t>325-3</t>
  </si>
  <si>
    <t>326-3</t>
  </si>
  <si>
    <t>327-3</t>
  </si>
  <si>
    <t>328-3</t>
  </si>
  <si>
    <t>329-3</t>
  </si>
  <si>
    <t>330-3</t>
  </si>
  <si>
    <t>331-3</t>
  </si>
  <si>
    <t>332-3</t>
  </si>
  <si>
    <t>333-3</t>
  </si>
  <si>
    <t>334-3</t>
  </si>
  <si>
    <t>335-3</t>
  </si>
  <si>
    <t>336-3</t>
  </si>
  <si>
    <t>337-3</t>
  </si>
  <si>
    <t>338-3</t>
  </si>
  <si>
    <t>339-3</t>
  </si>
  <si>
    <t>340-3</t>
  </si>
  <si>
    <t>341-3</t>
  </si>
  <si>
    <t>342-3</t>
  </si>
  <si>
    <t>343-3</t>
  </si>
  <si>
    <t>344-3</t>
  </si>
  <si>
    <t>345-3</t>
  </si>
  <si>
    <t>346-3</t>
  </si>
  <si>
    <t>347-3</t>
  </si>
  <si>
    <t>348-3</t>
  </si>
  <si>
    <t>349-3</t>
  </si>
  <si>
    <t>350-3</t>
  </si>
  <si>
    <t>351-3</t>
  </si>
  <si>
    <t>352-3</t>
  </si>
  <si>
    <t>353-3</t>
  </si>
  <si>
    <t>354-3</t>
  </si>
  <si>
    <t>355-3</t>
  </si>
  <si>
    <t>356-3</t>
  </si>
  <si>
    <t>357-3</t>
  </si>
  <si>
    <t>358-3</t>
  </si>
  <si>
    <t>359-3</t>
  </si>
  <si>
    <t>360-3</t>
  </si>
  <si>
    <t>361-3</t>
  </si>
  <si>
    <t>362-3</t>
  </si>
  <si>
    <t>363-3</t>
  </si>
  <si>
    <t>364-3</t>
  </si>
  <si>
    <t>365-3</t>
  </si>
  <si>
    <t>366-3</t>
  </si>
  <si>
    <t>367-3</t>
  </si>
  <si>
    <t>368-3</t>
  </si>
  <si>
    <t>369-3</t>
  </si>
  <si>
    <t>370-3</t>
  </si>
  <si>
    <t>371-3</t>
  </si>
  <si>
    <t>372-3</t>
  </si>
  <si>
    <t>373-3</t>
  </si>
  <si>
    <t>374-3</t>
  </si>
  <si>
    <t>375-3</t>
  </si>
  <si>
    <t>376-3</t>
  </si>
  <si>
    <t>377-3</t>
  </si>
  <si>
    <t>378-3</t>
  </si>
  <si>
    <t>379-3</t>
  </si>
  <si>
    <t>380-3</t>
  </si>
  <si>
    <t>381-3</t>
  </si>
  <si>
    <t>382-3</t>
  </si>
  <si>
    <t>383-3</t>
  </si>
  <si>
    <t>384-3</t>
  </si>
  <si>
    <t>385-3</t>
  </si>
  <si>
    <t>386-3</t>
  </si>
  <si>
    <t>387-3</t>
  </si>
  <si>
    <t>388-3</t>
  </si>
  <si>
    <t>389-3</t>
  </si>
  <si>
    <t>390-3</t>
  </si>
  <si>
    <t>391-3</t>
  </si>
  <si>
    <t>392-3</t>
  </si>
  <si>
    <t>393-3</t>
  </si>
  <si>
    <t>394-3</t>
  </si>
  <si>
    <t>395-3</t>
  </si>
  <si>
    <t>396-3</t>
  </si>
  <si>
    <t>397-3</t>
  </si>
  <si>
    <t>398-3</t>
  </si>
  <si>
    <t>399-3</t>
  </si>
  <si>
    <t>400-3</t>
  </si>
  <si>
    <t>401-3</t>
  </si>
  <si>
    <t>402-3</t>
  </si>
  <si>
    <t>403-3</t>
  </si>
  <si>
    <t>404-3</t>
  </si>
  <si>
    <t>405-3</t>
  </si>
  <si>
    <t>406-3</t>
  </si>
  <si>
    <t>407-3</t>
  </si>
  <si>
    <t>408-3</t>
  </si>
  <si>
    <t>409-3</t>
  </si>
  <si>
    <t>410-3</t>
  </si>
  <si>
    <t>411-3</t>
  </si>
  <si>
    <t>412-3</t>
  </si>
  <si>
    <t>413-3</t>
  </si>
  <si>
    <t>414-3</t>
  </si>
  <si>
    <t>415-3</t>
  </si>
  <si>
    <t>416-3</t>
  </si>
  <si>
    <t>417-3</t>
  </si>
  <si>
    <t>418-3</t>
  </si>
  <si>
    <t>419-3</t>
  </si>
  <si>
    <t>420-3</t>
  </si>
  <si>
    <t>421-3</t>
  </si>
  <si>
    <t>422-3</t>
  </si>
  <si>
    <t>423-3</t>
  </si>
  <si>
    <t>424-3</t>
  </si>
  <si>
    <t>425-3</t>
  </si>
  <si>
    <t>426-3</t>
  </si>
  <si>
    <t>427-3</t>
  </si>
  <si>
    <t>428-3</t>
  </si>
  <si>
    <t>429-3</t>
  </si>
  <si>
    <t>430-3</t>
  </si>
  <si>
    <t>431-3</t>
  </si>
  <si>
    <t>432-3</t>
  </si>
  <si>
    <t>433-3</t>
  </si>
  <si>
    <t>434-3</t>
  </si>
  <si>
    <t>435-3</t>
  </si>
  <si>
    <t>436-3</t>
  </si>
  <si>
    <t>437-3</t>
  </si>
  <si>
    <t>438-3</t>
  </si>
  <si>
    <t>439-3</t>
  </si>
  <si>
    <t>440-3</t>
  </si>
  <si>
    <t>441-3</t>
  </si>
  <si>
    <t>442-3</t>
  </si>
  <si>
    <t>443-3</t>
  </si>
  <si>
    <t>444-3</t>
  </si>
  <si>
    <t>445-3</t>
  </si>
  <si>
    <t>446-3</t>
  </si>
  <si>
    <t>447-3</t>
  </si>
  <si>
    <t>448-3</t>
  </si>
  <si>
    <t>449-3</t>
  </si>
  <si>
    <t>450-3</t>
  </si>
  <si>
    <t>451-3</t>
  </si>
  <si>
    <t>452-3</t>
  </si>
  <si>
    <t>453-3</t>
  </si>
  <si>
    <t>454-3</t>
  </si>
  <si>
    <t>455-3</t>
  </si>
  <si>
    <t>456-3</t>
  </si>
  <si>
    <t>457-3</t>
  </si>
  <si>
    <t>458-3</t>
  </si>
  <si>
    <t>459-3</t>
  </si>
  <si>
    <t>460-3</t>
  </si>
  <si>
    <t>461-3</t>
  </si>
  <si>
    <t>462-3</t>
  </si>
  <si>
    <t>463-3</t>
  </si>
  <si>
    <t>464-3</t>
  </si>
  <si>
    <t>465-3</t>
  </si>
  <si>
    <t>466-3</t>
  </si>
  <si>
    <t>467-3</t>
  </si>
  <si>
    <t>468-3</t>
  </si>
  <si>
    <t>469-3</t>
  </si>
  <si>
    <t>470-3</t>
  </si>
  <si>
    <t>471-3</t>
  </si>
  <si>
    <t>472-3</t>
  </si>
  <si>
    <t>473-3</t>
  </si>
  <si>
    <t>474-3</t>
  </si>
  <si>
    <t>475-3</t>
  </si>
  <si>
    <t>476-3</t>
  </si>
  <si>
    <t>477-3</t>
  </si>
  <si>
    <t>478-3</t>
  </si>
  <si>
    <t>479-3</t>
  </si>
  <si>
    <t>480-3</t>
  </si>
  <si>
    <t>481-3</t>
  </si>
  <si>
    <t>482-3</t>
  </si>
  <si>
    <t>483-3</t>
  </si>
  <si>
    <t>484-3</t>
  </si>
  <si>
    <t>485-3</t>
  </si>
  <si>
    <t>486-3</t>
  </si>
  <si>
    <t>487-3</t>
  </si>
  <si>
    <t>488-3</t>
  </si>
  <si>
    <t>489-3</t>
  </si>
  <si>
    <t>490-3</t>
  </si>
  <si>
    <t>491-3</t>
  </si>
  <si>
    <t>492-3</t>
  </si>
  <si>
    <t>493-3</t>
  </si>
  <si>
    <t>494-3</t>
  </si>
  <si>
    <t>495-3</t>
  </si>
  <si>
    <t>496-3</t>
  </si>
  <si>
    <t>497-3</t>
  </si>
  <si>
    <t>498-3</t>
  </si>
  <si>
    <t>499-3</t>
  </si>
  <si>
    <t>500-3</t>
  </si>
  <si>
    <t>501-3</t>
  </si>
  <si>
    <t>502-3</t>
  </si>
  <si>
    <t>503-3</t>
  </si>
  <si>
    <t>سجل التقييمات - أدخل الدرجة والنتيجة</t>
  </si>
  <si>
    <t>رقم التقييم</t>
  </si>
  <si>
    <t>تقييم قبلي %</t>
  </si>
  <si>
    <t>تقييم بعدي %</t>
  </si>
  <si>
    <t>الدرجة المعتمدة %</t>
  </si>
  <si>
    <t>النتيجة</t>
  </si>
  <si>
    <t>المقيّم</t>
  </si>
  <si>
    <t>تاريخ التقييم</t>
  </si>
  <si>
    <t>خطة التحسين</t>
  </si>
  <si>
    <t>لوحة مؤشرات التدريب</t>
  </si>
  <si>
    <t>المؤشر</t>
  </si>
  <si>
    <t>إجمالي الموظفين</t>
  </si>
  <si>
    <t>إجمالي الأنشطة</t>
  </si>
  <si>
    <t>الأنشطة المنفذة</t>
  </si>
  <si>
    <t>نسبة تنفيذ الخطة</t>
  </si>
  <si>
    <t>إجمالي سجلات الحضور</t>
  </si>
  <si>
    <t>نسبة الحضور</t>
  </si>
  <si>
    <t>متوسط التقييم البعدي</t>
  </si>
  <si>
    <t>عدد الناجحين</t>
  </si>
  <si>
    <t>يحتاجون إعادة تدريب</t>
  </si>
  <si>
    <t>نموذج حضور دورة تدريبية</t>
  </si>
  <si>
    <t>اسم النشاط:</t>
  </si>
  <si>
    <t>كود النشاط:</t>
  </si>
  <si>
    <t>التاريخ:</t>
  </si>
  <si>
    <t>المدرب:</t>
  </si>
  <si>
    <t>القسم:</t>
  </si>
  <si>
    <t>م</t>
  </si>
  <si>
    <t>التوقيع</t>
  </si>
  <si>
    <t>التقييم</t>
  </si>
  <si>
    <t>نموذج تقييم دورة تدريبية</t>
  </si>
  <si>
    <t>اسم الموظف:</t>
  </si>
  <si>
    <t>كود الموظف:</t>
  </si>
  <si>
    <t>اسم المقيّم:</t>
  </si>
  <si>
    <t>الدرجة</t>
  </si>
  <si>
    <t>الملاحظات</t>
  </si>
  <si>
    <t>فهم المحتوى</t>
  </si>
  <si>
    <t>تطبيق المهارة</t>
  </si>
  <si>
    <t>الالتزام بإجراءات السلامة</t>
  </si>
  <si>
    <t>التواصل والعمل الجماعي</t>
  </si>
  <si>
    <t>النتيجة النهائية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</si>
</sst>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84E1F"/>
        <bgColor indexed="64"/>
      </patternFill>
    </fill>
    <fill>
      <patternFill patternType="solid">
        <fgColor rgb="FFD59B5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5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D59B5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" formatCode="0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D59B5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D59B5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D59B5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3" formatCode="0%"/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604;&#1581;&#1590;&#1608;&#1585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575;&#1604;&#1578;&#1602;&#1610;&#1610;&#1605;&#1575;&#157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حضور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تقييمات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A7A958-D6B2-4FC4-8C14-3230C783D4B6}" name="tblScores" displayName="tblScores" ref="A3:L503" totalsRowShown="0" headerRowDxfId="0" dataDxfId="13">
  <autoFilter ref="A3:L503" xr:uid="{C5A7A958-D6B2-4FC4-8C14-3230C783D4B6}"/>
  <tableColumns count="12">
    <tableColumn id="1" xr3:uid="{6AEFBD56-89F5-477A-879C-25235D84B19C}" name="رقم التقييم" dataDxfId="12"/>
    <tableColumn id="2" xr3:uid="{7BE0F8C3-40EA-401E-8672-AEFA12362418}" name="كود النشاط" dataDxfId="11"/>
    <tableColumn id="3" xr3:uid="{9EA70239-ED19-459D-AD58-5E75291D7840}" name="موضوع التدريب" dataDxfId="10">
      <calculatedColumnFormula>IFERROR(VLOOKUP(B4,الخطة!A:O,4,FALSE),"")</calculatedColumnFormula>
    </tableColumn>
    <tableColumn id="4" xr3:uid="{99F62DD0-1573-442E-AE27-3822374182E0}" name="كود الموظف" dataDxfId="9"/>
    <tableColumn id="5" xr3:uid="{F7C0747A-A798-4A7C-B35B-EBDC6ECB515A}" name="اسم الموظف" dataDxfId="8">
      <calculatedColumnFormula>IFERROR(VLOOKUP(D4,الموظفون!A:L,2,FALSE),"")</calculatedColumnFormula>
    </tableColumn>
    <tableColumn id="6" xr3:uid="{0FA174C3-0A69-448F-941F-36E88B222642}" name="تقييم قبلي %" dataDxfId="7"/>
    <tableColumn id="7" xr3:uid="{3AC27D55-5FAC-487F-8F7D-BE132D444EF1}" name="تقييم بعدي %" dataDxfId="6"/>
    <tableColumn id="8" xr3:uid="{1602106B-C082-46D1-BF23-89552A80C04B}" name="الدرجة المعتمدة %" dataDxfId="5">
      <calculatedColumnFormula>IF(G4="","",G4)</calculatedColumnFormula>
    </tableColumn>
    <tableColumn id="9" xr3:uid="{AF13CC5D-E739-4E5B-BA6B-C94DEE775872}" name="النتيجة" dataDxfId="4"/>
    <tableColumn id="10" xr3:uid="{78052550-07D0-497B-8ACE-992C733354D8}" name="المقيّم" dataDxfId="3"/>
    <tableColumn id="11" xr3:uid="{E3F596F3-365E-4D15-BEF9-24E01810F8F0}" name="تاريخ التقييم" dataDxfId="2"/>
    <tableColumn id="12" xr3:uid="{5FC7B704-4CBE-4D80-8873-4FAFA7333558}" name="خطة التحسين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C895B0-3602-4F5B-9C09-7CE8E1476534}" name="tblAttendance" displayName="tblAttendance" ref="A3:L503" totalsRowShown="0" headerRowDxfId="14" dataDxfId="27">
  <autoFilter ref="A3:L503" xr:uid="{61C895B0-3602-4F5B-9C09-7CE8E1476534}"/>
  <tableColumns count="12">
    <tableColumn id="1" xr3:uid="{E5CF3CB5-8ABD-4755-947D-7F956BE6D091}" name="رقم السجل" dataDxfId="26"/>
    <tableColumn id="2" xr3:uid="{F19A6B63-C4B7-4FC0-90F9-993A9A6CAC96}" name="كود النشاط" dataDxfId="25"/>
    <tableColumn id="3" xr3:uid="{5EE48AFD-53D9-4769-8093-BD1A096FCAE5}" name="موضوع التدريب" dataDxfId="24">
      <calculatedColumnFormula>IFERROR(VLOOKUP(B4,الخطة!A:O,4,FALSE),"")</calculatedColumnFormula>
    </tableColumn>
    <tableColumn id="4" xr3:uid="{C87CD727-C671-4FB7-92EA-20D484F66C3F}" name="كود الموظف" dataDxfId="23"/>
    <tableColumn id="5" xr3:uid="{295D0DEA-C461-49DF-B2E4-172B206FAEE5}" name="اسم الموظف" dataDxfId="22">
      <calculatedColumnFormula>IFERROR(VLOOKUP(D4,الموظفون!A:L,2,FALSE),"")</calculatedColumnFormula>
    </tableColumn>
    <tableColumn id="6" xr3:uid="{B5E0CDB1-FF2C-4D66-AAB9-80DCDEC0B113}" name="حضر؟" dataDxfId="21"/>
    <tableColumn id="7" xr3:uid="{B78F68C3-1C8C-4BBF-9F36-1BDD61CCEAF5}" name="وقت الحضور" dataDxfId="20"/>
    <tableColumn id="8" xr3:uid="{670F52E8-EDE7-420D-AC4C-7E62171D35B4}" name="التوقيع/الإثبات" dataDxfId="19"/>
    <tableColumn id="9" xr3:uid="{0156900F-F923-46F7-80E8-A1EB43CD3E74}" name="المدرب" dataDxfId="18"/>
    <tableColumn id="10" xr3:uid="{64D357F2-20E8-476C-AE5B-6793C66846A1}" name="التاريخ" dataDxfId="17"/>
    <tableColumn id="11" xr3:uid="{B30A9921-0969-4B6C-8DF1-445292FBE229}" name="حالة السجل" dataDxfId="16">
      <calculatedColumnFormula>IF(B4="","",IF(OR(D4="",F4=""),"ناقص بيانات",IF(F4="نعم","مكتمل","غائب")))</calculatedColumnFormula>
    </tableColumn>
    <tableColumn id="12" xr3:uid="{FE8F57F8-3550-472D-8F6D-9FDD9276D45C}" name="ملاحظات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7BE06-63C0-4B70-828D-C05A96AEBFD9}" name="tblPlan" displayName="tblPlan" ref="A3:O103" totalsRowShown="0" headerRowDxfId="28" dataDxfId="44">
  <autoFilter ref="A3:O103" xr:uid="{D627BE06-63C0-4B70-828D-C05A96AEBFD9}"/>
  <tableColumns count="15">
    <tableColumn id="1" xr3:uid="{AC9AA9DB-F7FC-4F95-B760-13E8BE024EA4}" name="كود النشاط" dataDxfId="43"/>
    <tableColumn id="2" xr3:uid="{9F4DF2C9-FC62-4193-8C97-F80732CDF79E}" name="الشهر" dataDxfId="42"/>
    <tableColumn id="3" xr3:uid="{B1963858-E671-4FDF-8463-B08FE0733242}" name="محور GAHAR" dataDxfId="41"/>
    <tableColumn id="4" xr3:uid="{35E02A0A-5A74-4F42-B804-096A66111E3F}" name="موضوع التدريب" dataDxfId="40"/>
    <tableColumn id="5" xr3:uid="{7EF27E27-C77E-4282-B1F9-F1FFA1AD8E52}" name="الفئة المستهدفة" dataDxfId="39"/>
    <tableColumn id="6" xr3:uid="{66AB5733-EBF5-4EFF-BD76-90CBEDC039DE}" name="الهدف والكفاءة" dataDxfId="38"/>
    <tableColumn id="7" xr3:uid="{F42866E4-4D35-4D2A-AC6F-47BC3AA2F1DB}" name="نوع التدريب" dataDxfId="37"/>
    <tableColumn id="8" xr3:uid="{8CB085C7-C8FC-4249-8782-B0C0F081F69D}" name="المسؤول" dataDxfId="36"/>
    <tableColumn id="9" xr3:uid="{661A05B8-367F-4038-811A-8585AC682F53}" name="الساعات" dataDxfId="35"/>
    <tableColumn id="10" xr3:uid="{35CBB958-F20E-49DB-B023-DC607921F4DE}" name="التاريخ المخطط" dataDxfId="34"/>
    <tableColumn id="11" xr3:uid="{41ED8146-F0FD-4F74-B0E1-930F217DB6DD}" name="التاريخ المنفذ" dataDxfId="33"/>
    <tableColumn id="12" xr3:uid="{028DD30F-B58A-47D2-882E-BBBB84E4BB40}" name="الحالة" dataDxfId="32"/>
    <tableColumn id="13" xr3:uid="{72FFBACB-62DB-4B8D-8F46-C452D0100630}" name="عدد الحضور" dataDxfId="31">
      <calculatedColumnFormula>IF(A4="","",COUNTIFS([1]الحضور!B:B,A4,[1]الحضور!F:F,"نعم"))</calculatedColumnFormula>
    </tableColumn>
    <tableColumn id="14" xr3:uid="{FA25AEB1-C37E-4012-93C3-C0E83165E0C4}" name="متوسط التقييم" dataDxfId="30">
      <calculatedColumnFormula>IFERROR(AVERAGEIF([2]التقييمات!B:B,A4,[2]التقييمات!H:H),"")</calculatedColumnFormula>
    </tableColumn>
    <tableColumn id="15" xr3:uid="{9AD2B044-DB23-4416-882C-EA2E223D7ABE}" name="رابط الدليل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78010-28BD-45F6-906C-237CD02F364E}" name="tblEmployees" displayName="tblEmployees" ref="A3:L103" totalsRowShown="0" headerRowDxfId="45" dataDxfId="58">
  <autoFilter ref="A3:L103" xr:uid="{00478010-28BD-45F6-906C-237CD02F364E}"/>
  <tableColumns count="12">
    <tableColumn id="1" xr3:uid="{0D192638-DCA5-4C15-BADC-85D6D105136F}" name="كود الموظف" dataDxfId="57"/>
    <tableColumn id="2" xr3:uid="{75E7CF52-06A4-483C-823B-4992CCFEA236}" name="اسم الموظف" dataDxfId="56"/>
    <tableColumn id="3" xr3:uid="{20DE0AF2-9682-4309-91DA-8B01D96C19CC}" name="القسم" dataDxfId="55"/>
    <tableColumn id="4" xr3:uid="{C72F9E0A-19B3-48C7-9260-67636F9B3F88}" name="المسمى الوظيفي" dataDxfId="54"/>
    <tableColumn id="5" xr3:uid="{E1FAB194-9463-44EC-A634-C5371249B877}" name="نوع التعاقد" dataDxfId="53"/>
    <tableColumn id="6" xr3:uid="{2D8C0B0B-C8A3-48CE-BFEB-1FC793A62129}" name="تاريخ التعيين" dataDxfId="52"/>
    <tableColumn id="7" xr3:uid="{AC17F3A8-1DAB-4EC2-960A-9D4205D4F72C}" name="حالة الموظف" dataDxfId="51"/>
    <tableColumn id="8" xr3:uid="{910A0BB9-ADBC-44BB-BF22-4CB4010F17F1}" name="المدير المباشر" dataDxfId="50"/>
    <tableColumn id="9" xr3:uid="{045845B7-9B12-4614-997A-B1A4999810C8}" name="الهاتف/البريد" dataDxfId="49"/>
    <tableColumn id="10" xr3:uid="{7140B6D8-5A9D-4CEB-ADEF-83ACCC1E5D06}" name="عدد الأنشطة" dataDxfId="48">
      <calculatedColumnFormula>IF(A4="","",COUNTIF([1]الحضور!D:D,A4))</calculatedColumnFormula>
    </tableColumn>
    <tableColumn id="11" xr3:uid="{2C408003-7276-4C61-ACBD-C82D319E1E04}" name="نسبة الإكمال" dataDxfId="47">
      <calculatedColumnFormula>IFERROR(COUNTIFS([1]الحضور!D:D,A4,[1]الحضور!F:F,"نعم")/J4,0)</calculatedColumnFormula>
    </tableColumn>
    <tableColumn id="12" xr3:uid="{58E6DE06-25DC-4636-9C25-C9B9100C4D0D}" name="ملاحظات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42BE-648E-4B9B-BA9B-77EBCD90C535}">
  <dimension ref="A1:F16"/>
  <sheetViews>
    <sheetView rightToLeft="1" workbookViewId="0">
      <pane ySplit="3" topLeftCell="A4" activePane="bottomLeft" state="frozenSplit"/>
      <selection pane="bottomLeft"/>
    </sheetView>
  </sheetViews>
  <sheetFormatPr defaultRowHeight="12.75" x14ac:dyDescent="0.2"/>
  <cols>
    <col min="1" max="1" width="9.140625" style="1"/>
    <col min="2" max="2" width="5" style="1" bestFit="1" customWidth="1"/>
    <col min="3" max="3" width="7.140625" style="1" bestFit="1" customWidth="1"/>
    <col min="4" max="16384" width="9.140625" style="1"/>
  </cols>
  <sheetData>
    <row r="1" spans="1:6" x14ac:dyDescent="0.2">
      <c r="A1" s="2" t="s">
        <v>679</v>
      </c>
      <c r="B1" s="2"/>
      <c r="C1" s="2"/>
      <c r="D1" s="2"/>
      <c r="E1" s="2"/>
      <c r="F1" s="2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3" t="s">
        <v>671</v>
      </c>
      <c r="B3" s="3"/>
      <c r="C3" s="3"/>
      <c r="D3" s="3"/>
      <c r="E3" s="3"/>
      <c r="F3" s="3"/>
    </row>
    <row r="4" spans="1:6" x14ac:dyDescent="0.2">
      <c r="A4" s="3" t="s">
        <v>672</v>
      </c>
      <c r="B4" s="3"/>
      <c r="C4" s="3"/>
      <c r="D4" s="3"/>
      <c r="E4" s="3"/>
      <c r="F4" s="3"/>
    </row>
    <row r="5" spans="1:6" x14ac:dyDescent="0.2">
      <c r="A5" s="3" t="s">
        <v>680</v>
      </c>
      <c r="B5" s="3"/>
      <c r="C5" s="3"/>
      <c r="D5" s="3"/>
      <c r="E5" s="3"/>
      <c r="F5" s="3"/>
    </row>
    <row r="6" spans="1:6" ht="25.5" x14ac:dyDescent="0.2">
      <c r="A6" s="3" t="s">
        <v>681</v>
      </c>
      <c r="B6" s="3"/>
      <c r="C6" s="3"/>
      <c r="D6" s="3"/>
      <c r="E6" s="3"/>
      <c r="F6" s="3"/>
    </row>
    <row r="7" spans="1:6" x14ac:dyDescent="0.2">
      <c r="A7" s="3" t="s">
        <v>673</v>
      </c>
      <c r="B7" s="3"/>
      <c r="C7" s="3"/>
      <c r="D7" s="3"/>
      <c r="E7" s="3"/>
      <c r="F7" s="3"/>
    </row>
    <row r="8" spans="1:6" x14ac:dyDescent="0.2">
      <c r="A8" s="3" t="s">
        <v>682</v>
      </c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"/>
      <c r="B10" s="3"/>
      <c r="C10" s="3"/>
      <c r="D10" s="3"/>
      <c r="E10" s="3"/>
      <c r="F10" s="3"/>
    </row>
    <row r="11" spans="1:6" x14ac:dyDescent="0.2">
      <c r="A11" s="4" t="s">
        <v>1</v>
      </c>
      <c r="B11" s="4" t="s">
        <v>683</v>
      </c>
      <c r="C11" s="4" t="s">
        <v>684</v>
      </c>
      <c r="D11" s="3"/>
      <c r="E11" s="3"/>
      <c r="F11" s="3"/>
    </row>
    <row r="12" spans="1:6" x14ac:dyDescent="0.2">
      <c r="A12" s="3" t="s">
        <v>685</v>
      </c>
      <c r="B12" s="3"/>
      <c r="C12" s="3"/>
      <c r="D12" s="3"/>
      <c r="E12" s="3"/>
      <c r="F12" s="3"/>
    </row>
    <row r="13" spans="1:6" ht="25.5" x14ac:dyDescent="0.2">
      <c r="A13" s="3" t="s">
        <v>686</v>
      </c>
      <c r="B13" s="3"/>
      <c r="C13" s="3"/>
      <c r="D13" s="3"/>
      <c r="E13" s="3"/>
      <c r="F13" s="3"/>
    </row>
    <row r="14" spans="1:6" ht="38.25" x14ac:dyDescent="0.2">
      <c r="A14" s="3" t="s">
        <v>687</v>
      </c>
      <c r="B14" s="3"/>
      <c r="C14" s="3"/>
      <c r="D14" s="3"/>
      <c r="E14" s="3"/>
      <c r="F14" s="3"/>
    </row>
    <row r="15" spans="1:6" ht="38.25" x14ac:dyDescent="0.2">
      <c r="A15" s="3" t="s">
        <v>688</v>
      </c>
      <c r="B15" s="3"/>
      <c r="C15" s="3"/>
      <c r="D15" s="3"/>
      <c r="E15" s="3"/>
      <c r="F15" s="3"/>
    </row>
    <row r="16" spans="1:6" ht="25.5" x14ac:dyDescent="0.2">
      <c r="A16" s="3" t="s">
        <v>689</v>
      </c>
      <c r="B16" s="3"/>
      <c r="C16" s="3"/>
      <c r="D16" s="3"/>
      <c r="E16" s="3"/>
      <c r="F16" s="3"/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F1C6-094D-44C0-9CB3-D9053C4247C3}">
  <dimension ref="A1:H40"/>
  <sheetViews>
    <sheetView rightToLeft="1" workbookViewId="0">
      <pane ySplit="3" topLeftCell="A4" activePane="bottomLeft" state="frozenSplit"/>
      <selection pane="bottomLeft" sqref="A1:H1"/>
    </sheetView>
  </sheetViews>
  <sheetFormatPr defaultRowHeight="12.75" x14ac:dyDescent="0.2"/>
  <cols>
    <col min="1" max="1" width="8.140625" style="1" bestFit="1" customWidth="1"/>
    <col min="2" max="2" width="8.5703125" style="1" bestFit="1" customWidth="1"/>
    <col min="3" max="3" width="8.7109375" style="1" bestFit="1" customWidth="1"/>
    <col min="4" max="4" width="4.28515625" style="1" bestFit="1" customWidth="1"/>
    <col min="5" max="5" width="5" style="1" bestFit="1" customWidth="1"/>
    <col min="6" max="6" width="5.28515625" style="1" bestFit="1" customWidth="1"/>
    <col min="7" max="7" width="4.85546875" style="1" bestFit="1" customWidth="1"/>
    <col min="8" max="8" width="6.28515625" style="1" bestFit="1" customWidth="1"/>
    <col min="9" max="16384" width="9.140625" style="1"/>
  </cols>
  <sheetData>
    <row r="1" spans="1:8" x14ac:dyDescent="0.2">
      <c r="A1" s="2" t="s">
        <v>670</v>
      </c>
      <c r="B1" s="2"/>
      <c r="C1" s="2"/>
      <c r="D1" s="2"/>
      <c r="E1" s="2"/>
      <c r="F1" s="2"/>
      <c r="G1" s="2"/>
      <c r="H1" s="2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 t="s">
        <v>671</v>
      </c>
      <c r="B3" s="3"/>
      <c r="C3" s="3"/>
      <c r="D3" s="3"/>
      <c r="E3" s="3"/>
      <c r="F3" s="3"/>
      <c r="G3" s="3"/>
      <c r="H3" s="3"/>
    </row>
    <row r="4" spans="1:8" x14ac:dyDescent="0.2">
      <c r="A4" s="3" t="s">
        <v>672</v>
      </c>
      <c r="B4" s="3"/>
      <c r="C4" s="3"/>
      <c r="D4" s="3"/>
      <c r="E4" s="3"/>
      <c r="F4" s="3"/>
      <c r="G4" s="3"/>
      <c r="H4" s="3"/>
    </row>
    <row r="5" spans="1:8" x14ac:dyDescent="0.2">
      <c r="A5" s="3" t="s">
        <v>673</v>
      </c>
      <c r="B5" s="3"/>
      <c r="C5" s="3"/>
      <c r="D5" s="3"/>
      <c r="E5" s="3"/>
      <c r="F5" s="3"/>
      <c r="G5" s="3"/>
      <c r="H5" s="3"/>
    </row>
    <row r="6" spans="1:8" x14ac:dyDescent="0.2">
      <c r="A6" s="3" t="s">
        <v>674</v>
      </c>
      <c r="B6" s="3"/>
      <c r="C6" s="3"/>
      <c r="D6" s="3"/>
      <c r="E6" s="3"/>
      <c r="F6" s="3"/>
      <c r="G6" s="3"/>
      <c r="H6" s="3"/>
    </row>
    <row r="7" spans="1:8" x14ac:dyDescent="0.2">
      <c r="A7" s="3" t="s">
        <v>675</v>
      </c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4" t="s">
        <v>676</v>
      </c>
      <c r="B10" s="4" t="s">
        <v>14</v>
      </c>
      <c r="C10" s="4" t="s">
        <v>15</v>
      </c>
      <c r="D10" s="4" t="s">
        <v>16</v>
      </c>
      <c r="E10" s="4" t="s">
        <v>153</v>
      </c>
      <c r="F10" s="4" t="s">
        <v>677</v>
      </c>
      <c r="G10" s="4" t="s">
        <v>678</v>
      </c>
      <c r="H10" s="4" t="s">
        <v>25</v>
      </c>
    </row>
    <row r="11" spans="1:8" x14ac:dyDescent="0.2">
      <c r="A11" s="3">
        <v>1</v>
      </c>
      <c r="B11" s="3"/>
      <c r="C11" s="3"/>
      <c r="D11" s="3"/>
      <c r="E11" s="3"/>
      <c r="F11" s="3"/>
      <c r="G11" s="3"/>
      <c r="H11" s="3"/>
    </row>
    <row r="12" spans="1:8" x14ac:dyDescent="0.2">
      <c r="A12" s="3">
        <v>2</v>
      </c>
      <c r="B12" s="3"/>
      <c r="C12" s="3"/>
      <c r="D12" s="3"/>
      <c r="E12" s="3"/>
      <c r="F12" s="3"/>
      <c r="G12" s="3"/>
      <c r="H12" s="3"/>
    </row>
    <row r="13" spans="1:8" x14ac:dyDescent="0.2">
      <c r="A13" s="3">
        <v>3</v>
      </c>
      <c r="B13" s="3"/>
      <c r="C13" s="3"/>
      <c r="D13" s="3"/>
      <c r="E13" s="3"/>
      <c r="F13" s="3"/>
      <c r="G13" s="3"/>
      <c r="H13" s="3"/>
    </row>
    <row r="14" spans="1:8" x14ac:dyDescent="0.2">
      <c r="A14" s="3">
        <v>4</v>
      </c>
      <c r="B14" s="3"/>
      <c r="C14" s="3"/>
      <c r="D14" s="3"/>
      <c r="E14" s="3"/>
      <c r="F14" s="3"/>
      <c r="G14" s="3"/>
      <c r="H14" s="3"/>
    </row>
    <row r="15" spans="1:8" x14ac:dyDescent="0.2">
      <c r="A15" s="3">
        <v>5</v>
      </c>
      <c r="B15" s="3"/>
      <c r="C15" s="3"/>
      <c r="D15" s="3"/>
      <c r="E15" s="3"/>
      <c r="F15" s="3"/>
      <c r="G15" s="3"/>
      <c r="H15" s="3"/>
    </row>
    <row r="16" spans="1:8" x14ac:dyDescent="0.2">
      <c r="A16" s="3">
        <v>6</v>
      </c>
      <c r="B16" s="3"/>
      <c r="C16" s="3"/>
      <c r="D16" s="3"/>
      <c r="E16" s="3"/>
      <c r="F16" s="3"/>
      <c r="G16" s="3"/>
      <c r="H16" s="3"/>
    </row>
    <row r="17" spans="1:8" x14ac:dyDescent="0.2">
      <c r="A17" s="3">
        <v>7</v>
      </c>
      <c r="B17" s="3"/>
      <c r="C17" s="3"/>
      <c r="D17" s="3"/>
      <c r="E17" s="3"/>
      <c r="F17" s="3"/>
      <c r="G17" s="3"/>
      <c r="H17" s="3"/>
    </row>
    <row r="18" spans="1:8" x14ac:dyDescent="0.2">
      <c r="A18" s="3">
        <v>8</v>
      </c>
      <c r="B18" s="3"/>
      <c r="C18" s="3"/>
      <c r="D18" s="3"/>
      <c r="E18" s="3"/>
      <c r="F18" s="3"/>
      <c r="G18" s="3"/>
      <c r="H18" s="3"/>
    </row>
    <row r="19" spans="1:8" x14ac:dyDescent="0.2">
      <c r="A19" s="3">
        <v>9</v>
      </c>
      <c r="B19" s="3"/>
      <c r="C19" s="3"/>
      <c r="D19" s="3"/>
      <c r="E19" s="3"/>
      <c r="F19" s="3"/>
      <c r="G19" s="3"/>
      <c r="H19" s="3"/>
    </row>
    <row r="20" spans="1:8" x14ac:dyDescent="0.2">
      <c r="A20" s="3">
        <v>10</v>
      </c>
      <c r="B20" s="3"/>
      <c r="C20" s="3"/>
      <c r="D20" s="3"/>
      <c r="E20" s="3"/>
      <c r="F20" s="3"/>
      <c r="G20" s="3"/>
      <c r="H20" s="3"/>
    </row>
    <row r="21" spans="1:8" x14ac:dyDescent="0.2">
      <c r="A21" s="3">
        <v>11</v>
      </c>
      <c r="B21" s="3"/>
      <c r="C21" s="3"/>
      <c r="D21" s="3"/>
      <c r="E21" s="3"/>
      <c r="F21" s="3"/>
      <c r="G21" s="3"/>
      <c r="H21" s="3"/>
    </row>
    <row r="22" spans="1:8" x14ac:dyDescent="0.2">
      <c r="A22" s="3">
        <v>12</v>
      </c>
      <c r="B22" s="3"/>
      <c r="C22" s="3"/>
      <c r="D22" s="3"/>
      <c r="E22" s="3"/>
      <c r="F22" s="3"/>
      <c r="G22" s="3"/>
      <c r="H22" s="3"/>
    </row>
    <row r="23" spans="1:8" x14ac:dyDescent="0.2">
      <c r="A23" s="3">
        <v>13</v>
      </c>
      <c r="B23" s="3"/>
      <c r="C23" s="3"/>
      <c r="D23" s="3"/>
      <c r="E23" s="3"/>
      <c r="F23" s="3"/>
      <c r="G23" s="3"/>
      <c r="H23" s="3"/>
    </row>
    <row r="24" spans="1:8" x14ac:dyDescent="0.2">
      <c r="A24" s="3">
        <v>14</v>
      </c>
      <c r="B24" s="3"/>
      <c r="C24" s="3"/>
      <c r="D24" s="3"/>
      <c r="E24" s="3"/>
      <c r="F24" s="3"/>
      <c r="G24" s="3"/>
      <c r="H24" s="3"/>
    </row>
    <row r="25" spans="1:8" x14ac:dyDescent="0.2">
      <c r="A25" s="3">
        <v>15</v>
      </c>
      <c r="B25" s="3"/>
      <c r="C25" s="3"/>
      <c r="D25" s="3"/>
      <c r="E25" s="3"/>
      <c r="F25" s="3"/>
      <c r="G25" s="3"/>
      <c r="H25" s="3"/>
    </row>
    <row r="26" spans="1:8" x14ac:dyDescent="0.2">
      <c r="A26" s="3">
        <v>16</v>
      </c>
      <c r="B26" s="3"/>
      <c r="C26" s="3"/>
      <c r="D26" s="3"/>
      <c r="E26" s="3"/>
      <c r="F26" s="3"/>
      <c r="G26" s="3"/>
      <c r="H26" s="3"/>
    </row>
    <row r="27" spans="1:8" x14ac:dyDescent="0.2">
      <c r="A27" s="3">
        <v>17</v>
      </c>
      <c r="B27" s="3"/>
      <c r="C27" s="3"/>
      <c r="D27" s="3"/>
      <c r="E27" s="3"/>
      <c r="F27" s="3"/>
      <c r="G27" s="3"/>
      <c r="H27" s="3"/>
    </row>
    <row r="28" spans="1:8" x14ac:dyDescent="0.2">
      <c r="A28" s="3">
        <v>18</v>
      </c>
      <c r="B28" s="3"/>
      <c r="C28" s="3"/>
      <c r="D28" s="3"/>
      <c r="E28" s="3"/>
      <c r="F28" s="3"/>
      <c r="G28" s="3"/>
      <c r="H28" s="3"/>
    </row>
    <row r="29" spans="1:8" x14ac:dyDescent="0.2">
      <c r="A29" s="3">
        <v>19</v>
      </c>
      <c r="B29" s="3"/>
      <c r="C29" s="3"/>
      <c r="D29" s="3"/>
      <c r="E29" s="3"/>
      <c r="F29" s="3"/>
      <c r="G29" s="3"/>
      <c r="H29" s="3"/>
    </row>
    <row r="30" spans="1:8" x14ac:dyDescent="0.2">
      <c r="A30" s="3">
        <v>20</v>
      </c>
      <c r="B30" s="3"/>
      <c r="C30" s="3"/>
      <c r="D30" s="3"/>
      <c r="E30" s="3"/>
      <c r="F30" s="3"/>
      <c r="G30" s="3"/>
      <c r="H30" s="3"/>
    </row>
    <row r="31" spans="1:8" x14ac:dyDescent="0.2">
      <c r="A31" s="3">
        <v>21</v>
      </c>
      <c r="B31" s="3"/>
      <c r="C31" s="3"/>
      <c r="D31" s="3"/>
      <c r="E31" s="3"/>
      <c r="F31" s="3"/>
      <c r="G31" s="3"/>
      <c r="H31" s="3"/>
    </row>
    <row r="32" spans="1:8" x14ac:dyDescent="0.2">
      <c r="A32" s="3">
        <v>22</v>
      </c>
      <c r="B32" s="3"/>
      <c r="C32" s="3"/>
      <c r="D32" s="3"/>
      <c r="E32" s="3"/>
      <c r="F32" s="3"/>
      <c r="G32" s="3"/>
      <c r="H32" s="3"/>
    </row>
    <row r="33" spans="1:8" x14ac:dyDescent="0.2">
      <c r="A33" s="3">
        <v>23</v>
      </c>
      <c r="B33" s="3"/>
      <c r="C33" s="3"/>
      <c r="D33" s="3"/>
      <c r="E33" s="3"/>
      <c r="F33" s="3"/>
      <c r="G33" s="3"/>
      <c r="H33" s="3"/>
    </row>
    <row r="34" spans="1:8" x14ac:dyDescent="0.2">
      <c r="A34" s="3">
        <v>24</v>
      </c>
      <c r="B34" s="3"/>
      <c r="C34" s="3"/>
      <c r="D34" s="3"/>
      <c r="E34" s="3"/>
      <c r="F34" s="3"/>
      <c r="G34" s="3"/>
      <c r="H34" s="3"/>
    </row>
    <row r="35" spans="1:8" x14ac:dyDescent="0.2">
      <c r="A35" s="3">
        <v>25</v>
      </c>
      <c r="B35" s="3"/>
      <c r="C35" s="3"/>
      <c r="D35" s="3"/>
      <c r="E35" s="3"/>
      <c r="F35" s="3"/>
      <c r="G35" s="3"/>
      <c r="H35" s="3"/>
    </row>
    <row r="36" spans="1:8" x14ac:dyDescent="0.2">
      <c r="A36" s="3">
        <v>26</v>
      </c>
      <c r="B36" s="3"/>
      <c r="C36" s="3"/>
      <c r="D36" s="3"/>
      <c r="E36" s="3"/>
      <c r="F36" s="3"/>
      <c r="G36" s="3"/>
      <c r="H36" s="3"/>
    </row>
    <row r="37" spans="1:8" x14ac:dyDescent="0.2">
      <c r="A37" s="3">
        <v>27</v>
      </c>
      <c r="B37" s="3"/>
      <c r="C37" s="3"/>
      <c r="D37" s="3"/>
      <c r="E37" s="3"/>
      <c r="F37" s="3"/>
      <c r="G37" s="3"/>
      <c r="H37" s="3"/>
    </row>
    <row r="38" spans="1:8" x14ac:dyDescent="0.2">
      <c r="A38" s="3">
        <v>28</v>
      </c>
      <c r="B38" s="3"/>
      <c r="C38" s="3"/>
      <c r="D38" s="3"/>
      <c r="E38" s="3"/>
      <c r="F38" s="3"/>
      <c r="G38" s="3"/>
      <c r="H38" s="3"/>
    </row>
    <row r="39" spans="1:8" x14ac:dyDescent="0.2">
      <c r="A39" s="3">
        <v>29</v>
      </c>
      <c r="B39" s="3"/>
      <c r="C39" s="3"/>
      <c r="D39" s="3"/>
      <c r="E39" s="3"/>
      <c r="F39" s="3"/>
      <c r="G39" s="3"/>
      <c r="H39" s="3"/>
    </row>
    <row r="40" spans="1:8" x14ac:dyDescent="0.2">
      <c r="A40" s="3">
        <v>30</v>
      </c>
      <c r="B40" s="3"/>
      <c r="C40" s="3"/>
      <c r="D40" s="3"/>
      <c r="E40" s="3"/>
      <c r="F40" s="3"/>
      <c r="G40" s="3"/>
      <c r="H40" s="3"/>
    </row>
  </sheetData>
  <mergeCells count="1">
    <mergeCell ref="A1:H1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84EC-B5BE-4D43-A976-188C97E69F6C}">
  <dimension ref="A1:D12"/>
  <sheetViews>
    <sheetView rightToLeft="1" workbookViewId="0">
      <pane ySplit="3" topLeftCell="A4" activePane="bottomLeft" state="frozenSplit"/>
      <selection pane="bottomLeft" sqref="A1:D1"/>
    </sheetView>
  </sheetViews>
  <sheetFormatPr defaultRowHeight="12.75" x14ac:dyDescent="0.2"/>
  <cols>
    <col min="1" max="1" width="16" style="1" bestFit="1" customWidth="1"/>
    <col min="2" max="2" width="4.42578125" style="1" bestFit="1" customWidth="1"/>
    <col min="3" max="16384" width="9.140625" style="1"/>
  </cols>
  <sheetData>
    <row r="1" spans="1:4" x14ac:dyDescent="0.2">
      <c r="A1" s="2" t="s">
        <v>659</v>
      </c>
      <c r="B1" s="2"/>
      <c r="C1" s="2"/>
      <c r="D1" s="2"/>
    </row>
    <row r="2" spans="1:4" x14ac:dyDescent="0.2">
      <c r="A2" s="3"/>
      <c r="B2" s="3"/>
      <c r="C2" s="3"/>
      <c r="D2" s="3"/>
    </row>
    <row r="3" spans="1:4" x14ac:dyDescent="0.2">
      <c r="A3" s="4" t="s">
        <v>660</v>
      </c>
      <c r="B3" s="4" t="s">
        <v>2</v>
      </c>
      <c r="C3" s="3"/>
      <c r="D3" s="3"/>
    </row>
    <row r="4" spans="1:4" x14ac:dyDescent="0.2">
      <c r="A4" s="3" t="s">
        <v>661</v>
      </c>
      <c r="B4" s="3">
        <f>COUNTIF(الموظفون!G:G,"نشط")</f>
        <v>3</v>
      </c>
      <c r="C4" s="3"/>
      <c r="D4" s="3"/>
    </row>
    <row r="5" spans="1:4" x14ac:dyDescent="0.2">
      <c r="A5" s="3" t="s">
        <v>662</v>
      </c>
      <c r="B5" s="3">
        <f>COUNTIF(الخطة!A:A,"TR-*")</f>
        <v>11</v>
      </c>
      <c r="C5" s="3"/>
      <c r="D5" s="3"/>
    </row>
    <row r="6" spans="1:4" x14ac:dyDescent="0.2">
      <c r="A6" s="3" t="s">
        <v>663</v>
      </c>
      <c r="B6" s="3">
        <f>COUNTIF(الخطة!L:L,"منفذ")</f>
        <v>0</v>
      </c>
      <c r="C6" s="3"/>
      <c r="D6" s="3"/>
    </row>
    <row r="7" spans="1:4" x14ac:dyDescent="0.2">
      <c r="A7" s="3" t="s">
        <v>664</v>
      </c>
      <c r="B7" s="6">
        <f>IFERROR(B6/B5,0)</f>
        <v>0</v>
      </c>
      <c r="C7" s="3"/>
      <c r="D7" s="3"/>
    </row>
    <row r="8" spans="1:4" x14ac:dyDescent="0.2">
      <c r="A8" s="3" t="s">
        <v>665</v>
      </c>
      <c r="B8" s="6">
        <f>COUNTIF(الحضور!D:D,"EMP-*")</f>
        <v>0</v>
      </c>
      <c r="C8" s="3"/>
      <c r="D8" s="3"/>
    </row>
    <row r="9" spans="1:4" x14ac:dyDescent="0.2">
      <c r="A9" s="3" t="s">
        <v>666</v>
      </c>
      <c r="B9" s="6">
        <f>IFERROR(COUNTIF(الحضور!F:F,"نعم")/B8,0)</f>
        <v>0</v>
      </c>
      <c r="C9" s="3"/>
      <c r="D9" s="3"/>
    </row>
    <row r="10" spans="1:4" x14ac:dyDescent="0.2">
      <c r="A10" s="3" t="s">
        <v>667</v>
      </c>
      <c r="B10" s="3">
        <f>IFERROR(AVERAGE(التقييمات!H:H),0)</f>
        <v>0</v>
      </c>
      <c r="C10" s="3"/>
      <c r="D10" s="3"/>
    </row>
    <row r="11" spans="1:4" x14ac:dyDescent="0.2">
      <c r="A11" s="3" t="s">
        <v>668</v>
      </c>
      <c r="B11" s="3">
        <f>COUNTIF(التقييمات!I:I,"ناجح")</f>
        <v>0</v>
      </c>
      <c r="C11" s="3"/>
      <c r="D11" s="3"/>
    </row>
    <row r="12" spans="1:4" x14ac:dyDescent="0.2">
      <c r="A12" s="3" t="s">
        <v>669</v>
      </c>
      <c r="B12" s="3">
        <f>COUNTIF(التقييمات!I:I,"يحتاج إعادة تدريب")</f>
        <v>0</v>
      </c>
      <c r="C12" s="3"/>
      <c r="D12" s="3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2DA5-FB6C-4CEB-B65C-55DE5A15D9F6}">
  <dimension ref="A1:L503"/>
  <sheetViews>
    <sheetView rightToLeft="1" workbookViewId="0">
      <pane ySplit="3" topLeftCell="A4" activePane="bottomLeft" state="frozenSplit"/>
      <selection pane="bottomLeft" sqref="A1:L1"/>
    </sheetView>
  </sheetViews>
  <sheetFormatPr defaultRowHeight="12.75" x14ac:dyDescent="0.2"/>
  <cols>
    <col min="1" max="1" width="12.140625" style="1" bestFit="1" customWidth="1"/>
    <col min="2" max="2" width="12.28515625" style="1" bestFit="1" customWidth="1"/>
    <col min="3" max="3" width="15.5703125" style="1" bestFit="1" customWidth="1"/>
    <col min="4" max="4" width="13.140625" style="1" bestFit="1" customWidth="1"/>
    <col min="5" max="5" width="13.28515625" style="1" bestFit="1" customWidth="1"/>
    <col min="6" max="6" width="13.85546875" style="1" bestFit="1" customWidth="1"/>
    <col min="7" max="7" width="14.140625" style="1" bestFit="1" customWidth="1"/>
    <col min="8" max="8" width="16.85546875" style="1" bestFit="1" customWidth="1"/>
    <col min="9" max="9" width="9.85546875" style="1" bestFit="1" customWidth="1"/>
    <col min="10" max="10" width="9" style="1" bestFit="1" customWidth="1"/>
    <col min="11" max="11" width="13.42578125" style="1" bestFit="1" customWidth="1"/>
    <col min="12" max="12" width="14" style="1" bestFit="1" customWidth="1"/>
    <col min="13" max="16384" width="9.140625" style="1"/>
  </cols>
  <sheetData>
    <row r="1" spans="1:12" x14ac:dyDescent="0.2">
      <c r="A1" s="2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 t="s">
        <v>651</v>
      </c>
      <c r="B3" s="4" t="s">
        <v>45</v>
      </c>
      <c r="C3" s="4" t="s">
        <v>48</v>
      </c>
      <c r="D3" s="4" t="s">
        <v>14</v>
      </c>
      <c r="E3" s="4" t="s">
        <v>15</v>
      </c>
      <c r="F3" s="4" t="s">
        <v>652</v>
      </c>
      <c r="G3" s="4" t="s">
        <v>653</v>
      </c>
      <c r="H3" s="4" t="s">
        <v>654</v>
      </c>
      <c r="I3" s="4" t="s">
        <v>655</v>
      </c>
      <c r="J3" s="4" t="s">
        <v>656</v>
      </c>
      <c r="K3" s="4" t="s">
        <v>657</v>
      </c>
      <c r="L3" s="4" t="s">
        <v>658</v>
      </c>
    </row>
    <row r="4" spans="1:12" x14ac:dyDescent="0.2">
      <c r="A4" s="7">
        <v>46115</v>
      </c>
      <c r="B4" s="3"/>
      <c r="C4" s="3" t="str">
        <f>IFERROR(VLOOKUP(B4,الخطة!A:O,4,FALSE),"")</f>
        <v/>
      </c>
      <c r="D4" s="3"/>
      <c r="E4" s="3" t="str">
        <f>IFERROR(VLOOKUP(D4,الموظفون!A:L,2,FALSE),"")</f>
        <v/>
      </c>
      <c r="F4" s="8"/>
      <c r="G4" s="8"/>
      <c r="H4" s="8" t="str">
        <f>IF(G4="","",G4)</f>
        <v/>
      </c>
      <c r="I4" s="3" t="str">
        <f>IF(H4="","",IF(H4&gt;=الإعدادات!B7,"ناجح","يحتاج إعادة تدريب"))</f>
        <v/>
      </c>
      <c r="J4" s="3"/>
      <c r="K4" s="3"/>
      <c r="L4" s="3"/>
    </row>
    <row r="5" spans="1:12" x14ac:dyDescent="0.2">
      <c r="A5" s="7">
        <v>46145</v>
      </c>
      <c r="B5" s="3"/>
      <c r="C5" s="3" t="str">
        <f>IFERROR(VLOOKUP(B5,الخطة!A:O,4,FALSE),"")</f>
        <v/>
      </c>
      <c r="D5" s="3"/>
      <c r="E5" s="3" t="str">
        <f>IFERROR(VLOOKUP(D5,الموظفون!A:L,2,FALSE),"")</f>
        <v/>
      </c>
      <c r="F5" s="8"/>
      <c r="G5" s="8"/>
      <c r="H5" s="8" t="str">
        <f>IF(G5="","",G5)</f>
        <v/>
      </c>
      <c r="I5" s="3" t="str">
        <f>IF(H5="","",IF(H5&gt;=الإعدادات!B7,"ناجح","يحتاج إعادة تدريب"))</f>
        <v/>
      </c>
      <c r="J5" s="3"/>
      <c r="K5" s="3"/>
      <c r="L5" s="3"/>
    </row>
    <row r="6" spans="1:12" x14ac:dyDescent="0.2">
      <c r="A6" s="7">
        <v>46176</v>
      </c>
      <c r="B6" s="3"/>
      <c r="C6" s="3" t="str">
        <f>IFERROR(VLOOKUP(B6,الخطة!A:O,4,FALSE),"")</f>
        <v/>
      </c>
      <c r="D6" s="3"/>
      <c r="E6" s="3" t="str">
        <f>IFERROR(VLOOKUP(D6,الموظفون!A:L,2,FALSE),"")</f>
        <v/>
      </c>
      <c r="F6" s="8"/>
      <c r="G6" s="8"/>
      <c r="H6" s="8" t="str">
        <f>IF(G6="","",G6)</f>
        <v/>
      </c>
      <c r="I6" s="3" t="str">
        <f>IF(H6="","",IF(H6&gt;=الإعدادات!B7,"ناجح","يحتاج إعادة تدريب"))</f>
        <v/>
      </c>
      <c r="J6" s="3"/>
      <c r="K6" s="3"/>
      <c r="L6" s="3"/>
    </row>
    <row r="7" spans="1:12" x14ac:dyDescent="0.2">
      <c r="A7" s="7">
        <v>46206</v>
      </c>
      <c r="B7" s="3"/>
      <c r="C7" s="3" t="str">
        <f>IFERROR(VLOOKUP(B7,الخطة!A:O,4,FALSE),"")</f>
        <v/>
      </c>
      <c r="D7" s="3"/>
      <c r="E7" s="3" t="str">
        <f>IFERROR(VLOOKUP(D7,الموظفون!A:L,2,FALSE),"")</f>
        <v/>
      </c>
      <c r="F7" s="8"/>
      <c r="G7" s="8"/>
      <c r="H7" s="8" t="str">
        <f>IF(G7="","",G7)</f>
        <v/>
      </c>
      <c r="I7" s="3" t="str">
        <f>IF(H7="","",IF(H7&gt;=الإعدادات!B7,"ناجح","يحتاج إعادة تدريب"))</f>
        <v/>
      </c>
      <c r="J7" s="3"/>
      <c r="K7" s="3"/>
      <c r="L7" s="3"/>
    </row>
    <row r="8" spans="1:12" x14ac:dyDescent="0.2">
      <c r="A8" s="7">
        <v>46237</v>
      </c>
      <c r="B8" s="3"/>
      <c r="C8" s="3" t="str">
        <f>IFERROR(VLOOKUP(B8,الخطة!A:O,4,FALSE),"")</f>
        <v/>
      </c>
      <c r="D8" s="3"/>
      <c r="E8" s="3" t="str">
        <f>IFERROR(VLOOKUP(D8,الموظفون!A:L,2,FALSE),"")</f>
        <v/>
      </c>
      <c r="F8" s="8"/>
      <c r="G8" s="8"/>
      <c r="H8" s="8" t="str">
        <f>IF(G8="","",G8)</f>
        <v/>
      </c>
      <c r="I8" s="3" t="str">
        <f>IF(H8="","",IF(H8&gt;=الإعدادات!B7,"ناجح","يحتاج إعادة تدريب"))</f>
        <v/>
      </c>
      <c r="J8" s="3"/>
      <c r="K8" s="3"/>
      <c r="L8" s="3"/>
    </row>
    <row r="9" spans="1:12" x14ac:dyDescent="0.2">
      <c r="A9" s="7">
        <v>46268</v>
      </c>
      <c r="B9" s="3"/>
      <c r="C9" s="3" t="str">
        <f>IFERROR(VLOOKUP(B9,الخطة!A:O,4,FALSE),"")</f>
        <v/>
      </c>
      <c r="D9" s="3"/>
      <c r="E9" s="3" t="str">
        <f>IFERROR(VLOOKUP(D9,الموظفون!A:L,2,FALSE),"")</f>
        <v/>
      </c>
      <c r="F9" s="8"/>
      <c r="G9" s="8"/>
      <c r="H9" s="8" t="str">
        <f>IF(G9="","",G9)</f>
        <v/>
      </c>
      <c r="I9" s="3" t="str">
        <f>IF(H9="","",IF(H9&gt;=الإعدادات!B7,"ناجح","يحتاج إعادة تدريب"))</f>
        <v/>
      </c>
      <c r="J9" s="3"/>
      <c r="K9" s="3"/>
      <c r="L9" s="3"/>
    </row>
    <row r="10" spans="1:12" x14ac:dyDescent="0.2">
      <c r="A10" s="7">
        <v>46298</v>
      </c>
      <c r="B10" s="3"/>
      <c r="C10" s="3" t="str">
        <f>IFERROR(VLOOKUP(B10,الخطة!A:O,4,FALSE),"")</f>
        <v/>
      </c>
      <c r="D10" s="3"/>
      <c r="E10" s="3" t="str">
        <f>IFERROR(VLOOKUP(D10,الموظفون!A:L,2,FALSE),"")</f>
        <v/>
      </c>
      <c r="F10" s="8"/>
      <c r="G10" s="8"/>
      <c r="H10" s="8" t="str">
        <f>IF(G10="","",G10)</f>
        <v/>
      </c>
      <c r="I10" s="3" t="str">
        <f>IF(H10="","",IF(H10&gt;=الإعدادات!B7,"ناجح","يحتاج إعادة تدريب"))</f>
        <v/>
      </c>
      <c r="J10" s="3"/>
      <c r="K10" s="3"/>
      <c r="L10" s="3"/>
    </row>
    <row r="11" spans="1:12" x14ac:dyDescent="0.2">
      <c r="A11" s="7">
        <v>46329</v>
      </c>
      <c r="B11" s="3"/>
      <c r="C11" s="3" t="str">
        <f>IFERROR(VLOOKUP(B11,الخطة!A:O,4,FALSE),"")</f>
        <v/>
      </c>
      <c r="D11" s="3"/>
      <c r="E11" s="3" t="str">
        <f>IFERROR(VLOOKUP(D11,الموظفون!A:L,2,FALSE),"")</f>
        <v/>
      </c>
      <c r="F11" s="8"/>
      <c r="G11" s="8"/>
      <c r="H11" s="8" t="str">
        <f>IF(G11="","",G11)</f>
        <v/>
      </c>
      <c r="I11" s="3" t="str">
        <f>IF(H11="","",IF(H11&gt;=الإعدادات!B7,"ناجح","يحتاج إعادة تدريب"))</f>
        <v/>
      </c>
      <c r="J11" s="3"/>
      <c r="K11" s="3"/>
      <c r="L11" s="3"/>
    </row>
    <row r="12" spans="1:12" x14ac:dyDescent="0.2">
      <c r="A12" s="7">
        <v>46359</v>
      </c>
      <c r="B12" s="3"/>
      <c r="C12" s="3" t="str">
        <f>IFERROR(VLOOKUP(B12,الخطة!A:O,4,FALSE),"")</f>
        <v/>
      </c>
      <c r="D12" s="3"/>
      <c r="E12" s="3" t="str">
        <f>IFERROR(VLOOKUP(D12,الموظفون!A:L,2,FALSE),"")</f>
        <v/>
      </c>
      <c r="F12" s="8"/>
      <c r="G12" s="8"/>
      <c r="H12" s="8" t="str">
        <f>IF(G12="","",G12)</f>
        <v/>
      </c>
      <c r="I12" s="3" t="str">
        <f>IF(H12="","",IF(H12&gt;=الإعدادات!B7,"ناجح","يحتاج إعادة تدريب"))</f>
        <v/>
      </c>
      <c r="J12" s="3"/>
      <c r="K12" s="3"/>
      <c r="L12" s="3"/>
    </row>
    <row r="13" spans="1:12" x14ac:dyDescent="0.2">
      <c r="A13" s="3" t="s">
        <v>159</v>
      </c>
      <c r="B13" s="3"/>
      <c r="C13" s="3" t="str">
        <f>IFERROR(VLOOKUP(B13,الخطة!A:O,4,FALSE),"")</f>
        <v/>
      </c>
      <c r="D13" s="3"/>
      <c r="E13" s="3" t="str">
        <f>IFERROR(VLOOKUP(D13,الموظفون!A:L,2,FALSE),"")</f>
        <v/>
      </c>
      <c r="F13" s="8"/>
      <c r="G13" s="8"/>
      <c r="H13" s="8" t="str">
        <f>IF(G13="","",G13)</f>
        <v/>
      </c>
      <c r="I13" s="3" t="str">
        <f>IF(H13="","",IF(H13&gt;=الإعدادات!B7,"ناجح","يحتاج إعادة تدريب"))</f>
        <v/>
      </c>
      <c r="J13" s="3"/>
      <c r="K13" s="3"/>
      <c r="L13" s="3"/>
    </row>
    <row r="14" spans="1:12" x14ac:dyDescent="0.2">
      <c r="A14" s="3" t="s">
        <v>160</v>
      </c>
      <c r="B14" s="3"/>
      <c r="C14" s="3" t="str">
        <f>IFERROR(VLOOKUP(B14,الخطة!A:O,4,FALSE),"")</f>
        <v/>
      </c>
      <c r="D14" s="3"/>
      <c r="E14" s="3" t="str">
        <f>IFERROR(VLOOKUP(D14,الموظفون!A:L,2,FALSE),"")</f>
        <v/>
      </c>
      <c r="F14" s="8"/>
      <c r="G14" s="8"/>
      <c r="H14" s="8" t="str">
        <f>IF(G14="","",G14)</f>
        <v/>
      </c>
      <c r="I14" s="3" t="str">
        <f>IF(H14="","",IF(H14&gt;=الإعدادات!B7,"ناجح","يحتاج إعادة تدريب"))</f>
        <v/>
      </c>
      <c r="J14" s="3"/>
      <c r="K14" s="3"/>
      <c r="L14" s="3"/>
    </row>
    <row r="15" spans="1:12" x14ac:dyDescent="0.2">
      <c r="A15" s="3" t="s">
        <v>161</v>
      </c>
      <c r="B15" s="3"/>
      <c r="C15" s="3" t="str">
        <f>IFERROR(VLOOKUP(B15,الخطة!A:O,4,FALSE),"")</f>
        <v/>
      </c>
      <c r="D15" s="3"/>
      <c r="E15" s="3" t="str">
        <f>IFERROR(VLOOKUP(D15,الموظفون!A:L,2,FALSE),"")</f>
        <v/>
      </c>
      <c r="F15" s="8"/>
      <c r="G15" s="8"/>
      <c r="H15" s="8" t="str">
        <f>IF(G15="","",G15)</f>
        <v/>
      </c>
      <c r="I15" s="3" t="str">
        <f>IF(H15="","",IF(H15&gt;=الإعدادات!B7,"ناجح","يحتاج إعادة تدريب"))</f>
        <v/>
      </c>
      <c r="J15" s="3"/>
      <c r="K15" s="3"/>
      <c r="L15" s="3"/>
    </row>
    <row r="16" spans="1:12" x14ac:dyDescent="0.2">
      <c r="A16" s="3" t="s">
        <v>162</v>
      </c>
      <c r="B16" s="3"/>
      <c r="C16" s="3" t="str">
        <f>IFERROR(VLOOKUP(B16,الخطة!A:O,4,FALSE),"")</f>
        <v/>
      </c>
      <c r="D16" s="3"/>
      <c r="E16" s="3" t="str">
        <f>IFERROR(VLOOKUP(D16,الموظفون!A:L,2,FALSE),"")</f>
        <v/>
      </c>
      <c r="F16" s="8"/>
      <c r="G16" s="8"/>
      <c r="H16" s="8" t="str">
        <f>IF(G16="","",G16)</f>
        <v/>
      </c>
      <c r="I16" s="3" t="str">
        <f>IF(H16="","",IF(H16&gt;=الإعدادات!B7,"ناجح","يحتاج إعادة تدريب"))</f>
        <v/>
      </c>
      <c r="J16" s="3"/>
      <c r="K16" s="3"/>
      <c r="L16" s="3"/>
    </row>
    <row r="17" spans="1:12" x14ac:dyDescent="0.2">
      <c r="A17" s="3" t="s">
        <v>163</v>
      </c>
      <c r="B17" s="3"/>
      <c r="C17" s="3" t="str">
        <f>IFERROR(VLOOKUP(B17,الخطة!A:O,4,FALSE),"")</f>
        <v/>
      </c>
      <c r="D17" s="3"/>
      <c r="E17" s="3" t="str">
        <f>IFERROR(VLOOKUP(D17,الموظفون!A:L,2,FALSE),"")</f>
        <v/>
      </c>
      <c r="F17" s="8"/>
      <c r="G17" s="8"/>
      <c r="H17" s="8" t="str">
        <f>IF(G17="","",G17)</f>
        <v/>
      </c>
      <c r="I17" s="3" t="str">
        <f>IF(H17="","",IF(H17&gt;=الإعدادات!B7,"ناجح","يحتاج إعادة تدريب"))</f>
        <v/>
      </c>
      <c r="J17" s="3"/>
      <c r="K17" s="3"/>
      <c r="L17" s="3"/>
    </row>
    <row r="18" spans="1:12" x14ac:dyDescent="0.2">
      <c r="A18" s="3" t="s">
        <v>164</v>
      </c>
      <c r="B18" s="3"/>
      <c r="C18" s="3" t="str">
        <f>IFERROR(VLOOKUP(B18,الخطة!A:O,4,FALSE),"")</f>
        <v/>
      </c>
      <c r="D18" s="3"/>
      <c r="E18" s="3" t="str">
        <f>IFERROR(VLOOKUP(D18,الموظفون!A:L,2,FALSE),"")</f>
        <v/>
      </c>
      <c r="F18" s="8"/>
      <c r="G18" s="8"/>
      <c r="H18" s="8" t="str">
        <f>IF(G18="","",G18)</f>
        <v/>
      </c>
      <c r="I18" s="3" t="str">
        <f>IF(H18="","",IF(H18&gt;=الإعدادات!B7,"ناجح","يحتاج إعادة تدريب"))</f>
        <v/>
      </c>
      <c r="J18" s="3"/>
      <c r="K18" s="3"/>
      <c r="L18" s="3"/>
    </row>
    <row r="19" spans="1:12" x14ac:dyDescent="0.2">
      <c r="A19" s="3" t="s">
        <v>165</v>
      </c>
      <c r="B19" s="3"/>
      <c r="C19" s="3" t="str">
        <f>IFERROR(VLOOKUP(B19,الخطة!A:O,4,FALSE),"")</f>
        <v/>
      </c>
      <c r="D19" s="3"/>
      <c r="E19" s="3" t="str">
        <f>IFERROR(VLOOKUP(D19,الموظفون!A:L,2,FALSE),"")</f>
        <v/>
      </c>
      <c r="F19" s="8"/>
      <c r="G19" s="8"/>
      <c r="H19" s="8" t="str">
        <f>IF(G19="","",G19)</f>
        <v/>
      </c>
      <c r="I19" s="3" t="str">
        <f>IF(H19="","",IF(H19&gt;=الإعدادات!B7,"ناجح","يحتاج إعادة تدريب"))</f>
        <v/>
      </c>
      <c r="J19" s="3"/>
      <c r="K19" s="3"/>
      <c r="L19" s="3"/>
    </row>
    <row r="20" spans="1:12" x14ac:dyDescent="0.2">
      <c r="A20" s="3" t="s">
        <v>166</v>
      </c>
      <c r="B20" s="3"/>
      <c r="C20" s="3" t="str">
        <f>IFERROR(VLOOKUP(B20,الخطة!A:O,4,FALSE),"")</f>
        <v/>
      </c>
      <c r="D20" s="3"/>
      <c r="E20" s="3" t="str">
        <f>IFERROR(VLOOKUP(D20,الموظفون!A:L,2,FALSE),"")</f>
        <v/>
      </c>
      <c r="F20" s="8"/>
      <c r="G20" s="8"/>
      <c r="H20" s="8" t="str">
        <f>IF(G20="","",G20)</f>
        <v/>
      </c>
      <c r="I20" s="3" t="str">
        <f>IF(H20="","",IF(H20&gt;=الإعدادات!B7,"ناجح","يحتاج إعادة تدريب"))</f>
        <v/>
      </c>
      <c r="J20" s="3"/>
      <c r="K20" s="3"/>
      <c r="L20" s="3"/>
    </row>
    <row r="21" spans="1:12" x14ac:dyDescent="0.2">
      <c r="A21" s="3" t="s">
        <v>167</v>
      </c>
      <c r="B21" s="3"/>
      <c r="C21" s="3" t="str">
        <f>IFERROR(VLOOKUP(B21,الخطة!A:O,4,FALSE),"")</f>
        <v/>
      </c>
      <c r="D21" s="3"/>
      <c r="E21" s="3" t="str">
        <f>IFERROR(VLOOKUP(D21,الموظفون!A:L,2,FALSE),"")</f>
        <v/>
      </c>
      <c r="F21" s="8"/>
      <c r="G21" s="8"/>
      <c r="H21" s="8" t="str">
        <f>IF(G21="","",G21)</f>
        <v/>
      </c>
      <c r="I21" s="3" t="str">
        <f>IF(H21="","",IF(H21&gt;=الإعدادات!B7,"ناجح","يحتاج إعادة تدريب"))</f>
        <v/>
      </c>
      <c r="J21" s="3"/>
      <c r="K21" s="3"/>
      <c r="L21" s="3"/>
    </row>
    <row r="22" spans="1:12" x14ac:dyDescent="0.2">
      <c r="A22" s="3" t="s">
        <v>168</v>
      </c>
      <c r="B22" s="3"/>
      <c r="C22" s="3" t="str">
        <f>IFERROR(VLOOKUP(B22,الخطة!A:O,4,FALSE),"")</f>
        <v/>
      </c>
      <c r="D22" s="3"/>
      <c r="E22" s="3" t="str">
        <f>IFERROR(VLOOKUP(D22,الموظفون!A:L,2,FALSE),"")</f>
        <v/>
      </c>
      <c r="F22" s="8"/>
      <c r="G22" s="8"/>
      <c r="H22" s="8" t="str">
        <f>IF(G22="","",G22)</f>
        <v/>
      </c>
      <c r="I22" s="3" t="str">
        <f>IF(H22="","",IF(H22&gt;=الإعدادات!B7,"ناجح","يحتاج إعادة تدريب"))</f>
        <v/>
      </c>
      <c r="J22" s="3"/>
      <c r="K22" s="3"/>
      <c r="L22" s="3"/>
    </row>
    <row r="23" spans="1:12" x14ac:dyDescent="0.2">
      <c r="A23" s="3" t="s">
        <v>169</v>
      </c>
      <c r="B23" s="3"/>
      <c r="C23" s="3" t="str">
        <f>IFERROR(VLOOKUP(B23,الخطة!A:O,4,FALSE),"")</f>
        <v/>
      </c>
      <c r="D23" s="3"/>
      <c r="E23" s="3" t="str">
        <f>IFERROR(VLOOKUP(D23,الموظفون!A:L,2,FALSE),"")</f>
        <v/>
      </c>
      <c r="F23" s="8"/>
      <c r="G23" s="8"/>
      <c r="H23" s="8" t="str">
        <f>IF(G23="","",G23)</f>
        <v/>
      </c>
      <c r="I23" s="3" t="str">
        <f>IF(H23="","",IF(H23&gt;=الإعدادات!B7,"ناجح","يحتاج إعادة تدريب"))</f>
        <v/>
      </c>
      <c r="J23" s="3"/>
      <c r="K23" s="3"/>
      <c r="L23" s="3"/>
    </row>
    <row r="24" spans="1:12" x14ac:dyDescent="0.2">
      <c r="A24" s="3" t="s">
        <v>170</v>
      </c>
      <c r="B24" s="3"/>
      <c r="C24" s="3" t="str">
        <f>IFERROR(VLOOKUP(B24,الخطة!A:O,4,FALSE),"")</f>
        <v/>
      </c>
      <c r="D24" s="3"/>
      <c r="E24" s="3" t="str">
        <f>IFERROR(VLOOKUP(D24,الموظفون!A:L,2,FALSE),"")</f>
        <v/>
      </c>
      <c r="F24" s="8"/>
      <c r="G24" s="8"/>
      <c r="H24" s="8" t="str">
        <f>IF(G24="","",G24)</f>
        <v/>
      </c>
      <c r="I24" s="3" t="str">
        <f>IF(H24="","",IF(H24&gt;=الإعدادات!B7,"ناجح","يحتاج إعادة تدريب"))</f>
        <v/>
      </c>
      <c r="J24" s="3"/>
      <c r="K24" s="3"/>
      <c r="L24" s="3"/>
    </row>
    <row r="25" spans="1:12" x14ac:dyDescent="0.2">
      <c r="A25" s="3" t="s">
        <v>171</v>
      </c>
      <c r="B25" s="3"/>
      <c r="C25" s="3" t="str">
        <f>IFERROR(VLOOKUP(B25,الخطة!A:O,4,FALSE),"")</f>
        <v/>
      </c>
      <c r="D25" s="3"/>
      <c r="E25" s="3" t="str">
        <f>IFERROR(VLOOKUP(D25,الموظفون!A:L,2,FALSE),"")</f>
        <v/>
      </c>
      <c r="F25" s="8"/>
      <c r="G25" s="8"/>
      <c r="H25" s="8" t="str">
        <f>IF(G25="","",G25)</f>
        <v/>
      </c>
      <c r="I25" s="3" t="str">
        <f>IF(H25="","",IF(H25&gt;=الإعدادات!B7,"ناجح","يحتاج إعادة تدريب"))</f>
        <v/>
      </c>
      <c r="J25" s="3"/>
      <c r="K25" s="3"/>
      <c r="L25" s="3"/>
    </row>
    <row r="26" spans="1:12" x14ac:dyDescent="0.2">
      <c r="A26" s="3" t="s">
        <v>172</v>
      </c>
      <c r="B26" s="3"/>
      <c r="C26" s="3" t="str">
        <f>IFERROR(VLOOKUP(B26,الخطة!A:O,4,FALSE),"")</f>
        <v/>
      </c>
      <c r="D26" s="3"/>
      <c r="E26" s="3" t="str">
        <f>IFERROR(VLOOKUP(D26,الموظفون!A:L,2,FALSE),"")</f>
        <v/>
      </c>
      <c r="F26" s="8"/>
      <c r="G26" s="8"/>
      <c r="H26" s="8" t="str">
        <f>IF(G26="","",G26)</f>
        <v/>
      </c>
      <c r="I26" s="3" t="str">
        <f>IF(H26="","",IF(H26&gt;=الإعدادات!B7,"ناجح","يحتاج إعادة تدريب"))</f>
        <v/>
      </c>
      <c r="J26" s="3"/>
      <c r="K26" s="3"/>
      <c r="L26" s="3"/>
    </row>
    <row r="27" spans="1:12" x14ac:dyDescent="0.2">
      <c r="A27" s="3" t="s">
        <v>173</v>
      </c>
      <c r="B27" s="3"/>
      <c r="C27" s="3" t="str">
        <f>IFERROR(VLOOKUP(B27,الخطة!A:O,4,FALSE),"")</f>
        <v/>
      </c>
      <c r="D27" s="3"/>
      <c r="E27" s="3" t="str">
        <f>IFERROR(VLOOKUP(D27,الموظفون!A:L,2,FALSE),"")</f>
        <v/>
      </c>
      <c r="F27" s="8"/>
      <c r="G27" s="8"/>
      <c r="H27" s="8" t="str">
        <f>IF(G27="","",G27)</f>
        <v/>
      </c>
      <c r="I27" s="3" t="str">
        <f>IF(H27="","",IF(H27&gt;=الإعدادات!B7,"ناجح","يحتاج إعادة تدريب"))</f>
        <v/>
      </c>
      <c r="J27" s="3"/>
      <c r="K27" s="3"/>
      <c r="L27" s="3"/>
    </row>
    <row r="28" spans="1:12" x14ac:dyDescent="0.2">
      <c r="A28" s="3" t="s">
        <v>174</v>
      </c>
      <c r="B28" s="3"/>
      <c r="C28" s="3" t="str">
        <f>IFERROR(VLOOKUP(B28,الخطة!A:O,4,FALSE),"")</f>
        <v/>
      </c>
      <c r="D28" s="3"/>
      <c r="E28" s="3" t="str">
        <f>IFERROR(VLOOKUP(D28,الموظفون!A:L,2,FALSE),"")</f>
        <v/>
      </c>
      <c r="F28" s="8"/>
      <c r="G28" s="8"/>
      <c r="H28" s="8" t="str">
        <f>IF(G28="","",G28)</f>
        <v/>
      </c>
      <c r="I28" s="3" t="str">
        <f>IF(H28="","",IF(H28&gt;=الإعدادات!B7,"ناجح","يحتاج إعادة تدريب"))</f>
        <v/>
      </c>
      <c r="J28" s="3"/>
      <c r="K28" s="3"/>
      <c r="L28" s="3"/>
    </row>
    <row r="29" spans="1:12" x14ac:dyDescent="0.2">
      <c r="A29" s="3" t="s">
        <v>175</v>
      </c>
      <c r="B29" s="3"/>
      <c r="C29" s="3" t="str">
        <f>IFERROR(VLOOKUP(B29,الخطة!A:O,4,FALSE),"")</f>
        <v/>
      </c>
      <c r="D29" s="3"/>
      <c r="E29" s="3" t="str">
        <f>IFERROR(VLOOKUP(D29,الموظفون!A:L,2,FALSE),"")</f>
        <v/>
      </c>
      <c r="F29" s="8"/>
      <c r="G29" s="8"/>
      <c r="H29" s="8" t="str">
        <f>IF(G29="","",G29)</f>
        <v/>
      </c>
      <c r="I29" s="3" t="str">
        <f>IF(H29="","",IF(H29&gt;=الإعدادات!B7,"ناجح","يحتاج إعادة تدريب"))</f>
        <v/>
      </c>
      <c r="J29" s="3"/>
      <c r="K29" s="3"/>
      <c r="L29" s="3"/>
    </row>
    <row r="30" spans="1:12" x14ac:dyDescent="0.2">
      <c r="A30" s="3" t="s">
        <v>176</v>
      </c>
      <c r="B30" s="3"/>
      <c r="C30" s="3" t="str">
        <f>IFERROR(VLOOKUP(B30,الخطة!A:O,4,FALSE),"")</f>
        <v/>
      </c>
      <c r="D30" s="3"/>
      <c r="E30" s="3" t="str">
        <f>IFERROR(VLOOKUP(D30,الموظفون!A:L,2,FALSE),"")</f>
        <v/>
      </c>
      <c r="F30" s="8"/>
      <c r="G30" s="8"/>
      <c r="H30" s="8" t="str">
        <f>IF(G30="","",G30)</f>
        <v/>
      </c>
      <c r="I30" s="3" t="str">
        <f>IF(H30="","",IF(H30&gt;=الإعدادات!B7,"ناجح","يحتاج إعادة تدريب"))</f>
        <v/>
      </c>
      <c r="J30" s="3"/>
      <c r="K30" s="3"/>
      <c r="L30" s="3"/>
    </row>
    <row r="31" spans="1:12" x14ac:dyDescent="0.2">
      <c r="A31" s="3" t="s">
        <v>177</v>
      </c>
      <c r="B31" s="3"/>
      <c r="C31" s="3" t="str">
        <f>IFERROR(VLOOKUP(B31,الخطة!A:O,4,FALSE),"")</f>
        <v/>
      </c>
      <c r="D31" s="3"/>
      <c r="E31" s="3" t="str">
        <f>IFERROR(VLOOKUP(D31,الموظفون!A:L,2,FALSE),"")</f>
        <v/>
      </c>
      <c r="F31" s="8"/>
      <c r="G31" s="8"/>
      <c r="H31" s="8" t="str">
        <f>IF(G31="","",G31)</f>
        <v/>
      </c>
      <c r="I31" s="3" t="str">
        <f>IF(H31="","",IF(H31&gt;=الإعدادات!B7,"ناجح","يحتاج إعادة تدريب"))</f>
        <v/>
      </c>
      <c r="J31" s="3"/>
      <c r="K31" s="3"/>
      <c r="L31" s="3"/>
    </row>
    <row r="32" spans="1:12" x14ac:dyDescent="0.2">
      <c r="A32" s="3" t="s">
        <v>178</v>
      </c>
      <c r="B32" s="3"/>
      <c r="C32" s="3" t="str">
        <f>IFERROR(VLOOKUP(B32,الخطة!A:O,4,FALSE),"")</f>
        <v/>
      </c>
      <c r="D32" s="3"/>
      <c r="E32" s="3" t="str">
        <f>IFERROR(VLOOKUP(D32,الموظفون!A:L,2,FALSE),"")</f>
        <v/>
      </c>
      <c r="F32" s="8"/>
      <c r="G32" s="8"/>
      <c r="H32" s="8" t="str">
        <f>IF(G32="","",G32)</f>
        <v/>
      </c>
      <c r="I32" s="3" t="str">
        <f>IF(H32="","",IF(H32&gt;=الإعدادات!B7,"ناجح","يحتاج إعادة تدريب"))</f>
        <v/>
      </c>
      <c r="J32" s="3"/>
      <c r="K32" s="3"/>
      <c r="L32" s="3"/>
    </row>
    <row r="33" spans="1:12" x14ac:dyDescent="0.2">
      <c r="A33" s="3" t="s">
        <v>179</v>
      </c>
      <c r="B33" s="3"/>
      <c r="C33" s="3" t="str">
        <f>IFERROR(VLOOKUP(B33,الخطة!A:O,4,FALSE),"")</f>
        <v/>
      </c>
      <c r="D33" s="3"/>
      <c r="E33" s="3" t="str">
        <f>IFERROR(VLOOKUP(D33,الموظفون!A:L,2,FALSE),"")</f>
        <v/>
      </c>
      <c r="F33" s="8"/>
      <c r="G33" s="8"/>
      <c r="H33" s="8" t="str">
        <f>IF(G33="","",G33)</f>
        <v/>
      </c>
      <c r="I33" s="3" t="str">
        <f>IF(H33="","",IF(H33&gt;=الإعدادات!B7,"ناجح","يحتاج إعادة تدريب"))</f>
        <v/>
      </c>
      <c r="J33" s="3"/>
      <c r="K33" s="3"/>
      <c r="L33" s="3"/>
    </row>
    <row r="34" spans="1:12" x14ac:dyDescent="0.2">
      <c r="A34" s="3" t="s">
        <v>180</v>
      </c>
      <c r="B34" s="3"/>
      <c r="C34" s="3" t="str">
        <f>IFERROR(VLOOKUP(B34,الخطة!A:O,4,FALSE),"")</f>
        <v/>
      </c>
      <c r="D34" s="3"/>
      <c r="E34" s="3" t="str">
        <f>IFERROR(VLOOKUP(D34,الموظفون!A:L,2,FALSE),"")</f>
        <v/>
      </c>
      <c r="F34" s="8"/>
      <c r="G34" s="8"/>
      <c r="H34" s="8" t="str">
        <f>IF(G34="","",G34)</f>
        <v/>
      </c>
      <c r="I34" s="3" t="str">
        <f>IF(H34="","",IF(H34&gt;=الإعدادات!B7,"ناجح","يحتاج إعادة تدريب"))</f>
        <v/>
      </c>
      <c r="J34" s="3"/>
      <c r="K34" s="3"/>
      <c r="L34" s="3"/>
    </row>
    <row r="35" spans="1:12" x14ac:dyDescent="0.2">
      <c r="A35" s="3" t="s">
        <v>181</v>
      </c>
      <c r="B35" s="3"/>
      <c r="C35" s="3" t="str">
        <f>IFERROR(VLOOKUP(B35,الخطة!A:O,4,FALSE),"")</f>
        <v/>
      </c>
      <c r="D35" s="3"/>
      <c r="E35" s="3" t="str">
        <f>IFERROR(VLOOKUP(D35,الموظفون!A:L,2,FALSE),"")</f>
        <v/>
      </c>
      <c r="F35" s="8"/>
      <c r="G35" s="8"/>
      <c r="H35" s="8" t="str">
        <f>IF(G35="","",G35)</f>
        <v/>
      </c>
      <c r="I35" s="3" t="str">
        <f>IF(H35="","",IF(H35&gt;=الإعدادات!B7,"ناجح","يحتاج إعادة تدريب"))</f>
        <v/>
      </c>
      <c r="J35" s="3"/>
      <c r="K35" s="3"/>
      <c r="L35" s="3"/>
    </row>
    <row r="36" spans="1:12" x14ac:dyDescent="0.2">
      <c r="A36" s="3" t="s">
        <v>182</v>
      </c>
      <c r="B36" s="3"/>
      <c r="C36" s="3" t="str">
        <f>IFERROR(VLOOKUP(B36,الخطة!A:O,4,FALSE),"")</f>
        <v/>
      </c>
      <c r="D36" s="3"/>
      <c r="E36" s="3" t="str">
        <f>IFERROR(VLOOKUP(D36,الموظفون!A:L,2,FALSE),"")</f>
        <v/>
      </c>
      <c r="F36" s="8"/>
      <c r="G36" s="8"/>
      <c r="H36" s="8" t="str">
        <f>IF(G36="","",G36)</f>
        <v/>
      </c>
      <c r="I36" s="3" t="str">
        <f>IF(H36="","",IF(H36&gt;=الإعدادات!B7,"ناجح","يحتاج إعادة تدريب"))</f>
        <v/>
      </c>
      <c r="J36" s="3"/>
      <c r="K36" s="3"/>
      <c r="L36" s="3"/>
    </row>
    <row r="37" spans="1:12" x14ac:dyDescent="0.2">
      <c r="A37" s="3" t="s">
        <v>183</v>
      </c>
      <c r="B37" s="3"/>
      <c r="C37" s="3" t="str">
        <f>IFERROR(VLOOKUP(B37,الخطة!A:O,4,FALSE),"")</f>
        <v/>
      </c>
      <c r="D37" s="3"/>
      <c r="E37" s="3" t="str">
        <f>IFERROR(VLOOKUP(D37,الموظفون!A:L,2,FALSE),"")</f>
        <v/>
      </c>
      <c r="F37" s="8"/>
      <c r="G37" s="8"/>
      <c r="H37" s="8" t="str">
        <f>IF(G37="","",G37)</f>
        <v/>
      </c>
      <c r="I37" s="3" t="str">
        <f>IF(H37="","",IF(H37&gt;=الإعدادات!B7,"ناجح","يحتاج إعادة تدريب"))</f>
        <v/>
      </c>
      <c r="J37" s="3"/>
      <c r="K37" s="3"/>
      <c r="L37" s="3"/>
    </row>
    <row r="38" spans="1:12" x14ac:dyDescent="0.2">
      <c r="A38" s="3" t="s">
        <v>184</v>
      </c>
      <c r="B38" s="3"/>
      <c r="C38" s="3" t="str">
        <f>IFERROR(VLOOKUP(B38,الخطة!A:O,4,FALSE),"")</f>
        <v/>
      </c>
      <c r="D38" s="3"/>
      <c r="E38" s="3" t="str">
        <f>IFERROR(VLOOKUP(D38,الموظفون!A:L,2,FALSE),"")</f>
        <v/>
      </c>
      <c r="F38" s="8"/>
      <c r="G38" s="8"/>
      <c r="H38" s="8" t="str">
        <f>IF(G38="","",G38)</f>
        <v/>
      </c>
      <c r="I38" s="3" t="str">
        <f>IF(H38="","",IF(H38&gt;=الإعدادات!B7,"ناجح","يحتاج إعادة تدريب"))</f>
        <v/>
      </c>
      <c r="J38" s="3"/>
      <c r="K38" s="3"/>
      <c r="L38" s="3"/>
    </row>
    <row r="39" spans="1:12" x14ac:dyDescent="0.2">
      <c r="A39" s="3" t="s">
        <v>185</v>
      </c>
      <c r="B39" s="3"/>
      <c r="C39" s="3" t="str">
        <f>IFERROR(VLOOKUP(B39,الخطة!A:O,4,FALSE),"")</f>
        <v/>
      </c>
      <c r="D39" s="3"/>
      <c r="E39" s="3" t="str">
        <f>IFERROR(VLOOKUP(D39,الموظفون!A:L,2,FALSE),"")</f>
        <v/>
      </c>
      <c r="F39" s="8"/>
      <c r="G39" s="8"/>
      <c r="H39" s="8" t="str">
        <f>IF(G39="","",G39)</f>
        <v/>
      </c>
      <c r="I39" s="3" t="str">
        <f>IF(H39="","",IF(H39&gt;=الإعدادات!B7,"ناجح","يحتاج إعادة تدريب"))</f>
        <v/>
      </c>
      <c r="J39" s="3"/>
      <c r="K39" s="3"/>
      <c r="L39" s="3"/>
    </row>
    <row r="40" spans="1:12" x14ac:dyDescent="0.2">
      <c r="A40" s="3" t="s">
        <v>186</v>
      </c>
      <c r="B40" s="3"/>
      <c r="C40" s="3" t="str">
        <f>IFERROR(VLOOKUP(B40,الخطة!A:O,4,FALSE),"")</f>
        <v/>
      </c>
      <c r="D40" s="3"/>
      <c r="E40" s="3" t="str">
        <f>IFERROR(VLOOKUP(D40,الموظفون!A:L,2,FALSE),"")</f>
        <v/>
      </c>
      <c r="F40" s="8"/>
      <c r="G40" s="8"/>
      <c r="H40" s="8" t="str">
        <f>IF(G40="","",G40)</f>
        <v/>
      </c>
      <c r="I40" s="3" t="str">
        <f>IF(H40="","",IF(H40&gt;=الإعدادات!B7,"ناجح","يحتاج إعادة تدريب"))</f>
        <v/>
      </c>
      <c r="J40" s="3"/>
      <c r="K40" s="3"/>
      <c r="L40" s="3"/>
    </row>
    <row r="41" spans="1:12" x14ac:dyDescent="0.2">
      <c r="A41" s="3" t="s">
        <v>187</v>
      </c>
      <c r="B41" s="3"/>
      <c r="C41" s="3" t="str">
        <f>IFERROR(VLOOKUP(B41,الخطة!A:O,4,FALSE),"")</f>
        <v/>
      </c>
      <c r="D41" s="3"/>
      <c r="E41" s="3" t="str">
        <f>IFERROR(VLOOKUP(D41,الموظفون!A:L,2,FALSE),"")</f>
        <v/>
      </c>
      <c r="F41" s="8"/>
      <c r="G41" s="8"/>
      <c r="H41" s="8" t="str">
        <f>IF(G41="","",G41)</f>
        <v/>
      </c>
      <c r="I41" s="3" t="str">
        <f>IF(H41="","",IF(H41&gt;=الإعدادات!B7,"ناجح","يحتاج إعادة تدريب"))</f>
        <v/>
      </c>
      <c r="J41" s="3"/>
      <c r="K41" s="3"/>
      <c r="L41" s="3"/>
    </row>
    <row r="42" spans="1:12" x14ac:dyDescent="0.2">
      <c r="A42" s="3" t="s">
        <v>188</v>
      </c>
      <c r="B42" s="3"/>
      <c r="C42" s="3" t="str">
        <f>IFERROR(VLOOKUP(B42,الخطة!A:O,4,FALSE),"")</f>
        <v/>
      </c>
      <c r="D42" s="3"/>
      <c r="E42" s="3" t="str">
        <f>IFERROR(VLOOKUP(D42,الموظفون!A:L,2,FALSE),"")</f>
        <v/>
      </c>
      <c r="F42" s="8"/>
      <c r="G42" s="8"/>
      <c r="H42" s="8" t="str">
        <f>IF(G42="","",G42)</f>
        <v/>
      </c>
      <c r="I42" s="3" t="str">
        <f>IF(H42="","",IF(H42&gt;=الإعدادات!B7,"ناجح","يحتاج إعادة تدريب"))</f>
        <v/>
      </c>
      <c r="J42" s="3"/>
      <c r="K42" s="3"/>
      <c r="L42" s="3"/>
    </row>
    <row r="43" spans="1:12" x14ac:dyDescent="0.2">
      <c r="A43" s="3" t="s">
        <v>189</v>
      </c>
      <c r="B43" s="3"/>
      <c r="C43" s="3" t="str">
        <f>IFERROR(VLOOKUP(B43,الخطة!A:O,4,FALSE),"")</f>
        <v/>
      </c>
      <c r="D43" s="3"/>
      <c r="E43" s="3" t="str">
        <f>IFERROR(VLOOKUP(D43,الموظفون!A:L,2,FALSE),"")</f>
        <v/>
      </c>
      <c r="F43" s="8"/>
      <c r="G43" s="8"/>
      <c r="H43" s="8" t="str">
        <f>IF(G43="","",G43)</f>
        <v/>
      </c>
      <c r="I43" s="3" t="str">
        <f>IF(H43="","",IF(H43&gt;=الإعدادات!B7,"ناجح","يحتاج إعادة تدريب"))</f>
        <v/>
      </c>
      <c r="J43" s="3"/>
      <c r="K43" s="3"/>
      <c r="L43" s="3"/>
    </row>
    <row r="44" spans="1:12" x14ac:dyDescent="0.2">
      <c r="A44" s="3" t="s">
        <v>190</v>
      </c>
      <c r="B44" s="3"/>
      <c r="C44" s="3" t="str">
        <f>IFERROR(VLOOKUP(B44,الخطة!A:O,4,FALSE),"")</f>
        <v/>
      </c>
      <c r="D44" s="3"/>
      <c r="E44" s="3" t="str">
        <f>IFERROR(VLOOKUP(D44,الموظفون!A:L,2,FALSE),"")</f>
        <v/>
      </c>
      <c r="F44" s="8"/>
      <c r="G44" s="8"/>
      <c r="H44" s="8" t="str">
        <f>IF(G44="","",G44)</f>
        <v/>
      </c>
      <c r="I44" s="3" t="str">
        <f>IF(H44="","",IF(H44&gt;=الإعدادات!B7,"ناجح","يحتاج إعادة تدريب"))</f>
        <v/>
      </c>
      <c r="J44" s="3"/>
      <c r="K44" s="3"/>
      <c r="L44" s="3"/>
    </row>
    <row r="45" spans="1:12" x14ac:dyDescent="0.2">
      <c r="A45" s="3" t="s">
        <v>191</v>
      </c>
      <c r="B45" s="3"/>
      <c r="C45" s="3" t="str">
        <f>IFERROR(VLOOKUP(B45,الخطة!A:O,4,FALSE),"")</f>
        <v/>
      </c>
      <c r="D45" s="3"/>
      <c r="E45" s="3" t="str">
        <f>IFERROR(VLOOKUP(D45,الموظفون!A:L,2,FALSE),"")</f>
        <v/>
      </c>
      <c r="F45" s="8"/>
      <c r="G45" s="8"/>
      <c r="H45" s="8" t="str">
        <f>IF(G45="","",G45)</f>
        <v/>
      </c>
      <c r="I45" s="3" t="str">
        <f>IF(H45="","",IF(H45&gt;=الإعدادات!B7,"ناجح","يحتاج إعادة تدريب"))</f>
        <v/>
      </c>
      <c r="J45" s="3"/>
      <c r="K45" s="3"/>
      <c r="L45" s="3"/>
    </row>
    <row r="46" spans="1:12" x14ac:dyDescent="0.2">
      <c r="A46" s="3" t="s">
        <v>192</v>
      </c>
      <c r="B46" s="3"/>
      <c r="C46" s="3" t="str">
        <f>IFERROR(VLOOKUP(B46,الخطة!A:O,4,FALSE),"")</f>
        <v/>
      </c>
      <c r="D46" s="3"/>
      <c r="E46" s="3" t="str">
        <f>IFERROR(VLOOKUP(D46,الموظفون!A:L,2,FALSE),"")</f>
        <v/>
      </c>
      <c r="F46" s="8"/>
      <c r="G46" s="8"/>
      <c r="H46" s="8" t="str">
        <f>IF(G46="","",G46)</f>
        <v/>
      </c>
      <c r="I46" s="3" t="str">
        <f>IF(H46="","",IF(H46&gt;=الإعدادات!B7,"ناجح","يحتاج إعادة تدريب"))</f>
        <v/>
      </c>
      <c r="J46" s="3"/>
      <c r="K46" s="3"/>
      <c r="L46" s="3"/>
    </row>
    <row r="47" spans="1:12" x14ac:dyDescent="0.2">
      <c r="A47" s="3" t="s">
        <v>193</v>
      </c>
      <c r="B47" s="3"/>
      <c r="C47" s="3" t="str">
        <f>IFERROR(VLOOKUP(B47,الخطة!A:O,4,FALSE),"")</f>
        <v/>
      </c>
      <c r="D47" s="3"/>
      <c r="E47" s="3" t="str">
        <f>IFERROR(VLOOKUP(D47,الموظفون!A:L,2,FALSE),"")</f>
        <v/>
      </c>
      <c r="F47" s="8"/>
      <c r="G47" s="8"/>
      <c r="H47" s="8" t="str">
        <f>IF(G47="","",G47)</f>
        <v/>
      </c>
      <c r="I47" s="3" t="str">
        <f>IF(H47="","",IF(H47&gt;=الإعدادات!B7,"ناجح","يحتاج إعادة تدريب"))</f>
        <v/>
      </c>
      <c r="J47" s="3"/>
      <c r="K47" s="3"/>
      <c r="L47" s="3"/>
    </row>
    <row r="48" spans="1:12" x14ac:dyDescent="0.2">
      <c r="A48" s="3" t="s">
        <v>194</v>
      </c>
      <c r="B48" s="3"/>
      <c r="C48" s="3" t="str">
        <f>IFERROR(VLOOKUP(B48,الخطة!A:O,4,FALSE),"")</f>
        <v/>
      </c>
      <c r="D48" s="3"/>
      <c r="E48" s="3" t="str">
        <f>IFERROR(VLOOKUP(D48,الموظفون!A:L,2,FALSE),"")</f>
        <v/>
      </c>
      <c r="F48" s="8"/>
      <c r="G48" s="8"/>
      <c r="H48" s="8" t="str">
        <f>IF(G48="","",G48)</f>
        <v/>
      </c>
      <c r="I48" s="3" t="str">
        <f>IF(H48="","",IF(H48&gt;=الإعدادات!B7,"ناجح","يحتاج إعادة تدريب"))</f>
        <v/>
      </c>
      <c r="J48" s="3"/>
      <c r="K48" s="3"/>
      <c r="L48" s="3"/>
    </row>
    <row r="49" spans="1:12" x14ac:dyDescent="0.2">
      <c r="A49" s="3" t="s">
        <v>195</v>
      </c>
      <c r="B49" s="3"/>
      <c r="C49" s="3" t="str">
        <f>IFERROR(VLOOKUP(B49,الخطة!A:O,4,FALSE),"")</f>
        <v/>
      </c>
      <c r="D49" s="3"/>
      <c r="E49" s="3" t="str">
        <f>IFERROR(VLOOKUP(D49,الموظفون!A:L,2,FALSE),"")</f>
        <v/>
      </c>
      <c r="F49" s="8"/>
      <c r="G49" s="8"/>
      <c r="H49" s="8" t="str">
        <f>IF(G49="","",G49)</f>
        <v/>
      </c>
      <c r="I49" s="3" t="str">
        <f>IF(H49="","",IF(H49&gt;=الإعدادات!B7,"ناجح","يحتاج إعادة تدريب"))</f>
        <v/>
      </c>
      <c r="J49" s="3"/>
      <c r="K49" s="3"/>
      <c r="L49" s="3"/>
    </row>
    <row r="50" spans="1:12" x14ac:dyDescent="0.2">
      <c r="A50" s="3" t="s">
        <v>196</v>
      </c>
      <c r="B50" s="3"/>
      <c r="C50" s="3" t="str">
        <f>IFERROR(VLOOKUP(B50,الخطة!A:O,4,FALSE),"")</f>
        <v/>
      </c>
      <c r="D50" s="3"/>
      <c r="E50" s="3" t="str">
        <f>IFERROR(VLOOKUP(D50,الموظفون!A:L,2,FALSE),"")</f>
        <v/>
      </c>
      <c r="F50" s="8"/>
      <c r="G50" s="8"/>
      <c r="H50" s="8" t="str">
        <f>IF(G50="","",G50)</f>
        <v/>
      </c>
      <c r="I50" s="3" t="str">
        <f>IF(H50="","",IF(H50&gt;=الإعدادات!B7,"ناجح","يحتاج إعادة تدريب"))</f>
        <v/>
      </c>
      <c r="J50" s="3"/>
      <c r="K50" s="3"/>
      <c r="L50" s="3"/>
    </row>
    <row r="51" spans="1:12" x14ac:dyDescent="0.2">
      <c r="A51" s="3" t="s">
        <v>197</v>
      </c>
      <c r="B51" s="3"/>
      <c r="C51" s="3" t="str">
        <f>IFERROR(VLOOKUP(B51,الخطة!A:O,4,FALSE),"")</f>
        <v/>
      </c>
      <c r="D51" s="3"/>
      <c r="E51" s="3" t="str">
        <f>IFERROR(VLOOKUP(D51,الموظفون!A:L,2,FALSE),"")</f>
        <v/>
      </c>
      <c r="F51" s="8"/>
      <c r="G51" s="8"/>
      <c r="H51" s="8" t="str">
        <f>IF(G51="","",G51)</f>
        <v/>
      </c>
      <c r="I51" s="3" t="str">
        <f>IF(H51="","",IF(H51&gt;=الإعدادات!B7,"ناجح","يحتاج إعادة تدريب"))</f>
        <v/>
      </c>
      <c r="J51" s="3"/>
      <c r="K51" s="3"/>
      <c r="L51" s="3"/>
    </row>
    <row r="52" spans="1:12" x14ac:dyDescent="0.2">
      <c r="A52" s="3" t="s">
        <v>198</v>
      </c>
      <c r="B52" s="3"/>
      <c r="C52" s="3" t="str">
        <f>IFERROR(VLOOKUP(B52,الخطة!A:O,4,FALSE),"")</f>
        <v/>
      </c>
      <c r="D52" s="3"/>
      <c r="E52" s="3" t="str">
        <f>IFERROR(VLOOKUP(D52,الموظفون!A:L,2,FALSE),"")</f>
        <v/>
      </c>
      <c r="F52" s="8"/>
      <c r="G52" s="8"/>
      <c r="H52" s="8" t="str">
        <f>IF(G52="","",G52)</f>
        <v/>
      </c>
      <c r="I52" s="3" t="str">
        <f>IF(H52="","",IF(H52&gt;=الإعدادات!B7,"ناجح","يحتاج إعادة تدريب"))</f>
        <v/>
      </c>
      <c r="J52" s="3"/>
      <c r="K52" s="3"/>
      <c r="L52" s="3"/>
    </row>
    <row r="53" spans="1:12" x14ac:dyDescent="0.2">
      <c r="A53" s="3" t="s">
        <v>199</v>
      </c>
      <c r="B53" s="3"/>
      <c r="C53" s="3" t="str">
        <f>IFERROR(VLOOKUP(B53,الخطة!A:O,4,FALSE),"")</f>
        <v/>
      </c>
      <c r="D53" s="3"/>
      <c r="E53" s="3" t="str">
        <f>IFERROR(VLOOKUP(D53,الموظفون!A:L,2,FALSE),"")</f>
        <v/>
      </c>
      <c r="F53" s="8"/>
      <c r="G53" s="8"/>
      <c r="H53" s="8" t="str">
        <f>IF(G53="","",G53)</f>
        <v/>
      </c>
      <c r="I53" s="3" t="str">
        <f>IF(H53="","",IF(H53&gt;=الإعدادات!B7,"ناجح","يحتاج إعادة تدريب"))</f>
        <v/>
      </c>
      <c r="J53" s="3"/>
      <c r="K53" s="3"/>
      <c r="L53" s="3"/>
    </row>
    <row r="54" spans="1:12" x14ac:dyDescent="0.2">
      <c r="A54" s="3" t="s">
        <v>200</v>
      </c>
      <c r="B54" s="3"/>
      <c r="C54" s="3" t="str">
        <f>IFERROR(VLOOKUP(B54,الخطة!A:O,4,FALSE),"")</f>
        <v/>
      </c>
      <c r="D54" s="3"/>
      <c r="E54" s="3" t="str">
        <f>IFERROR(VLOOKUP(D54,الموظفون!A:L,2,FALSE),"")</f>
        <v/>
      </c>
      <c r="F54" s="8"/>
      <c r="G54" s="8"/>
      <c r="H54" s="8" t="str">
        <f>IF(G54="","",G54)</f>
        <v/>
      </c>
      <c r="I54" s="3" t="str">
        <f>IF(H54="","",IF(H54&gt;=الإعدادات!B7,"ناجح","يحتاج إعادة تدريب"))</f>
        <v/>
      </c>
      <c r="J54" s="3"/>
      <c r="K54" s="3"/>
      <c r="L54" s="3"/>
    </row>
    <row r="55" spans="1:12" x14ac:dyDescent="0.2">
      <c r="A55" s="3" t="s">
        <v>201</v>
      </c>
      <c r="B55" s="3"/>
      <c r="C55" s="3" t="str">
        <f>IFERROR(VLOOKUP(B55,الخطة!A:O,4,FALSE),"")</f>
        <v/>
      </c>
      <c r="D55" s="3"/>
      <c r="E55" s="3" t="str">
        <f>IFERROR(VLOOKUP(D55,الموظفون!A:L,2,FALSE),"")</f>
        <v/>
      </c>
      <c r="F55" s="8"/>
      <c r="G55" s="8"/>
      <c r="H55" s="8" t="str">
        <f>IF(G55="","",G55)</f>
        <v/>
      </c>
      <c r="I55" s="3" t="str">
        <f>IF(H55="","",IF(H55&gt;=الإعدادات!B7,"ناجح","يحتاج إعادة تدريب"))</f>
        <v/>
      </c>
      <c r="J55" s="3"/>
      <c r="K55" s="3"/>
      <c r="L55" s="3"/>
    </row>
    <row r="56" spans="1:12" x14ac:dyDescent="0.2">
      <c r="A56" s="3" t="s">
        <v>202</v>
      </c>
      <c r="B56" s="3"/>
      <c r="C56" s="3" t="str">
        <f>IFERROR(VLOOKUP(B56,الخطة!A:O,4,FALSE),"")</f>
        <v/>
      </c>
      <c r="D56" s="3"/>
      <c r="E56" s="3" t="str">
        <f>IFERROR(VLOOKUP(D56,الموظفون!A:L,2,FALSE),"")</f>
        <v/>
      </c>
      <c r="F56" s="8"/>
      <c r="G56" s="8"/>
      <c r="H56" s="8" t="str">
        <f>IF(G56="","",G56)</f>
        <v/>
      </c>
      <c r="I56" s="3" t="str">
        <f>IF(H56="","",IF(H56&gt;=الإعدادات!B7,"ناجح","يحتاج إعادة تدريب"))</f>
        <v/>
      </c>
      <c r="J56" s="3"/>
      <c r="K56" s="3"/>
      <c r="L56" s="3"/>
    </row>
    <row r="57" spans="1:12" x14ac:dyDescent="0.2">
      <c r="A57" s="3" t="s">
        <v>203</v>
      </c>
      <c r="B57" s="3"/>
      <c r="C57" s="3" t="str">
        <f>IFERROR(VLOOKUP(B57,الخطة!A:O,4,FALSE),"")</f>
        <v/>
      </c>
      <c r="D57" s="3"/>
      <c r="E57" s="3" t="str">
        <f>IFERROR(VLOOKUP(D57,الموظفون!A:L,2,FALSE),"")</f>
        <v/>
      </c>
      <c r="F57" s="8"/>
      <c r="G57" s="8"/>
      <c r="H57" s="8" t="str">
        <f>IF(G57="","",G57)</f>
        <v/>
      </c>
      <c r="I57" s="3" t="str">
        <f>IF(H57="","",IF(H57&gt;=الإعدادات!B7,"ناجح","يحتاج إعادة تدريب"))</f>
        <v/>
      </c>
      <c r="J57" s="3"/>
      <c r="K57" s="3"/>
      <c r="L57" s="3"/>
    </row>
    <row r="58" spans="1:12" x14ac:dyDescent="0.2">
      <c r="A58" s="3" t="s">
        <v>204</v>
      </c>
      <c r="B58" s="3"/>
      <c r="C58" s="3" t="str">
        <f>IFERROR(VLOOKUP(B58,الخطة!A:O,4,FALSE),"")</f>
        <v/>
      </c>
      <c r="D58" s="3"/>
      <c r="E58" s="3" t="str">
        <f>IFERROR(VLOOKUP(D58,الموظفون!A:L,2,FALSE),"")</f>
        <v/>
      </c>
      <c r="F58" s="8"/>
      <c r="G58" s="8"/>
      <c r="H58" s="8" t="str">
        <f>IF(G58="","",G58)</f>
        <v/>
      </c>
      <c r="I58" s="3" t="str">
        <f>IF(H58="","",IF(H58&gt;=الإعدادات!B7,"ناجح","يحتاج إعادة تدريب"))</f>
        <v/>
      </c>
      <c r="J58" s="3"/>
      <c r="K58" s="3"/>
      <c r="L58" s="3"/>
    </row>
    <row r="59" spans="1:12" x14ac:dyDescent="0.2">
      <c r="A59" s="3" t="s">
        <v>205</v>
      </c>
      <c r="B59" s="3"/>
      <c r="C59" s="3" t="str">
        <f>IFERROR(VLOOKUP(B59,الخطة!A:O,4,FALSE),"")</f>
        <v/>
      </c>
      <c r="D59" s="3"/>
      <c r="E59" s="3" t="str">
        <f>IFERROR(VLOOKUP(D59,الموظفون!A:L,2,FALSE),"")</f>
        <v/>
      </c>
      <c r="F59" s="8"/>
      <c r="G59" s="8"/>
      <c r="H59" s="8" t="str">
        <f>IF(G59="","",G59)</f>
        <v/>
      </c>
      <c r="I59" s="3" t="str">
        <f>IF(H59="","",IF(H59&gt;=الإعدادات!B7,"ناجح","يحتاج إعادة تدريب"))</f>
        <v/>
      </c>
      <c r="J59" s="3"/>
      <c r="K59" s="3"/>
      <c r="L59" s="3"/>
    </row>
    <row r="60" spans="1:12" x14ac:dyDescent="0.2">
      <c r="A60" s="3" t="s">
        <v>206</v>
      </c>
      <c r="B60" s="3"/>
      <c r="C60" s="3" t="str">
        <f>IFERROR(VLOOKUP(B60,الخطة!A:O,4,FALSE),"")</f>
        <v/>
      </c>
      <c r="D60" s="3"/>
      <c r="E60" s="3" t="str">
        <f>IFERROR(VLOOKUP(D60,الموظفون!A:L,2,FALSE),"")</f>
        <v/>
      </c>
      <c r="F60" s="8"/>
      <c r="G60" s="8"/>
      <c r="H60" s="8" t="str">
        <f>IF(G60="","",G60)</f>
        <v/>
      </c>
      <c r="I60" s="3" t="str">
        <f>IF(H60="","",IF(H60&gt;=الإعدادات!B7,"ناجح","يحتاج إعادة تدريب"))</f>
        <v/>
      </c>
      <c r="J60" s="3"/>
      <c r="K60" s="3"/>
      <c r="L60" s="3"/>
    </row>
    <row r="61" spans="1:12" x14ac:dyDescent="0.2">
      <c r="A61" s="3" t="s">
        <v>207</v>
      </c>
      <c r="B61" s="3"/>
      <c r="C61" s="3" t="str">
        <f>IFERROR(VLOOKUP(B61,الخطة!A:O,4,FALSE),"")</f>
        <v/>
      </c>
      <c r="D61" s="3"/>
      <c r="E61" s="3" t="str">
        <f>IFERROR(VLOOKUP(D61,الموظفون!A:L,2,FALSE),"")</f>
        <v/>
      </c>
      <c r="F61" s="8"/>
      <c r="G61" s="8"/>
      <c r="H61" s="8" t="str">
        <f>IF(G61="","",G61)</f>
        <v/>
      </c>
      <c r="I61" s="3" t="str">
        <f>IF(H61="","",IF(H61&gt;=الإعدادات!B7,"ناجح","يحتاج إعادة تدريب"))</f>
        <v/>
      </c>
      <c r="J61" s="3"/>
      <c r="K61" s="3"/>
      <c r="L61" s="3"/>
    </row>
    <row r="62" spans="1:12" x14ac:dyDescent="0.2">
      <c r="A62" s="3" t="s">
        <v>208</v>
      </c>
      <c r="B62" s="3"/>
      <c r="C62" s="3" t="str">
        <f>IFERROR(VLOOKUP(B62,الخطة!A:O,4,FALSE),"")</f>
        <v/>
      </c>
      <c r="D62" s="3"/>
      <c r="E62" s="3" t="str">
        <f>IFERROR(VLOOKUP(D62,الموظفون!A:L,2,FALSE),"")</f>
        <v/>
      </c>
      <c r="F62" s="8"/>
      <c r="G62" s="8"/>
      <c r="H62" s="8" t="str">
        <f>IF(G62="","",G62)</f>
        <v/>
      </c>
      <c r="I62" s="3" t="str">
        <f>IF(H62="","",IF(H62&gt;=الإعدادات!B7,"ناجح","يحتاج إعادة تدريب"))</f>
        <v/>
      </c>
      <c r="J62" s="3"/>
      <c r="K62" s="3"/>
      <c r="L62" s="3"/>
    </row>
    <row r="63" spans="1:12" x14ac:dyDescent="0.2">
      <c r="A63" s="3" t="s">
        <v>209</v>
      </c>
      <c r="B63" s="3"/>
      <c r="C63" s="3" t="str">
        <f>IFERROR(VLOOKUP(B63,الخطة!A:O,4,FALSE),"")</f>
        <v/>
      </c>
      <c r="D63" s="3"/>
      <c r="E63" s="3" t="str">
        <f>IFERROR(VLOOKUP(D63,الموظفون!A:L,2,FALSE),"")</f>
        <v/>
      </c>
      <c r="F63" s="8"/>
      <c r="G63" s="8"/>
      <c r="H63" s="8" t="str">
        <f>IF(G63="","",G63)</f>
        <v/>
      </c>
      <c r="I63" s="3" t="str">
        <f>IF(H63="","",IF(H63&gt;=الإعدادات!B7,"ناجح","يحتاج إعادة تدريب"))</f>
        <v/>
      </c>
      <c r="J63" s="3"/>
      <c r="K63" s="3"/>
      <c r="L63" s="3"/>
    </row>
    <row r="64" spans="1:12" x14ac:dyDescent="0.2">
      <c r="A64" s="3" t="s">
        <v>210</v>
      </c>
      <c r="B64" s="3"/>
      <c r="C64" s="3" t="str">
        <f>IFERROR(VLOOKUP(B64,الخطة!A:O,4,FALSE),"")</f>
        <v/>
      </c>
      <c r="D64" s="3"/>
      <c r="E64" s="3" t="str">
        <f>IFERROR(VLOOKUP(D64,الموظفون!A:L,2,FALSE),"")</f>
        <v/>
      </c>
      <c r="F64" s="8"/>
      <c r="G64" s="8"/>
      <c r="H64" s="8" t="str">
        <f>IF(G64="","",G64)</f>
        <v/>
      </c>
      <c r="I64" s="3" t="str">
        <f>IF(H64="","",IF(H64&gt;=الإعدادات!B7,"ناجح","يحتاج إعادة تدريب"))</f>
        <v/>
      </c>
      <c r="J64" s="3"/>
      <c r="K64" s="3"/>
      <c r="L64" s="3"/>
    </row>
    <row r="65" spans="1:12" x14ac:dyDescent="0.2">
      <c r="A65" s="3" t="s">
        <v>211</v>
      </c>
      <c r="B65" s="3"/>
      <c r="C65" s="3" t="str">
        <f>IFERROR(VLOOKUP(B65,الخطة!A:O,4,FALSE),"")</f>
        <v/>
      </c>
      <c r="D65" s="3"/>
      <c r="E65" s="3" t="str">
        <f>IFERROR(VLOOKUP(D65,الموظفون!A:L,2,FALSE),"")</f>
        <v/>
      </c>
      <c r="F65" s="8"/>
      <c r="G65" s="8"/>
      <c r="H65" s="8" t="str">
        <f>IF(G65="","",G65)</f>
        <v/>
      </c>
      <c r="I65" s="3" t="str">
        <f>IF(H65="","",IF(H65&gt;=الإعدادات!B7,"ناجح","يحتاج إعادة تدريب"))</f>
        <v/>
      </c>
      <c r="J65" s="3"/>
      <c r="K65" s="3"/>
      <c r="L65" s="3"/>
    </row>
    <row r="66" spans="1:12" x14ac:dyDescent="0.2">
      <c r="A66" s="3" t="s">
        <v>212</v>
      </c>
      <c r="B66" s="3"/>
      <c r="C66" s="3" t="str">
        <f>IFERROR(VLOOKUP(B66,الخطة!A:O,4,FALSE),"")</f>
        <v/>
      </c>
      <c r="D66" s="3"/>
      <c r="E66" s="3" t="str">
        <f>IFERROR(VLOOKUP(D66,الموظفون!A:L,2,FALSE),"")</f>
        <v/>
      </c>
      <c r="F66" s="8"/>
      <c r="G66" s="8"/>
      <c r="H66" s="8" t="str">
        <f>IF(G66="","",G66)</f>
        <v/>
      </c>
      <c r="I66" s="3" t="str">
        <f>IF(H66="","",IF(H66&gt;=الإعدادات!B7,"ناجح","يحتاج إعادة تدريب"))</f>
        <v/>
      </c>
      <c r="J66" s="3"/>
      <c r="K66" s="3"/>
      <c r="L66" s="3"/>
    </row>
    <row r="67" spans="1:12" x14ac:dyDescent="0.2">
      <c r="A67" s="3" t="s">
        <v>213</v>
      </c>
      <c r="B67" s="3"/>
      <c r="C67" s="3" t="str">
        <f>IFERROR(VLOOKUP(B67,الخطة!A:O,4,FALSE),"")</f>
        <v/>
      </c>
      <c r="D67" s="3"/>
      <c r="E67" s="3" t="str">
        <f>IFERROR(VLOOKUP(D67,الموظفون!A:L,2,FALSE),"")</f>
        <v/>
      </c>
      <c r="F67" s="8"/>
      <c r="G67" s="8"/>
      <c r="H67" s="8" t="str">
        <f>IF(G67="","",G67)</f>
        <v/>
      </c>
      <c r="I67" s="3" t="str">
        <f>IF(H67="","",IF(H67&gt;=الإعدادات!B7,"ناجح","يحتاج إعادة تدريب"))</f>
        <v/>
      </c>
      <c r="J67" s="3"/>
      <c r="K67" s="3"/>
      <c r="L67" s="3"/>
    </row>
    <row r="68" spans="1:12" x14ac:dyDescent="0.2">
      <c r="A68" s="3" t="s">
        <v>214</v>
      </c>
      <c r="B68" s="3"/>
      <c r="C68" s="3" t="str">
        <f>IFERROR(VLOOKUP(B68,الخطة!A:O,4,FALSE),"")</f>
        <v/>
      </c>
      <c r="D68" s="3"/>
      <c r="E68" s="3" t="str">
        <f>IFERROR(VLOOKUP(D68,الموظفون!A:L,2,FALSE),"")</f>
        <v/>
      </c>
      <c r="F68" s="8"/>
      <c r="G68" s="8"/>
      <c r="H68" s="8" t="str">
        <f>IF(G68="","",G68)</f>
        <v/>
      </c>
      <c r="I68" s="3" t="str">
        <f>IF(H68="","",IF(H68&gt;=الإعدادات!B7,"ناجح","يحتاج إعادة تدريب"))</f>
        <v/>
      </c>
      <c r="J68" s="3"/>
      <c r="K68" s="3"/>
      <c r="L68" s="3"/>
    </row>
    <row r="69" spans="1:12" x14ac:dyDescent="0.2">
      <c r="A69" s="3" t="s">
        <v>215</v>
      </c>
      <c r="B69" s="3"/>
      <c r="C69" s="3" t="str">
        <f>IFERROR(VLOOKUP(B69,الخطة!A:O,4,FALSE),"")</f>
        <v/>
      </c>
      <c r="D69" s="3"/>
      <c r="E69" s="3" t="str">
        <f>IFERROR(VLOOKUP(D69,الموظفون!A:L,2,FALSE),"")</f>
        <v/>
      </c>
      <c r="F69" s="8"/>
      <c r="G69" s="8"/>
      <c r="H69" s="8" t="str">
        <f>IF(G69="","",G69)</f>
        <v/>
      </c>
      <c r="I69" s="3" t="str">
        <f>IF(H69="","",IF(H69&gt;=الإعدادات!B7,"ناجح","يحتاج إعادة تدريب"))</f>
        <v/>
      </c>
      <c r="J69" s="3"/>
      <c r="K69" s="3"/>
      <c r="L69" s="3"/>
    </row>
    <row r="70" spans="1:12" x14ac:dyDescent="0.2">
      <c r="A70" s="3" t="s">
        <v>216</v>
      </c>
      <c r="B70" s="3"/>
      <c r="C70" s="3" t="str">
        <f>IFERROR(VLOOKUP(B70,الخطة!A:O,4,FALSE),"")</f>
        <v/>
      </c>
      <c r="D70" s="3"/>
      <c r="E70" s="3" t="str">
        <f>IFERROR(VLOOKUP(D70,الموظفون!A:L,2,FALSE),"")</f>
        <v/>
      </c>
      <c r="F70" s="8"/>
      <c r="G70" s="8"/>
      <c r="H70" s="8" t="str">
        <f>IF(G70="","",G70)</f>
        <v/>
      </c>
      <c r="I70" s="3" t="str">
        <f>IF(H70="","",IF(H70&gt;=الإعدادات!B7,"ناجح","يحتاج إعادة تدريب"))</f>
        <v/>
      </c>
      <c r="J70" s="3"/>
      <c r="K70" s="3"/>
      <c r="L70" s="3"/>
    </row>
    <row r="71" spans="1:12" x14ac:dyDescent="0.2">
      <c r="A71" s="3" t="s">
        <v>217</v>
      </c>
      <c r="B71" s="3"/>
      <c r="C71" s="3" t="str">
        <f>IFERROR(VLOOKUP(B71,الخطة!A:O,4,FALSE),"")</f>
        <v/>
      </c>
      <c r="D71" s="3"/>
      <c r="E71" s="3" t="str">
        <f>IFERROR(VLOOKUP(D71,الموظفون!A:L,2,FALSE),"")</f>
        <v/>
      </c>
      <c r="F71" s="8"/>
      <c r="G71" s="8"/>
      <c r="H71" s="8" t="str">
        <f>IF(G71="","",G71)</f>
        <v/>
      </c>
      <c r="I71" s="3" t="str">
        <f>IF(H71="","",IF(H71&gt;=الإعدادات!B7,"ناجح","يحتاج إعادة تدريب"))</f>
        <v/>
      </c>
      <c r="J71" s="3"/>
      <c r="K71" s="3"/>
      <c r="L71" s="3"/>
    </row>
    <row r="72" spans="1:12" x14ac:dyDescent="0.2">
      <c r="A72" s="3" t="s">
        <v>218</v>
      </c>
      <c r="B72" s="3"/>
      <c r="C72" s="3" t="str">
        <f>IFERROR(VLOOKUP(B72,الخطة!A:O,4,FALSE),"")</f>
        <v/>
      </c>
      <c r="D72" s="3"/>
      <c r="E72" s="3" t="str">
        <f>IFERROR(VLOOKUP(D72,الموظفون!A:L,2,FALSE),"")</f>
        <v/>
      </c>
      <c r="F72" s="8"/>
      <c r="G72" s="8"/>
      <c r="H72" s="8" t="str">
        <f>IF(G72="","",G72)</f>
        <v/>
      </c>
      <c r="I72" s="3" t="str">
        <f>IF(H72="","",IF(H72&gt;=الإعدادات!B7,"ناجح","يحتاج إعادة تدريب"))</f>
        <v/>
      </c>
      <c r="J72" s="3"/>
      <c r="K72" s="3"/>
      <c r="L72" s="3"/>
    </row>
    <row r="73" spans="1:12" x14ac:dyDescent="0.2">
      <c r="A73" s="3" t="s">
        <v>219</v>
      </c>
      <c r="B73" s="3"/>
      <c r="C73" s="3" t="str">
        <f>IFERROR(VLOOKUP(B73,الخطة!A:O,4,FALSE),"")</f>
        <v/>
      </c>
      <c r="D73" s="3"/>
      <c r="E73" s="3" t="str">
        <f>IFERROR(VLOOKUP(D73,الموظفون!A:L,2,FALSE),"")</f>
        <v/>
      </c>
      <c r="F73" s="8"/>
      <c r="G73" s="8"/>
      <c r="H73" s="8" t="str">
        <f>IF(G73="","",G73)</f>
        <v/>
      </c>
      <c r="I73" s="3" t="str">
        <f>IF(H73="","",IF(H73&gt;=الإعدادات!B7,"ناجح","يحتاج إعادة تدريب"))</f>
        <v/>
      </c>
      <c r="J73" s="3"/>
      <c r="K73" s="3"/>
      <c r="L73" s="3"/>
    </row>
    <row r="74" spans="1:12" x14ac:dyDescent="0.2">
      <c r="A74" s="3" t="s">
        <v>220</v>
      </c>
      <c r="B74" s="3"/>
      <c r="C74" s="3" t="str">
        <f>IFERROR(VLOOKUP(B74,الخطة!A:O,4,FALSE),"")</f>
        <v/>
      </c>
      <c r="D74" s="3"/>
      <c r="E74" s="3" t="str">
        <f>IFERROR(VLOOKUP(D74,الموظفون!A:L,2,FALSE),"")</f>
        <v/>
      </c>
      <c r="F74" s="8"/>
      <c r="G74" s="8"/>
      <c r="H74" s="8" t="str">
        <f>IF(G74="","",G74)</f>
        <v/>
      </c>
      <c r="I74" s="3" t="str">
        <f>IF(H74="","",IF(H74&gt;=الإعدادات!B7,"ناجح","يحتاج إعادة تدريب"))</f>
        <v/>
      </c>
      <c r="J74" s="3"/>
      <c r="K74" s="3"/>
      <c r="L74" s="3"/>
    </row>
    <row r="75" spans="1:12" x14ac:dyDescent="0.2">
      <c r="A75" s="3" t="s">
        <v>221</v>
      </c>
      <c r="B75" s="3"/>
      <c r="C75" s="3" t="str">
        <f>IFERROR(VLOOKUP(B75,الخطة!A:O,4,FALSE),"")</f>
        <v/>
      </c>
      <c r="D75" s="3"/>
      <c r="E75" s="3" t="str">
        <f>IFERROR(VLOOKUP(D75,الموظفون!A:L,2,FALSE),"")</f>
        <v/>
      </c>
      <c r="F75" s="8"/>
      <c r="G75" s="8"/>
      <c r="H75" s="8" t="str">
        <f>IF(G75="","",G75)</f>
        <v/>
      </c>
      <c r="I75" s="3" t="str">
        <f>IF(H75="","",IF(H75&gt;=الإعدادات!B7,"ناجح","يحتاج إعادة تدريب"))</f>
        <v/>
      </c>
      <c r="J75" s="3"/>
      <c r="K75" s="3"/>
      <c r="L75" s="3"/>
    </row>
    <row r="76" spans="1:12" x14ac:dyDescent="0.2">
      <c r="A76" s="3" t="s">
        <v>222</v>
      </c>
      <c r="B76" s="3"/>
      <c r="C76" s="3" t="str">
        <f>IFERROR(VLOOKUP(B76,الخطة!A:O,4,FALSE),"")</f>
        <v/>
      </c>
      <c r="D76" s="3"/>
      <c r="E76" s="3" t="str">
        <f>IFERROR(VLOOKUP(D76,الموظفون!A:L,2,FALSE),"")</f>
        <v/>
      </c>
      <c r="F76" s="8"/>
      <c r="G76" s="8"/>
      <c r="H76" s="8" t="str">
        <f>IF(G76="","",G76)</f>
        <v/>
      </c>
      <c r="I76" s="3" t="str">
        <f>IF(H76="","",IF(H76&gt;=الإعدادات!B7,"ناجح","يحتاج إعادة تدريب"))</f>
        <v/>
      </c>
      <c r="J76" s="3"/>
      <c r="K76" s="3"/>
      <c r="L76" s="3"/>
    </row>
    <row r="77" spans="1:12" x14ac:dyDescent="0.2">
      <c r="A77" s="3" t="s">
        <v>223</v>
      </c>
      <c r="B77" s="3"/>
      <c r="C77" s="3" t="str">
        <f>IFERROR(VLOOKUP(B77,الخطة!A:O,4,FALSE),"")</f>
        <v/>
      </c>
      <c r="D77" s="3"/>
      <c r="E77" s="3" t="str">
        <f>IFERROR(VLOOKUP(D77,الموظفون!A:L,2,FALSE),"")</f>
        <v/>
      </c>
      <c r="F77" s="8"/>
      <c r="G77" s="8"/>
      <c r="H77" s="8" t="str">
        <f>IF(G77="","",G77)</f>
        <v/>
      </c>
      <c r="I77" s="3" t="str">
        <f>IF(H77="","",IF(H77&gt;=الإعدادات!B7,"ناجح","يحتاج إعادة تدريب"))</f>
        <v/>
      </c>
      <c r="J77" s="3"/>
      <c r="K77" s="3"/>
      <c r="L77" s="3"/>
    </row>
    <row r="78" spans="1:12" x14ac:dyDescent="0.2">
      <c r="A78" s="3" t="s">
        <v>224</v>
      </c>
      <c r="B78" s="3"/>
      <c r="C78" s="3" t="str">
        <f>IFERROR(VLOOKUP(B78,الخطة!A:O,4,FALSE),"")</f>
        <v/>
      </c>
      <c r="D78" s="3"/>
      <c r="E78" s="3" t="str">
        <f>IFERROR(VLOOKUP(D78,الموظفون!A:L,2,FALSE),"")</f>
        <v/>
      </c>
      <c r="F78" s="8"/>
      <c r="G78" s="8"/>
      <c r="H78" s="8" t="str">
        <f>IF(G78="","",G78)</f>
        <v/>
      </c>
      <c r="I78" s="3" t="str">
        <f>IF(H78="","",IF(H78&gt;=الإعدادات!B7,"ناجح","يحتاج إعادة تدريب"))</f>
        <v/>
      </c>
      <c r="J78" s="3"/>
      <c r="K78" s="3"/>
      <c r="L78" s="3"/>
    </row>
    <row r="79" spans="1:12" x14ac:dyDescent="0.2">
      <c r="A79" s="3" t="s">
        <v>225</v>
      </c>
      <c r="B79" s="3"/>
      <c r="C79" s="3" t="str">
        <f>IFERROR(VLOOKUP(B79,الخطة!A:O,4,FALSE),"")</f>
        <v/>
      </c>
      <c r="D79" s="3"/>
      <c r="E79" s="3" t="str">
        <f>IFERROR(VLOOKUP(D79,الموظفون!A:L,2,FALSE),"")</f>
        <v/>
      </c>
      <c r="F79" s="8"/>
      <c r="G79" s="8"/>
      <c r="H79" s="8" t="str">
        <f>IF(G79="","",G79)</f>
        <v/>
      </c>
      <c r="I79" s="3" t="str">
        <f>IF(H79="","",IF(H79&gt;=الإعدادات!B7,"ناجح","يحتاج إعادة تدريب"))</f>
        <v/>
      </c>
      <c r="J79" s="3"/>
      <c r="K79" s="3"/>
      <c r="L79" s="3"/>
    </row>
    <row r="80" spans="1:12" x14ac:dyDescent="0.2">
      <c r="A80" s="3" t="s">
        <v>226</v>
      </c>
      <c r="B80" s="3"/>
      <c r="C80" s="3" t="str">
        <f>IFERROR(VLOOKUP(B80,الخطة!A:O,4,FALSE),"")</f>
        <v/>
      </c>
      <c r="D80" s="3"/>
      <c r="E80" s="3" t="str">
        <f>IFERROR(VLOOKUP(D80,الموظفون!A:L,2,FALSE),"")</f>
        <v/>
      </c>
      <c r="F80" s="8"/>
      <c r="G80" s="8"/>
      <c r="H80" s="8" t="str">
        <f>IF(G80="","",G80)</f>
        <v/>
      </c>
      <c r="I80" s="3" t="str">
        <f>IF(H80="","",IF(H80&gt;=الإعدادات!B7,"ناجح","يحتاج إعادة تدريب"))</f>
        <v/>
      </c>
      <c r="J80" s="3"/>
      <c r="K80" s="3"/>
      <c r="L80" s="3"/>
    </row>
    <row r="81" spans="1:12" x14ac:dyDescent="0.2">
      <c r="A81" s="3" t="s">
        <v>227</v>
      </c>
      <c r="B81" s="3"/>
      <c r="C81" s="3" t="str">
        <f>IFERROR(VLOOKUP(B81,الخطة!A:O,4,FALSE),"")</f>
        <v/>
      </c>
      <c r="D81" s="3"/>
      <c r="E81" s="3" t="str">
        <f>IFERROR(VLOOKUP(D81,الموظفون!A:L,2,FALSE),"")</f>
        <v/>
      </c>
      <c r="F81" s="8"/>
      <c r="G81" s="8"/>
      <c r="H81" s="8" t="str">
        <f>IF(G81="","",G81)</f>
        <v/>
      </c>
      <c r="I81" s="3" t="str">
        <f>IF(H81="","",IF(H81&gt;=الإعدادات!B7,"ناجح","يحتاج إعادة تدريب"))</f>
        <v/>
      </c>
      <c r="J81" s="3"/>
      <c r="K81" s="3"/>
      <c r="L81" s="3"/>
    </row>
    <row r="82" spans="1:12" x14ac:dyDescent="0.2">
      <c r="A82" s="3" t="s">
        <v>228</v>
      </c>
      <c r="B82" s="3"/>
      <c r="C82" s="3" t="str">
        <f>IFERROR(VLOOKUP(B82,الخطة!A:O,4,FALSE),"")</f>
        <v/>
      </c>
      <c r="D82" s="3"/>
      <c r="E82" s="3" t="str">
        <f>IFERROR(VLOOKUP(D82,الموظفون!A:L,2,FALSE),"")</f>
        <v/>
      </c>
      <c r="F82" s="8"/>
      <c r="G82" s="8"/>
      <c r="H82" s="8" t="str">
        <f>IF(G82="","",G82)</f>
        <v/>
      </c>
      <c r="I82" s="3" t="str">
        <f>IF(H82="","",IF(H82&gt;=الإعدادات!B7,"ناجح","يحتاج إعادة تدريب"))</f>
        <v/>
      </c>
      <c r="J82" s="3"/>
      <c r="K82" s="3"/>
      <c r="L82" s="3"/>
    </row>
    <row r="83" spans="1:12" x14ac:dyDescent="0.2">
      <c r="A83" s="3" t="s">
        <v>229</v>
      </c>
      <c r="B83" s="3"/>
      <c r="C83" s="3" t="str">
        <f>IFERROR(VLOOKUP(B83,الخطة!A:O,4,FALSE),"")</f>
        <v/>
      </c>
      <c r="D83" s="3"/>
      <c r="E83" s="3" t="str">
        <f>IFERROR(VLOOKUP(D83,الموظفون!A:L,2,FALSE),"")</f>
        <v/>
      </c>
      <c r="F83" s="8"/>
      <c r="G83" s="8"/>
      <c r="H83" s="8" t="str">
        <f>IF(G83="","",G83)</f>
        <v/>
      </c>
      <c r="I83" s="3" t="str">
        <f>IF(H83="","",IF(H83&gt;=الإعدادات!B7,"ناجح","يحتاج إعادة تدريب"))</f>
        <v/>
      </c>
      <c r="J83" s="3"/>
      <c r="K83" s="3"/>
      <c r="L83" s="3"/>
    </row>
    <row r="84" spans="1:12" x14ac:dyDescent="0.2">
      <c r="A84" s="3" t="s">
        <v>230</v>
      </c>
      <c r="B84" s="3"/>
      <c r="C84" s="3" t="str">
        <f>IFERROR(VLOOKUP(B84,الخطة!A:O,4,FALSE),"")</f>
        <v/>
      </c>
      <c r="D84" s="3"/>
      <c r="E84" s="3" t="str">
        <f>IFERROR(VLOOKUP(D84,الموظفون!A:L,2,FALSE),"")</f>
        <v/>
      </c>
      <c r="F84" s="8"/>
      <c r="G84" s="8"/>
      <c r="H84" s="8" t="str">
        <f>IF(G84="","",G84)</f>
        <v/>
      </c>
      <c r="I84" s="3" t="str">
        <f>IF(H84="","",IF(H84&gt;=الإعدادات!B7,"ناجح","يحتاج إعادة تدريب"))</f>
        <v/>
      </c>
      <c r="J84" s="3"/>
      <c r="K84" s="3"/>
      <c r="L84" s="3"/>
    </row>
    <row r="85" spans="1:12" x14ac:dyDescent="0.2">
      <c r="A85" s="3" t="s">
        <v>231</v>
      </c>
      <c r="B85" s="3"/>
      <c r="C85" s="3" t="str">
        <f>IFERROR(VLOOKUP(B85,الخطة!A:O,4,FALSE),"")</f>
        <v/>
      </c>
      <c r="D85" s="3"/>
      <c r="E85" s="3" t="str">
        <f>IFERROR(VLOOKUP(D85,الموظفون!A:L,2,FALSE),"")</f>
        <v/>
      </c>
      <c r="F85" s="8"/>
      <c r="G85" s="8"/>
      <c r="H85" s="8" t="str">
        <f>IF(G85="","",G85)</f>
        <v/>
      </c>
      <c r="I85" s="3" t="str">
        <f>IF(H85="","",IF(H85&gt;=الإعدادات!B7,"ناجح","يحتاج إعادة تدريب"))</f>
        <v/>
      </c>
      <c r="J85" s="3"/>
      <c r="K85" s="3"/>
      <c r="L85" s="3"/>
    </row>
    <row r="86" spans="1:12" x14ac:dyDescent="0.2">
      <c r="A86" s="3" t="s">
        <v>232</v>
      </c>
      <c r="B86" s="3"/>
      <c r="C86" s="3" t="str">
        <f>IFERROR(VLOOKUP(B86,الخطة!A:O,4,FALSE),"")</f>
        <v/>
      </c>
      <c r="D86" s="3"/>
      <c r="E86" s="3" t="str">
        <f>IFERROR(VLOOKUP(D86,الموظفون!A:L,2,FALSE),"")</f>
        <v/>
      </c>
      <c r="F86" s="8"/>
      <c r="G86" s="8"/>
      <c r="H86" s="8" t="str">
        <f>IF(G86="","",G86)</f>
        <v/>
      </c>
      <c r="I86" s="3" t="str">
        <f>IF(H86="","",IF(H86&gt;=الإعدادات!B7,"ناجح","يحتاج إعادة تدريب"))</f>
        <v/>
      </c>
      <c r="J86" s="3"/>
      <c r="K86" s="3"/>
      <c r="L86" s="3"/>
    </row>
    <row r="87" spans="1:12" x14ac:dyDescent="0.2">
      <c r="A87" s="3" t="s">
        <v>233</v>
      </c>
      <c r="B87" s="3"/>
      <c r="C87" s="3" t="str">
        <f>IFERROR(VLOOKUP(B87,الخطة!A:O,4,FALSE),"")</f>
        <v/>
      </c>
      <c r="D87" s="3"/>
      <c r="E87" s="3" t="str">
        <f>IFERROR(VLOOKUP(D87,الموظفون!A:L,2,FALSE),"")</f>
        <v/>
      </c>
      <c r="F87" s="8"/>
      <c r="G87" s="8"/>
      <c r="H87" s="8" t="str">
        <f>IF(G87="","",G87)</f>
        <v/>
      </c>
      <c r="I87" s="3" t="str">
        <f>IF(H87="","",IF(H87&gt;=الإعدادات!B7,"ناجح","يحتاج إعادة تدريب"))</f>
        <v/>
      </c>
      <c r="J87" s="3"/>
      <c r="K87" s="3"/>
      <c r="L87" s="3"/>
    </row>
    <row r="88" spans="1:12" x14ac:dyDescent="0.2">
      <c r="A88" s="3" t="s">
        <v>234</v>
      </c>
      <c r="B88" s="3"/>
      <c r="C88" s="3" t="str">
        <f>IFERROR(VLOOKUP(B88,الخطة!A:O,4,FALSE),"")</f>
        <v/>
      </c>
      <c r="D88" s="3"/>
      <c r="E88" s="3" t="str">
        <f>IFERROR(VLOOKUP(D88,الموظفون!A:L,2,FALSE),"")</f>
        <v/>
      </c>
      <c r="F88" s="8"/>
      <c r="G88" s="8"/>
      <c r="H88" s="8" t="str">
        <f>IF(G88="","",G88)</f>
        <v/>
      </c>
      <c r="I88" s="3" t="str">
        <f>IF(H88="","",IF(H88&gt;=الإعدادات!B7,"ناجح","يحتاج إعادة تدريب"))</f>
        <v/>
      </c>
      <c r="J88" s="3"/>
      <c r="K88" s="3"/>
      <c r="L88" s="3"/>
    </row>
    <row r="89" spans="1:12" x14ac:dyDescent="0.2">
      <c r="A89" s="3" t="s">
        <v>235</v>
      </c>
      <c r="B89" s="3"/>
      <c r="C89" s="3" t="str">
        <f>IFERROR(VLOOKUP(B89,الخطة!A:O,4,FALSE),"")</f>
        <v/>
      </c>
      <c r="D89" s="3"/>
      <c r="E89" s="3" t="str">
        <f>IFERROR(VLOOKUP(D89,الموظفون!A:L,2,FALSE),"")</f>
        <v/>
      </c>
      <c r="F89" s="8"/>
      <c r="G89" s="8"/>
      <c r="H89" s="8" t="str">
        <f>IF(G89="","",G89)</f>
        <v/>
      </c>
      <c r="I89" s="3" t="str">
        <f>IF(H89="","",IF(H89&gt;=الإعدادات!B7,"ناجح","يحتاج إعادة تدريب"))</f>
        <v/>
      </c>
      <c r="J89" s="3"/>
      <c r="K89" s="3"/>
      <c r="L89" s="3"/>
    </row>
    <row r="90" spans="1:12" x14ac:dyDescent="0.2">
      <c r="A90" s="3" t="s">
        <v>236</v>
      </c>
      <c r="B90" s="3"/>
      <c r="C90" s="3" t="str">
        <f>IFERROR(VLOOKUP(B90,الخطة!A:O,4,FALSE),"")</f>
        <v/>
      </c>
      <c r="D90" s="3"/>
      <c r="E90" s="3" t="str">
        <f>IFERROR(VLOOKUP(D90,الموظفون!A:L,2,FALSE),"")</f>
        <v/>
      </c>
      <c r="F90" s="8"/>
      <c r="G90" s="8"/>
      <c r="H90" s="8" t="str">
        <f>IF(G90="","",G90)</f>
        <v/>
      </c>
      <c r="I90" s="3" t="str">
        <f>IF(H90="","",IF(H90&gt;=الإعدادات!B7,"ناجح","يحتاج إعادة تدريب"))</f>
        <v/>
      </c>
      <c r="J90" s="3"/>
      <c r="K90" s="3"/>
      <c r="L90" s="3"/>
    </row>
    <row r="91" spans="1:12" x14ac:dyDescent="0.2">
      <c r="A91" s="3" t="s">
        <v>237</v>
      </c>
      <c r="B91" s="3"/>
      <c r="C91" s="3" t="str">
        <f>IFERROR(VLOOKUP(B91,الخطة!A:O,4,FALSE),"")</f>
        <v/>
      </c>
      <c r="D91" s="3"/>
      <c r="E91" s="3" t="str">
        <f>IFERROR(VLOOKUP(D91,الموظفون!A:L,2,FALSE),"")</f>
        <v/>
      </c>
      <c r="F91" s="8"/>
      <c r="G91" s="8"/>
      <c r="H91" s="8" t="str">
        <f>IF(G91="","",G91)</f>
        <v/>
      </c>
      <c r="I91" s="3" t="str">
        <f>IF(H91="","",IF(H91&gt;=الإعدادات!B7,"ناجح","يحتاج إعادة تدريب"))</f>
        <v/>
      </c>
      <c r="J91" s="3"/>
      <c r="K91" s="3"/>
      <c r="L91" s="3"/>
    </row>
    <row r="92" spans="1:12" x14ac:dyDescent="0.2">
      <c r="A92" s="3" t="s">
        <v>238</v>
      </c>
      <c r="B92" s="3"/>
      <c r="C92" s="3" t="str">
        <f>IFERROR(VLOOKUP(B92,الخطة!A:O,4,FALSE),"")</f>
        <v/>
      </c>
      <c r="D92" s="3"/>
      <c r="E92" s="3" t="str">
        <f>IFERROR(VLOOKUP(D92,الموظفون!A:L,2,FALSE),"")</f>
        <v/>
      </c>
      <c r="F92" s="8"/>
      <c r="G92" s="8"/>
      <c r="H92" s="8" t="str">
        <f>IF(G92="","",G92)</f>
        <v/>
      </c>
      <c r="I92" s="3" t="str">
        <f>IF(H92="","",IF(H92&gt;=الإعدادات!B7,"ناجح","يحتاج إعادة تدريب"))</f>
        <v/>
      </c>
      <c r="J92" s="3"/>
      <c r="K92" s="3"/>
      <c r="L92" s="3"/>
    </row>
    <row r="93" spans="1:12" x14ac:dyDescent="0.2">
      <c r="A93" s="3" t="s">
        <v>239</v>
      </c>
      <c r="B93" s="3"/>
      <c r="C93" s="3" t="str">
        <f>IFERROR(VLOOKUP(B93,الخطة!A:O,4,FALSE),"")</f>
        <v/>
      </c>
      <c r="D93" s="3"/>
      <c r="E93" s="3" t="str">
        <f>IFERROR(VLOOKUP(D93,الموظفون!A:L,2,FALSE),"")</f>
        <v/>
      </c>
      <c r="F93" s="8"/>
      <c r="G93" s="8"/>
      <c r="H93" s="8" t="str">
        <f>IF(G93="","",G93)</f>
        <v/>
      </c>
      <c r="I93" s="3" t="str">
        <f>IF(H93="","",IF(H93&gt;=الإعدادات!B7,"ناجح","يحتاج إعادة تدريب"))</f>
        <v/>
      </c>
      <c r="J93" s="3"/>
      <c r="K93" s="3"/>
      <c r="L93" s="3"/>
    </row>
    <row r="94" spans="1:12" x14ac:dyDescent="0.2">
      <c r="A94" s="3" t="s">
        <v>240</v>
      </c>
      <c r="B94" s="3"/>
      <c r="C94" s="3" t="str">
        <f>IFERROR(VLOOKUP(B94,الخطة!A:O,4,FALSE),"")</f>
        <v/>
      </c>
      <c r="D94" s="3"/>
      <c r="E94" s="3" t="str">
        <f>IFERROR(VLOOKUP(D94,الموظفون!A:L,2,FALSE),"")</f>
        <v/>
      </c>
      <c r="F94" s="8"/>
      <c r="G94" s="8"/>
      <c r="H94" s="8" t="str">
        <f>IF(G94="","",G94)</f>
        <v/>
      </c>
      <c r="I94" s="3" t="str">
        <f>IF(H94="","",IF(H94&gt;=الإعدادات!B7,"ناجح","يحتاج إعادة تدريب"))</f>
        <v/>
      </c>
      <c r="J94" s="3"/>
      <c r="K94" s="3"/>
      <c r="L94" s="3"/>
    </row>
    <row r="95" spans="1:12" x14ac:dyDescent="0.2">
      <c r="A95" s="3" t="s">
        <v>241</v>
      </c>
      <c r="B95" s="3"/>
      <c r="C95" s="3" t="str">
        <f>IFERROR(VLOOKUP(B95,الخطة!A:O,4,FALSE),"")</f>
        <v/>
      </c>
      <c r="D95" s="3"/>
      <c r="E95" s="3" t="str">
        <f>IFERROR(VLOOKUP(D95,الموظفون!A:L,2,FALSE),"")</f>
        <v/>
      </c>
      <c r="F95" s="8"/>
      <c r="G95" s="8"/>
      <c r="H95" s="8" t="str">
        <f>IF(G95="","",G95)</f>
        <v/>
      </c>
      <c r="I95" s="3" t="str">
        <f>IF(H95="","",IF(H95&gt;=الإعدادات!B7,"ناجح","يحتاج إعادة تدريب"))</f>
        <v/>
      </c>
      <c r="J95" s="3"/>
      <c r="K95" s="3"/>
      <c r="L95" s="3"/>
    </row>
    <row r="96" spans="1:12" x14ac:dyDescent="0.2">
      <c r="A96" s="3" t="s">
        <v>242</v>
      </c>
      <c r="B96" s="3"/>
      <c r="C96" s="3" t="str">
        <f>IFERROR(VLOOKUP(B96,الخطة!A:O,4,FALSE),"")</f>
        <v/>
      </c>
      <c r="D96" s="3"/>
      <c r="E96" s="3" t="str">
        <f>IFERROR(VLOOKUP(D96,الموظفون!A:L,2,FALSE),"")</f>
        <v/>
      </c>
      <c r="F96" s="8"/>
      <c r="G96" s="8"/>
      <c r="H96" s="8" t="str">
        <f>IF(G96="","",G96)</f>
        <v/>
      </c>
      <c r="I96" s="3" t="str">
        <f>IF(H96="","",IF(H96&gt;=الإعدادات!B7,"ناجح","يحتاج إعادة تدريب"))</f>
        <v/>
      </c>
      <c r="J96" s="3"/>
      <c r="K96" s="3"/>
      <c r="L96" s="3"/>
    </row>
    <row r="97" spans="1:12" x14ac:dyDescent="0.2">
      <c r="A97" s="3" t="s">
        <v>243</v>
      </c>
      <c r="B97" s="3"/>
      <c r="C97" s="3" t="str">
        <f>IFERROR(VLOOKUP(B97,الخطة!A:O,4,FALSE),"")</f>
        <v/>
      </c>
      <c r="D97" s="3"/>
      <c r="E97" s="3" t="str">
        <f>IFERROR(VLOOKUP(D97,الموظفون!A:L,2,FALSE),"")</f>
        <v/>
      </c>
      <c r="F97" s="8"/>
      <c r="G97" s="8"/>
      <c r="H97" s="8" t="str">
        <f>IF(G97="","",G97)</f>
        <v/>
      </c>
      <c r="I97" s="3" t="str">
        <f>IF(H97="","",IF(H97&gt;=الإعدادات!B7,"ناجح","يحتاج إعادة تدريب"))</f>
        <v/>
      </c>
      <c r="J97" s="3"/>
      <c r="K97" s="3"/>
      <c r="L97" s="3"/>
    </row>
    <row r="98" spans="1:12" x14ac:dyDescent="0.2">
      <c r="A98" s="3" t="s">
        <v>244</v>
      </c>
      <c r="B98" s="3"/>
      <c r="C98" s="3" t="str">
        <f>IFERROR(VLOOKUP(B98,الخطة!A:O,4,FALSE),"")</f>
        <v/>
      </c>
      <c r="D98" s="3"/>
      <c r="E98" s="3" t="str">
        <f>IFERROR(VLOOKUP(D98,الموظفون!A:L,2,FALSE),"")</f>
        <v/>
      </c>
      <c r="F98" s="8"/>
      <c r="G98" s="8"/>
      <c r="H98" s="8" t="str">
        <f>IF(G98="","",G98)</f>
        <v/>
      </c>
      <c r="I98" s="3" t="str">
        <f>IF(H98="","",IF(H98&gt;=الإعدادات!B7,"ناجح","يحتاج إعادة تدريب"))</f>
        <v/>
      </c>
      <c r="J98" s="3"/>
      <c r="K98" s="3"/>
      <c r="L98" s="3"/>
    </row>
    <row r="99" spans="1:12" x14ac:dyDescent="0.2">
      <c r="A99" s="3" t="s">
        <v>245</v>
      </c>
      <c r="B99" s="3"/>
      <c r="C99" s="3" t="str">
        <f>IFERROR(VLOOKUP(B99,الخطة!A:O,4,FALSE),"")</f>
        <v/>
      </c>
      <c r="D99" s="3"/>
      <c r="E99" s="3" t="str">
        <f>IFERROR(VLOOKUP(D99,الموظفون!A:L,2,FALSE),"")</f>
        <v/>
      </c>
      <c r="F99" s="8"/>
      <c r="G99" s="8"/>
      <c r="H99" s="8" t="str">
        <f>IF(G99="","",G99)</f>
        <v/>
      </c>
      <c r="I99" s="3" t="str">
        <f>IF(H99="","",IF(H99&gt;=الإعدادات!B7,"ناجح","يحتاج إعادة تدريب"))</f>
        <v/>
      </c>
      <c r="J99" s="3"/>
      <c r="K99" s="3"/>
      <c r="L99" s="3"/>
    </row>
    <row r="100" spans="1:12" x14ac:dyDescent="0.2">
      <c r="A100" s="3" t="s">
        <v>246</v>
      </c>
      <c r="B100" s="3"/>
      <c r="C100" s="3" t="str">
        <f>IFERROR(VLOOKUP(B100,الخطة!A:O,4,FALSE),"")</f>
        <v/>
      </c>
      <c r="D100" s="3"/>
      <c r="E100" s="3" t="str">
        <f>IFERROR(VLOOKUP(D100,الموظفون!A:L,2,FALSE),"")</f>
        <v/>
      </c>
      <c r="F100" s="8"/>
      <c r="G100" s="8"/>
      <c r="H100" s="8" t="str">
        <f>IF(G100="","",G100)</f>
        <v/>
      </c>
      <c r="I100" s="3" t="str">
        <f>IF(H100="","",IF(H100&gt;=الإعدادات!B7,"ناجح","يحتاج إعادة تدريب"))</f>
        <v/>
      </c>
      <c r="J100" s="3"/>
      <c r="K100" s="3"/>
      <c r="L100" s="3"/>
    </row>
    <row r="101" spans="1:12" x14ac:dyDescent="0.2">
      <c r="A101" s="3" t="s">
        <v>247</v>
      </c>
      <c r="B101" s="3"/>
      <c r="C101" s="3" t="str">
        <f>IFERROR(VLOOKUP(B101,الخطة!A:O,4,FALSE),"")</f>
        <v/>
      </c>
      <c r="D101" s="3"/>
      <c r="E101" s="3" t="str">
        <f>IFERROR(VLOOKUP(D101,الموظفون!A:L,2,FALSE),"")</f>
        <v/>
      </c>
      <c r="F101" s="8"/>
      <c r="G101" s="8"/>
      <c r="H101" s="8" t="str">
        <f>IF(G101="","",G101)</f>
        <v/>
      </c>
      <c r="I101" s="3" t="str">
        <f>IF(H101="","",IF(H101&gt;=الإعدادات!B7,"ناجح","يحتاج إعادة تدريب"))</f>
        <v/>
      </c>
      <c r="J101" s="3"/>
      <c r="K101" s="3"/>
      <c r="L101" s="3"/>
    </row>
    <row r="102" spans="1:12" x14ac:dyDescent="0.2">
      <c r="A102" s="3" t="s">
        <v>248</v>
      </c>
      <c r="B102" s="3"/>
      <c r="C102" s="3" t="str">
        <f>IFERROR(VLOOKUP(B102,الخطة!A:O,4,FALSE),"")</f>
        <v/>
      </c>
      <c r="D102" s="3"/>
      <c r="E102" s="3" t="str">
        <f>IFERROR(VLOOKUP(D102,الموظفون!A:L,2,FALSE),"")</f>
        <v/>
      </c>
      <c r="F102" s="8"/>
      <c r="G102" s="8"/>
      <c r="H102" s="8" t="str">
        <f>IF(G102="","",G102)</f>
        <v/>
      </c>
      <c r="I102" s="3" t="str">
        <f>IF(H102="","",IF(H102&gt;=الإعدادات!B7,"ناجح","يحتاج إعادة تدريب"))</f>
        <v/>
      </c>
      <c r="J102" s="3"/>
      <c r="K102" s="3"/>
      <c r="L102" s="3"/>
    </row>
    <row r="103" spans="1:12" x14ac:dyDescent="0.2">
      <c r="A103" s="3" t="s">
        <v>249</v>
      </c>
      <c r="B103" s="3"/>
      <c r="C103" s="3" t="str">
        <f>IFERROR(VLOOKUP(B103,الخطة!A:O,4,FALSE),"")</f>
        <v/>
      </c>
      <c r="D103" s="3"/>
      <c r="E103" s="3" t="str">
        <f>IFERROR(VLOOKUP(D103,الموظفون!A:L,2,FALSE),"")</f>
        <v/>
      </c>
      <c r="F103" s="8"/>
      <c r="G103" s="8"/>
      <c r="H103" s="8" t="str">
        <f>IF(G103="","",G103)</f>
        <v/>
      </c>
      <c r="I103" s="3" t="str">
        <f>IF(H103="","",IF(H103&gt;=الإعدادات!B7,"ناجح","يحتاج إعادة تدريب"))</f>
        <v/>
      </c>
      <c r="J103" s="3"/>
      <c r="K103" s="3"/>
      <c r="L103" s="3"/>
    </row>
    <row r="104" spans="1:12" x14ac:dyDescent="0.2">
      <c r="A104" s="3" t="s">
        <v>250</v>
      </c>
      <c r="B104" s="3"/>
      <c r="C104" s="3" t="str">
        <f>IFERROR(VLOOKUP(B104,الخطة!A:O,4,FALSE),"")</f>
        <v/>
      </c>
      <c r="D104" s="3"/>
      <c r="E104" s="3" t="str">
        <f>IFERROR(VLOOKUP(D104,الموظفون!A:L,2,FALSE),"")</f>
        <v/>
      </c>
      <c r="F104" s="8"/>
      <c r="G104" s="8"/>
      <c r="H104" s="8" t="str">
        <f>IF(G104="","",G104)</f>
        <v/>
      </c>
      <c r="I104" s="3" t="str">
        <f>IF(H104="","",IF(H104&gt;=الإعدادات!B7,"ناجح","يحتاج إعادة تدريب"))</f>
        <v/>
      </c>
      <c r="J104" s="3"/>
      <c r="K104" s="3"/>
      <c r="L104" s="3"/>
    </row>
    <row r="105" spans="1:12" x14ac:dyDescent="0.2">
      <c r="A105" s="3" t="s">
        <v>251</v>
      </c>
      <c r="B105" s="3"/>
      <c r="C105" s="3" t="str">
        <f>IFERROR(VLOOKUP(B105,الخطة!A:O,4,FALSE),"")</f>
        <v/>
      </c>
      <c r="D105" s="3"/>
      <c r="E105" s="3" t="str">
        <f>IFERROR(VLOOKUP(D105,الموظفون!A:L,2,FALSE),"")</f>
        <v/>
      </c>
      <c r="F105" s="8"/>
      <c r="G105" s="8"/>
      <c r="H105" s="8" t="str">
        <f>IF(G105="","",G105)</f>
        <v/>
      </c>
      <c r="I105" s="3" t="str">
        <f>IF(H105="","",IF(H105&gt;=الإعدادات!B7,"ناجح","يحتاج إعادة تدريب"))</f>
        <v/>
      </c>
      <c r="J105" s="3"/>
      <c r="K105" s="3"/>
      <c r="L105" s="3"/>
    </row>
    <row r="106" spans="1:12" x14ac:dyDescent="0.2">
      <c r="A106" s="3" t="s">
        <v>252</v>
      </c>
      <c r="B106" s="3"/>
      <c r="C106" s="3" t="str">
        <f>IFERROR(VLOOKUP(B106,الخطة!A:O,4,FALSE),"")</f>
        <v/>
      </c>
      <c r="D106" s="3"/>
      <c r="E106" s="3" t="str">
        <f>IFERROR(VLOOKUP(D106,الموظفون!A:L,2,FALSE),"")</f>
        <v/>
      </c>
      <c r="F106" s="8"/>
      <c r="G106" s="8"/>
      <c r="H106" s="8" t="str">
        <f>IF(G106="","",G106)</f>
        <v/>
      </c>
      <c r="I106" s="3" t="str">
        <f>IF(H106="","",IF(H106&gt;=الإعدادات!B7,"ناجح","يحتاج إعادة تدريب"))</f>
        <v/>
      </c>
      <c r="J106" s="3"/>
      <c r="K106" s="3"/>
      <c r="L106" s="3"/>
    </row>
    <row r="107" spans="1:12" x14ac:dyDescent="0.2">
      <c r="A107" s="3" t="s">
        <v>253</v>
      </c>
      <c r="B107" s="3"/>
      <c r="C107" s="3" t="str">
        <f>IFERROR(VLOOKUP(B107,الخطة!A:O,4,FALSE),"")</f>
        <v/>
      </c>
      <c r="D107" s="3"/>
      <c r="E107" s="3" t="str">
        <f>IFERROR(VLOOKUP(D107,الموظفون!A:L,2,FALSE),"")</f>
        <v/>
      </c>
      <c r="F107" s="8"/>
      <c r="G107" s="8"/>
      <c r="H107" s="8" t="str">
        <f>IF(G107="","",G107)</f>
        <v/>
      </c>
      <c r="I107" s="3" t="str">
        <f>IF(H107="","",IF(H107&gt;=الإعدادات!B7,"ناجح","يحتاج إعادة تدريب"))</f>
        <v/>
      </c>
      <c r="J107" s="3"/>
      <c r="K107" s="3"/>
      <c r="L107" s="3"/>
    </row>
    <row r="108" spans="1:12" x14ac:dyDescent="0.2">
      <c r="A108" s="3" t="s">
        <v>254</v>
      </c>
      <c r="B108" s="3"/>
      <c r="C108" s="3" t="str">
        <f>IFERROR(VLOOKUP(B108,الخطة!A:O,4,FALSE),"")</f>
        <v/>
      </c>
      <c r="D108" s="3"/>
      <c r="E108" s="3" t="str">
        <f>IFERROR(VLOOKUP(D108,الموظفون!A:L,2,FALSE),"")</f>
        <v/>
      </c>
      <c r="F108" s="8"/>
      <c r="G108" s="8"/>
      <c r="H108" s="8" t="str">
        <f>IF(G108="","",G108)</f>
        <v/>
      </c>
      <c r="I108" s="3" t="str">
        <f>IF(H108="","",IF(H108&gt;=الإعدادات!B7,"ناجح","يحتاج إعادة تدريب"))</f>
        <v/>
      </c>
      <c r="J108" s="3"/>
      <c r="K108" s="3"/>
      <c r="L108" s="3"/>
    </row>
    <row r="109" spans="1:12" x14ac:dyDescent="0.2">
      <c r="A109" s="3" t="s">
        <v>255</v>
      </c>
      <c r="B109" s="3"/>
      <c r="C109" s="3" t="str">
        <f>IFERROR(VLOOKUP(B109,الخطة!A:O,4,FALSE),"")</f>
        <v/>
      </c>
      <c r="D109" s="3"/>
      <c r="E109" s="3" t="str">
        <f>IFERROR(VLOOKUP(D109,الموظفون!A:L,2,FALSE),"")</f>
        <v/>
      </c>
      <c r="F109" s="8"/>
      <c r="G109" s="8"/>
      <c r="H109" s="8" t="str">
        <f>IF(G109="","",G109)</f>
        <v/>
      </c>
      <c r="I109" s="3" t="str">
        <f>IF(H109="","",IF(H109&gt;=الإعدادات!B7,"ناجح","يحتاج إعادة تدريب"))</f>
        <v/>
      </c>
      <c r="J109" s="3"/>
      <c r="K109" s="3"/>
      <c r="L109" s="3"/>
    </row>
    <row r="110" spans="1:12" x14ac:dyDescent="0.2">
      <c r="A110" s="3" t="s">
        <v>256</v>
      </c>
      <c r="B110" s="3"/>
      <c r="C110" s="3" t="str">
        <f>IFERROR(VLOOKUP(B110,الخطة!A:O,4,FALSE),"")</f>
        <v/>
      </c>
      <c r="D110" s="3"/>
      <c r="E110" s="3" t="str">
        <f>IFERROR(VLOOKUP(D110,الموظفون!A:L,2,FALSE),"")</f>
        <v/>
      </c>
      <c r="F110" s="8"/>
      <c r="G110" s="8"/>
      <c r="H110" s="8" t="str">
        <f>IF(G110="","",G110)</f>
        <v/>
      </c>
      <c r="I110" s="3" t="str">
        <f>IF(H110="","",IF(H110&gt;=الإعدادات!B7,"ناجح","يحتاج إعادة تدريب"))</f>
        <v/>
      </c>
      <c r="J110" s="3"/>
      <c r="K110" s="3"/>
      <c r="L110" s="3"/>
    </row>
    <row r="111" spans="1:12" x14ac:dyDescent="0.2">
      <c r="A111" s="3" t="s">
        <v>257</v>
      </c>
      <c r="B111" s="3"/>
      <c r="C111" s="3" t="str">
        <f>IFERROR(VLOOKUP(B111,الخطة!A:O,4,FALSE),"")</f>
        <v/>
      </c>
      <c r="D111" s="3"/>
      <c r="E111" s="3" t="str">
        <f>IFERROR(VLOOKUP(D111,الموظفون!A:L,2,FALSE),"")</f>
        <v/>
      </c>
      <c r="F111" s="8"/>
      <c r="G111" s="8"/>
      <c r="H111" s="8" t="str">
        <f>IF(G111="","",G111)</f>
        <v/>
      </c>
      <c r="I111" s="3" t="str">
        <f>IF(H111="","",IF(H111&gt;=الإعدادات!B7,"ناجح","يحتاج إعادة تدريب"))</f>
        <v/>
      </c>
      <c r="J111" s="3"/>
      <c r="K111" s="3"/>
      <c r="L111" s="3"/>
    </row>
    <row r="112" spans="1:12" x14ac:dyDescent="0.2">
      <c r="A112" s="3" t="s">
        <v>258</v>
      </c>
      <c r="B112" s="3"/>
      <c r="C112" s="3" t="str">
        <f>IFERROR(VLOOKUP(B112,الخطة!A:O,4,FALSE),"")</f>
        <v/>
      </c>
      <c r="D112" s="3"/>
      <c r="E112" s="3" t="str">
        <f>IFERROR(VLOOKUP(D112,الموظفون!A:L,2,FALSE),"")</f>
        <v/>
      </c>
      <c r="F112" s="8"/>
      <c r="G112" s="8"/>
      <c r="H112" s="8" t="str">
        <f>IF(G112="","",G112)</f>
        <v/>
      </c>
      <c r="I112" s="3" t="str">
        <f>IF(H112="","",IF(H112&gt;=الإعدادات!B7,"ناجح","يحتاج إعادة تدريب"))</f>
        <v/>
      </c>
      <c r="J112" s="3"/>
      <c r="K112" s="3"/>
      <c r="L112" s="3"/>
    </row>
    <row r="113" spans="1:12" x14ac:dyDescent="0.2">
      <c r="A113" s="3" t="s">
        <v>259</v>
      </c>
      <c r="B113" s="3"/>
      <c r="C113" s="3" t="str">
        <f>IFERROR(VLOOKUP(B113,الخطة!A:O,4,FALSE),"")</f>
        <v/>
      </c>
      <c r="D113" s="3"/>
      <c r="E113" s="3" t="str">
        <f>IFERROR(VLOOKUP(D113,الموظفون!A:L,2,FALSE),"")</f>
        <v/>
      </c>
      <c r="F113" s="8"/>
      <c r="G113" s="8"/>
      <c r="H113" s="8" t="str">
        <f>IF(G113="","",G113)</f>
        <v/>
      </c>
      <c r="I113" s="3" t="str">
        <f>IF(H113="","",IF(H113&gt;=الإعدادات!B7,"ناجح","يحتاج إعادة تدريب"))</f>
        <v/>
      </c>
      <c r="J113" s="3"/>
      <c r="K113" s="3"/>
      <c r="L113" s="3"/>
    </row>
    <row r="114" spans="1:12" x14ac:dyDescent="0.2">
      <c r="A114" s="3" t="s">
        <v>260</v>
      </c>
      <c r="B114" s="3"/>
      <c r="C114" s="3" t="str">
        <f>IFERROR(VLOOKUP(B114,الخطة!A:O,4,FALSE),"")</f>
        <v/>
      </c>
      <c r="D114" s="3"/>
      <c r="E114" s="3" t="str">
        <f>IFERROR(VLOOKUP(D114,الموظفون!A:L,2,FALSE),"")</f>
        <v/>
      </c>
      <c r="F114" s="8"/>
      <c r="G114" s="8"/>
      <c r="H114" s="8" t="str">
        <f>IF(G114="","",G114)</f>
        <v/>
      </c>
      <c r="I114" s="3" t="str">
        <f>IF(H114="","",IF(H114&gt;=الإعدادات!B7,"ناجح","يحتاج إعادة تدريب"))</f>
        <v/>
      </c>
      <c r="J114" s="3"/>
      <c r="K114" s="3"/>
      <c r="L114" s="3"/>
    </row>
    <row r="115" spans="1:12" x14ac:dyDescent="0.2">
      <c r="A115" s="3" t="s">
        <v>261</v>
      </c>
      <c r="B115" s="3"/>
      <c r="C115" s="3" t="str">
        <f>IFERROR(VLOOKUP(B115,الخطة!A:O,4,FALSE),"")</f>
        <v/>
      </c>
      <c r="D115" s="3"/>
      <c r="E115" s="3" t="str">
        <f>IFERROR(VLOOKUP(D115,الموظفون!A:L,2,FALSE),"")</f>
        <v/>
      </c>
      <c r="F115" s="8"/>
      <c r="G115" s="8"/>
      <c r="H115" s="8" t="str">
        <f>IF(G115="","",G115)</f>
        <v/>
      </c>
      <c r="I115" s="3" t="str">
        <f>IF(H115="","",IF(H115&gt;=الإعدادات!B7,"ناجح","يحتاج إعادة تدريب"))</f>
        <v/>
      </c>
      <c r="J115" s="3"/>
      <c r="K115" s="3"/>
      <c r="L115" s="3"/>
    </row>
    <row r="116" spans="1:12" x14ac:dyDescent="0.2">
      <c r="A116" s="3" t="s">
        <v>262</v>
      </c>
      <c r="B116" s="3"/>
      <c r="C116" s="3" t="str">
        <f>IFERROR(VLOOKUP(B116,الخطة!A:O,4,FALSE),"")</f>
        <v/>
      </c>
      <c r="D116" s="3"/>
      <c r="E116" s="3" t="str">
        <f>IFERROR(VLOOKUP(D116,الموظفون!A:L,2,FALSE),"")</f>
        <v/>
      </c>
      <c r="F116" s="8"/>
      <c r="G116" s="8"/>
      <c r="H116" s="8" t="str">
        <f>IF(G116="","",G116)</f>
        <v/>
      </c>
      <c r="I116" s="3" t="str">
        <f>IF(H116="","",IF(H116&gt;=الإعدادات!B7,"ناجح","يحتاج إعادة تدريب"))</f>
        <v/>
      </c>
      <c r="J116" s="3"/>
      <c r="K116" s="3"/>
      <c r="L116" s="3"/>
    </row>
    <row r="117" spans="1:12" x14ac:dyDescent="0.2">
      <c r="A117" s="3" t="s">
        <v>263</v>
      </c>
      <c r="B117" s="3"/>
      <c r="C117" s="3" t="str">
        <f>IFERROR(VLOOKUP(B117,الخطة!A:O,4,FALSE),"")</f>
        <v/>
      </c>
      <c r="D117" s="3"/>
      <c r="E117" s="3" t="str">
        <f>IFERROR(VLOOKUP(D117,الموظفون!A:L,2,FALSE),"")</f>
        <v/>
      </c>
      <c r="F117" s="8"/>
      <c r="G117" s="8"/>
      <c r="H117" s="8" t="str">
        <f>IF(G117="","",G117)</f>
        <v/>
      </c>
      <c r="I117" s="3" t="str">
        <f>IF(H117="","",IF(H117&gt;=الإعدادات!B7,"ناجح","يحتاج إعادة تدريب"))</f>
        <v/>
      </c>
      <c r="J117" s="3"/>
      <c r="K117" s="3"/>
      <c r="L117" s="3"/>
    </row>
    <row r="118" spans="1:12" x14ac:dyDescent="0.2">
      <c r="A118" s="3" t="s">
        <v>264</v>
      </c>
      <c r="B118" s="3"/>
      <c r="C118" s="3" t="str">
        <f>IFERROR(VLOOKUP(B118,الخطة!A:O,4,FALSE),"")</f>
        <v/>
      </c>
      <c r="D118" s="3"/>
      <c r="E118" s="3" t="str">
        <f>IFERROR(VLOOKUP(D118,الموظفون!A:L,2,FALSE),"")</f>
        <v/>
      </c>
      <c r="F118" s="8"/>
      <c r="G118" s="8"/>
      <c r="H118" s="8" t="str">
        <f>IF(G118="","",G118)</f>
        <v/>
      </c>
      <c r="I118" s="3" t="str">
        <f>IF(H118="","",IF(H118&gt;=الإعدادات!B7,"ناجح","يحتاج إعادة تدريب"))</f>
        <v/>
      </c>
      <c r="J118" s="3"/>
      <c r="K118" s="3"/>
      <c r="L118" s="3"/>
    </row>
    <row r="119" spans="1:12" x14ac:dyDescent="0.2">
      <c r="A119" s="3" t="s">
        <v>265</v>
      </c>
      <c r="B119" s="3"/>
      <c r="C119" s="3" t="str">
        <f>IFERROR(VLOOKUP(B119,الخطة!A:O,4,FALSE),"")</f>
        <v/>
      </c>
      <c r="D119" s="3"/>
      <c r="E119" s="3" t="str">
        <f>IFERROR(VLOOKUP(D119,الموظفون!A:L,2,FALSE),"")</f>
        <v/>
      </c>
      <c r="F119" s="8"/>
      <c r="G119" s="8"/>
      <c r="H119" s="8" t="str">
        <f>IF(G119="","",G119)</f>
        <v/>
      </c>
      <c r="I119" s="3" t="str">
        <f>IF(H119="","",IF(H119&gt;=الإعدادات!B7,"ناجح","يحتاج إعادة تدريب"))</f>
        <v/>
      </c>
      <c r="J119" s="3"/>
      <c r="K119" s="3"/>
      <c r="L119" s="3"/>
    </row>
    <row r="120" spans="1:12" x14ac:dyDescent="0.2">
      <c r="A120" s="3" t="s">
        <v>266</v>
      </c>
      <c r="B120" s="3"/>
      <c r="C120" s="3" t="str">
        <f>IFERROR(VLOOKUP(B120,الخطة!A:O,4,FALSE),"")</f>
        <v/>
      </c>
      <c r="D120" s="3"/>
      <c r="E120" s="3" t="str">
        <f>IFERROR(VLOOKUP(D120,الموظفون!A:L,2,FALSE),"")</f>
        <v/>
      </c>
      <c r="F120" s="8"/>
      <c r="G120" s="8"/>
      <c r="H120" s="8" t="str">
        <f>IF(G120="","",G120)</f>
        <v/>
      </c>
      <c r="I120" s="3" t="str">
        <f>IF(H120="","",IF(H120&gt;=الإعدادات!B7,"ناجح","يحتاج إعادة تدريب"))</f>
        <v/>
      </c>
      <c r="J120" s="3"/>
      <c r="K120" s="3"/>
      <c r="L120" s="3"/>
    </row>
    <row r="121" spans="1:12" x14ac:dyDescent="0.2">
      <c r="A121" s="3" t="s">
        <v>267</v>
      </c>
      <c r="B121" s="3"/>
      <c r="C121" s="3" t="str">
        <f>IFERROR(VLOOKUP(B121,الخطة!A:O,4,FALSE),"")</f>
        <v/>
      </c>
      <c r="D121" s="3"/>
      <c r="E121" s="3" t="str">
        <f>IFERROR(VLOOKUP(D121,الموظفون!A:L,2,FALSE),"")</f>
        <v/>
      </c>
      <c r="F121" s="8"/>
      <c r="G121" s="8"/>
      <c r="H121" s="8" t="str">
        <f>IF(G121="","",G121)</f>
        <v/>
      </c>
      <c r="I121" s="3" t="str">
        <f>IF(H121="","",IF(H121&gt;=الإعدادات!B7,"ناجح","يحتاج إعادة تدريب"))</f>
        <v/>
      </c>
      <c r="J121" s="3"/>
      <c r="K121" s="3"/>
      <c r="L121" s="3"/>
    </row>
    <row r="122" spans="1:12" x14ac:dyDescent="0.2">
      <c r="A122" s="3" t="s">
        <v>268</v>
      </c>
      <c r="B122" s="3"/>
      <c r="C122" s="3" t="str">
        <f>IFERROR(VLOOKUP(B122,الخطة!A:O,4,FALSE),"")</f>
        <v/>
      </c>
      <c r="D122" s="3"/>
      <c r="E122" s="3" t="str">
        <f>IFERROR(VLOOKUP(D122,الموظفون!A:L,2,FALSE),"")</f>
        <v/>
      </c>
      <c r="F122" s="8"/>
      <c r="G122" s="8"/>
      <c r="H122" s="8" t="str">
        <f>IF(G122="","",G122)</f>
        <v/>
      </c>
      <c r="I122" s="3" t="str">
        <f>IF(H122="","",IF(H122&gt;=الإعدادات!B7,"ناجح","يحتاج إعادة تدريب"))</f>
        <v/>
      </c>
      <c r="J122" s="3"/>
      <c r="K122" s="3"/>
      <c r="L122" s="3"/>
    </row>
    <row r="123" spans="1:12" x14ac:dyDescent="0.2">
      <c r="A123" s="3" t="s">
        <v>269</v>
      </c>
      <c r="B123" s="3"/>
      <c r="C123" s="3" t="str">
        <f>IFERROR(VLOOKUP(B123,الخطة!A:O,4,FALSE),"")</f>
        <v/>
      </c>
      <c r="D123" s="3"/>
      <c r="E123" s="3" t="str">
        <f>IFERROR(VLOOKUP(D123,الموظفون!A:L,2,FALSE),"")</f>
        <v/>
      </c>
      <c r="F123" s="8"/>
      <c r="G123" s="8"/>
      <c r="H123" s="8" t="str">
        <f>IF(G123="","",G123)</f>
        <v/>
      </c>
      <c r="I123" s="3" t="str">
        <f>IF(H123="","",IF(H123&gt;=الإعدادات!B7,"ناجح","يحتاج إعادة تدريب"))</f>
        <v/>
      </c>
      <c r="J123" s="3"/>
      <c r="K123" s="3"/>
      <c r="L123" s="3"/>
    </row>
    <row r="124" spans="1:12" x14ac:dyDescent="0.2">
      <c r="A124" s="3" t="s">
        <v>270</v>
      </c>
      <c r="B124" s="3"/>
      <c r="C124" s="3" t="str">
        <f>IFERROR(VLOOKUP(B124,الخطة!A:O,4,FALSE),"")</f>
        <v/>
      </c>
      <c r="D124" s="3"/>
      <c r="E124" s="3" t="str">
        <f>IFERROR(VLOOKUP(D124,الموظفون!A:L,2,FALSE),"")</f>
        <v/>
      </c>
      <c r="F124" s="8"/>
      <c r="G124" s="8"/>
      <c r="H124" s="8" t="str">
        <f>IF(G124="","",G124)</f>
        <v/>
      </c>
      <c r="I124" s="3" t="str">
        <f>IF(H124="","",IF(H124&gt;=الإعدادات!B7,"ناجح","يحتاج إعادة تدريب"))</f>
        <v/>
      </c>
      <c r="J124" s="3"/>
      <c r="K124" s="3"/>
      <c r="L124" s="3"/>
    </row>
    <row r="125" spans="1:12" x14ac:dyDescent="0.2">
      <c r="A125" s="3" t="s">
        <v>271</v>
      </c>
      <c r="B125" s="3"/>
      <c r="C125" s="3" t="str">
        <f>IFERROR(VLOOKUP(B125,الخطة!A:O,4,FALSE),"")</f>
        <v/>
      </c>
      <c r="D125" s="3"/>
      <c r="E125" s="3" t="str">
        <f>IFERROR(VLOOKUP(D125,الموظفون!A:L,2,FALSE),"")</f>
        <v/>
      </c>
      <c r="F125" s="8"/>
      <c r="G125" s="8"/>
      <c r="H125" s="8" t="str">
        <f>IF(G125="","",G125)</f>
        <v/>
      </c>
      <c r="I125" s="3" t="str">
        <f>IF(H125="","",IF(H125&gt;=الإعدادات!B7,"ناجح","يحتاج إعادة تدريب"))</f>
        <v/>
      </c>
      <c r="J125" s="3"/>
      <c r="K125" s="3"/>
      <c r="L125" s="3"/>
    </row>
    <row r="126" spans="1:12" x14ac:dyDescent="0.2">
      <c r="A126" s="3" t="s">
        <v>272</v>
      </c>
      <c r="B126" s="3"/>
      <c r="C126" s="3" t="str">
        <f>IFERROR(VLOOKUP(B126,الخطة!A:O,4,FALSE),"")</f>
        <v/>
      </c>
      <c r="D126" s="3"/>
      <c r="E126" s="3" t="str">
        <f>IFERROR(VLOOKUP(D126,الموظفون!A:L,2,FALSE),"")</f>
        <v/>
      </c>
      <c r="F126" s="8"/>
      <c r="G126" s="8"/>
      <c r="H126" s="8" t="str">
        <f>IF(G126="","",G126)</f>
        <v/>
      </c>
      <c r="I126" s="3" t="str">
        <f>IF(H126="","",IF(H126&gt;=الإعدادات!B7,"ناجح","يحتاج إعادة تدريب"))</f>
        <v/>
      </c>
      <c r="J126" s="3"/>
      <c r="K126" s="3"/>
      <c r="L126" s="3"/>
    </row>
    <row r="127" spans="1:12" x14ac:dyDescent="0.2">
      <c r="A127" s="3" t="s">
        <v>273</v>
      </c>
      <c r="B127" s="3"/>
      <c r="C127" s="3" t="str">
        <f>IFERROR(VLOOKUP(B127,الخطة!A:O,4,FALSE),"")</f>
        <v/>
      </c>
      <c r="D127" s="3"/>
      <c r="E127" s="3" t="str">
        <f>IFERROR(VLOOKUP(D127,الموظفون!A:L,2,FALSE),"")</f>
        <v/>
      </c>
      <c r="F127" s="8"/>
      <c r="G127" s="8"/>
      <c r="H127" s="8" t="str">
        <f>IF(G127="","",G127)</f>
        <v/>
      </c>
      <c r="I127" s="3" t="str">
        <f>IF(H127="","",IF(H127&gt;=الإعدادات!B7,"ناجح","يحتاج إعادة تدريب"))</f>
        <v/>
      </c>
      <c r="J127" s="3"/>
      <c r="K127" s="3"/>
      <c r="L127" s="3"/>
    </row>
    <row r="128" spans="1:12" x14ac:dyDescent="0.2">
      <c r="A128" s="3" t="s">
        <v>274</v>
      </c>
      <c r="B128" s="3"/>
      <c r="C128" s="3" t="str">
        <f>IFERROR(VLOOKUP(B128,الخطة!A:O,4,FALSE),"")</f>
        <v/>
      </c>
      <c r="D128" s="3"/>
      <c r="E128" s="3" t="str">
        <f>IFERROR(VLOOKUP(D128,الموظفون!A:L,2,FALSE),"")</f>
        <v/>
      </c>
      <c r="F128" s="8"/>
      <c r="G128" s="8"/>
      <c r="H128" s="8" t="str">
        <f>IF(G128="","",G128)</f>
        <v/>
      </c>
      <c r="I128" s="3" t="str">
        <f>IF(H128="","",IF(H128&gt;=الإعدادات!B7,"ناجح","يحتاج إعادة تدريب"))</f>
        <v/>
      </c>
      <c r="J128" s="3"/>
      <c r="K128" s="3"/>
      <c r="L128" s="3"/>
    </row>
    <row r="129" spans="1:12" x14ac:dyDescent="0.2">
      <c r="A129" s="3" t="s">
        <v>275</v>
      </c>
      <c r="B129" s="3"/>
      <c r="C129" s="3" t="str">
        <f>IFERROR(VLOOKUP(B129,الخطة!A:O,4,FALSE),"")</f>
        <v/>
      </c>
      <c r="D129" s="3"/>
      <c r="E129" s="3" t="str">
        <f>IFERROR(VLOOKUP(D129,الموظفون!A:L,2,FALSE),"")</f>
        <v/>
      </c>
      <c r="F129" s="8"/>
      <c r="G129" s="8"/>
      <c r="H129" s="8" t="str">
        <f>IF(G129="","",G129)</f>
        <v/>
      </c>
      <c r="I129" s="3" t="str">
        <f>IF(H129="","",IF(H129&gt;=الإعدادات!B7,"ناجح","يحتاج إعادة تدريب"))</f>
        <v/>
      </c>
      <c r="J129" s="3"/>
      <c r="K129" s="3"/>
      <c r="L129" s="3"/>
    </row>
    <row r="130" spans="1:12" x14ac:dyDescent="0.2">
      <c r="A130" s="3" t="s">
        <v>276</v>
      </c>
      <c r="B130" s="3"/>
      <c r="C130" s="3" t="str">
        <f>IFERROR(VLOOKUP(B130,الخطة!A:O,4,FALSE),"")</f>
        <v/>
      </c>
      <c r="D130" s="3"/>
      <c r="E130" s="3" t="str">
        <f>IFERROR(VLOOKUP(D130,الموظفون!A:L,2,FALSE),"")</f>
        <v/>
      </c>
      <c r="F130" s="8"/>
      <c r="G130" s="8"/>
      <c r="H130" s="8" t="str">
        <f>IF(G130="","",G130)</f>
        <v/>
      </c>
      <c r="I130" s="3" t="str">
        <f>IF(H130="","",IF(H130&gt;=الإعدادات!B7,"ناجح","يحتاج إعادة تدريب"))</f>
        <v/>
      </c>
      <c r="J130" s="3"/>
      <c r="K130" s="3"/>
      <c r="L130" s="3"/>
    </row>
    <row r="131" spans="1:12" x14ac:dyDescent="0.2">
      <c r="A131" s="3" t="s">
        <v>277</v>
      </c>
      <c r="B131" s="3"/>
      <c r="C131" s="3" t="str">
        <f>IFERROR(VLOOKUP(B131,الخطة!A:O,4,FALSE),"")</f>
        <v/>
      </c>
      <c r="D131" s="3"/>
      <c r="E131" s="3" t="str">
        <f>IFERROR(VLOOKUP(D131,الموظفون!A:L,2,FALSE),"")</f>
        <v/>
      </c>
      <c r="F131" s="8"/>
      <c r="G131" s="8"/>
      <c r="H131" s="8" t="str">
        <f>IF(G131="","",G131)</f>
        <v/>
      </c>
      <c r="I131" s="3" t="str">
        <f>IF(H131="","",IF(H131&gt;=الإعدادات!B7,"ناجح","يحتاج إعادة تدريب"))</f>
        <v/>
      </c>
      <c r="J131" s="3"/>
      <c r="K131" s="3"/>
      <c r="L131" s="3"/>
    </row>
    <row r="132" spans="1:12" x14ac:dyDescent="0.2">
      <c r="A132" s="3" t="s">
        <v>278</v>
      </c>
      <c r="B132" s="3"/>
      <c r="C132" s="3" t="str">
        <f>IFERROR(VLOOKUP(B132,الخطة!A:O,4,FALSE),"")</f>
        <v/>
      </c>
      <c r="D132" s="3"/>
      <c r="E132" s="3" t="str">
        <f>IFERROR(VLOOKUP(D132,الموظفون!A:L,2,FALSE),"")</f>
        <v/>
      </c>
      <c r="F132" s="8"/>
      <c r="G132" s="8"/>
      <c r="H132" s="8" t="str">
        <f>IF(G132="","",G132)</f>
        <v/>
      </c>
      <c r="I132" s="3" t="str">
        <f>IF(H132="","",IF(H132&gt;=الإعدادات!B7,"ناجح","يحتاج إعادة تدريب"))</f>
        <v/>
      </c>
      <c r="J132" s="3"/>
      <c r="K132" s="3"/>
      <c r="L132" s="3"/>
    </row>
    <row r="133" spans="1:12" x14ac:dyDescent="0.2">
      <c r="A133" s="3" t="s">
        <v>279</v>
      </c>
      <c r="B133" s="3"/>
      <c r="C133" s="3" t="str">
        <f>IFERROR(VLOOKUP(B133,الخطة!A:O,4,FALSE),"")</f>
        <v/>
      </c>
      <c r="D133" s="3"/>
      <c r="E133" s="3" t="str">
        <f>IFERROR(VLOOKUP(D133,الموظفون!A:L,2,FALSE),"")</f>
        <v/>
      </c>
      <c r="F133" s="8"/>
      <c r="G133" s="8"/>
      <c r="H133" s="8" t="str">
        <f>IF(G133="","",G133)</f>
        <v/>
      </c>
      <c r="I133" s="3" t="str">
        <f>IF(H133="","",IF(H133&gt;=الإعدادات!B7,"ناجح","يحتاج إعادة تدريب"))</f>
        <v/>
      </c>
      <c r="J133" s="3"/>
      <c r="K133" s="3"/>
      <c r="L133" s="3"/>
    </row>
    <row r="134" spans="1:12" x14ac:dyDescent="0.2">
      <c r="A134" s="3" t="s">
        <v>280</v>
      </c>
      <c r="B134" s="3"/>
      <c r="C134" s="3" t="str">
        <f>IFERROR(VLOOKUP(B134,الخطة!A:O,4,FALSE),"")</f>
        <v/>
      </c>
      <c r="D134" s="3"/>
      <c r="E134" s="3" t="str">
        <f>IFERROR(VLOOKUP(D134,الموظفون!A:L,2,FALSE),"")</f>
        <v/>
      </c>
      <c r="F134" s="8"/>
      <c r="G134" s="8"/>
      <c r="H134" s="8" t="str">
        <f>IF(G134="","",G134)</f>
        <v/>
      </c>
      <c r="I134" s="3" t="str">
        <f>IF(H134="","",IF(H134&gt;=الإعدادات!B7,"ناجح","يحتاج إعادة تدريب"))</f>
        <v/>
      </c>
      <c r="J134" s="3"/>
      <c r="K134" s="3"/>
      <c r="L134" s="3"/>
    </row>
    <row r="135" spans="1:12" x14ac:dyDescent="0.2">
      <c r="A135" s="3" t="s">
        <v>281</v>
      </c>
      <c r="B135" s="3"/>
      <c r="C135" s="3" t="str">
        <f>IFERROR(VLOOKUP(B135,الخطة!A:O,4,FALSE),"")</f>
        <v/>
      </c>
      <c r="D135" s="3"/>
      <c r="E135" s="3" t="str">
        <f>IFERROR(VLOOKUP(D135,الموظفون!A:L,2,FALSE),"")</f>
        <v/>
      </c>
      <c r="F135" s="8"/>
      <c r="G135" s="8"/>
      <c r="H135" s="8" t="str">
        <f>IF(G135="","",G135)</f>
        <v/>
      </c>
      <c r="I135" s="3" t="str">
        <f>IF(H135="","",IF(H135&gt;=الإعدادات!B7,"ناجح","يحتاج إعادة تدريب"))</f>
        <v/>
      </c>
      <c r="J135" s="3"/>
      <c r="K135" s="3"/>
      <c r="L135" s="3"/>
    </row>
    <row r="136" spans="1:12" x14ac:dyDescent="0.2">
      <c r="A136" s="3" t="s">
        <v>282</v>
      </c>
      <c r="B136" s="3"/>
      <c r="C136" s="3" t="str">
        <f>IFERROR(VLOOKUP(B136,الخطة!A:O,4,FALSE),"")</f>
        <v/>
      </c>
      <c r="D136" s="3"/>
      <c r="E136" s="3" t="str">
        <f>IFERROR(VLOOKUP(D136,الموظفون!A:L,2,FALSE),"")</f>
        <v/>
      </c>
      <c r="F136" s="8"/>
      <c r="G136" s="8"/>
      <c r="H136" s="8" t="str">
        <f>IF(G136="","",G136)</f>
        <v/>
      </c>
      <c r="I136" s="3" t="str">
        <f>IF(H136="","",IF(H136&gt;=الإعدادات!B7,"ناجح","يحتاج إعادة تدريب"))</f>
        <v/>
      </c>
      <c r="J136" s="3"/>
      <c r="K136" s="3"/>
      <c r="L136" s="3"/>
    </row>
    <row r="137" spans="1:12" x14ac:dyDescent="0.2">
      <c r="A137" s="3" t="s">
        <v>283</v>
      </c>
      <c r="B137" s="3"/>
      <c r="C137" s="3" t="str">
        <f>IFERROR(VLOOKUP(B137,الخطة!A:O,4,FALSE),"")</f>
        <v/>
      </c>
      <c r="D137" s="3"/>
      <c r="E137" s="3" t="str">
        <f>IFERROR(VLOOKUP(D137,الموظفون!A:L,2,FALSE),"")</f>
        <v/>
      </c>
      <c r="F137" s="8"/>
      <c r="G137" s="8"/>
      <c r="H137" s="8" t="str">
        <f>IF(G137="","",G137)</f>
        <v/>
      </c>
      <c r="I137" s="3" t="str">
        <f>IF(H137="","",IF(H137&gt;=الإعدادات!B7,"ناجح","يحتاج إعادة تدريب"))</f>
        <v/>
      </c>
      <c r="J137" s="3"/>
      <c r="K137" s="3"/>
      <c r="L137" s="3"/>
    </row>
    <row r="138" spans="1:12" x14ac:dyDescent="0.2">
      <c r="A138" s="3" t="s">
        <v>284</v>
      </c>
      <c r="B138" s="3"/>
      <c r="C138" s="3" t="str">
        <f>IFERROR(VLOOKUP(B138,الخطة!A:O,4,FALSE),"")</f>
        <v/>
      </c>
      <c r="D138" s="3"/>
      <c r="E138" s="3" t="str">
        <f>IFERROR(VLOOKUP(D138,الموظفون!A:L,2,FALSE),"")</f>
        <v/>
      </c>
      <c r="F138" s="8"/>
      <c r="G138" s="8"/>
      <c r="H138" s="8" t="str">
        <f>IF(G138="","",G138)</f>
        <v/>
      </c>
      <c r="I138" s="3" t="str">
        <f>IF(H138="","",IF(H138&gt;=الإعدادات!B7,"ناجح","يحتاج إعادة تدريب"))</f>
        <v/>
      </c>
      <c r="J138" s="3"/>
      <c r="K138" s="3"/>
      <c r="L138" s="3"/>
    </row>
    <row r="139" spans="1:12" x14ac:dyDescent="0.2">
      <c r="A139" s="3" t="s">
        <v>285</v>
      </c>
      <c r="B139" s="3"/>
      <c r="C139" s="3" t="str">
        <f>IFERROR(VLOOKUP(B139,الخطة!A:O,4,FALSE),"")</f>
        <v/>
      </c>
      <c r="D139" s="3"/>
      <c r="E139" s="3" t="str">
        <f>IFERROR(VLOOKUP(D139,الموظفون!A:L,2,FALSE),"")</f>
        <v/>
      </c>
      <c r="F139" s="8"/>
      <c r="G139" s="8"/>
      <c r="H139" s="8" t="str">
        <f>IF(G139="","",G139)</f>
        <v/>
      </c>
      <c r="I139" s="3" t="str">
        <f>IF(H139="","",IF(H139&gt;=الإعدادات!B7,"ناجح","يحتاج إعادة تدريب"))</f>
        <v/>
      </c>
      <c r="J139" s="3"/>
      <c r="K139" s="3"/>
      <c r="L139" s="3"/>
    </row>
    <row r="140" spans="1:12" x14ac:dyDescent="0.2">
      <c r="A140" s="3" t="s">
        <v>286</v>
      </c>
      <c r="B140" s="3"/>
      <c r="C140" s="3" t="str">
        <f>IFERROR(VLOOKUP(B140,الخطة!A:O,4,FALSE),"")</f>
        <v/>
      </c>
      <c r="D140" s="3"/>
      <c r="E140" s="3" t="str">
        <f>IFERROR(VLOOKUP(D140,الموظفون!A:L,2,FALSE),"")</f>
        <v/>
      </c>
      <c r="F140" s="8"/>
      <c r="G140" s="8"/>
      <c r="H140" s="8" t="str">
        <f>IF(G140="","",G140)</f>
        <v/>
      </c>
      <c r="I140" s="3" t="str">
        <f>IF(H140="","",IF(H140&gt;=الإعدادات!B7,"ناجح","يحتاج إعادة تدريب"))</f>
        <v/>
      </c>
      <c r="J140" s="3"/>
      <c r="K140" s="3"/>
      <c r="L140" s="3"/>
    </row>
    <row r="141" spans="1:12" x14ac:dyDescent="0.2">
      <c r="A141" s="3" t="s">
        <v>287</v>
      </c>
      <c r="B141" s="3"/>
      <c r="C141" s="3" t="str">
        <f>IFERROR(VLOOKUP(B141,الخطة!A:O,4,FALSE),"")</f>
        <v/>
      </c>
      <c r="D141" s="3"/>
      <c r="E141" s="3" t="str">
        <f>IFERROR(VLOOKUP(D141,الموظفون!A:L,2,FALSE),"")</f>
        <v/>
      </c>
      <c r="F141" s="8"/>
      <c r="G141" s="8"/>
      <c r="H141" s="8" t="str">
        <f>IF(G141="","",G141)</f>
        <v/>
      </c>
      <c r="I141" s="3" t="str">
        <f>IF(H141="","",IF(H141&gt;=الإعدادات!B7,"ناجح","يحتاج إعادة تدريب"))</f>
        <v/>
      </c>
      <c r="J141" s="3"/>
      <c r="K141" s="3"/>
      <c r="L141" s="3"/>
    </row>
    <row r="142" spans="1:12" x14ac:dyDescent="0.2">
      <c r="A142" s="3" t="s">
        <v>288</v>
      </c>
      <c r="B142" s="3"/>
      <c r="C142" s="3" t="str">
        <f>IFERROR(VLOOKUP(B142,الخطة!A:O,4,FALSE),"")</f>
        <v/>
      </c>
      <c r="D142" s="3"/>
      <c r="E142" s="3" t="str">
        <f>IFERROR(VLOOKUP(D142,الموظفون!A:L,2,FALSE),"")</f>
        <v/>
      </c>
      <c r="F142" s="8"/>
      <c r="G142" s="8"/>
      <c r="H142" s="8" t="str">
        <f>IF(G142="","",G142)</f>
        <v/>
      </c>
      <c r="I142" s="3" t="str">
        <f>IF(H142="","",IF(H142&gt;=الإعدادات!B7,"ناجح","يحتاج إعادة تدريب"))</f>
        <v/>
      </c>
      <c r="J142" s="3"/>
      <c r="K142" s="3"/>
      <c r="L142" s="3"/>
    </row>
    <row r="143" spans="1:12" x14ac:dyDescent="0.2">
      <c r="A143" s="3" t="s">
        <v>289</v>
      </c>
      <c r="B143" s="3"/>
      <c r="C143" s="3" t="str">
        <f>IFERROR(VLOOKUP(B143,الخطة!A:O,4,FALSE),"")</f>
        <v/>
      </c>
      <c r="D143" s="3"/>
      <c r="E143" s="3" t="str">
        <f>IFERROR(VLOOKUP(D143,الموظفون!A:L,2,FALSE),"")</f>
        <v/>
      </c>
      <c r="F143" s="8"/>
      <c r="G143" s="8"/>
      <c r="H143" s="8" t="str">
        <f>IF(G143="","",G143)</f>
        <v/>
      </c>
      <c r="I143" s="3" t="str">
        <f>IF(H143="","",IF(H143&gt;=الإعدادات!B7,"ناجح","يحتاج إعادة تدريب"))</f>
        <v/>
      </c>
      <c r="J143" s="3"/>
      <c r="K143" s="3"/>
      <c r="L143" s="3"/>
    </row>
    <row r="144" spans="1:12" x14ac:dyDescent="0.2">
      <c r="A144" s="3" t="s">
        <v>290</v>
      </c>
      <c r="B144" s="3"/>
      <c r="C144" s="3" t="str">
        <f>IFERROR(VLOOKUP(B144,الخطة!A:O,4,FALSE),"")</f>
        <v/>
      </c>
      <c r="D144" s="3"/>
      <c r="E144" s="3" t="str">
        <f>IFERROR(VLOOKUP(D144,الموظفون!A:L,2,FALSE),"")</f>
        <v/>
      </c>
      <c r="F144" s="8"/>
      <c r="G144" s="8"/>
      <c r="H144" s="8" t="str">
        <f>IF(G144="","",G144)</f>
        <v/>
      </c>
      <c r="I144" s="3" t="str">
        <f>IF(H144="","",IF(H144&gt;=الإعدادات!B7,"ناجح","يحتاج إعادة تدريب"))</f>
        <v/>
      </c>
      <c r="J144" s="3"/>
      <c r="K144" s="3"/>
      <c r="L144" s="3"/>
    </row>
    <row r="145" spans="1:12" x14ac:dyDescent="0.2">
      <c r="A145" s="3" t="s">
        <v>291</v>
      </c>
      <c r="B145" s="3"/>
      <c r="C145" s="3" t="str">
        <f>IFERROR(VLOOKUP(B145,الخطة!A:O,4,FALSE),"")</f>
        <v/>
      </c>
      <c r="D145" s="3"/>
      <c r="E145" s="3" t="str">
        <f>IFERROR(VLOOKUP(D145,الموظفون!A:L,2,FALSE),"")</f>
        <v/>
      </c>
      <c r="F145" s="8"/>
      <c r="G145" s="8"/>
      <c r="H145" s="8" t="str">
        <f>IF(G145="","",G145)</f>
        <v/>
      </c>
      <c r="I145" s="3" t="str">
        <f>IF(H145="","",IF(H145&gt;=الإعدادات!B7,"ناجح","يحتاج إعادة تدريب"))</f>
        <v/>
      </c>
      <c r="J145" s="3"/>
      <c r="K145" s="3"/>
      <c r="L145" s="3"/>
    </row>
    <row r="146" spans="1:12" x14ac:dyDescent="0.2">
      <c r="A146" s="3" t="s">
        <v>292</v>
      </c>
      <c r="B146" s="3"/>
      <c r="C146" s="3" t="str">
        <f>IFERROR(VLOOKUP(B146,الخطة!A:O,4,FALSE),"")</f>
        <v/>
      </c>
      <c r="D146" s="3"/>
      <c r="E146" s="3" t="str">
        <f>IFERROR(VLOOKUP(D146,الموظفون!A:L,2,FALSE),"")</f>
        <v/>
      </c>
      <c r="F146" s="8"/>
      <c r="G146" s="8"/>
      <c r="H146" s="8" t="str">
        <f>IF(G146="","",G146)</f>
        <v/>
      </c>
      <c r="I146" s="3" t="str">
        <f>IF(H146="","",IF(H146&gt;=الإعدادات!B7,"ناجح","يحتاج إعادة تدريب"))</f>
        <v/>
      </c>
      <c r="J146" s="3"/>
      <c r="K146" s="3"/>
      <c r="L146" s="3"/>
    </row>
    <row r="147" spans="1:12" x14ac:dyDescent="0.2">
      <c r="A147" s="3" t="s">
        <v>293</v>
      </c>
      <c r="B147" s="3"/>
      <c r="C147" s="3" t="str">
        <f>IFERROR(VLOOKUP(B147,الخطة!A:O,4,FALSE),"")</f>
        <v/>
      </c>
      <c r="D147" s="3"/>
      <c r="E147" s="3" t="str">
        <f>IFERROR(VLOOKUP(D147,الموظفون!A:L,2,FALSE),"")</f>
        <v/>
      </c>
      <c r="F147" s="8"/>
      <c r="G147" s="8"/>
      <c r="H147" s="8" t="str">
        <f>IF(G147="","",G147)</f>
        <v/>
      </c>
      <c r="I147" s="3" t="str">
        <f>IF(H147="","",IF(H147&gt;=الإعدادات!B7,"ناجح","يحتاج إعادة تدريب"))</f>
        <v/>
      </c>
      <c r="J147" s="3"/>
      <c r="K147" s="3"/>
      <c r="L147" s="3"/>
    </row>
    <row r="148" spans="1:12" x14ac:dyDescent="0.2">
      <c r="A148" s="3" t="s">
        <v>294</v>
      </c>
      <c r="B148" s="3"/>
      <c r="C148" s="3" t="str">
        <f>IFERROR(VLOOKUP(B148,الخطة!A:O,4,FALSE),"")</f>
        <v/>
      </c>
      <c r="D148" s="3"/>
      <c r="E148" s="3" t="str">
        <f>IFERROR(VLOOKUP(D148,الموظفون!A:L,2,FALSE),"")</f>
        <v/>
      </c>
      <c r="F148" s="8"/>
      <c r="G148" s="8"/>
      <c r="H148" s="8" t="str">
        <f>IF(G148="","",G148)</f>
        <v/>
      </c>
      <c r="I148" s="3" t="str">
        <f>IF(H148="","",IF(H148&gt;=الإعدادات!B7,"ناجح","يحتاج إعادة تدريب"))</f>
        <v/>
      </c>
      <c r="J148" s="3"/>
      <c r="K148" s="3"/>
      <c r="L148" s="3"/>
    </row>
    <row r="149" spans="1:12" x14ac:dyDescent="0.2">
      <c r="A149" s="3" t="s">
        <v>295</v>
      </c>
      <c r="B149" s="3"/>
      <c r="C149" s="3" t="str">
        <f>IFERROR(VLOOKUP(B149,الخطة!A:O,4,FALSE),"")</f>
        <v/>
      </c>
      <c r="D149" s="3"/>
      <c r="E149" s="3" t="str">
        <f>IFERROR(VLOOKUP(D149,الموظفون!A:L,2,FALSE),"")</f>
        <v/>
      </c>
      <c r="F149" s="8"/>
      <c r="G149" s="8"/>
      <c r="H149" s="8" t="str">
        <f>IF(G149="","",G149)</f>
        <v/>
      </c>
      <c r="I149" s="3" t="str">
        <f>IF(H149="","",IF(H149&gt;=الإعدادات!B7,"ناجح","يحتاج إعادة تدريب"))</f>
        <v/>
      </c>
      <c r="J149" s="3"/>
      <c r="K149" s="3"/>
      <c r="L149" s="3"/>
    </row>
    <row r="150" spans="1:12" x14ac:dyDescent="0.2">
      <c r="A150" s="3" t="s">
        <v>296</v>
      </c>
      <c r="B150" s="3"/>
      <c r="C150" s="3" t="str">
        <f>IFERROR(VLOOKUP(B150,الخطة!A:O,4,FALSE),"")</f>
        <v/>
      </c>
      <c r="D150" s="3"/>
      <c r="E150" s="3" t="str">
        <f>IFERROR(VLOOKUP(D150,الموظفون!A:L,2,FALSE),"")</f>
        <v/>
      </c>
      <c r="F150" s="8"/>
      <c r="G150" s="8"/>
      <c r="H150" s="8" t="str">
        <f>IF(G150="","",G150)</f>
        <v/>
      </c>
      <c r="I150" s="3" t="str">
        <f>IF(H150="","",IF(H150&gt;=الإعدادات!B7,"ناجح","يحتاج إعادة تدريب"))</f>
        <v/>
      </c>
      <c r="J150" s="3"/>
      <c r="K150" s="3"/>
      <c r="L150" s="3"/>
    </row>
    <row r="151" spans="1:12" x14ac:dyDescent="0.2">
      <c r="A151" s="3" t="s">
        <v>297</v>
      </c>
      <c r="B151" s="3"/>
      <c r="C151" s="3" t="str">
        <f>IFERROR(VLOOKUP(B151,الخطة!A:O,4,FALSE),"")</f>
        <v/>
      </c>
      <c r="D151" s="3"/>
      <c r="E151" s="3" t="str">
        <f>IFERROR(VLOOKUP(D151,الموظفون!A:L,2,FALSE),"")</f>
        <v/>
      </c>
      <c r="F151" s="8"/>
      <c r="G151" s="8"/>
      <c r="H151" s="8" t="str">
        <f>IF(G151="","",G151)</f>
        <v/>
      </c>
      <c r="I151" s="3" t="str">
        <f>IF(H151="","",IF(H151&gt;=الإعدادات!B7,"ناجح","يحتاج إعادة تدريب"))</f>
        <v/>
      </c>
      <c r="J151" s="3"/>
      <c r="K151" s="3"/>
      <c r="L151" s="3"/>
    </row>
    <row r="152" spans="1:12" x14ac:dyDescent="0.2">
      <c r="A152" s="3" t="s">
        <v>298</v>
      </c>
      <c r="B152" s="3"/>
      <c r="C152" s="3" t="str">
        <f>IFERROR(VLOOKUP(B152,الخطة!A:O,4,FALSE),"")</f>
        <v/>
      </c>
      <c r="D152" s="3"/>
      <c r="E152" s="3" t="str">
        <f>IFERROR(VLOOKUP(D152,الموظفون!A:L,2,FALSE),"")</f>
        <v/>
      </c>
      <c r="F152" s="8"/>
      <c r="G152" s="8"/>
      <c r="H152" s="8" t="str">
        <f>IF(G152="","",G152)</f>
        <v/>
      </c>
      <c r="I152" s="3" t="str">
        <f>IF(H152="","",IF(H152&gt;=الإعدادات!B7,"ناجح","يحتاج إعادة تدريب"))</f>
        <v/>
      </c>
      <c r="J152" s="3"/>
      <c r="K152" s="3"/>
      <c r="L152" s="3"/>
    </row>
    <row r="153" spans="1:12" x14ac:dyDescent="0.2">
      <c r="A153" s="3" t="s">
        <v>299</v>
      </c>
      <c r="B153" s="3"/>
      <c r="C153" s="3" t="str">
        <f>IFERROR(VLOOKUP(B153,الخطة!A:O,4,FALSE),"")</f>
        <v/>
      </c>
      <c r="D153" s="3"/>
      <c r="E153" s="3" t="str">
        <f>IFERROR(VLOOKUP(D153,الموظفون!A:L,2,FALSE),"")</f>
        <v/>
      </c>
      <c r="F153" s="8"/>
      <c r="G153" s="8"/>
      <c r="H153" s="8" t="str">
        <f>IF(G153="","",G153)</f>
        <v/>
      </c>
      <c r="I153" s="3" t="str">
        <f>IF(H153="","",IF(H153&gt;=الإعدادات!B7,"ناجح","يحتاج إعادة تدريب"))</f>
        <v/>
      </c>
      <c r="J153" s="3"/>
      <c r="K153" s="3"/>
      <c r="L153" s="3"/>
    </row>
    <row r="154" spans="1:12" x14ac:dyDescent="0.2">
      <c r="A154" s="3" t="s">
        <v>300</v>
      </c>
      <c r="B154" s="3"/>
      <c r="C154" s="3" t="str">
        <f>IFERROR(VLOOKUP(B154,الخطة!A:O,4,FALSE),"")</f>
        <v/>
      </c>
      <c r="D154" s="3"/>
      <c r="E154" s="3" t="str">
        <f>IFERROR(VLOOKUP(D154,الموظفون!A:L,2,FALSE),"")</f>
        <v/>
      </c>
      <c r="F154" s="8"/>
      <c r="G154" s="8"/>
      <c r="H154" s="8" t="str">
        <f>IF(G154="","",G154)</f>
        <v/>
      </c>
      <c r="I154" s="3" t="str">
        <f>IF(H154="","",IF(H154&gt;=الإعدادات!B7,"ناجح","يحتاج إعادة تدريب"))</f>
        <v/>
      </c>
      <c r="J154" s="3"/>
      <c r="K154" s="3"/>
      <c r="L154" s="3"/>
    </row>
    <row r="155" spans="1:12" x14ac:dyDescent="0.2">
      <c r="A155" s="3" t="s">
        <v>301</v>
      </c>
      <c r="B155" s="3"/>
      <c r="C155" s="3" t="str">
        <f>IFERROR(VLOOKUP(B155,الخطة!A:O,4,FALSE),"")</f>
        <v/>
      </c>
      <c r="D155" s="3"/>
      <c r="E155" s="3" t="str">
        <f>IFERROR(VLOOKUP(D155,الموظفون!A:L,2,FALSE),"")</f>
        <v/>
      </c>
      <c r="F155" s="8"/>
      <c r="G155" s="8"/>
      <c r="H155" s="8" t="str">
        <f>IF(G155="","",G155)</f>
        <v/>
      </c>
      <c r="I155" s="3" t="str">
        <f>IF(H155="","",IF(H155&gt;=الإعدادات!B7,"ناجح","يحتاج إعادة تدريب"))</f>
        <v/>
      </c>
      <c r="J155" s="3"/>
      <c r="K155" s="3"/>
      <c r="L155" s="3"/>
    </row>
    <row r="156" spans="1:12" x14ac:dyDescent="0.2">
      <c r="A156" s="3" t="s">
        <v>302</v>
      </c>
      <c r="B156" s="3"/>
      <c r="C156" s="3" t="str">
        <f>IFERROR(VLOOKUP(B156,الخطة!A:O,4,FALSE),"")</f>
        <v/>
      </c>
      <c r="D156" s="3"/>
      <c r="E156" s="3" t="str">
        <f>IFERROR(VLOOKUP(D156,الموظفون!A:L,2,FALSE),"")</f>
        <v/>
      </c>
      <c r="F156" s="8"/>
      <c r="G156" s="8"/>
      <c r="H156" s="8" t="str">
        <f>IF(G156="","",G156)</f>
        <v/>
      </c>
      <c r="I156" s="3" t="str">
        <f>IF(H156="","",IF(H156&gt;=الإعدادات!B7,"ناجح","يحتاج إعادة تدريب"))</f>
        <v/>
      </c>
      <c r="J156" s="3"/>
      <c r="K156" s="3"/>
      <c r="L156" s="3"/>
    </row>
    <row r="157" spans="1:12" x14ac:dyDescent="0.2">
      <c r="A157" s="3" t="s">
        <v>303</v>
      </c>
      <c r="B157" s="3"/>
      <c r="C157" s="3" t="str">
        <f>IFERROR(VLOOKUP(B157,الخطة!A:O,4,FALSE),"")</f>
        <v/>
      </c>
      <c r="D157" s="3"/>
      <c r="E157" s="3" t="str">
        <f>IFERROR(VLOOKUP(D157,الموظفون!A:L,2,FALSE),"")</f>
        <v/>
      </c>
      <c r="F157" s="8"/>
      <c r="G157" s="8"/>
      <c r="H157" s="8" t="str">
        <f>IF(G157="","",G157)</f>
        <v/>
      </c>
      <c r="I157" s="3" t="str">
        <f>IF(H157="","",IF(H157&gt;=الإعدادات!B7,"ناجح","يحتاج إعادة تدريب"))</f>
        <v/>
      </c>
      <c r="J157" s="3"/>
      <c r="K157" s="3"/>
      <c r="L157" s="3"/>
    </row>
    <row r="158" spans="1:12" x14ac:dyDescent="0.2">
      <c r="A158" s="3" t="s">
        <v>304</v>
      </c>
      <c r="B158" s="3"/>
      <c r="C158" s="3" t="str">
        <f>IFERROR(VLOOKUP(B158,الخطة!A:O,4,FALSE),"")</f>
        <v/>
      </c>
      <c r="D158" s="3"/>
      <c r="E158" s="3" t="str">
        <f>IFERROR(VLOOKUP(D158,الموظفون!A:L,2,FALSE),"")</f>
        <v/>
      </c>
      <c r="F158" s="8"/>
      <c r="G158" s="8"/>
      <c r="H158" s="8" t="str">
        <f>IF(G158="","",G158)</f>
        <v/>
      </c>
      <c r="I158" s="3" t="str">
        <f>IF(H158="","",IF(H158&gt;=الإعدادات!B7,"ناجح","يحتاج إعادة تدريب"))</f>
        <v/>
      </c>
      <c r="J158" s="3"/>
      <c r="K158" s="3"/>
      <c r="L158" s="3"/>
    </row>
    <row r="159" spans="1:12" x14ac:dyDescent="0.2">
      <c r="A159" s="3" t="s">
        <v>305</v>
      </c>
      <c r="B159" s="3"/>
      <c r="C159" s="3" t="str">
        <f>IFERROR(VLOOKUP(B159,الخطة!A:O,4,FALSE),"")</f>
        <v/>
      </c>
      <c r="D159" s="3"/>
      <c r="E159" s="3" t="str">
        <f>IFERROR(VLOOKUP(D159,الموظفون!A:L,2,FALSE),"")</f>
        <v/>
      </c>
      <c r="F159" s="8"/>
      <c r="G159" s="8"/>
      <c r="H159" s="8" t="str">
        <f>IF(G159="","",G159)</f>
        <v/>
      </c>
      <c r="I159" s="3" t="str">
        <f>IF(H159="","",IF(H159&gt;=الإعدادات!B7,"ناجح","يحتاج إعادة تدريب"))</f>
        <v/>
      </c>
      <c r="J159" s="3"/>
      <c r="K159" s="3"/>
      <c r="L159" s="3"/>
    </row>
    <row r="160" spans="1:12" x14ac:dyDescent="0.2">
      <c r="A160" s="3" t="s">
        <v>306</v>
      </c>
      <c r="B160" s="3"/>
      <c r="C160" s="3" t="str">
        <f>IFERROR(VLOOKUP(B160,الخطة!A:O,4,FALSE),"")</f>
        <v/>
      </c>
      <c r="D160" s="3"/>
      <c r="E160" s="3" t="str">
        <f>IFERROR(VLOOKUP(D160,الموظفون!A:L,2,FALSE),"")</f>
        <v/>
      </c>
      <c r="F160" s="8"/>
      <c r="G160" s="8"/>
      <c r="H160" s="8" t="str">
        <f>IF(G160="","",G160)</f>
        <v/>
      </c>
      <c r="I160" s="3" t="str">
        <f>IF(H160="","",IF(H160&gt;=الإعدادات!B7,"ناجح","يحتاج إعادة تدريب"))</f>
        <v/>
      </c>
      <c r="J160" s="3"/>
      <c r="K160" s="3"/>
      <c r="L160" s="3"/>
    </row>
    <row r="161" spans="1:12" x14ac:dyDescent="0.2">
      <c r="A161" s="3" t="s">
        <v>307</v>
      </c>
      <c r="B161" s="3"/>
      <c r="C161" s="3" t="str">
        <f>IFERROR(VLOOKUP(B161,الخطة!A:O,4,FALSE),"")</f>
        <v/>
      </c>
      <c r="D161" s="3"/>
      <c r="E161" s="3" t="str">
        <f>IFERROR(VLOOKUP(D161,الموظفون!A:L,2,FALSE),"")</f>
        <v/>
      </c>
      <c r="F161" s="8"/>
      <c r="G161" s="8"/>
      <c r="H161" s="8" t="str">
        <f>IF(G161="","",G161)</f>
        <v/>
      </c>
      <c r="I161" s="3" t="str">
        <f>IF(H161="","",IF(H161&gt;=الإعدادات!B7,"ناجح","يحتاج إعادة تدريب"))</f>
        <v/>
      </c>
      <c r="J161" s="3"/>
      <c r="K161" s="3"/>
      <c r="L161" s="3"/>
    </row>
    <row r="162" spans="1:12" x14ac:dyDescent="0.2">
      <c r="A162" s="3" t="s">
        <v>308</v>
      </c>
      <c r="B162" s="3"/>
      <c r="C162" s="3" t="str">
        <f>IFERROR(VLOOKUP(B162,الخطة!A:O,4,FALSE),"")</f>
        <v/>
      </c>
      <c r="D162" s="3"/>
      <c r="E162" s="3" t="str">
        <f>IFERROR(VLOOKUP(D162,الموظفون!A:L,2,FALSE),"")</f>
        <v/>
      </c>
      <c r="F162" s="8"/>
      <c r="G162" s="8"/>
      <c r="H162" s="8" t="str">
        <f>IF(G162="","",G162)</f>
        <v/>
      </c>
      <c r="I162" s="3" t="str">
        <f>IF(H162="","",IF(H162&gt;=الإعدادات!B7,"ناجح","يحتاج إعادة تدريب"))</f>
        <v/>
      </c>
      <c r="J162" s="3"/>
      <c r="K162" s="3"/>
      <c r="L162" s="3"/>
    </row>
    <row r="163" spans="1:12" x14ac:dyDescent="0.2">
      <c r="A163" s="3" t="s">
        <v>309</v>
      </c>
      <c r="B163" s="3"/>
      <c r="C163" s="3" t="str">
        <f>IFERROR(VLOOKUP(B163,الخطة!A:O,4,FALSE),"")</f>
        <v/>
      </c>
      <c r="D163" s="3"/>
      <c r="E163" s="3" t="str">
        <f>IFERROR(VLOOKUP(D163,الموظفون!A:L,2,FALSE),"")</f>
        <v/>
      </c>
      <c r="F163" s="8"/>
      <c r="G163" s="8"/>
      <c r="H163" s="8" t="str">
        <f>IF(G163="","",G163)</f>
        <v/>
      </c>
      <c r="I163" s="3" t="str">
        <f>IF(H163="","",IF(H163&gt;=الإعدادات!B7,"ناجح","يحتاج إعادة تدريب"))</f>
        <v/>
      </c>
      <c r="J163" s="3"/>
      <c r="K163" s="3"/>
      <c r="L163" s="3"/>
    </row>
    <row r="164" spans="1:12" x14ac:dyDescent="0.2">
      <c r="A164" s="3" t="s">
        <v>310</v>
      </c>
      <c r="B164" s="3"/>
      <c r="C164" s="3" t="str">
        <f>IFERROR(VLOOKUP(B164,الخطة!A:O,4,FALSE),"")</f>
        <v/>
      </c>
      <c r="D164" s="3"/>
      <c r="E164" s="3" t="str">
        <f>IFERROR(VLOOKUP(D164,الموظفون!A:L,2,FALSE),"")</f>
        <v/>
      </c>
      <c r="F164" s="8"/>
      <c r="G164" s="8"/>
      <c r="H164" s="8" t="str">
        <f>IF(G164="","",G164)</f>
        <v/>
      </c>
      <c r="I164" s="3" t="str">
        <f>IF(H164="","",IF(H164&gt;=الإعدادات!B7,"ناجح","يحتاج إعادة تدريب"))</f>
        <v/>
      </c>
      <c r="J164" s="3"/>
      <c r="K164" s="3"/>
      <c r="L164" s="3"/>
    </row>
    <row r="165" spans="1:12" x14ac:dyDescent="0.2">
      <c r="A165" s="3" t="s">
        <v>311</v>
      </c>
      <c r="B165" s="3"/>
      <c r="C165" s="3" t="str">
        <f>IFERROR(VLOOKUP(B165,الخطة!A:O,4,FALSE),"")</f>
        <v/>
      </c>
      <c r="D165" s="3"/>
      <c r="E165" s="3" t="str">
        <f>IFERROR(VLOOKUP(D165,الموظفون!A:L,2,FALSE),"")</f>
        <v/>
      </c>
      <c r="F165" s="8"/>
      <c r="G165" s="8"/>
      <c r="H165" s="8" t="str">
        <f>IF(G165="","",G165)</f>
        <v/>
      </c>
      <c r="I165" s="3" t="str">
        <f>IF(H165="","",IF(H165&gt;=الإعدادات!B7,"ناجح","يحتاج إعادة تدريب"))</f>
        <v/>
      </c>
      <c r="J165" s="3"/>
      <c r="K165" s="3"/>
      <c r="L165" s="3"/>
    </row>
    <row r="166" spans="1:12" x14ac:dyDescent="0.2">
      <c r="A166" s="3" t="s">
        <v>312</v>
      </c>
      <c r="B166" s="3"/>
      <c r="C166" s="3" t="str">
        <f>IFERROR(VLOOKUP(B166,الخطة!A:O,4,FALSE),"")</f>
        <v/>
      </c>
      <c r="D166" s="3"/>
      <c r="E166" s="3" t="str">
        <f>IFERROR(VLOOKUP(D166,الموظفون!A:L,2,FALSE),"")</f>
        <v/>
      </c>
      <c r="F166" s="8"/>
      <c r="G166" s="8"/>
      <c r="H166" s="8" t="str">
        <f>IF(G166="","",G166)</f>
        <v/>
      </c>
      <c r="I166" s="3" t="str">
        <f>IF(H166="","",IF(H166&gt;=الإعدادات!B7,"ناجح","يحتاج إعادة تدريب"))</f>
        <v/>
      </c>
      <c r="J166" s="3"/>
      <c r="K166" s="3"/>
      <c r="L166" s="3"/>
    </row>
    <row r="167" spans="1:12" x14ac:dyDescent="0.2">
      <c r="A167" s="3" t="s">
        <v>313</v>
      </c>
      <c r="B167" s="3"/>
      <c r="C167" s="3" t="str">
        <f>IFERROR(VLOOKUP(B167,الخطة!A:O,4,FALSE),"")</f>
        <v/>
      </c>
      <c r="D167" s="3"/>
      <c r="E167" s="3" t="str">
        <f>IFERROR(VLOOKUP(D167,الموظفون!A:L,2,FALSE),"")</f>
        <v/>
      </c>
      <c r="F167" s="8"/>
      <c r="G167" s="8"/>
      <c r="H167" s="8" t="str">
        <f>IF(G167="","",G167)</f>
        <v/>
      </c>
      <c r="I167" s="3" t="str">
        <f>IF(H167="","",IF(H167&gt;=الإعدادات!B7,"ناجح","يحتاج إعادة تدريب"))</f>
        <v/>
      </c>
      <c r="J167" s="3"/>
      <c r="K167" s="3"/>
      <c r="L167" s="3"/>
    </row>
    <row r="168" spans="1:12" x14ac:dyDescent="0.2">
      <c r="A168" s="3" t="s">
        <v>314</v>
      </c>
      <c r="B168" s="3"/>
      <c r="C168" s="3" t="str">
        <f>IFERROR(VLOOKUP(B168,الخطة!A:O,4,FALSE),"")</f>
        <v/>
      </c>
      <c r="D168" s="3"/>
      <c r="E168" s="3" t="str">
        <f>IFERROR(VLOOKUP(D168,الموظفون!A:L,2,FALSE),"")</f>
        <v/>
      </c>
      <c r="F168" s="8"/>
      <c r="G168" s="8"/>
      <c r="H168" s="8" t="str">
        <f>IF(G168="","",G168)</f>
        <v/>
      </c>
      <c r="I168" s="3" t="str">
        <f>IF(H168="","",IF(H168&gt;=الإعدادات!B7,"ناجح","يحتاج إعادة تدريب"))</f>
        <v/>
      </c>
      <c r="J168" s="3"/>
      <c r="K168" s="3"/>
      <c r="L168" s="3"/>
    </row>
    <row r="169" spans="1:12" x14ac:dyDescent="0.2">
      <c r="A169" s="3" t="s">
        <v>315</v>
      </c>
      <c r="B169" s="3"/>
      <c r="C169" s="3" t="str">
        <f>IFERROR(VLOOKUP(B169,الخطة!A:O,4,FALSE),"")</f>
        <v/>
      </c>
      <c r="D169" s="3"/>
      <c r="E169" s="3" t="str">
        <f>IFERROR(VLOOKUP(D169,الموظفون!A:L,2,FALSE),"")</f>
        <v/>
      </c>
      <c r="F169" s="8"/>
      <c r="G169" s="8"/>
      <c r="H169" s="8" t="str">
        <f>IF(G169="","",G169)</f>
        <v/>
      </c>
      <c r="I169" s="3" t="str">
        <f>IF(H169="","",IF(H169&gt;=الإعدادات!B7,"ناجح","يحتاج إعادة تدريب"))</f>
        <v/>
      </c>
      <c r="J169" s="3"/>
      <c r="K169" s="3"/>
      <c r="L169" s="3"/>
    </row>
    <row r="170" spans="1:12" x14ac:dyDescent="0.2">
      <c r="A170" s="3" t="s">
        <v>316</v>
      </c>
      <c r="B170" s="3"/>
      <c r="C170" s="3" t="str">
        <f>IFERROR(VLOOKUP(B170,الخطة!A:O,4,FALSE),"")</f>
        <v/>
      </c>
      <c r="D170" s="3"/>
      <c r="E170" s="3" t="str">
        <f>IFERROR(VLOOKUP(D170,الموظفون!A:L,2,FALSE),"")</f>
        <v/>
      </c>
      <c r="F170" s="8"/>
      <c r="G170" s="8"/>
      <c r="H170" s="8" t="str">
        <f>IF(G170="","",G170)</f>
        <v/>
      </c>
      <c r="I170" s="3" t="str">
        <f>IF(H170="","",IF(H170&gt;=الإعدادات!B7,"ناجح","يحتاج إعادة تدريب"))</f>
        <v/>
      </c>
      <c r="J170" s="3"/>
      <c r="K170" s="3"/>
      <c r="L170" s="3"/>
    </row>
    <row r="171" spans="1:12" x14ac:dyDescent="0.2">
      <c r="A171" s="3" t="s">
        <v>317</v>
      </c>
      <c r="B171" s="3"/>
      <c r="C171" s="3" t="str">
        <f>IFERROR(VLOOKUP(B171,الخطة!A:O,4,FALSE),"")</f>
        <v/>
      </c>
      <c r="D171" s="3"/>
      <c r="E171" s="3" t="str">
        <f>IFERROR(VLOOKUP(D171,الموظفون!A:L,2,FALSE),"")</f>
        <v/>
      </c>
      <c r="F171" s="8"/>
      <c r="G171" s="8"/>
      <c r="H171" s="8" t="str">
        <f>IF(G171="","",G171)</f>
        <v/>
      </c>
      <c r="I171" s="3" t="str">
        <f>IF(H171="","",IF(H171&gt;=الإعدادات!B7,"ناجح","يحتاج إعادة تدريب"))</f>
        <v/>
      </c>
      <c r="J171" s="3"/>
      <c r="K171" s="3"/>
      <c r="L171" s="3"/>
    </row>
    <row r="172" spans="1:12" x14ac:dyDescent="0.2">
      <c r="A172" s="3" t="s">
        <v>318</v>
      </c>
      <c r="B172" s="3"/>
      <c r="C172" s="3" t="str">
        <f>IFERROR(VLOOKUP(B172,الخطة!A:O,4,FALSE),"")</f>
        <v/>
      </c>
      <c r="D172" s="3"/>
      <c r="E172" s="3" t="str">
        <f>IFERROR(VLOOKUP(D172,الموظفون!A:L,2,FALSE),"")</f>
        <v/>
      </c>
      <c r="F172" s="8"/>
      <c r="G172" s="8"/>
      <c r="H172" s="8" t="str">
        <f>IF(G172="","",G172)</f>
        <v/>
      </c>
      <c r="I172" s="3" t="str">
        <f>IF(H172="","",IF(H172&gt;=الإعدادات!B7,"ناجح","يحتاج إعادة تدريب"))</f>
        <v/>
      </c>
      <c r="J172" s="3"/>
      <c r="K172" s="3"/>
      <c r="L172" s="3"/>
    </row>
    <row r="173" spans="1:12" x14ac:dyDescent="0.2">
      <c r="A173" s="3" t="s">
        <v>319</v>
      </c>
      <c r="B173" s="3"/>
      <c r="C173" s="3" t="str">
        <f>IFERROR(VLOOKUP(B173,الخطة!A:O,4,FALSE),"")</f>
        <v/>
      </c>
      <c r="D173" s="3"/>
      <c r="E173" s="3" t="str">
        <f>IFERROR(VLOOKUP(D173,الموظفون!A:L,2,FALSE),"")</f>
        <v/>
      </c>
      <c r="F173" s="8"/>
      <c r="G173" s="8"/>
      <c r="H173" s="8" t="str">
        <f>IF(G173="","",G173)</f>
        <v/>
      </c>
      <c r="I173" s="3" t="str">
        <f>IF(H173="","",IF(H173&gt;=الإعدادات!B7,"ناجح","يحتاج إعادة تدريب"))</f>
        <v/>
      </c>
      <c r="J173" s="3"/>
      <c r="K173" s="3"/>
      <c r="L173" s="3"/>
    </row>
    <row r="174" spans="1:12" x14ac:dyDescent="0.2">
      <c r="A174" s="3" t="s">
        <v>320</v>
      </c>
      <c r="B174" s="3"/>
      <c r="C174" s="3" t="str">
        <f>IFERROR(VLOOKUP(B174,الخطة!A:O,4,FALSE),"")</f>
        <v/>
      </c>
      <c r="D174" s="3"/>
      <c r="E174" s="3" t="str">
        <f>IFERROR(VLOOKUP(D174,الموظفون!A:L,2,FALSE),"")</f>
        <v/>
      </c>
      <c r="F174" s="8"/>
      <c r="G174" s="8"/>
      <c r="H174" s="8" t="str">
        <f>IF(G174="","",G174)</f>
        <v/>
      </c>
      <c r="I174" s="3" t="str">
        <f>IF(H174="","",IF(H174&gt;=الإعدادات!B7,"ناجح","يحتاج إعادة تدريب"))</f>
        <v/>
      </c>
      <c r="J174" s="3"/>
      <c r="K174" s="3"/>
      <c r="L174" s="3"/>
    </row>
    <row r="175" spans="1:12" x14ac:dyDescent="0.2">
      <c r="A175" s="3" t="s">
        <v>321</v>
      </c>
      <c r="B175" s="3"/>
      <c r="C175" s="3" t="str">
        <f>IFERROR(VLOOKUP(B175,الخطة!A:O,4,FALSE),"")</f>
        <v/>
      </c>
      <c r="D175" s="3"/>
      <c r="E175" s="3" t="str">
        <f>IFERROR(VLOOKUP(D175,الموظفون!A:L,2,FALSE),"")</f>
        <v/>
      </c>
      <c r="F175" s="8"/>
      <c r="G175" s="8"/>
      <c r="H175" s="8" t="str">
        <f>IF(G175="","",G175)</f>
        <v/>
      </c>
      <c r="I175" s="3" t="str">
        <f>IF(H175="","",IF(H175&gt;=الإعدادات!B7,"ناجح","يحتاج إعادة تدريب"))</f>
        <v/>
      </c>
      <c r="J175" s="3"/>
      <c r="K175" s="3"/>
      <c r="L175" s="3"/>
    </row>
    <row r="176" spans="1:12" x14ac:dyDescent="0.2">
      <c r="A176" s="3" t="s">
        <v>322</v>
      </c>
      <c r="B176" s="3"/>
      <c r="C176" s="3" t="str">
        <f>IFERROR(VLOOKUP(B176,الخطة!A:O,4,FALSE),"")</f>
        <v/>
      </c>
      <c r="D176" s="3"/>
      <c r="E176" s="3" t="str">
        <f>IFERROR(VLOOKUP(D176,الموظفون!A:L,2,FALSE),"")</f>
        <v/>
      </c>
      <c r="F176" s="8"/>
      <c r="G176" s="8"/>
      <c r="H176" s="8" t="str">
        <f>IF(G176="","",G176)</f>
        <v/>
      </c>
      <c r="I176" s="3" t="str">
        <f>IF(H176="","",IF(H176&gt;=الإعدادات!B7,"ناجح","يحتاج إعادة تدريب"))</f>
        <v/>
      </c>
      <c r="J176" s="3"/>
      <c r="K176" s="3"/>
      <c r="L176" s="3"/>
    </row>
    <row r="177" spans="1:12" x14ac:dyDescent="0.2">
      <c r="A177" s="3" t="s">
        <v>323</v>
      </c>
      <c r="B177" s="3"/>
      <c r="C177" s="3" t="str">
        <f>IFERROR(VLOOKUP(B177,الخطة!A:O,4,FALSE),"")</f>
        <v/>
      </c>
      <c r="D177" s="3"/>
      <c r="E177" s="3" t="str">
        <f>IFERROR(VLOOKUP(D177,الموظفون!A:L,2,FALSE),"")</f>
        <v/>
      </c>
      <c r="F177" s="8"/>
      <c r="G177" s="8"/>
      <c r="H177" s="8" t="str">
        <f>IF(G177="","",G177)</f>
        <v/>
      </c>
      <c r="I177" s="3" t="str">
        <f>IF(H177="","",IF(H177&gt;=الإعدادات!B7,"ناجح","يحتاج إعادة تدريب"))</f>
        <v/>
      </c>
      <c r="J177" s="3"/>
      <c r="K177" s="3"/>
      <c r="L177" s="3"/>
    </row>
    <row r="178" spans="1:12" x14ac:dyDescent="0.2">
      <c r="A178" s="3" t="s">
        <v>324</v>
      </c>
      <c r="B178" s="3"/>
      <c r="C178" s="3" t="str">
        <f>IFERROR(VLOOKUP(B178,الخطة!A:O,4,FALSE),"")</f>
        <v/>
      </c>
      <c r="D178" s="3"/>
      <c r="E178" s="3" t="str">
        <f>IFERROR(VLOOKUP(D178,الموظفون!A:L,2,FALSE),"")</f>
        <v/>
      </c>
      <c r="F178" s="8"/>
      <c r="G178" s="8"/>
      <c r="H178" s="8" t="str">
        <f>IF(G178="","",G178)</f>
        <v/>
      </c>
      <c r="I178" s="3" t="str">
        <f>IF(H178="","",IF(H178&gt;=الإعدادات!B7,"ناجح","يحتاج إعادة تدريب"))</f>
        <v/>
      </c>
      <c r="J178" s="3"/>
      <c r="K178" s="3"/>
      <c r="L178" s="3"/>
    </row>
    <row r="179" spans="1:12" x14ac:dyDescent="0.2">
      <c r="A179" s="3" t="s">
        <v>325</v>
      </c>
      <c r="B179" s="3"/>
      <c r="C179" s="3" t="str">
        <f>IFERROR(VLOOKUP(B179,الخطة!A:O,4,FALSE),"")</f>
        <v/>
      </c>
      <c r="D179" s="3"/>
      <c r="E179" s="3" t="str">
        <f>IFERROR(VLOOKUP(D179,الموظفون!A:L,2,FALSE),"")</f>
        <v/>
      </c>
      <c r="F179" s="8"/>
      <c r="G179" s="8"/>
      <c r="H179" s="8" t="str">
        <f>IF(G179="","",G179)</f>
        <v/>
      </c>
      <c r="I179" s="3" t="str">
        <f>IF(H179="","",IF(H179&gt;=الإعدادات!B7,"ناجح","يحتاج إعادة تدريب"))</f>
        <v/>
      </c>
      <c r="J179" s="3"/>
      <c r="K179" s="3"/>
      <c r="L179" s="3"/>
    </row>
    <row r="180" spans="1:12" x14ac:dyDescent="0.2">
      <c r="A180" s="3" t="s">
        <v>326</v>
      </c>
      <c r="B180" s="3"/>
      <c r="C180" s="3" t="str">
        <f>IFERROR(VLOOKUP(B180,الخطة!A:O,4,FALSE),"")</f>
        <v/>
      </c>
      <c r="D180" s="3"/>
      <c r="E180" s="3" t="str">
        <f>IFERROR(VLOOKUP(D180,الموظفون!A:L,2,FALSE),"")</f>
        <v/>
      </c>
      <c r="F180" s="8"/>
      <c r="G180" s="8"/>
      <c r="H180" s="8" t="str">
        <f>IF(G180="","",G180)</f>
        <v/>
      </c>
      <c r="I180" s="3" t="str">
        <f>IF(H180="","",IF(H180&gt;=الإعدادات!B7,"ناجح","يحتاج إعادة تدريب"))</f>
        <v/>
      </c>
      <c r="J180" s="3"/>
      <c r="K180" s="3"/>
      <c r="L180" s="3"/>
    </row>
    <row r="181" spans="1:12" x14ac:dyDescent="0.2">
      <c r="A181" s="3" t="s">
        <v>327</v>
      </c>
      <c r="B181" s="3"/>
      <c r="C181" s="3" t="str">
        <f>IFERROR(VLOOKUP(B181,الخطة!A:O,4,FALSE),"")</f>
        <v/>
      </c>
      <c r="D181" s="3"/>
      <c r="E181" s="3" t="str">
        <f>IFERROR(VLOOKUP(D181,الموظفون!A:L,2,FALSE),"")</f>
        <v/>
      </c>
      <c r="F181" s="8"/>
      <c r="G181" s="8"/>
      <c r="H181" s="8" t="str">
        <f>IF(G181="","",G181)</f>
        <v/>
      </c>
      <c r="I181" s="3" t="str">
        <f>IF(H181="","",IF(H181&gt;=الإعدادات!B7,"ناجح","يحتاج إعادة تدريب"))</f>
        <v/>
      </c>
      <c r="J181" s="3"/>
      <c r="K181" s="3"/>
      <c r="L181" s="3"/>
    </row>
    <row r="182" spans="1:12" x14ac:dyDescent="0.2">
      <c r="A182" s="3" t="s">
        <v>328</v>
      </c>
      <c r="B182" s="3"/>
      <c r="C182" s="3" t="str">
        <f>IFERROR(VLOOKUP(B182,الخطة!A:O,4,FALSE),"")</f>
        <v/>
      </c>
      <c r="D182" s="3"/>
      <c r="E182" s="3" t="str">
        <f>IFERROR(VLOOKUP(D182,الموظفون!A:L,2,FALSE),"")</f>
        <v/>
      </c>
      <c r="F182" s="8"/>
      <c r="G182" s="8"/>
      <c r="H182" s="8" t="str">
        <f>IF(G182="","",G182)</f>
        <v/>
      </c>
      <c r="I182" s="3" t="str">
        <f>IF(H182="","",IF(H182&gt;=الإعدادات!B7,"ناجح","يحتاج إعادة تدريب"))</f>
        <v/>
      </c>
      <c r="J182" s="3"/>
      <c r="K182" s="3"/>
      <c r="L182" s="3"/>
    </row>
    <row r="183" spans="1:12" x14ac:dyDescent="0.2">
      <c r="A183" s="3" t="s">
        <v>329</v>
      </c>
      <c r="B183" s="3"/>
      <c r="C183" s="3" t="str">
        <f>IFERROR(VLOOKUP(B183,الخطة!A:O,4,FALSE),"")</f>
        <v/>
      </c>
      <c r="D183" s="3"/>
      <c r="E183" s="3" t="str">
        <f>IFERROR(VLOOKUP(D183,الموظفون!A:L,2,FALSE),"")</f>
        <v/>
      </c>
      <c r="F183" s="8"/>
      <c r="G183" s="8"/>
      <c r="H183" s="8" t="str">
        <f>IF(G183="","",G183)</f>
        <v/>
      </c>
      <c r="I183" s="3" t="str">
        <f>IF(H183="","",IF(H183&gt;=الإعدادات!B7,"ناجح","يحتاج إعادة تدريب"))</f>
        <v/>
      </c>
      <c r="J183" s="3"/>
      <c r="K183" s="3"/>
      <c r="L183" s="3"/>
    </row>
    <row r="184" spans="1:12" x14ac:dyDescent="0.2">
      <c r="A184" s="3" t="s">
        <v>330</v>
      </c>
      <c r="B184" s="3"/>
      <c r="C184" s="3" t="str">
        <f>IFERROR(VLOOKUP(B184,الخطة!A:O,4,FALSE),"")</f>
        <v/>
      </c>
      <c r="D184" s="3"/>
      <c r="E184" s="3" t="str">
        <f>IFERROR(VLOOKUP(D184,الموظفون!A:L,2,FALSE),"")</f>
        <v/>
      </c>
      <c r="F184" s="8"/>
      <c r="G184" s="8"/>
      <c r="H184" s="8" t="str">
        <f>IF(G184="","",G184)</f>
        <v/>
      </c>
      <c r="I184" s="3" t="str">
        <f>IF(H184="","",IF(H184&gt;=الإعدادات!B7,"ناجح","يحتاج إعادة تدريب"))</f>
        <v/>
      </c>
      <c r="J184" s="3"/>
      <c r="K184" s="3"/>
      <c r="L184" s="3"/>
    </row>
    <row r="185" spans="1:12" x14ac:dyDescent="0.2">
      <c r="A185" s="3" t="s">
        <v>331</v>
      </c>
      <c r="B185" s="3"/>
      <c r="C185" s="3" t="str">
        <f>IFERROR(VLOOKUP(B185,الخطة!A:O,4,FALSE),"")</f>
        <v/>
      </c>
      <c r="D185" s="3"/>
      <c r="E185" s="3" t="str">
        <f>IFERROR(VLOOKUP(D185,الموظفون!A:L,2,FALSE),"")</f>
        <v/>
      </c>
      <c r="F185" s="8"/>
      <c r="G185" s="8"/>
      <c r="H185" s="8" t="str">
        <f>IF(G185="","",G185)</f>
        <v/>
      </c>
      <c r="I185" s="3" t="str">
        <f>IF(H185="","",IF(H185&gt;=الإعدادات!B7,"ناجح","يحتاج إعادة تدريب"))</f>
        <v/>
      </c>
      <c r="J185" s="3"/>
      <c r="K185" s="3"/>
      <c r="L185" s="3"/>
    </row>
    <row r="186" spans="1:12" x14ac:dyDescent="0.2">
      <c r="A186" s="3" t="s">
        <v>332</v>
      </c>
      <c r="B186" s="3"/>
      <c r="C186" s="3" t="str">
        <f>IFERROR(VLOOKUP(B186,الخطة!A:O,4,FALSE),"")</f>
        <v/>
      </c>
      <c r="D186" s="3"/>
      <c r="E186" s="3" t="str">
        <f>IFERROR(VLOOKUP(D186,الموظفون!A:L,2,FALSE),"")</f>
        <v/>
      </c>
      <c r="F186" s="8"/>
      <c r="G186" s="8"/>
      <c r="H186" s="8" t="str">
        <f>IF(G186="","",G186)</f>
        <v/>
      </c>
      <c r="I186" s="3" t="str">
        <f>IF(H186="","",IF(H186&gt;=الإعدادات!B7,"ناجح","يحتاج إعادة تدريب"))</f>
        <v/>
      </c>
      <c r="J186" s="3"/>
      <c r="K186" s="3"/>
      <c r="L186" s="3"/>
    </row>
    <row r="187" spans="1:12" x14ac:dyDescent="0.2">
      <c r="A187" s="3" t="s">
        <v>333</v>
      </c>
      <c r="B187" s="3"/>
      <c r="C187" s="3" t="str">
        <f>IFERROR(VLOOKUP(B187,الخطة!A:O,4,FALSE),"")</f>
        <v/>
      </c>
      <c r="D187" s="3"/>
      <c r="E187" s="3" t="str">
        <f>IFERROR(VLOOKUP(D187,الموظفون!A:L,2,FALSE),"")</f>
        <v/>
      </c>
      <c r="F187" s="8"/>
      <c r="G187" s="8"/>
      <c r="H187" s="8" t="str">
        <f>IF(G187="","",G187)</f>
        <v/>
      </c>
      <c r="I187" s="3" t="str">
        <f>IF(H187="","",IF(H187&gt;=الإعدادات!B7,"ناجح","يحتاج إعادة تدريب"))</f>
        <v/>
      </c>
      <c r="J187" s="3"/>
      <c r="K187" s="3"/>
      <c r="L187" s="3"/>
    </row>
    <row r="188" spans="1:12" x14ac:dyDescent="0.2">
      <c r="A188" s="3" t="s">
        <v>334</v>
      </c>
      <c r="B188" s="3"/>
      <c r="C188" s="3" t="str">
        <f>IFERROR(VLOOKUP(B188,الخطة!A:O,4,FALSE),"")</f>
        <v/>
      </c>
      <c r="D188" s="3"/>
      <c r="E188" s="3" t="str">
        <f>IFERROR(VLOOKUP(D188,الموظفون!A:L,2,FALSE),"")</f>
        <v/>
      </c>
      <c r="F188" s="8"/>
      <c r="G188" s="8"/>
      <c r="H188" s="8" t="str">
        <f>IF(G188="","",G188)</f>
        <v/>
      </c>
      <c r="I188" s="3" t="str">
        <f>IF(H188="","",IF(H188&gt;=الإعدادات!B7,"ناجح","يحتاج إعادة تدريب"))</f>
        <v/>
      </c>
      <c r="J188" s="3"/>
      <c r="K188" s="3"/>
      <c r="L188" s="3"/>
    </row>
    <row r="189" spans="1:12" x14ac:dyDescent="0.2">
      <c r="A189" s="3" t="s">
        <v>335</v>
      </c>
      <c r="B189" s="3"/>
      <c r="C189" s="3" t="str">
        <f>IFERROR(VLOOKUP(B189,الخطة!A:O,4,FALSE),"")</f>
        <v/>
      </c>
      <c r="D189" s="3"/>
      <c r="E189" s="3" t="str">
        <f>IFERROR(VLOOKUP(D189,الموظفون!A:L,2,FALSE),"")</f>
        <v/>
      </c>
      <c r="F189" s="8"/>
      <c r="G189" s="8"/>
      <c r="H189" s="8" t="str">
        <f>IF(G189="","",G189)</f>
        <v/>
      </c>
      <c r="I189" s="3" t="str">
        <f>IF(H189="","",IF(H189&gt;=الإعدادات!B7,"ناجح","يحتاج إعادة تدريب"))</f>
        <v/>
      </c>
      <c r="J189" s="3"/>
      <c r="K189" s="3"/>
      <c r="L189" s="3"/>
    </row>
    <row r="190" spans="1:12" x14ac:dyDescent="0.2">
      <c r="A190" s="3" t="s">
        <v>336</v>
      </c>
      <c r="B190" s="3"/>
      <c r="C190" s="3" t="str">
        <f>IFERROR(VLOOKUP(B190,الخطة!A:O,4,FALSE),"")</f>
        <v/>
      </c>
      <c r="D190" s="3"/>
      <c r="E190" s="3" t="str">
        <f>IFERROR(VLOOKUP(D190,الموظفون!A:L,2,FALSE),"")</f>
        <v/>
      </c>
      <c r="F190" s="8"/>
      <c r="G190" s="8"/>
      <c r="H190" s="8" t="str">
        <f>IF(G190="","",G190)</f>
        <v/>
      </c>
      <c r="I190" s="3" t="str">
        <f>IF(H190="","",IF(H190&gt;=الإعدادات!B7,"ناجح","يحتاج إعادة تدريب"))</f>
        <v/>
      </c>
      <c r="J190" s="3"/>
      <c r="K190" s="3"/>
      <c r="L190" s="3"/>
    </row>
    <row r="191" spans="1:12" x14ac:dyDescent="0.2">
      <c r="A191" s="3" t="s">
        <v>337</v>
      </c>
      <c r="B191" s="3"/>
      <c r="C191" s="3" t="str">
        <f>IFERROR(VLOOKUP(B191,الخطة!A:O,4,FALSE),"")</f>
        <v/>
      </c>
      <c r="D191" s="3"/>
      <c r="E191" s="3" t="str">
        <f>IFERROR(VLOOKUP(D191,الموظفون!A:L,2,FALSE),"")</f>
        <v/>
      </c>
      <c r="F191" s="8"/>
      <c r="G191" s="8"/>
      <c r="H191" s="8" t="str">
        <f>IF(G191="","",G191)</f>
        <v/>
      </c>
      <c r="I191" s="3" t="str">
        <f>IF(H191="","",IF(H191&gt;=الإعدادات!B7,"ناجح","يحتاج إعادة تدريب"))</f>
        <v/>
      </c>
      <c r="J191" s="3"/>
      <c r="K191" s="3"/>
      <c r="L191" s="3"/>
    </row>
    <row r="192" spans="1:12" x14ac:dyDescent="0.2">
      <c r="A192" s="3" t="s">
        <v>338</v>
      </c>
      <c r="B192" s="3"/>
      <c r="C192" s="3" t="str">
        <f>IFERROR(VLOOKUP(B192,الخطة!A:O,4,FALSE),"")</f>
        <v/>
      </c>
      <c r="D192" s="3"/>
      <c r="E192" s="3" t="str">
        <f>IFERROR(VLOOKUP(D192,الموظفون!A:L,2,FALSE),"")</f>
        <v/>
      </c>
      <c r="F192" s="8"/>
      <c r="G192" s="8"/>
      <c r="H192" s="8" t="str">
        <f>IF(G192="","",G192)</f>
        <v/>
      </c>
      <c r="I192" s="3" t="str">
        <f>IF(H192="","",IF(H192&gt;=الإعدادات!B7,"ناجح","يحتاج إعادة تدريب"))</f>
        <v/>
      </c>
      <c r="J192" s="3"/>
      <c r="K192" s="3"/>
      <c r="L192" s="3"/>
    </row>
    <row r="193" spans="1:12" x14ac:dyDescent="0.2">
      <c r="A193" s="3" t="s">
        <v>339</v>
      </c>
      <c r="B193" s="3"/>
      <c r="C193" s="3" t="str">
        <f>IFERROR(VLOOKUP(B193,الخطة!A:O,4,FALSE),"")</f>
        <v/>
      </c>
      <c r="D193" s="3"/>
      <c r="E193" s="3" t="str">
        <f>IFERROR(VLOOKUP(D193,الموظفون!A:L,2,FALSE),"")</f>
        <v/>
      </c>
      <c r="F193" s="8"/>
      <c r="G193" s="8"/>
      <c r="H193" s="8" t="str">
        <f>IF(G193="","",G193)</f>
        <v/>
      </c>
      <c r="I193" s="3" t="str">
        <f>IF(H193="","",IF(H193&gt;=الإعدادات!B7,"ناجح","يحتاج إعادة تدريب"))</f>
        <v/>
      </c>
      <c r="J193" s="3"/>
      <c r="K193" s="3"/>
      <c r="L193" s="3"/>
    </row>
    <row r="194" spans="1:12" x14ac:dyDescent="0.2">
      <c r="A194" s="3" t="s">
        <v>340</v>
      </c>
      <c r="B194" s="3"/>
      <c r="C194" s="3" t="str">
        <f>IFERROR(VLOOKUP(B194,الخطة!A:O,4,FALSE),"")</f>
        <v/>
      </c>
      <c r="D194" s="3"/>
      <c r="E194" s="3" t="str">
        <f>IFERROR(VLOOKUP(D194,الموظفون!A:L,2,FALSE),"")</f>
        <v/>
      </c>
      <c r="F194" s="8"/>
      <c r="G194" s="8"/>
      <c r="H194" s="8" t="str">
        <f>IF(G194="","",G194)</f>
        <v/>
      </c>
      <c r="I194" s="3" t="str">
        <f>IF(H194="","",IF(H194&gt;=الإعدادات!B7,"ناجح","يحتاج إعادة تدريب"))</f>
        <v/>
      </c>
      <c r="J194" s="3"/>
      <c r="K194" s="3"/>
      <c r="L194" s="3"/>
    </row>
    <row r="195" spans="1:12" x14ac:dyDescent="0.2">
      <c r="A195" s="3" t="s">
        <v>341</v>
      </c>
      <c r="B195" s="3"/>
      <c r="C195" s="3" t="str">
        <f>IFERROR(VLOOKUP(B195,الخطة!A:O,4,FALSE),"")</f>
        <v/>
      </c>
      <c r="D195" s="3"/>
      <c r="E195" s="3" t="str">
        <f>IFERROR(VLOOKUP(D195,الموظفون!A:L,2,FALSE),"")</f>
        <v/>
      </c>
      <c r="F195" s="8"/>
      <c r="G195" s="8"/>
      <c r="H195" s="8" t="str">
        <f>IF(G195="","",G195)</f>
        <v/>
      </c>
      <c r="I195" s="3" t="str">
        <f>IF(H195="","",IF(H195&gt;=الإعدادات!B7,"ناجح","يحتاج إعادة تدريب"))</f>
        <v/>
      </c>
      <c r="J195" s="3"/>
      <c r="K195" s="3"/>
      <c r="L195" s="3"/>
    </row>
    <row r="196" spans="1:12" x14ac:dyDescent="0.2">
      <c r="A196" s="3" t="s">
        <v>342</v>
      </c>
      <c r="B196" s="3"/>
      <c r="C196" s="3" t="str">
        <f>IFERROR(VLOOKUP(B196,الخطة!A:O,4,FALSE),"")</f>
        <v/>
      </c>
      <c r="D196" s="3"/>
      <c r="E196" s="3" t="str">
        <f>IFERROR(VLOOKUP(D196,الموظفون!A:L,2,FALSE),"")</f>
        <v/>
      </c>
      <c r="F196" s="8"/>
      <c r="G196" s="8"/>
      <c r="H196" s="8" t="str">
        <f>IF(G196="","",G196)</f>
        <v/>
      </c>
      <c r="I196" s="3" t="str">
        <f>IF(H196="","",IF(H196&gt;=الإعدادات!B7,"ناجح","يحتاج إعادة تدريب"))</f>
        <v/>
      </c>
      <c r="J196" s="3"/>
      <c r="K196" s="3"/>
      <c r="L196" s="3"/>
    </row>
    <row r="197" spans="1:12" x14ac:dyDescent="0.2">
      <c r="A197" s="3" t="s">
        <v>343</v>
      </c>
      <c r="B197" s="3"/>
      <c r="C197" s="3" t="str">
        <f>IFERROR(VLOOKUP(B197,الخطة!A:O,4,FALSE),"")</f>
        <v/>
      </c>
      <c r="D197" s="3"/>
      <c r="E197" s="3" t="str">
        <f>IFERROR(VLOOKUP(D197,الموظفون!A:L,2,FALSE),"")</f>
        <v/>
      </c>
      <c r="F197" s="8"/>
      <c r="G197" s="8"/>
      <c r="H197" s="8" t="str">
        <f>IF(G197="","",G197)</f>
        <v/>
      </c>
      <c r="I197" s="3" t="str">
        <f>IF(H197="","",IF(H197&gt;=الإعدادات!B7,"ناجح","يحتاج إعادة تدريب"))</f>
        <v/>
      </c>
      <c r="J197" s="3"/>
      <c r="K197" s="3"/>
      <c r="L197" s="3"/>
    </row>
    <row r="198" spans="1:12" x14ac:dyDescent="0.2">
      <c r="A198" s="3" t="s">
        <v>344</v>
      </c>
      <c r="B198" s="3"/>
      <c r="C198" s="3" t="str">
        <f>IFERROR(VLOOKUP(B198,الخطة!A:O,4,FALSE),"")</f>
        <v/>
      </c>
      <c r="D198" s="3"/>
      <c r="E198" s="3" t="str">
        <f>IFERROR(VLOOKUP(D198,الموظفون!A:L,2,FALSE),"")</f>
        <v/>
      </c>
      <c r="F198" s="8"/>
      <c r="G198" s="8"/>
      <c r="H198" s="8" t="str">
        <f>IF(G198="","",G198)</f>
        <v/>
      </c>
      <c r="I198" s="3" t="str">
        <f>IF(H198="","",IF(H198&gt;=الإعدادات!B7,"ناجح","يحتاج إعادة تدريب"))</f>
        <v/>
      </c>
      <c r="J198" s="3"/>
      <c r="K198" s="3"/>
      <c r="L198" s="3"/>
    </row>
    <row r="199" spans="1:12" x14ac:dyDescent="0.2">
      <c r="A199" s="3" t="s">
        <v>345</v>
      </c>
      <c r="B199" s="3"/>
      <c r="C199" s="3" t="str">
        <f>IFERROR(VLOOKUP(B199,الخطة!A:O,4,FALSE),"")</f>
        <v/>
      </c>
      <c r="D199" s="3"/>
      <c r="E199" s="3" t="str">
        <f>IFERROR(VLOOKUP(D199,الموظفون!A:L,2,FALSE),"")</f>
        <v/>
      </c>
      <c r="F199" s="8"/>
      <c r="G199" s="8"/>
      <c r="H199" s="8" t="str">
        <f>IF(G199="","",G199)</f>
        <v/>
      </c>
      <c r="I199" s="3" t="str">
        <f>IF(H199="","",IF(H199&gt;=الإعدادات!B7,"ناجح","يحتاج إعادة تدريب"))</f>
        <v/>
      </c>
      <c r="J199" s="3"/>
      <c r="K199" s="3"/>
      <c r="L199" s="3"/>
    </row>
    <row r="200" spans="1:12" x14ac:dyDescent="0.2">
      <c r="A200" s="3" t="s">
        <v>346</v>
      </c>
      <c r="B200" s="3"/>
      <c r="C200" s="3" t="str">
        <f>IFERROR(VLOOKUP(B200,الخطة!A:O,4,FALSE),"")</f>
        <v/>
      </c>
      <c r="D200" s="3"/>
      <c r="E200" s="3" t="str">
        <f>IFERROR(VLOOKUP(D200,الموظفون!A:L,2,FALSE),"")</f>
        <v/>
      </c>
      <c r="F200" s="8"/>
      <c r="G200" s="8"/>
      <c r="H200" s="8" t="str">
        <f>IF(G200="","",G200)</f>
        <v/>
      </c>
      <c r="I200" s="3" t="str">
        <f>IF(H200="","",IF(H200&gt;=الإعدادات!B7,"ناجح","يحتاج إعادة تدريب"))</f>
        <v/>
      </c>
      <c r="J200" s="3"/>
      <c r="K200" s="3"/>
      <c r="L200" s="3"/>
    </row>
    <row r="201" spans="1:12" x14ac:dyDescent="0.2">
      <c r="A201" s="3" t="s">
        <v>347</v>
      </c>
      <c r="B201" s="3"/>
      <c r="C201" s="3" t="str">
        <f>IFERROR(VLOOKUP(B201,الخطة!A:O,4,FALSE),"")</f>
        <v/>
      </c>
      <c r="D201" s="3"/>
      <c r="E201" s="3" t="str">
        <f>IFERROR(VLOOKUP(D201,الموظفون!A:L,2,FALSE),"")</f>
        <v/>
      </c>
      <c r="F201" s="8"/>
      <c r="G201" s="8"/>
      <c r="H201" s="8" t="str">
        <f>IF(G201="","",G201)</f>
        <v/>
      </c>
      <c r="I201" s="3" t="str">
        <f>IF(H201="","",IF(H201&gt;=الإعدادات!B7,"ناجح","يحتاج إعادة تدريب"))</f>
        <v/>
      </c>
      <c r="J201" s="3"/>
      <c r="K201" s="3"/>
      <c r="L201" s="3"/>
    </row>
    <row r="202" spans="1:12" x14ac:dyDescent="0.2">
      <c r="A202" s="3" t="s">
        <v>348</v>
      </c>
      <c r="B202" s="3"/>
      <c r="C202" s="3" t="str">
        <f>IFERROR(VLOOKUP(B202,الخطة!A:O,4,FALSE),"")</f>
        <v/>
      </c>
      <c r="D202" s="3"/>
      <c r="E202" s="3" t="str">
        <f>IFERROR(VLOOKUP(D202,الموظفون!A:L,2,FALSE),"")</f>
        <v/>
      </c>
      <c r="F202" s="8"/>
      <c r="G202" s="8"/>
      <c r="H202" s="8" t="str">
        <f>IF(G202="","",G202)</f>
        <v/>
      </c>
      <c r="I202" s="3" t="str">
        <f>IF(H202="","",IF(H202&gt;=الإعدادات!B7,"ناجح","يحتاج إعادة تدريب"))</f>
        <v/>
      </c>
      <c r="J202" s="3"/>
      <c r="K202" s="3"/>
      <c r="L202" s="3"/>
    </row>
    <row r="203" spans="1:12" x14ac:dyDescent="0.2">
      <c r="A203" s="3" t="s">
        <v>349</v>
      </c>
      <c r="B203" s="3"/>
      <c r="C203" s="3" t="str">
        <f>IFERROR(VLOOKUP(B203,الخطة!A:O,4,FALSE),"")</f>
        <v/>
      </c>
      <c r="D203" s="3"/>
      <c r="E203" s="3" t="str">
        <f>IFERROR(VLOOKUP(D203,الموظفون!A:L,2,FALSE),"")</f>
        <v/>
      </c>
      <c r="F203" s="8"/>
      <c r="G203" s="8"/>
      <c r="H203" s="8" t="str">
        <f>IF(G203="","",G203)</f>
        <v/>
      </c>
      <c r="I203" s="3" t="str">
        <f>IF(H203="","",IF(H203&gt;=الإعدادات!B7,"ناجح","يحتاج إعادة تدريب"))</f>
        <v/>
      </c>
      <c r="J203" s="3"/>
      <c r="K203" s="3"/>
      <c r="L203" s="3"/>
    </row>
    <row r="204" spans="1:12" x14ac:dyDescent="0.2">
      <c r="A204" s="3" t="s">
        <v>350</v>
      </c>
      <c r="B204" s="3"/>
      <c r="C204" s="3" t="str">
        <f>IFERROR(VLOOKUP(B204,الخطة!A:O,4,FALSE),"")</f>
        <v/>
      </c>
      <c r="D204" s="3"/>
      <c r="E204" s="3" t="str">
        <f>IFERROR(VLOOKUP(D204,الموظفون!A:L,2,FALSE),"")</f>
        <v/>
      </c>
      <c r="F204" s="8"/>
      <c r="G204" s="8"/>
      <c r="H204" s="8" t="str">
        <f>IF(G204="","",G204)</f>
        <v/>
      </c>
      <c r="I204" s="3" t="str">
        <f>IF(H204="","",IF(H204&gt;=الإعدادات!B7,"ناجح","يحتاج إعادة تدريب"))</f>
        <v/>
      </c>
      <c r="J204" s="3"/>
      <c r="K204" s="3"/>
      <c r="L204" s="3"/>
    </row>
    <row r="205" spans="1:12" x14ac:dyDescent="0.2">
      <c r="A205" s="3" t="s">
        <v>351</v>
      </c>
      <c r="B205" s="3"/>
      <c r="C205" s="3" t="str">
        <f>IFERROR(VLOOKUP(B205,الخطة!A:O,4,FALSE),"")</f>
        <v/>
      </c>
      <c r="D205" s="3"/>
      <c r="E205" s="3" t="str">
        <f>IFERROR(VLOOKUP(D205,الموظفون!A:L,2,FALSE),"")</f>
        <v/>
      </c>
      <c r="F205" s="8"/>
      <c r="G205" s="8"/>
      <c r="H205" s="8" t="str">
        <f>IF(G205="","",G205)</f>
        <v/>
      </c>
      <c r="I205" s="3" t="str">
        <f>IF(H205="","",IF(H205&gt;=الإعدادات!B7,"ناجح","يحتاج إعادة تدريب"))</f>
        <v/>
      </c>
      <c r="J205" s="3"/>
      <c r="K205" s="3"/>
      <c r="L205" s="3"/>
    </row>
    <row r="206" spans="1:12" x14ac:dyDescent="0.2">
      <c r="A206" s="3" t="s">
        <v>352</v>
      </c>
      <c r="B206" s="3"/>
      <c r="C206" s="3" t="str">
        <f>IFERROR(VLOOKUP(B206,الخطة!A:O,4,FALSE),"")</f>
        <v/>
      </c>
      <c r="D206" s="3"/>
      <c r="E206" s="3" t="str">
        <f>IFERROR(VLOOKUP(D206,الموظفون!A:L,2,FALSE),"")</f>
        <v/>
      </c>
      <c r="F206" s="8"/>
      <c r="G206" s="8"/>
      <c r="H206" s="8" t="str">
        <f>IF(G206="","",G206)</f>
        <v/>
      </c>
      <c r="I206" s="3" t="str">
        <f>IF(H206="","",IF(H206&gt;=الإعدادات!B7,"ناجح","يحتاج إعادة تدريب"))</f>
        <v/>
      </c>
      <c r="J206" s="3"/>
      <c r="K206" s="3"/>
      <c r="L206" s="3"/>
    </row>
    <row r="207" spans="1:12" x14ac:dyDescent="0.2">
      <c r="A207" s="3" t="s">
        <v>353</v>
      </c>
      <c r="B207" s="3"/>
      <c r="C207" s="3" t="str">
        <f>IFERROR(VLOOKUP(B207,الخطة!A:O,4,FALSE),"")</f>
        <v/>
      </c>
      <c r="D207" s="3"/>
      <c r="E207" s="3" t="str">
        <f>IFERROR(VLOOKUP(D207,الموظفون!A:L,2,FALSE),"")</f>
        <v/>
      </c>
      <c r="F207" s="8"/>
      <c r="G207" s="8"/>
      <c r="H207" s="8" t="str">
        <f>IF(G207="","",G207)</f>
        <v/>
      </c>
      <c r="I207" s="3" t="str">
        <f>IF(H207="","",IF(H207&gt;=الإعدادات!B7,"ناجح","يحتاج إعادة تدريب"))</f>
        <v/>
      </c>
      <c r="J207" s="3"/>
      <c r="K207" s="3"/>
      <c r="L207" s="3"/>
    </row>
    <row r="208" spans="1:12" x14ac:dyDescent="0.2">
      <c r="A208" s="3" t="s">
        <v>354</v>
      </c>
      <c r="B208" s="3"/>
      <c r="C208" s="3" t="str">
        <f>IFERROR(VLOOKUP(B208,الخطة!A:O,4,FALSE),"")</f>
        <v/>
      </c>
      <c r="D208" s="3"/>
      <c r="E208" s="3" t="str">
        <f>IFERROR(VLOOKUP(D208,الموظفون!A:L,2,FALSE),"")</f>
        <v/>
      </c>
      <c r="F208" s="8"/>
      <c r="G208" s="8"/>
      <c r="H208" s="8" t="str">
        <f>IF(G208="","",G208)</f>
        <v/>
      </c>
      <c r="I208" s="3" t="str">
        <f>IF(H208="","",IF(H208&gt;=الإعدادات!B7,"ناجح","يحتاج إعادة تدريب"))</f>
        <v/>
      </c>
      <c r="J208" s="3"/>
      <c r="K208" s="3"/>
      <c r="L208" s="3"/>
    </row>
    <row r="209" spans="1:12" x14ac:dyDescent="0.2">
      <c r="A209" s="3" t="s">
        <v>355</v>
      </c>
      <c r="B209" s="3"/>
      <c r="C209" s="3" t="str">
        <f>IFERROR(VLOOKUP(B209,الخطة!A:O,4,FALSE),"")</f>
        <v/>
      </c>
      <c r="D209" s="3"/>
      <c r="E209" s="3" t="str">
        <f>IFERROR(VLOOKUP(D209,الموظفون!A:L,2,FALSE),"")</f>
        <v/>
      </c>
      <c r="F209" s="8"/>
      <c r="G209" s="8"/>
      <c r="H209" s="8" t="str">
        <f>IF(G209="","",G209)</f>
        <v/>
      </c>
      <c r="I209" s="3" t="str">
        <f>IF(H209="","",IF(H209&gt;=الإعدادات!B7,"ناجح","يحتاج إعادة تدريب"))</f>
        <v/>
      </c>
      <c r="J209" s="3"/>
      <c r="K209" s="3"/>
      <c r="L209" s="3"/>
    </row>
    <row r="210" spans="1:12" x14ac:dyDescent="0.2">
      <c r="A210" s="3" t="s">
        <v>356</v>
      </c>
      <c r="B210" s="3"/>
      <c r="C210" s="3" t="str">
        <f>IFERROR(VLOOKUP(B210,الخطة!A:O,4,FALSE),"")</f>
        <v/>
      </c>
      <c r="D210" s="3"/>
      <c r="E210" s="3" t="str">
        <f>IFERROR(VLOOKUP(D210,الموظفون!A:L,2,FALSE),"")</f>
        <v/>
      </c>
      <c r="F210" s="8"/>
      <c r="G210" s="8"/>
      <c r="H210" s="8" t="str">
        <f>IF(G210="","",G210)</f>
        <v/>
      </c>
      <c r="I210" s="3" t="str">
        <f>IF(H210="","",IF(H210&gt;=الإعدادات!B7,"ناجح","يحتاج إعادة تدريب"))</f>
        <v/>
      </c>
      <c r="J210" s="3"/>
      <c r="K210" s="3"/>
      <c r="L210" s="3"/>
    </row>
    <row r="211" spans="1:12" x14ac:dyDescent="0.2">
      <c r="A211" s="3" t="s">
        <v>357</v>
      </c>
      <c r="B211" s="3"/>
      <c r="C211" s="3" t="str">
        <f>IFERROR(VLOOKUP(B211,الخطة!A:O,4,FALSE),"")</f>
        <v/>
      </c>
      <c r="D211" s="3"/>
      <c r="E211" s="3" t="str">
        <f>IFERROR(VLOOKUP(D211,الموظفون!A:L,2,FALSE),"")</f>
        <v/>
      </c>
      <c r="F211" s="8"/>
      <c r="G211" s="8"/>
      <c r="H211" s="8" t="str">
        <f>IF(G211="","",G211)</f>
        <v/>
      </c>
      <c r="I211" s="3" t="str">
        <f>IF(H211="","",IF(H211&gt;=الإعدادات!B7,"ناجح","يحتاج إعادة تدريب"))</f>
        <v/>
      </c>
      <c r="J211" s="3"/>
      <c r="K211" s="3"/>
      <c r="L211" s="3"/>
    </row>
    <row r="212" spans="1:12" x14ac:dyDescent="0.2">
      <c r="A212" s="3" t="s">
        <v>358</v>
      </c>
      <c r="B212" s="3"/>
      <c r="C212" s="3" t="str">
        <f>IFERROR(VLOOKUP(B212,الخطة!A:O,4,FALSE),"")</f>
        <v/>
      </c>
      <c r="D212" s="3"/>
      <c r="E212" s="3" t="str">
        <f>IFERROR(VLOOKUP(D212,الموظفون!A:L,2,FALSE),"")</f>
        <v/>
      </c>
      <c r="F212" s="8"/>
      <c r="G212" s="8"/>
      <c r="H212" s="8" t="str">
        <f>IF(G212="","",G212)</f>
        <v/>
      </c>
      <c r="I212" s="3" t="str">
        <f>IF(H212="","",IF(H212&gt;=الإعدادات!B7,"ناجح","يحتاج إعادة تدريب"))</f>
        <v/>
      </c>
      <c r="J212" s="3"/>
      <c r="K212" s="3"/>
      <c r="L212" s="3"/>
    </row>
    <row r="213" spans="1:12" x14ac:dyDescent="0.2">
      <c r="A213" s="3" t="s">
        <v>359</v>
      </c>
      <c r="B213" s="3"/>
      <c r="C213" s="3" t="str">
        <f>IFERROR(VLOOKUP(B213,الخطة!A:O,4,FALSE),"")</f>
        <v/>
      </c>
      <c r="D213" s="3"/>
      <c r="E213" s="3" t="str">
        <f>IFERROR(VLOOKUP(D213,الموظفون!A:L,2,FALSE),"")</f>
        <v/>
      </c>
      <c r="F213" s="8"/>
      <c r="G213" s="8"/>
      <c r="H213" s="8" t="str">
        <f>IF(G213="","",G213)</f>
        <v/>
      </c>
      <c r="I213" s="3" t="str">
        <f>IF(H213="","",IF(H213&gt;=الإعدادات!B7,"ناجح","يحتاج إعادة تدريب"))</f>
        <v/>
      </c>
      <c r="J213" s="3"/>
      <c r="K213" s="3"/>
      <c r="L213" s="3"/>
    </row>
    <row r="214" spans="1:12" x14ac:dyDescent="0.2">
      <c r="A214" s="3" t="s">
        <v>360</v>
      </c>
      <c r="B214" s="3"/>
      <c r="C214" s="3" t="str">
        <f>IFERROR(VLOOKUP(B214,الخطة!A:O,4,FALSE),"")</f>
        <v/>
      </c>
      <c r="D214" s="3"/>
      <c r="E214" s="3" t="str">
        <f>IFERROR(VLOOKUP(D214,الموظفون!A:L,2,FALSE),"")</f>
        <v/>
      </c>
      <c r="F214" s="8"/>
      <c r="G214" s="8"/>
      <c r="H214" s="8" t="str">
        <f>IF(G214="","",G214)</f>
        <v/>
      </c>
      <c r="I214" s="3" t="str">
        <f>IF(H214="","",IF(H214&gt;=الإعدادات!B7,"ناجح","يحتاج إعادة تدريب"))</f>
        <v/>
      </c>
      <c r="J214" s="3"/>
      <c r="K214" s="3"/>
      <c r="L214" s="3"/>
    </row>
    <row r="215" spans="1:12" x14ac:dyDescent="0.2">
      <c r="A215" s="3" t="s">
        <v>361</v>
      </c>
      <c r="B215" s="3"/>
      <c r="C215" s="3" t="str">
        <f>IFERROR(VLOOKUP(B215,الخطة!A:O,4,FALSE),"")</f>
        <v/>
      </c>
      <c r="D215" s="3"/>
      <c r="E215" s="3" t="str">
        <f>IFERROR(VLOOKUP(D215,الموظفون!A:L,2,FALSE),"")</f>
        <v/>
      </c>
      <c r="F215" s="8"/>
      <c r="G215" s="8"/>
      <c r="H215" s="8" t="str">
        <f>IF(G215="","",G215)</f>
        <v/>
      </c>
      <c r="I215" s="3" t="str">
        <f>IF(H215="","",IF(H215&gt;=الإعدادات!B7,"ناجح","يحتاج إعادة تدريب"))</f>
        <v/>
      </c>
      <c r="J215" s="3"/>
      <c r="K215" s="3"/>
      <c r="L215" s="3"/>
    </row>
    <row r="216" spans="1:12" x14ac:dyDescent="0.2">
      <c r="A216" s="3" t="s">
        <v>362</v>
      </c>
      <c r="B216" s="3"/>
      <c r="C216" s="3" t="str">
        <f>IFERROR(VLOOKUP(B216,الخطة!A:O,4,FALSE),"")</f>
        <v/>
      </c>
      <c r="D216" s="3"/>
      <c r="E216" s="3" t="str">
        <f>IFERROR(VLOOKUP(D216,الموظفون!A:L,2,FALSE),"")</f>
        <v/>
      </c>
      <c r="F216" s="8"/>
      <c r="G216" s="8"/>
      <c r="H216" s="8" t="str">
        <f>IF(G216="","",G216)</f>
        <v/>
      </c>
      <c r="I216" s="3" t="str">
        <f>IF(H216="","",IF(H216&gt;=الإعدادات!B7,"ناجح","يحتاج إعادة تدريب"))</f>
        <v/>
      </c>
      <c r="J216" s="3"/>
      <c r="K216" s="3"/>
      <c r="L216" s="3"/>
    </row>
    <row r="217" spans="1:12" x14ac:dyDescent="0.2">
      <c r="A217" s="3" t="s">
        <v>363</v>
      </c>
      <c r="B217" s="3"/>
      <c r="C217" s="3" t="str">
        <f>IFERROR(VLOOKUP(B217,الخطة!A:O,4,FALSE),"")</f>
        <v/>
      </c>
      <c r="D217" s="3"/>
      <c r="E217" s="3" t="str">
        <f>IFERROR(VLOOKUP(D217,الموظفون!A:L,2,FALSE),"")</f>
        <v/>
      </c>
      <c r="F217" s="8"/>
      <c r="G217" s="8"/>
      <c r="H217" s="8" t="str">
        <f>IF(G217="","",G217)</f>
        <v/>
      </c>
      <c r="I217" s="3" t="str">
        <f>IF(H217="","",IF(H217&gt;=الإعدادات!B7,"ناجح","يحتاج إعادة تدريب"))</f>
        <v/>
      </c>
      <c r="J217" s="3"/>
      <c r="K217" s="3"/>
      <c r="L217" s="3"/>
    </row>
    <row r="218" spans="1:12" x14ac:dyDescent="0.2">
      <c r="A218" s="3" t="s">
        <v>364</v>
      </c>
      <c r="B218" s="3"/>
      <c r="C218" s="3" t="str">
        <f>IFERROR(VLOOKUP(B218,الخطة!A:O,4,FALSE),"")</f>
        <v/>
      </c>
      <c r="D218" s="3"/>
      <c r="E218" s="3" t="str">
        <f>IFERROR(VLOOKUP(D218,الموظفون!A:L,2,FALSE),"")</f>
        <v/>
      </c>
      <c r="F218" s="8"/>
      <c r="G218" s="8"/>
      <c r="H218" s="8" t="str">
        <f>IF(G218="","",G218)</f>
        <v/>
      </c>
      <c r="I218" s="3" t="str">
        <f>IF(H218="","",IF(H218&gt;=الإعدادات!B7,"ناجح","يحتاج إعادة تدريب"))</f>
        <v/>
      </c>
      <c r="J218" s="3"/>
      <c r="K218" s="3"/>
      <c r="L218" s="3"/>
    </row>
    <row r="219" spans="1:12" x14ac:dyDescent="0.2">
      <c r="A219" s="3" t="s">
        <v>365</v>
      </c>
      <c r="B219" s="3"/>
      <c r="C219" s="3" t="str">
        <f>IFERROR(VLOOKUP(B219,الخطة!A:O,4,FALSE),"")</f>
        <v/>
      </c>
      <c r="D219" s="3"/>
      <c r="E219" s="3" t="str">
        <f>IFERROR(VLOOKUP(D219,الموظفون!A:L,2,FALSE),"")</f>
        <v/>
      </c>
      <c r="F219" s="8"/>
      <c r="G219" s="8"/>
      <c r="H219" s="8" t="str">
        <f>IF(G219="","",G219)</f>
        <v/>
      </c>
      <c r="I219" s="3" t="str">
        <f>IF(H219="","",IF(H219&gt;=الإعدادات!B7,"ناجح","يحتاج إعادة تدريب"))</f>
        <v/>
      </c>
      <c r="J219" s="3"/>
      <c r="K219" s="3"/>
      <c r="L219" s="3"/>
    </row>
    <row r="220" spans="1:12" x14ac:dyDescent="0.2">
      <c r="A220" s="3" t="s">
        <v>366</v>
      </c>
      <c r="B220" s="3"/>
      <c r="C220" s="3" t="str">
        <f>IFERROR(VLOOKUP(B220,الخطة!A:O,4,FALSE),"")</f>
        <v/>
      </c>
      <c r="D220" s="3"/>
      <c r="E220" s="3" t="str">
        <f>IFERROR(VLOOKUP(D220,الموظفون!A:L,2,FALSE),"")</f>
        <v/>
      </c>
      <c r="F220" s="8"/>
      <c r="G220" s="8"/>
      <c r="H220" s="8" t="str">
        <f>IF(G220="","",G220)</f>
        <v/>
      </c>
      <c r="I220" s="3" t="str">
        <f>IF(H220="","",IF(H220&gt;=الإعدادات!B7,"ناجح","يحتاج إعادة تدريب"))</f>
        <v/>
      </c>
      <c r="J220" s="3"/>
      <c r="K220" s="3"/>
      <c r="L220" s="3"/>
    </row>
    <row r="221" spans="1:12" x14ac:dyDescent="0.2">
      <c r="A221" s="3" t="s">
        <v>367</v>
      </c>
      <c r="B221" s="3"/>
      <c r="C221" s="3" t="str">
        <f>IFERROR(VLOOKUP(B221,الخطة!A:O,4,FALSE),"")</f>
        <v/>
      </c>
      <c r="D221" s="3"/>
      <c r="E221" s="3" t="str">
        <f>IFERROR(VLOOKUP(D221,الموظفون!A:L,2,FALSE),"")</f>
        <v/>
      </c>
      <c r="F221" s="8"/>
      <c r="G221" s="8"/>
      <c r="H221" s="8" t="str">
        <f>IF(G221="","",G221)</f>
        <v/>
      </c>
      <c r="I221" s="3" t="str">
        <f>IF(H221="","",IF(H221&gt;=الإعدادات!B7,"ناجح","يحتاج إعادة تدريب"))</f>
        <v/>
      </c>
      <c r="J221" s="3"/>
      <c r="K221" s="3"/>
      <c r="L221" s="3"/>
    </row>
    <row r="222" spans="1:12" x14ac:dyDescent="0.2">
      <c r="A222" s="3" t="s">
        <v>368</v>
      </c>
      <c r="B222" s="3"/>
      <c r="C222" s="3" t="str">
        <f>IFERROR(VLOOKUP(B222,الخطة!A:O,4,FALSE),"")</f>
        <v/>
      </c>
      <c r="D222" s="3"/>
      <c r="E222" s="3" t="str">
        <f>IFERROR(VLOOKUP(D222,الموظفون!A:L,2,FALSE),"")</f>
        <v/>
      </c>
      <c r="F222" s="8"/>
      <c r="G222" s="8"/>
      <c r="H222" s="8" t="str">
        <f>IF(G222="","",G222)</f>
        <v/>
      </c>
      <c r="I222" s="3" t="str">
        <f>IF(H222="","",IF(H222&gt;=الإعدادات!B7,"ناجح","يحتاج إعادة تدريب"))</f>
        <v/>
      </c>
      <c r="J222" s="3"/>
      <c r="K222" s="3"/>
      <c r="L222" s="3"/>
    </row>
    <row r="223" spans="1:12" x14ac:dyDescent="0.2">
      <c r="A223" s="3" t="s">
        <v>369</v>
      </c>
      <c r="B223" s="3"/>
      <c r="C223" s="3" t="str">
        <f>IFERROR(VLOOKUP(B223,الخطة!A:O,4,FALSE),"")</f>
        <v/>
      </c>
      <c r="D223" s="3"/>
      <c r="E223" s="3" t="str">
        <f>IFERROR(VLOOKUP(D223,الموظفون!A:L,2,FALSE),"")</f>
        <v/>
      </c>
      <c r="F223" s="8"/>
      <c r="G223" s="8"/>
      <c r="H223" s="8" t="str">
        <f>IF(G223="","",G223)</f>
        <v/>
      </c>
      <c r="I223" s="3" t="str">
        <f>IF(H223="","",IF(H223&gt;=الإعدادات!B7,"ناجح","يحتاج إعادة تدريب"))</f>
        <v/>
      </c>
      <c r="J223" s="3"/>
      <c r="K223" s="3"/>
      <c r="L223" s="3"/>
    </row>
    <row r="224" spans="1:12" x14ac:dyDescent="0.2">
      <c r="A224" s="3" t="s">
        <v>370</v>
      </c>
      <c r="B224" s="3"/>
      <c r="C224" s="3" t="str">
        <f>IFERROR(VLOOKUP(B224,الخطة!A:O,4,FALSE),"")</f>
        <v/>
      </c>
      <c r="D224" s="3"/>
      <c r="E224" s="3" t="str">
        <f>IFERROR(VLOOKUP(D224,الموظفون!A:L,2,FALSE),"")</f>
        <v/>
      </c>
      <c r="F224" s="8"/>
      <c r="G224" s="8"/>
      <c r="H224" s="8" t="str">
        <f>IF(G224="","",G224)</f>
        <v/>
      </c>
      <c r="I224" s="3" t="str">
        <f>IF(H224="","",IF(H224&gt;=الإعدادات!B7,"ناجح","يحتاج إعادة تدريب"))</f>
        <v/>
      </c>
      <c r="J224" s="3"/>
      <c r="K224" s="3"/>
      <c r="L224" s="3"/>
    </row>
    <row r="225" spans="1:12" x14ac:dyDescent="0.2">
      <c r="A225" s="3" t="s">
        <v>371</v>
      </c>
      <c r="B225" s="3"/>
      <c r="C225" s="3" t="str">
        <f>IFERROR(VLOOKUP(B225,الخطة!A:O,4,FALSE),"")</f>
        <v/>
      </c>
      <c r="D225" s="3"/>
      <c r="E225" s="3" t="str">
        <f>IFERROR(VLOOKUP(D225,الموظفون!A:L,2,FALSE),"")</f>
        <v/>
      </c>
      <c r="F225" s="8"/>
      <c r="G225" s="8"/>
      <c r="H225" s="8" t="str">
        <f>IF(G225="","",G225)</f>
        <v/>
      </c>
      <c r="I225" s="3" t="str">
        <f>IF(H225="","",IF(H225&gt;=الإعدادات!B7,"ناجح","يحتاج إعادة تدريب"))</f>
        <v/>
      </c>
      <c r="J225" s="3"/>
      <c r="K225" s="3"/>
      <c r="L225" s="3"/>
    </row>
    <row r="226" spans="1:12" x14ac:dyDescent="0.2">
      <c r="A226" s="3" t="s">
        <v>372</v>
      </c>
      <c r="B226" s="3"/>
      <c r="C226" s="3" t="str">
        <f>IFERROR(VLOOKUP(B226,الخطة!A:O,4,FALSE),"")</f>
        <v/>
      </c>
      <c r="D226" s="3"/>
      <c r="E226" s="3" t="str">
        <f>IFERROR(VLOOKUP(D226,الموظفون!A:L,2,FALSE),"")</f>
        <v/>
      </c>
      <c r="F226" s="8"/>
      <c r="G226" s="8"/>
      <c r="H226" s="8" t="str">
        <f>IF(G226="","",G226)</f>
        <v/>
      </c>
      <c r="I226" s="3" t="str">
        <f>IF(H226="","",IF(H226&gt;=الإعدادات!B7,"ناجح","يحتاج إعادة تدريب"))</f>
        <v/>
      </c>
      <c r="J226" s="3"/>
      <c r="K226" s="3"/>
      <c r="L226" s="3"/>
    </row>
    <row r="227" spans="1:12" x14ac:dyDescent="0.2">
      <c r="A227" s="3" t="s">
        <v>373</v>
      </c>
      <c r="B227" s="3"/>
      <c r="C227" s="3" t="str">
        <f>IFERROR(VLOOKUP(B227,الخطة!A:O,4,FALSE),"")</f>
        <v/>
      </c>
      <c r="D227" s="3"/>
      <c r="E227" s="3" t="str">
        <f>IFERROR(VLOOKUP(D227,الموظفون!A:L,2,FALSE),"")</f>
        <v/>
      </c>
      <c r="F227" s="8"/>
      <c r="G227" s="8"/>
      <c r="H227" s="8" t="str">
        <f>IF(G227="","",G227)</f>
        <v/>
      </c>
      <c r="I227" s="3" t="str">
        <f>IF(H227="","",IF(H227&gt;=الإعدادات!B7,"ناجح","يحتاج إعادة تدريب"))</f>
        <v/>
      </c>
      <c r="J227" s="3"/>
      <c r="K227" s="3"/>
      <c r="L227" s="3"/>
    </row>
    <row r="228" spans="1:12" x14ac:dyDescent="0.2">
      <c r="A228" s="3" t="s">
        <v>374</v>
      </c>
      <c r="B228" s="3"/>
      <c r="C228" s="3" t="str">
        <f>IFERROR(VLOOKUP(B228,الخطة!A:O,4,FALSE),"")</f>
        <v/>
      </c>
      <c r="D228" s="3"/>
      <c r="E228" s="3" t="str">
        <f>IFERROR(VLOOKUP(D228,الموظفون!A:L,2,FALSE),"")</f>
        <v/>
      </c>
      <c r="F228" s="8"/>
      <c r="G228" s="8"/>
      <c r="H228" s="8" t="str">
        <f>IF(G228="","",G228)</f>
        <v/>
      </c>
      <c r="I228" s="3" t="str">
        <f>IF(H228="","",IF(H228&gt;=الإعدادات!B7,"ناجح","يحتاج إعادة تدريب"))</f>
        <v/>
      </c>
      <c r="J228" s="3"/>
      <c r="K228" s="3"/>
      <c r="L228" s="3"/>
    </row>
    <row r="229" spans="1:12" x14ac:dyDescent="0.2">
      <c r="A229" s="3" t="s">
        <v>375</v>
      </c>
      <c r="B229" s="3"/>
      <c r="C229" s="3" t="str">
        <f>IFERROR(VLOOKUP(B229,الخطة!A:O,4,FALSE),"")</f>
        <v/>
      </c>
      <c r="D229" s="3"/>
      <c r="E229" s="3" t="str">
        <f>IFERROR(VLOOKUP(D229,الموظفون!A:L,2,FALSE),"")</f>
        <v/>
      </c>
      <c r="F229" s="8"/>
      <c r="G229" s="8"/>
      <c r="H229" s="8" t="str">
        <f>IF(G229="","",G229)</f>
        <v/>
      </c>
      <c r="I229" s="3" t="str">
        <f>IF(H229="","",IF(H229&gt;=الإعدادات!B7,"ناجح","يحتاج إعادة تدريب"))</f>
        <v/>
      </c>
      <c r="J229" s="3"/>
      <c r="K229" s="3"/>
      <c r="L229" s="3"/>
    </row>
    <row r="230" spans="1:12" x14ac:dyDescent="0.2">
      <c r="A230" s="3" t="s">
        <v>376</v>
      </c>
      <c r="B230" s="3"/>
      <c r="C230" s="3" t="str">
        <f>IFERROR(VLOOKUP(B230,الخطة!A:O,4,FALSE),"")</f>
        <v/>
      </c>
      <c r="D230" s="3"/>
      <c r="E230" s="3" t="str">
        <f>IFERROR(VLOOKUP(D230,الموظفون!A:L,2,FALSE),"")</f>
        <v/>
      </c>
      <c r="F230" s="8"/>
      <c r="G230" s="8"/>
      <c r="H230" s="8" t="str">
        <f>IF(G230="","",G230)</f>
        <v/>
      </c>
      <c r="I230" s="3" t="str">
        <f>IF(H230="","",IF(H230&gt;=الإعدادات!B7,"ناجح","يحتاج إعادة تدريب"))</f>
        <v/>
      </c>
      <c r="J230" s="3"/>
      <c r="K230" s="3"/>
      <c r="L230" s="3"/>
    </row>
    <row r="231" spans="1:12" x14ac:dyDescent="0.2">
      <c r="A231" s="3" t="s">
        <v>377</v>
      </c>
      <c r="B231" s="3"/>
      <c r="C231" s="3" t="str">
        <f>IFERROR(VLOOKUP(B231,الخطة!A:O,4,FALSE),"")</f>
        <v/>
      </c>
      <c r="D231" s="3"/>
      <c r="E231" s="3" t="str">
        <f>IFERROR(VLOOKUP(D231,الموظفون!A:L,2,FALSE),"")</f>
        <v/>
      </c>
      <c r="F231" s="8"/>
      <c r="G231" s="8"/>
      <c r="H231" s="8" t="str">
        <f>IF(G231="","",G231)</f>
        <v/>
      </c>
      <c r="I231" s="3" t="str">
        <f>IF(H231="","",IF(H231&gt;=الإعدادات!B7,"ناجح","يحتاج إعادة تدريب"))</f>
        <v/>
      </c>
      <c r="J231" s="3"/>
      <c r="K231" s="3"/>
      <c r="L231" s="3"/>
    </row>
    <row r="232" spans="1:12" x14ac:dyDescent="0.2">
      <c r="A232" s="3" t="s">
        <v>378</v>
      </c>
      <c r="B232" s="3"/>
      <c r="C232" s="3" t="str">
        <f>IFERROR(VLOOKUP(B232,الخطة!A:O,4,FALSE),"")</f>
        <v/>
      </c>
      <c r="D232" s="3"/>
      <c r="E232" s="3" t="str">
        <f>IFERROR(VLOOKUP(D232,الموظفون!A:L,2,FALSE),"")</f>
        <v/>
      </c>
      <c r="F232" s="8"/>
      <c r="G232" s="8"/>
      <c r="H232" s="8" t="str">
        <f>IF(G232="","",G232)</f>
        <v/>
      </c>
      <c r="I232" s="3" t="str">
        <f>IF(H232="","",IF(H232&gt;=الإعدادات!B7,"ناجح","يحتاج إعادة تدريب"))</f>
        <v/>
      </c>
      <c r="J232" s="3"/>
      <c r="K232" s="3"/>
      <c r="L232" s="3"/>
    </row>
    <row r="233" spans="1:12" x14ac:dyDescent="0.2">
      <c r="A233" s="3" t="s">
        <v>379</v>
      </c>
      <c r="B233" s="3"/>
      <c r="C233" s="3" t="str">
        <f>IFERROR(VLOOKUP(B233,الخطة!A:O,4,FALSE),"")</f>
        <v/>
      </c>
      <c r="D233" s="3"/>
      <c r="E233" s="3" t="str">
        <f>IFERROR(VLOOKUP(D233,الموظفون!A:L,2,FALSE),"")</f>
        <v/>
      </c>
      <c r="F233" s="8"/>
      <c r="G233" s="8"/>
      <c r="H233" s="8" t="str">
        <f>IF(G233="","",G233)</f>
        <v/>
      </c>
      <c r="I233" s="3" t="str">
        <f>IF(H233="","",IF(H233&gt;=الإعدادات!B7,"ناجح","يحتاج إعادة تدريب"))</f>
        <v/>
      </c>
      <c r="J233" s="3"/>
      <c r="K233" s="3"/>
      <c r="L233" s="3"/>
    </row>
    <row r="234" spans="1:12" x14ac:dyDescent="0.2">
      <c r="A234" s="3" t="s">
        <v>380</v>
      </c>
      <c r="B234" s="3"/>
      <c r="C234" s="3" t="str">
        <f>IFERROR(VLOOKUP(B234,الخطة!A:O,4,FALSE),"")</f>
        <v/>
      </c>
      <c r="D234" s="3"/>
      <c r="E234" s="3" t="str">
        <f>IFERROR(VLOOKUP(D234,الموظفون!A:L,2,FALSE),"")</f>
        <v/>
      </c>
      <c r="F234" s="8"/>
      <c r="G234" s="8"/>
      <c r="H234" s="8" t="str">
        <f>IF(G234="","",G234)</f>
        <v/>
      </c>
      <c r="I234" s="3" t="str">
        <f>IF(H234="","",IF(H234&gt;=الإعدادات!B7,"ناجح","يحتاج إعادة تدريب"))</f>
        <v/>
      </c>
      <c r="J234" s="3"/>
      <c r="K234" s="3"/>
      <c r="L234" s="3"/>
    </row>
    <row r="235" spans="1:12" x14ac:dyDescent="0.2">
      <c r="A235" s="3" t="s">
        <v>381</v>
      </c>
      <c r="B235" s="3"/>
      <c r="C235" s="3" t="str">
        <f>IFERROR(VLOOKUP(B235,الخطة!A:O,4,FALSE),"")</f>
        <v/>
      </c>
      <c r="D235" s="3"/>
      <c r="E235" s="3" t="str">
        <f>IFERROR(VLOOKUP(D235,الموظفون!A:L,2,FALSE),"")</f>
        <v/>
      </c>
      <c r="F235" s="8"/>
      <c r="G235" s="8"/>
      <c r="H235" s="8" t="str">
        <f>IF(G235="","",G235)</f>
        <v/>
      </c>
      <c r="I235" s="3" t="str">
        <f>IF(H235="","",IF(H235&gt;=الإعدادات!B7,"ناجح","يحتاج إعادة تدريب"))</f>
        <v/>
      </c>
      <c r="J235" s="3"/>
      <c r="K235" s="3"/>
      <c r="L235" s="3"/>
    </row>
    <row r="236" spans="1:12" x14ac:dyDescent="0.2">
      <c r="A236" s="3" t="s">
        <v>382</v>
      </c>
      <c r="B236" s="3"/>
      <c r="C236" s="3" t="str">
        <f>IFERROR(VLOOKUP(B236,الخطة!A:O,4,FALSE),"")</f>
        <v/>
      </c>
      <c r="D236" s="3"/>
      <c r="E236" s="3" t="str">
        <f>IFERROR(VLOOKUP(D236,الموظفون!A:L,2,FALSE),"")</f>
        <v/>
      </c>
      <c r="F236" s="8"/>
      <c r="G236" s="8"/>
      <c r="H236" s="8" t="str">
        <f>IF(G236="","",G236)</f>
        <v/>
      </c>
      <c r="I236" s="3" t="str">
        <f>IF(H236="","",IF(H236&gt;=الإعدادات!B7,"ناجح","يحتاج إعادة تدريب"))</f>
        <v/>
      </c>
      <c r="J236" s="3"/>
      <c r="K236" s="3"/>
      <c r="L236" s="3"/>
    </row>
    <row r="237" spans="1:12" x14ac:dyDescent="0.2">
      <c r="A237" s="3" t="s">
        <v>383</v>
      </c>
      <c r="B237" s="3"/>
      <c r="C237" s="3" t="str">
        <f>IFERROR(VLOOKUP(B237,الخطة!A:O,4,FALSE),"")</f>
        <v/>
      </c>
      <c r="D237" s="3"/>
      <c r="E237" s="3" t="str">
        <f>IFERROR(VLOOKUP(D237,الموظفون!A:L,2,FALSE),"")</f>
        <v/>
      </c>
      <c r="F237" s="8"/>
      <c r="G237" s="8"/>
      <c r="H237" s="8" t="str">
        <f>IF(G237="","",G237)</f>
        <v/>
      </c>
      <c r="I237" s="3" t="str">
        <f>IF(H237="","",IF(H237&gt;=الإعدادات!B7,"ناجح","يحتاج إعادة تدريب"))</f>
        <v/>
      </c>
      <c r="J237" s="3"/>
      <c r="K237" s="3"/>
      <c r="L237" s="3"/>
    </row>
    <row r="238" spans="1:12" x14ac:dyDescent="0.2">
      <c r="A238" s="3" t="s">
        <v>384</v>
      </c>
      <c r="B238" s="3"/>
      <c r="C238" s="3" t="str">
        <f>IFERROR(VLOOKUP(B238,الخطة!A:O,4,FALSE),"")</f>
        <v/>
      </c>
      <c r="D238" s="3"/>
      <c r="E238" s="3" t="str">
        <f>IFERROR(VLOOKUP(D238,الموظفون!A:L,2,FALSE),"")</f>
        <v/>
      </c>
      <c r="F238" s="8"/>
      <c r="G238" s="8"/>
      <c r="H238" s="8" t="str">
        <f>IF(G238="","",G238)</f>
        <v/>
      </c>
      <c r="I238" s="3" t="str">
        <f>IF(H238="","",IF(H238&gt;=الإعدادات!B7,"ناجح","يحتاج إعادة تدريب"))</f>
        <v/>
      </c>
      <c r="J238" s="3"/>
      <c r="K238" s="3"/>
      <c r="L238" s="3"/>
    </row>
    <row r="239" spans="1:12" x14ac:dyDescent="0.2">
      <c r="A239" s="3" t="s">
        <v>385</v>
      </c>
      <c r="B239" s="3"/>
      <c r="C239" s="3" t="str">
        <f>IFERROR(VLOOKUP(B239,الخطة!A:O,4,FALSE),"")</f>
        <v/>
      </c>
      <c r="D239" s="3"/>
      <c r="E239" s="3" t="str">
        <f>IFERROR(VLOOKUP(D239,الموظفون!A:L,2,FALSE),"")</f>
        <v/>
      </c>
      <c r="F239" s="8"/>
      <c r="G239" s="8"/>
      <c r="H239" s="8" t="str">
        <f>IF(G239="","",G239)</f>
        <v/>
      </c>
      <c r="I239" s="3" t="str">
        <f>IF(H239="","",IF(H239&gt;=الإعدادات!B7,"ناجح","يحتاج إعادة تدريب"))</f>
        <v/>
      </c>
      <c r="J239" s="3"/>
      <c r="K239" s="3"/>
      <c r="L239" s="3"/>
    </row>
    <row r="240" spans="1:12" x14ac:dyDescent="0.2">
      <c r="A240" s="3" t="s">
        <v>386</v>
      </c>
      <c r="B240" s="3"/>
      <c r="C240" s="3" t="str">
        <f>IFERROR(VLOOKUP(B240,الخطة!A:O,4,FALSE),"")</f>
        <v/>
      </c>
      <c r="D240" s="3"/>
      <c r="E240" s="3" t="str">
        <f>IFERROR(VLOOKUP(D240,الموظفون!A:L,2,FALSE),"")</f>
        <v/>
      </c>
      <c r="F240" s="8"/>
      <c r="G240" s="8"/>
      <c r="H240" s="8" t="str">
        <f>IF(G240="","",G240)</f>
        <v/>
      </c>
      <c r="I240" s="3" t="str">
        <f>IF(H240="","",IF(H240&gt;=الإعدادات!B7,"ناجح","يحتاج إعادة تدريب"))</f>
        <v/>
      </c>
      <c r="J240" s="3"/>
      <c r="K240" s="3"/>
      <c r="L240" s="3"/>
    </row>
    <row r="241" spans="1:12" x14ac:dyDescent="0.2">
      <c r="A241" s="3" t="s">
        <v>387</v>
      </c>
      <c r="B241" s="3"/>
      <c r="C241" s="3" t="str">
        <f>IFERROR(VLOOKUP(B241,الخطة!A:O,4,FALSE),"")</f>
        <v/>
      </c>
      <c r="D241" s="3"/>
      <c r="E241" s="3" t="str">
        <f>IFERROR(VLOOKUP(D241,الموظفون!A:L,2,FALSE),"")</f>
        <v/>
      </c>
      <c r="F241" s="8"/>
      <c r="G241" s="8"/>
      <c r="H241" s="8" t="str">
        <f>IF(G241="","",G241)</f>
        <v/>
      </c>
      <c r="I241" s="3" t="str">
        <f>IF(H241="","",IF(H241&gt;=الإعدادات!B7,"ناجح","يحتاج إعادة تدريب"))</f>
        <v/>
      </c>
      <c r="J241" s="3"/>
      <c r="K241" s="3"/>
      <c r="L241" s="3"/>
    </row>
    <row r="242" spans="1:12" x14ac:dyDescent="0.2">
      <c r="A242" s="3" t="s">
        <v>388</v>
      </c>
      <c r="B242" s="3"/>
      <c r="C242" s="3" t="str">
        <f>IFERROR(VLOOKUP(B242,الخطة!A:O,4,FALSE),"")</f>
        <v/>
      </c>
      <c r="D242" s="3"/>
      <c r="E242" s="3" t="str">
        <f>IFERROR(VLOOKUP(D242,الموظفون!A:L,2,FALSE),"")</f>
        <v/>
      </c>
      <c r="F242" s="8"/>
      <c r="G242" s="8"/>
      <c r="H242" s="8" t="str">
        <f>IF(G242="","",G242)</f>
        <v/>
      </c>
      <c r="I242" s="3" t="str">
        <f>IF(H242="","",IF(H242&gt;=الإعدادات!B7,"ناجح","يحتاج إعادة تدريب"))</f>
        <v/>
      </c>
      <c r="J242" s="3"/>
      <c r="K242" s="3"/>
      <c r="L242" s="3"/>
    </row>
    <row r="243" spans="1:12" x14ac:dyDescent="0.2">
      <c r="A243" s="3" t="s">
        <v>389</v>
      </c>
      <c r="B243" s="3"/>
      <c r="C243" s="3" t="str">
        <f>IFERROR(VLOOKUP(B243,الخطة!A:O,4,FALSE),"")</f>
        <v/>
      </c>
      <c r="D243" s="3"/>
      <c r="E243" s="3" t="str">
        <f>IFERROR(VLOOKUP(D243,الموظفون!A:L,2,FALSE),"")</f>
        <v/>
      </c>
      <c r="F243" s="8"/>
      <c r="G243" s="8"/>
      <c r="H243" s="8" t="str">
        <f>IF(G243="","",G243)</f>
        <v/>
      </c>
      <c r="I243" s="3" t="str">
        <f>IF(H243="","",IF(H243&gt;=الإعدادات!B7,"ناجح","يحتاج إعادة تدريب"))</f>
        <v/>
      </c>
      <c r="J243" s="3"/>
      <c r="K243" s="3"/>
      <c r="L243" s="3"/>
    </row>
    <row r="244" spans="1:12" x14ac:dyDescent="0.2">
      <c r="A244" s="3" t="s">
        <v>390</v>
      </c>
      <c r="B244" s="3"/>
      <c r="C244" s="3" t="str">
        <f>IFERROR(VLOOKUP(B244,الخطة!A:O,4,FALSE),"")</f>
        <v/>
      </c>
      <c r="D244" s="3"/>
      <c r="E244" s="3" t="str">
        <f>IFERROR(VLOOKUP(D244,الموظفون!A:L,2,FALSE),"")</f>
        <v/>
      </c>
      <c r="F244" s="8"/>
      <c r="G244" s="8"/>
      <c r="H244" s="8" t="str">
        <f>IF(G244="","",G244)</f>
        <v/>
      </c>
      <c r="I244" s="3" t="str">
        <f>IF(H244="","",IF(H244&gt;=الإعدادات!B7,"ناجح","يحتاج إعادة تدريب"))</f>
        <v/>
      </c>
      <c r="J244" s="3"/>
      <c r="K244" s="3"/>
      <c r="L244" s="3"/>
    </row>
    <row r="245" spans="1:12" x14ac:dyDescent="0.2">
      <c r="A245" s="3" t="s">
        <v>391</v>
      </c>
      <c r="B245" s="3"/>
      <c r="C245" s="3" t="str">
        <f>IFERROR(VLOOKUP(B245,الخطة!A:O,4,FALSE),"")</f>
        <v/>
      </c>
      <c r="D245" s="3"/>
      <c r="E245" s="3" t="str">
        <f>IFERROR(VLOOKUP(D245,الموظفون!A:L,2,FALSE),"")</f>
        <v/>
      </c>
      <c r="F245" s="8"/>
      <c r="G245" s="8"/>
      <c r="H245" s="8" t="str">
        <f>IF(G245="","",G245)</f>
        <v/>
      </c>
      <c r="I245" s="3" t="str">
        <f>IF(H245="","",IF(H245&gt;=الإعدادات!B7,"ناجح","يحتاج إعادة تدريب"))</f>
        <v/>
      </c>
      <c r="J245" s="3"/>
      <c r="K245" s="3"/>
      <c r="L245" s="3"/>
    </row>
    <row r="246" spans="1:12" x14ac:dyDescent="0.2">
      <c r="A246" s="3" t="s">
        <v>392</v>
      </c>
      <c r="B246" s="3"/>
      <c r="C246" s="3" t="str">
        <f>IFERROR(VLOOKUP(B246,الخطة!A:O,4,FALSE),"")</f>
        <v/>
      </c>
      <c r="D246" s="3"/>
      <c r="E246" s="3" t="str">
        <f>IFERROR(VLOOKUP(D246,الموظفون!A:L,2,FALSE),"")</f>
        <v/>
      </c>
      <c r="F246" s="8"/>
      <c r="G246" s="8"/>
      <c r="H246" s="8" t="str">
        <f>IF(G246="","",G246)</f>
        <v/>
      </c>
      <c r="I246" s="3" t="str">
        <f>IF(H246="","",IF(H246&gt;=الإعدادات!B7,"ناجح","يحتاج إعادة تدريب"))</f>
        <v/>
      </c>
      <c r="J246" s="3"/>
      <c r="K246" s="3"/>
      <c r="L246" s="3"/>
    </row>
    <row r="247" spans="1:12" x14ac:dyDescent="0.2">
      <c r="A247" s="3" t="s">
        <v>393</v>
      </c>
      <c r="B247" s="3"/>
      <c r="C247" s="3" t="str">
        <f>IFERROR(VLOOKUP(B247,الخطة!A:O,4,FALSE),"")</f>
        <v/>
      </c>
      <c r="D247" s="3"/>
      <c r="E247" s="3" t="str">
        <f>IFERROR(VLOOKUP(D247,الموظفون!A:L,2,FALSE),"")</f>
        <v/>
      </c>
      <c r="F247" s="8"/>
      <c r="G247" s="8"/>
      <c r="H247" s="8" t="str">
        <f>IF(G247="","",G247)</f>
        <v/>
      </c>
      <c r="I247" s="3" t="str">
        <f>IF(H247="","",IF(H247&gt;=الإعدادات!B7,"ناجح","يحتاج إعادة تدريب"))</f>
        <v/>
      </c>
      <c r="J247" s="3"/>
      <c r="K247" s="3"/>
      <c r="L247" s="3"/>
    </row>
    <row r="248" spans="1:12" x14ac:dyDescent="0.2">
      <c r="A248" s="3" t="s">
        <v>394</v>
      </c>
      <c r="B248" s="3"/>
      <c r="C248" s="3" t="str">
        <f>IFERROR(VLOOKUP(B248,الخطة!A:O,4,FALSE),"")</f>
        <v/>
      </c>
      <c r="D248" s="3"/>
      <c r="E248" s="3" t="str">
        <f>IFERROR(VLOOKUP(D248,الموظفون!A:L,2,FALSE),"")</f>
        <v/>
      </c>
      <c r="F248" s="8"/>
      <c r="G248" s="8"/>
      <c r="H248" s="8" t="str">
        <f>IF(G248="","",G248)</f>
        <v/>
      </c>
      <c r="I248" s="3" t="str">
        <f>IF(H248="","",IF(H248&gt;=الإعدادات!B7,"ناجح","يحتاج إعادة تدريب"))</f>
        <v/>
      </c>
      <c r="J248" s="3"/>
      <c r="K248" s="3"/>
      <c r="L248" s="3"/>
    </row>
    <row r="249" spans="1:12" x14ac:dyDescent="0.2">
      <c r="A249" s="3" t="s">
        <v>395</v>
      </c>
      <c r="B249" s="3"/>
      <c r="C249" s="3" t="str">
        <f>IFERROR(VLOOKUP(B249,الخطة!A:O,4,FALSE),"")</f>
        <v/>
      </c>
      <c r="D249" s="3"/>
      <c r="E249" s="3" t="str">
        <f>IFERROR(VLOOKUP(D249,الموظفون!A:L,2,FALSE),"")</f>
        <v/>
      </c>
      <c r="F249" s="8"/>
      <c r="G249" s="8"/>
      <c r="H249" s="8" t="str">
        <f>IF(G249="","",G249)</f>
        <v/>
      </c>
      <c r="I249" s="3" t="str">
        <f>IF(H249="","",IF(H249&gt;=الإعدادات!B7,"ناجح","يحتاج إعادة تدريب"))</f>
        <v/>
      </c>
      <c r="J249" s="3"/>
      <c r="K249" s="3"/>
      <c r="L249" s="3"/>
    </row>
    <row r="250" spans="1:12" x14ac:dyDescent="0.2">
      <c r="A250" s="3" t="s">
        <v>396</v>
      </c>
      <c r="B250" s="3"/>
      <c r="C250" s="3" t="str">
        <f>IFERROR(VLOOKUP(B250,الخطة!A:O,4,FALSE),"")</f>
        <v/>
      </c>
      <c r="D250" s="3"/>
      <c r="E250" s="3" t="str">
        <f>IFERROR(VLOOKUP(D250,الموظفون!A:L,2,FALSE),"")</f>
        <v/>
      </c>
      <c r="F250" s="8"/>
      <c r="G250" s="8"/>
      <c r="H250" s="8" t="str">
        <f>IF(G250="","",G250)</f>
        <v/>
      </c>
      <c r="I250" s="3" t="str">
        <f>IF(H250="","",IF(H250&gt;=الإعدادات!B7,"ناجح","يحتاج إعادة تدريب"))</f>
        <v/>
      </c>
      <c r="J250" s="3"/>
      <c r="K250" s="3"/>
      <c r="L250" s="3"/>
    </row>
    <row r="251" spans="1:12" x14ac:dyDescent="0.2">
      <c r="A251" s="3" t="s">
        <v>397</v>
      </c>
      <c r="B251" s="3"/>
      <c r="C251" s="3" t="str">
        <f>IFERROR(VLOOKUP(B251,الخطة!A:O,4,FALSE),"")</f>
        <v/>
      </c>
      <c r="D251" s="3"/>
      <c r="E251" s="3" t="str">
        <f>IFERROR(VLOOKUP(D251,الموظفون!A:L,2,FALSE),"")</f>
        <v/>
      </c>
      <c r="F251" s="8"/>
      <c r="G251" s="8"/>
      <c r="H251" s="8" t="str">
        <f>IF(G251="","",G251)</f>
        <v/>
      </c>
      <c r="I251" s="3" t="str">
        <f>IF(H251="","",IF(H251&gt;=الإعدادات!B7,"ناجح","يحتاج إعادة تدريب"))</f>
        <v/>
      </c>
      <c r="J251" s="3"/>
      <c r="K251" s="3"/>
      <c r="L251" s="3"/>
    </row>
    <row r="252" spans="1:12" x14ac:dyDescent="0.2">
      <c r="A252" s="3" t="s">
        <v>398</v>
      </c>
      <c r="B252" s="3"/>
      <c r="C252" s="3" t="str">
        <f>IFERROR(VLOOKUP(B252,الخطة!A:O,4,FALSE),"")</f>
        <v/>
      </c>
      <c r="D252" s="3"/>
      <c r="E252" s="3" t="str">
        <f>IFERROR(VLOOKUP(D252,الموظفون!A:L,2,FALSE),"")</f>
        <v/>
      </c>
      <c r="F252" s="8"/>
      <c r="G252" s="8"/>
      <c r="H252" s="8" t="str">
        <f>IF(G252="","",G252)</f>
        <v/>
      </c>
      <c r="I252" s="3" t="str">
        <f>IF(H252="","",IF(H252&gt;=الإعدادات!B7,"ناجح","يحتاج إعادة تدريب"))</f>
        <v/>
      </c>
      <c r="J252" s="3"/>
      <c r="K252" s="3"/>
      <c r="L252" s="3"/>
    </row>
    <row r="253" spans="1:12" x14ac:dyDescent="0.2">
      <c r="A253" s="3" t="s">
        <v>399</v>
      </c>
      <c r="B253" s="3"/>
      <c r="C253" s="3" t="str">
        <f>IFERROR(VLOOKUP(B253,الخطة!A:O,4,FALSE),"")</f>
        <v/>
      </c>
      <c r="D253" s="3"/>
      <c r="E253" s="3" t="str">
        <f>IFERROR(VLOOKUP(D253,الموظفون!A:L,2,FALSE),"")</f>
        <v/>
      </c>
      <c r="F253" s="8"/>
      <c r="G253" s="8"/>
      <c r="H253" s="8" t="str">
        <f>IF(G253="","",G253)</f>
        <v/>
      </c>
      <c r="I253" s="3" t="str">
        <f>IF(H253="","",IF(H253&gt;=الإعدادات!B7,"ناجح","يحتاج إعادة تدريب"))</f>
        <v/>
      </c>
      <c r="J253" s="3"/>
      <c r="K253" s="3"/>
      <c r="L253" s="3"/>
    </row>
    <row r="254" spans="1:12" x14ac:dyDescent="0.2">
      <c r="A254" s="3" t="s">
        <v>400</v>
      </c>
      <c r="B254" s="3"/>
      <c r="C254" s="3" t="str">
        <f>IFERROR(VLOOKUP(B254,الخطة!A:O,4,FALSE),"")</f>
        <v/>
      </c>
      <c r="D254" s="3"/>
      <c r="E254" s="3" t="str">
        <f>IFERROR(VLOOKUP(D254,الموظفون!A:L,2,FALSE),"")</f>
        <v/>
      </c>
      <c r="F254" s="8"/>
      <c r="G254" s="8"/>
      <c r="H254" s="8" t="str">
        <f>IF(G254="","",G254)</f>
        <v/>
      </c>
      <c r="I254" s="3" t="str">
        <f>IF(H254="","",IF(H254&gt;=الإعدادات!B7,"ناجح","يحتاج إعادة تدريب"))</f>
        <v/>
      </c>
      <c r="J254" s="3"/>
      <c r="K254" s="3"/>
      <c r="L254" s="3"/>
    </row>
    <row r="255" spans="1:12" x14ac:dyDescent="0.2">
      <c r="A255" s="3" t="s">
        <v>401</v>
      </c>
      <c r="B255" s="3"/>
      <c r="C255" s="3" t="str">
        <f>IFERROR(VLOOKUP(B255,الخطة!A:O,4,FALSE),"")</f>
        <v/>
      </c>
      <c r="D255" s="3"/>
      <c r="E255" s="3" t="str">
        <f>IFERROR(VLOOKUP(D255,الموظفون!A:L,2,FALSE),"")</f>
        <v/>
      </c>
      <c r="F255" s="8"/>
      <c r="G255" s="8"/>
      <c r="H255" s="8" t="str">
        <f>IF(G255="","",G255)</f>
        <v/>
      </c>
      <c r="I255" s="3" t="str">
        <f>IF(H255="","",IF(H255&gt;=الإعدادات!B7,"ناجح","يحتاج إعادة تدريب"))</f>
        <v/>
      </c>
      <c r="J255" s="3"/>
      <c r="K255" s="3"/>
      <c r="L255" s="3"/>
    </row>
    <row r="256" spans="1:12" x14ac:dyDescent="0.2">
      <c r="A256" s="3" t="s">
        <v>402</v>
      </c>
      <c r="B256" s="3"/>
      <c r="C256" s="3" t="str">
        <f>IFERROR(VLOOKUP(B256,الخطة!A:O,4,FALSE),"")</f>
        <v/>
      </c>
      <c r="D256" s="3"/>
      <c r="E256" s="3" t="str">
        <f>IFERROR(VLOOKUP(D256,الموظفون!A:L,2,FALSE),"")</f>
        <v/>
      </c>
      <c r="F256" s="8"/>
      <c r="G256" s="8"/>
      <c r="H256" s="8" t="str">
        <f>IF(G256="","",G256)</f>
        <v/>
      </c>
      <c r="I256" s="3" t="str">
        <f>IF(H256="","",IF(H256&gt;=الإعدادات!B7,"ناجح","يحتاج إعادة تدريب"))</f>
        <v/>
      </c>
      <c r="J256" s="3"/>
      <c r="K256" s="3"/>
      <c r="L256" s="3"/>
    </row>
    <row r="257" spans="1:12" x14ac:dyDescent="0.2">
      <c r="A257" s="3" t="s">
        <v>403</v>
      </c>
      <c r="B257" s="3"/>
      <c r="C257" s="3" t="str">
        <f>IFERROR(VLOOKUP(B257,الخطة!A:O,4,FALSE),"")</f>
        <v/>
      </c>
      <c r="D257" s="3"/>
      <c r="E257" s="3" t="str">
        <f>IFERROR(VLOOKUP(D257,الموظفون!A:L,2,FALSE),"")</f>
        <v/>
      </c>
      <c r="F257" s="8"/>
      <c r="G257" s="8"/>
      <c r="H257" s="8" t="str">
        <f>IF(G257="","",G257)</f>
        <v/>
      </c>
      <c r="I257" s="3" t="str">
        <f>IF(H257="","",IF(H257&gt;=الإعدادات!B7,"ناجح","يحتاج إعادة تدريب"))</f>
        <v/>
      </c>
      <c r="J257" s="3"/>
      <c r="K257" s="3"/>
      <c r="L257" s="3"/>
    </row>
    <row r="258" spans="1:12" x14ac:dyDescent="0.2">
      <c r="A258" s="3" t="s">
        <v>404</v>
      </c>
      <c r="B258" s="3"/>
      <c r="C258" s="3" t="str">
        <f>IFERROR(VLOOKUP(B258,الخطة!A:O,4,FALSE),"")</f>
        <v/>
      </c>
      <c r="D258" s="3"/>
      <c r="E258" s="3" t="str">
        <f>IFERROR(VLOOKUP(D258,الموظفون!A:L,2,FALSE),"")</f>
        <v/>
      </c>
      <c r="F258" s="8"/>
      <c r="G258" s="8"/>
      <c r="H258" s="8" t="str">
        <f>IF(G258="","",G258)</f>
        <v/>
      </c>
      <c r="I258" s="3" t="str">
        <f>IF(H258="","",IF(H258&gt;=الإعدادات!B7,"ناجح","يحتاج إعادة تدريب"))</f>
        <v/>
      </c>
      <c r="J258" s="3"/>
      <c r="K258" s="3"/>
      <c r="L258" s="3"/>
    </row>
    <row r="259" spans="1:12" x14ac:dyDescent="0.2">
      <c r="A259" s="3" t="s">
        <v>405</v>
      </c>
      <c r="B259" s="3"/>
      <c r="C259" s="3" t="str">
        <f>IFERROR(VLOOKUP(B259,الخطة!A:O,4,FALSE),"")</f>
        <v/>
      </c>
      <c r="D259" s="3"/>
      <c r="E259" s="3" t="str">
        <f>IFERROR(VLOOKUP(D259,الموظفون!A:L,2,FALSE),"")</f>
        <v/>
      </c>
      <c r="F259" s="8"/>
      <c r="G259" s="8"/>
      <c r="H259" s="8" t="str">
        <f>IF(G259="","",G259)</f>
        <v/>
      </c>
      <c r="I259" s="3" t="str">
        <f>IF(H259="","",IF(H259&gt;=الإعدادات!B7,"ناجح","يحتاج إعادة تدريب"))</f>
        <v/>
      </c>
      <c r="J259" s="3"/>
      <c r="K259" s="3"/>
      <c r="L259" s="3"/>
    </row>
    <row r="260" spans="1:12" x14ac:dyDescent="0.2">
      <c r="A260" s="3" t="s">
        <v>406</v>
      </c>
      <c r="B260" s="3"/>
      <c r="C260" s="3" t="str">
        <f>IFERROR(VLOOKUP(B260,الخطة!A:O,4,FALSE),"")</f>
        <v/>
      </c>
      <c r="D260" s="3"/>
      <c r="E260" s="3" t="str">
        <f>IFERROR(VLOOKUP(D260,الموظفون!A:L,2,FALSE),"")</f>
        <v/>
      </c>
      <c r="F260" s="8"/>
      <c r="G260" s="8"/>
      <c r="H260" s="8" t="str">
        <f>IF(G260="","",G260)</f>
        <v/>
      </c>
      <c r="I260" s="3" t="str">
        <f>IF(H260="","",IF(H260&gt;=الإعدادات!B7,"ناجح","يحتاج إعادة تدريب"))</f>
        <v/>
      </c>
      <c r="J260" s="3"/>
      <c r="K260" s="3"/>
      <c r="L260" s="3"/>
    </row>
    <row r="261" spans="1:12" x14ac:dyDescent="0.2">
      <c r="A261" s="3" t="s">
        <v>407</v>
      </c>
      <c r="B261" s="3"/>
      <c r="C261" s="3" t="str">
        <f>IFERROR(VLOOKUP(B261,الخطة!A:O,4,FALSE),"")</f>
        <v/>
      </c>
      <c r="D261" s="3"/>
      <c r="E261" s="3" t="str">
        <f>IFERROR(VLOOKUP(D261,الموظفون!A:L,2,FALSE),"")</f>
        <v/>
      </c>
      <c r="F261" s="8"/>
      <c r="G261" s="8"/>
      <c r="H261" s="8" t="str">
        <f>IF(G261="","",G261)</f>
        <v/>
      </c>
      <c r="I261" s="3" t="str">
        <f>IF(H261="","",IF(H261&gt;=الإعدادات!B7,"ناجح","يحتاج إعادة تدريب"))</f>
        <v/>
      </c>
      <c r="J261" s="3"/>
      <c r="K261" s="3"/>
      <c r="L261" s="3"/>
    </row>
    <row r="262" spans="1:12" x14ac:dyDescent="0.2">
      <c r="A262" s="3" t="s">
        <v>408</v>
      </c>
      <c r="B262" s="3"/>
      <c r="C262" s="3" t="str">
        <f>IFERROR(VLOOKUP(B262,الخطة!A:O,4,FALSE),"")</f>
        <v/>
      </c>
      <c r="D262" s="3"/>
      <c r="E262" s="3" t="str">
        <f>IFERROR(VLOOKUP(D262,الموظفون!A:L,2,FALSE),"")</f>
        <v/>
      </c>
      <c r="F262" s="8"/>
      <c r="G262" s="8"/>
      <c r="H262" s="8" t="str">
        <f>IF(G262="","",G262)</f>
        <v/>
      </c>
      <c r="I262" s="3" t="str">
        <f>IF(H262="","",IF(H262&gt;=الإعدادات!B7,"ناجح","يحتاج إعادة تدريب"))</f>
        <v/>
      </c>
      <c r="J262" s="3"/>
      <c r="K262" s="3"/>
      <c r="L262" s="3"/>
    </row>
    <row r="263" spans="1:12" x14ac:dyDescent="0.2">
      <c r="A263" s="3" t="s">
        <v>409</v>
      </c>
      <c r="B263" s="3"/>
      <c r="C263" s="3" t="str">
        <f>IFERROR(VLOOKUP(B263,الخطة!A:O,4,FALSE),"")</f>
        <v/>
      </c>
      <c r="D263" s="3"/>
      <c r="E263" s="3" t="str">
        <f>IFERROR(VLOOKUP(D263,الموظفون!A:L,2,FALSE),"")</f>
        <v/>
      </c>
      <c r="F263" s="8"/>
      <c r="G263" s="8"/>
      <c r="H263" s="8" t="str">
        <f>IF(G263="","",G263)</f>
        <v/>
      </c>
      <c r="I263" s="3" t="str">
        <f>IF(H263="","",IF(H263&gt;=الإعدادات!B7,"ناجح","يحتاج إعادة تدريب"))</f>
        <v/>
      </c>
      <c r="J263" s="3"/>
      <c r="K263" s="3"/>
      <c r="L263" s="3"/>
    </row>
    <row r="264" spans="1:12" x14ac:dyDescent="0.2">
      <c r="A264" s="3" t="s">
        <v>410</v>
      </c>
      <c r="B264" s="3"/>
      <c r="C264" s="3" t="str">
        <f>IFERROR(VLOOKUP(B264,الخطة!A:O,4,FALSE),"")</f>
        <v/>
      </c>
      <c r="D264" s="3"/>
      <c r="E264" s="3" t="str">
        <f>IFERROR(VLOOKUP(D264,الموظفون!A:L,2,FALSE),"")</f>
        <v/>
      </c>
      <c r="F264" s="8"/>
      <c r="G264" s="8"/>
      <c r="H264" s="8" t="str">
        <f>IF(G264="","",G264)</f>
        <v/>
      </c>
      <c r="I264" s="3" t="str">
        <f>IF(H264="","",IF(H264&gt;=الإعدادات!B7,"ناجح","يحتاج إعادة تدريب"))</f>
        <v/>
      </c>
      <c r="J264" s="3"/>
      <c r="K264" s="3"/>
      <c r="L264" s="3"/>
    </row>
    <row r="265" spans="1:12" x14ac:dyDescent="0.2">
      <c r="A265" s="3" t="s">
        <v>411</v>
      </c>
      <c r="B265" s="3"/>
      <c r="C265" s="3" t="str">
        <f>IFERROR(VLOOKUP(B265,الخطة!A:O,4,FALSE),"")</f>
        <v/>
      </c>
      <c r="D265" s="3"/>
      <c r="E265" s="3" t="str">
        <f>IFERROR(VLOOKUP(D265,الموظفون!A:L,2,FALSE),"")</f>
        <v/>
      </c>
      <c r="F265" s="8"/>
      <c r="G265" s="8"/>
      <c r="H265" s="8" t="str">
        <f>IF(G265="","",G265)</f>
        <v/>
      </c>
      <c r="I265" s="3" t="str">
        <f>IF(H265="","",IF(H265&gt;=الإعدادات!B7,"ناجح","يحتاج إعادة تدريب"))</f>
        <v/>
      </c>
      <c r="J265" s="3"/>
      <c r="K265" s="3"/>
      <c r="L265" s="3"/>
    </row>
    <row r="266" spans="1:12" x14ac:dyDescent="0.2">
      <c r="A266" s="3" t="s">
        <v>412</v>
      </c>
      <c r="B266" s="3"/>
      <c r="C266" s="3" t="str">
        <f>IFERROR(VLOOKUP(B266,الخطة!A:O,4,FALSE),"")</f>
        <v/>
      </c>
      <c r="D266" s="3"/>
      <c r="E266" s="3" t="str">
        <f>IFERROR(VLOOKUP(D266,الموظفون!A:L,2,FALSE),"")</f>
        <v/>
      </c>
      <c r="F266" s="8"/>
      <c r="G266" s="8"/>
      <c r="H266" s="8" t="str">
        <f>IF(G266="","",G266)</f>
        <v/>
      </c>
      <c r="I266" s="3" t="str">
        <f>IF(H266="","",IF(H266&gt;=الإعدادات!B7,"ناجح","يحتاج إعادة تدريب"))</f>
        <v/>
      </c>
      <c r="J266" s="3"/>
      <c r="K266" s="3"/>
      <c r="L266" s="3"/>
    </row>
    <row r="267" spans="1:12" x14ac:dyDescent="0.2">
      <c r="A267" s="3" t="s">
        <v>413</v>
      </c>
      <c r="B267" s="3"/>
      <c r="C267" s="3" t="str">
        <f>IFERROR(VLOOKUP(B267,الخطة!A:O,4,FALSE),"")</f>
        <v/>
      </c>
      <c r="D267" s="3"/>
      <c r="E267" s="3" t="str">
        <f>IFERROR(VLOOKUP(D267,الموظفون!A:L,2,FALSE),"")</f>
        <v/>
      </c>
      <c r="F267" s="8"/>
      <c r="G267" s="8"/>
      <c r="H267" s="8" t="str">
        <f>IF(G267="","",G267)</f>
        <v/>
      </c>
      <c r="I267" s="3" t="str">
        <f>IF(H267="","",IF(H267&gt;=الإعدادات!B7,"ناجح","يحتاج إعادة تدريب"))</f>
        <v/>
      </c>
      <c r="J267" s="3"/>
      <c r="K267" s="3"/>
      <c r="L267" s="3"/>
    </row>
    <row r="268" spans="1:12" x14ac:dyDescent="0.2">
      <c r="A268" s="3" t="s">
        <v>414</v>
      </c>
      <c r="B268" s="3"/>
      <c r="C268" s="3" t="str">
        <f>IFERROR(VLOOKUP(B268,الخطة!A:O,4,FALSE),"")</f>
        <v/>
      </c>
      <c r="D268" s="3"/>
      <c r="E268" s="3" t="str">
        <f>IFERROR(VLOOKUP(D268,الموظفون!A:L,2,FALSE),"")</f>
        <v/>
      </c>
      <c r="F268" s="8"/>
      <c r="G268" s="8"/>
      <c r="H268" s="8" t="str">
        <f>IF(G268="","",G268)</f>
        <v/>
      </c>
      <c r="I268" s="3" t="str">
        <f>IF(H268="","",IF(H268&gt;=الإعدادات!B7,"ناجح","يحتاج إعادة تدريب"))</f>
        <v/>
      </c>
      <c r="J268" s="3"/>
      <c r="K268" s="3"/>
      <c r="L268" s="3"/>
    </row>
    <row r="269" spans="1:12" x14ac:dyDescent="0.2">
      <c r="A269" s="3" t="s">
        <v>415</v>
      </c>
      <c r="B269" s="3"/>
      <c r="C269" s="3" t="str">
        <f>IFERROR(VLOOKUP(B269,الخطة!A:O,4,FALSE),"")</f>
        <v/>
      </c>
      <c r="D269" s="3"/>
      <c r="E269" s="3" t="str">
        <f>IFERROR(VLOOKUP(D269,الموظفون!A:L,2,FALSE),"")</f>
        <v/>
      </c>
      <c r="F269" s="8"/>
      <c r="G269" s="8"/>
      <c r="H269" s="8" t="str">
        <f>IF(G269="","",G269)</f>
        <v/>
      </c>
      <c r="I269" s="3" t="str">
        <f>IF(H269="","",IF(H269&gt;=الإعدادات!B7,"ناجح","يحتاج إعادة تدريب"))</f>
        <v/>
      </c>
      <c r="J269" s="3"/>
      <c r="K269" s="3"/>
      <c r="L269" s="3"/>
    </row>
    <row r="270" spans="1:12" x14ac:dyDescent="0.2">
      <c r="A270" s="3" t="s">
        <v>416</v>
      </c>
      <c r="B270" s="3"/>
      <c r="C270" s="3" t="str">
        <f>IFERROR(VLOOKUP(B270,الخطة!A:O,4,FALSE),"")</f>
        <v/>
      </c>
      <c r="D270" s="3"/>
      <c r="E270" s="3" t="str">
        <f>IFERROR(VLOOKUP(D270,الموظفون!A:L,2,FALSE),"")</f>
        <v/>
      </c>
      <c r="F270" s="8"/>
      <c r="G270" s="8"/>
      <c r="H270" s="8" t="str">
        <f>IF(G270="","",G270)</f>
        <v/>
      </c>
      <c r="I270" s="3" t="str">
        <f>IF(H270="","",IF(H270&gt;=الإعدادات!B7,"ناجح","يحتاج إعادة تدريب"))</f>
        <v/>
      </c>
      <c r="J270" s="3"/>
      <c r="K270" s="3"/>
      <c r="L270" s="3"/>
    </row>
    <row r="271" spans="1:12" x14ac:dyDescent="0.2">
      <c r="A271" s="3" t="s">
        <v>417</v>
      </c>
      <c r="B271" s="3"/>
      <c r="C271" s="3" t="str">
        <f>IFERROR(VLOOKUP(B271,الخطة!A:O,4,FALSE),"")</f>
        <v/>
      </c>
      <c r="D271" s="3"/>
      <c r="E271" s="3" t="str">
        <f>IFERROR(VLOOKUP(D271,الموظفون!A:L,2,FALSE),"")</f>
        <v/>
      </c>
      <c r="F271" s="8"/>
      <c r="G271" s="8"/>
      <c r="H271" s="8" t="str">
        <f>IF(G271="","",G271)</f>
        <v/>
      </c>
      <c r="I271" s="3" t="str">
        <f>IF(H271="","",IF(H271&gt;=الإعدادات!B7,"ناجح","يحتاج إعادة تدريب"))</f>
        <v/>
      </c>
      <c r="J271" s="3"/>
      <c r="K271" s="3"/>
      <c r="L271" s="3"/>
    </row>
    <row r="272" spans="1:12" x14ac:dyDescent="0.2">
      <c r="A272" s="3" t="s">
        <v>418</v>
      </c>
      <c r="B272" s="3"/>
      <c r="C272" s="3" t="str">
        <f>IFERROR(VLOOKUP(B272,الخطة!A:O,4,FALSE),"")</f>
        <v/>
      </c>
      <c r="D272" s="3"/>
      <c r="E272" s="3" t="str">
        <f>IFERROR(VLOOKUP(D272,الموظفون!A:L,2,FALSE),"")</f>
        <v/>
      </c>
      <c r="F272" s="8"/>
      <c r="G272" s="8"/>
      <c r="H272" s="8" t="str">
        <f>IF(G272="","",G272)</f>
        <v/>
      </c>
      <c r="I272" s="3" t="str">
        <f>IF(H272="","",IF(H272&gt;=الإعدادات!B7,"ناجح","يحتاج إعادة تدريب"))</f>
        <v/>
      </c>
      <c r="J272" s="3"/>
      <c r="K272" s="3"/>
      <c r="L272" s="3"/>
    </row>
    <row r="273" spans="1:12" x14ac:dyDescent="0.2">
      <c r="A273" s="3" t="s">
        <v>419</v>
      </c>
      <c r="B273" s="3"/>
      <c r="C273" s="3" t="str">
        <f>IFERROR(VLOOKUP(B273,الخطة!A:O,4,FALSE),"")</f>
        <v/>
      </c>
      <c r="D273" s="3"/>
      <c r="E273" s="3" t="str">
        <f>IFERROR(VLOOKUP(D273,الموظفون!A:L,2,FALSE),"")</f>
        <v/>
      </c>
      <c r="F273" s="8"/>
      <c r="G273" s="8"/>
      <c r="H273" s="8" t="str">
        <f>IF(G273="","",G273)</f>
        <v/>
      </c>
      <c r="I273" s="3" t="str">
        <f>IF(H273="","",IF(H273&gt;=الإعدادات!B7,"ناجح","يحتاج إعادة تدريب"))</f>
        <v/>
      </c>
      <c r="J273" s="3"/>
      <c r="K273" s="3"/>
      <c r="L273" s="3"/>
    </row>
    <row r="274" spans="1:12" x14ac:dyDescent="0.2">
      <c r="A274" s="3" t="s">
        <v>420</v>
      </c>
      <c r="B274" s="3"/>
      <c r="C274" s="3" t="str">
        <f>IFERROR(VLOOKUP(B274,الخطة!A:O,4,FALSE),"")</f>
        <v/>
      </c>
      <c r="D274" s="3"/>
      <c r="E274" s="3" t="str">
        <f>IFERROR(VLOOKUP(D274,الموظفون!A:L,2,FALSE),"")</f>
        <v/>
      </c>
      <c r="F274" s="8"/>
      <c r="G274" s="8"/>
      <c r="H274" s="8" t="str">
        <f>IF(G274="","",G274)</f>
        <v/>
      </c>
      <c r="I274" s="3" t="str">
        <f>IF(H274="","",IF(H274&gt;=الإعدادات!B7,"ناجح","يحتاج إعادة تدريب"))</f>
        <v/>
      </c>
      <c r="J274" s="3"/>
      <c r="K274" s="3"/>
      <c r="L274" s="3"/>
    </row>
    <row r="275" spans="1:12" x14ac:dyDescent="0.2">
      <c r="A275" s="3" t="s">
        <v>421</v>
      </c>
      <c r="B275" s="3"/>
      <c r="C275" s="3" t="str">
        <f>IFERROR(VLOOKUP(B275,الخطة!A:O,4,FALSE),"")</f>
        <v/>
      </c>
      <c r="D275" s="3"/>
      <c r="E275" s="3" t="str">
        <f>IFERROR(VLOOKUP(D275,الموظفون!A:L,2,FALSE),"")</f>
        <v/>
      </c>
      <c r="F275" s="8"/>
      <c r="G275" s="8"/>
      <c r="H275" s="8" t="str">
        <f>IF(G275="","",G275)</f>
        <v/>
      </c>
      <c r="I275" s="3" t="str">
        <f>IF(H275="","",IF(H275&gt;=الإعدادات!B7,"ناجح","يحتاج إعادة تدريب"))</f>
        <v/>
      </c>
      <c r="J275" s="3"/>
      <c r="K275" s="3"/>
      <c r="L275" s="3"/>
    </row>
    <row r="276" spans="1:12" x14ac:dyDescent="0.2">
      <c r="A276" s="3" t="s">
        <v>422</v>
      </c>
      <c r="B276" s="3"/>
      <c r="C276" s="3" t="str">
        <f>IFERROR(VLOOKUP(B276,الخطة!A:O,4,FALSE),"")</f>
        <v/>
      </c>
      <c r="D276" s="3"/>
      <c r="E276" s="3" t="str">
        <f>IFERROR(VLOOKUP(D276,الموظفون!A:L,2,FALSE),"")</f>
        <v/>
      </c>
      <c r="F276" s="8"/>
      <c r="G276" s="8"/>
      <c r="H276" s="8" t="str">
        <f>IF(G276="","",G276)</f>
        <v/>
      </c>
      <c r="I276" s="3" t="str">
        <f>IF(H276="","",IF(H276&gt;=الإعدادات!B7,"ناجح","يحتاج إعادة تدريب"))</f>
        <v/>
      </c>
      <c r="J276" s="3"/>
      <c r="K276" s="3"/>
      <c r="L276" s="3"/>
    </row>
    <row r="277" spans="1:12" x14ac:dyDescent="0.2">
      <c r="A277" s="3" t="s">
        <v>423</v>
      </c>
      <c r="B277" s="3"/>
      <c r="C277" s="3" t="str">
        <f>IFERROR(VLOOKUP(B277,الخطة!A:O,4,FALSE),"")</f>
        <v/>
      </c>
      <c r="D277" s="3"/>
      <c r="E277" s="3" t="str">
        <f>IFERROR(VLOOKUP(D277,الموظفون!A:L,2,FALSE),"")</f>
        <v/>
      </c>
      <c r="F277" s="8"/>
      <c r="G277" s="8"/>
      <c r="H277" s="8" t="str">
        <f>IF(G277="","",G277)</f>
        <v/>
      </c>
      <c r="I277" s="3" t="str">
        <f>IF(H277="","",IF(H277&gt;=الإعدادات!B7,"ناجح","يحتاج إعادة تدريب"))</f>
        <v/>
      </c>
      <c r="J277" s="3"/>
      <c r="K277" s="3"/>
      <c r="L277" s="3"/>
    </row>
    <row r="278" spans="1:12" x14ac:dyDescent="0.2">
      <c r="A278" s="3" t="s">
        <v>424</v>
      </c>
      <c r="B278" s="3"/>
      <c r="C278" s="3" t="str">
        <f>IFERROR(VLOOKUP(B278,الخطة!A:O,4,FALSE),"")</f>
        <v/>
      </c>
      <c r="D278" s="3"/>
      <c r="E278" s="3" t="str">
        <f>IFERROR(VLOOKUP(D278,الموظفون!A:L,2,FALSE),"")</f>
        <v/>
      </c>
      <c r="F278" s="8"/>
      <c r="G278" s="8"/>
      <c r="H278" s="8" t="str">
        <f>IF(G278="","",G278)</f>
        <v/>
      </c>
      <c r="I278" s="3" t="str">
        <f>IF(H278="","",IF(H278&gt;=الإعدادات!B7,"ناجح","يحتاج إعادة تدريب"))</f>
        <v/>
      </c>
      <c r="J278" s="3"/>
      <c r="K278" s="3"/>
      <c r="L278" s="3"/>
    </row>
    <row r="279" spans="1:12" x14ac:dyDescent="0.2">
      <c r="A279" s="3" t="s">
        <v>425</v>
      </c>
      <c r="B279" s="3"/>
      <c r="C279" s="3" t="str">
        <f>IFERROR(VLOOKUP(B279,الخطة!A:O,4,FALSE),"")</f>
        <v/>
      </c>
      <c r="D279" s="3"/>
      <c r="E279" s="3" t="str">
        <f>IFERROR(VLOOKUP(D279,الموظفون!A:L,2,FALSE),"")</f>
        <v/>
      </c>
      <c r="F279" s="8"/>
      <c r="G279" s="8"/>
      <c r="H279" s="8" t="str">
        <f>IF(G279="","",G279)</f>
        <v/>
      </c>
      <c r="I279" s="3" t="str">
        <f>IF(H279="","",IF(H279&gt;=الإعدادات!B7,"ناجح","يحتاج إعادة تدريب"))</f>
        <v/>
      </c>
      <c r="J279" s="3"/>
      <c r="K279" s="3"/>
      <c r="L279" s="3"/>
    </row>
    <row r="280" spans="1:12" x14ac:dyDescent="0.2">
      <c r="A280" s="3" t="s">
        <v>426</v>
      </c>
      <c r="B280" s="3"/>
      <c r="C280" s="3" t="str">
        <f>IFERROR(VLOOKUP(B280,الخطة!A:O,4,FALSE),"")</f>
        <v/>
      </c>
      <c r="D280" s="3"/>
      <c r="E280" s="3" t="str">
        <f>IFERROR(VLOOKUP(D280,الموظفون!A:L,2,FALSE),"")</f>
        <v/>
      </c>
      <c r="F280" s="8"/>
      <c r="G280" s="8"/>
      <c r="H280" s="8" t="str">
        <f>IF(G280="","",G280)</f>
        <v/>
      </c>
      <c r="I280" s="3" t="str">
        <f>IF(H280="","",IF(H280&gt;=الإعدادات!B7,"ناجح","يحتاج إعادة تدريب"))</f>
        <v/>
      </c>
      <c r="J280" s="3"/>
      <c r="K280" s="3"/>
      <c r="L280" s="3"/>
    </row>
    <row r="281" spans="1:12" x14ac:dyDescent="0.2">
      <c r="A281" s="3" t="s">
        <v>427</v>
      </c>
      <c r="B281" s="3"/>
      <c r="C281" s="3" t="str">
        <f>IFERROR(VLOOKUP(B281,الخطة!A:O,4,FALSE),"")</f>
        <v/>
      </c>
      <c r="D281" s="3"/>
      <c r="E281" s="3" t="str">
        <f>IFERROR(VLOOKUP(D281,الموظفون!A:L,2,FALSE),"")</f>
        <v/>
      </c>
      <c r="F281" s="8"/>
      <c r="G281" s="8"/>
      <c r="H281" s="8" t="str">
        <f>IF(G281="","",G281)</f>
        <v/>
      </c>
      <c r="I281" s="3" t="str">
        <f>IF(H281="","",IF(H281&gt;=الإعدادات!B7,"ناجح","يحتاج إعادة تدريب"))</f>
        <v/>
      </c>
      <c r="J281" s="3"/>
      <c r="K281" s="3"/>
      <c r="L281" s="3"/>
    </row>
    <row r="282" spans="1:12" x14ac:dyDescent="0.2">
      <c r="A282" s="3" t="s">
        <v>428</v>
      </c>
      <c r="B282" s="3"/>
      <c r="C282" s="3" t="str">
        <f>IFERROR(VLOOKUP(B282,الخطة!A:O,4,FALSE),"")</f>
        <v/>
      </c>
      <c r="D282" s="3"/>
      <c r="E282" s="3" t="str">
        <f>IFERROR(VLOOKUP(D282,الموظفون!A:L,2,FALSE),"")</f>
        <v/>
      </c>
      <c r="F282" s="8"/>
      <c r="G282" s="8"/>
      <c r="H282" s="8" t="str">
        <f>IF(G282="","",G282)</f>
        <v/>
      </c>
      <c r="I282" s="3" t="str">
        <f>IF(H282="","",IF(H282&gt;=الإعدادات!B7,"ناجح","يحتاج إعادة تدريب"))</f>
        <v/>
      </c>
      <c r="J282" s="3"/>
      <c r="K282" s="3"/>
      <c r="L282" s="3"/>
    </row>
    <row r="283" spans="1:12" x14ac:dyDescent="0.2">
      <c r="A283" s="3" t="s">
        <v>429</v>
      </c>
      <c r="B283" s="3"/>
      <c r="C283" s="3" t="str">
        <f>IFERROR(VLOOKUP(B283,الخطة!A:O,4,FALSE),"")</f>
        <v/>
      </c>
      <c r="D283" s="3"/>
      <c r="E283" s="3" t="str">
        <f>IFERROR(VLOOKUP(D283,الموظفون!A:L,2,FALSE),"")</f>
        <v/>
      </c>
      <c r="F283" s="8"/>
      <c r="G283" s="8"/>
      <c r="H283" s="8" t="str">
        <f>IF(G283="","",G283)</f>
        <v/>
      </c>
      <c r="I283" s="3" t="str">
        <f>IF(H283="","",IF(H283&gt;=الإعدادات!B7,"ناجح","يحتاج إعادة تدريب"))</f>
        <v/>
      </c>
      <c r="J283" s="3"/>
      <c r="K283" s="3"/>
      <c r="L283" s="3"/>
    </row>
    <row r="284" spans="1:12" x14ac:dyDescent="0.2">
      <c r="A284" s="3" t="s">
        <v>430</v>
      </c>
      <c r="B284" s="3"/>
      <c r="C284" s="3" t="str">
        <f>IFERROR(VLOOKUP(B284,الخطة!A:O,4,FALSE),"")</f>
        <v/>
      </c>
      <c r="D284" s="3"/>
      <c r="E284" s="3" t="str">
        <f>IFERROR(VLOOKUP(D284,الموظفون!A:L,2,FALSE),"")</f>
        <v/>
      </c>
      <c r="F284" s="8"/>
      <c r="G284" s="8"/>
      <c r="H284" s="8" t="str">
        <f>IF(G284="","",G284)</f>
        <v/>
      </c>
      <c r="I284" s="3" t="str">
        <f>IF(H284="","",IF(H284&gt;=الإعدادات!B7,"ناجح","يحتاج إعادة تدريب"))</f>
        <v/>
      </c>
      <c r="J284" s="3"/>
      <c r="K284" s="3"/>
      <c r="L284" s="3"/>
    </row>
    <row r="285" spans="1:12" x14ac:dyDescent="0.2">
      <c r="A285" s="3" t="s">
        <v>431</v>
      </c>
      <c r="B285" s="3"/>
      <c r="C285" s="3" t="str">
        <f>IFERROR(VLOOKUP(B285,الخطة!A:O,4,FALSE),"")</f>
        <v/>
      </c>
      <c r="D285" s="3"/>
      <c r="E285" s="3" t="str">
        <f>IFERROR(VLOOKUP(D285,الموظفون!A:L,2,FALSE),"")</f>
        <v/>
      </c>
      <c r="F285" s="8"/>
      <c r="G285" s="8"/>
      <c r="H285" s="8" t="str">
        <f>IF(G285="","",G285)</f>
        <v/>
      </c>
      <c r="I285" s="3" t="str">
        <f>IF(H285="","",IF(H285&gt;=الإعدادات!B7,"ناجح","يحتاج إعادة تدريب"))</f>
        <v/>
      </c>
      <c r="J285" s="3"/>
      <c r="K285" s="3"/>
      <c r="L285" s="3"/>
    </row>
    <row r="286" spans="1:12" x14ac:dyDescent="0.2">
      <c r="A286" s="3" t="s">
        <v>432</v>
      </c>
      <c r="B286" s="3"/>
      <c r="C286" s="3" t="str">
        <f>IFERROR(VLOOKUP(B286,الخطة!A:O,4,FALSE),"")</f>
        <v/>
      </c>
      <c r="D286" s="3"/>
      <c r="E286" s="3" t="str">
        <f>IFERROR(VLOOKUP(D286,الموظفون!A:L,2,FALSE),"")</f>
        <v/>
      </c>
      <c r="F286" s="8"/>
      <c r="G286" s="8"/>
      <c r="H286" s="8" t="str">
        <f>IF(G286="","",G286)</f>
        <v/>
      </c>
      <c r="I286" s="3" t="str">
        <f>IF(H286="","",IF(H286&gt;=الإعدادات!B7,"ناجح","يحتاج إعادة تدريب"))</f>
        <v/>
      </c>
      <c r="J286" s="3"/>
      <c r="K286" s="3"/>
      <c r="L286" s="3"/>
    </row>
    <row r="287" spans="1:12" x14ac:dyDescent="0.2">
      <c r="A287" s="3" t="s">
        <v>433</v>
      </c>
      <c r="B287" s="3"/>
      <c r="C287" s="3" t="str">
        <f>IFERROR(VLOOKUP(B287,الخطة!A:O,4,FALSE),"")</f>
        <v/>
      </c>
      <c r="D287" s="3"/>
      <c r="E287" s="3" t="str">
        <f>IFERROR(VLOOKUP(D287,الموظفون!A:L,2,FALSE),"")</f>
        <v/>
      </c>
      <c r="F287" s="8"/>
      <c r="G287" s="8"/>
      <c r="H287" s="8" t="str">
        <f>IF(G287="","",G287)</f>
        <v/>
      </c>
      <c r="I287" s="3" t="str">
        <f>IF(H287="","",IF(H287&gt;=الإعدادات!B7,"ناجح","يحتاج إعادة تدريب"))</f>
        <v/>
      </c>
      <c r="J287" s="3"/>
      <c r="K287" s="3"/>
      <c r="L287" s="3"/>
    </row>
    <row r="288" spans="1:12" x14ac:dyDescent="0.2">
      <c r="A288" s="3" t="s">
        <v>434</v>
      </c>
      <c r="B288" s="3"/>
      <c r="C288" s="3" t="str">
        <f>IFERROR(VLOOKUP(B288,الخطة!A:O,4,FALSE),"")</f>
        <v/>
      </c>
      <c r="D288" s="3"/>
      <c r="E288" s="3" t="str">
        <f>IFERROR(VLOOKUP(D288,الموظفون!A:L,2,FALSE),"")</f>
        <v/>
      </c>
      <c r="F288" s="8"/>
      <c r="G288" s="8"/>
      <c r="H288" s="8" t="str">
        <f>IF(G288="","",G288)</f>
        <v/>
      </c>
      <c r="I288" s="3" t="str">
        <f>IF(H288="","",IF(H288&gt;=الإعدادات!B7,"ناجح","يحتاج إعادة تدريب"))</f>
        <v/>
      </c>
      <c r="J288" s="3"/>
      <c r="K288" s="3"/>
      <c r="L288" s="3"/>
    </row>
    <row r="289" spans="1:12" x14ac:dyDescent="0.2">
      <c r="A289" s="3" t="s">
        <v>435</v>
      </c>
      <c r="B289" s="3"/>
      <c r="C289" s="3" t="str">
        <f>IFERROR(VLOOKUP(B289,الخطة!A:O,4,FALSE),"")</f>
        <v/>
      </c>
      <c r="D289" s="3"/>
      <c r="E289" s="3" t="str">
        <f>IFERROR(VLOOKUP(D289,الموظفون!A:L,2,FALSE),"")</f>
        <v/>
      </c>
      <c r="F289" s="8"/>
      <c r="G289" s="8"/>
      <c r="H289" s="8" t="str">
        <f>IF(G289="","",G289)</f>
        <v/>
      </c>
      <c r="I289" s="3" t="str">
        <f>IF(H289="","",IF(H289&gt;=الإعدادات!B7,"ناجح","يحتاج إعادة تدريب"))</f>
        <v/>
      </c>
      <c r="J289" s="3"/>
      <c r="K289" s="3"/>
      <c r="L289" s="3"/>
    </row>
    <row r="290" spans="1:12" x14ac:dyDescent="0.2">
      <c r="A290" s="3" t="s">
        <v>436</v>
      </c>
      <c r="B290" s="3"/>
      <c r="C290" s="3" t="str">
        <f>IFERROR(VLOOKUP(B290,الخطة!A:O,4,FALSE),"")</f>
        <v/>
      </c>
      <c r="D290" s="3"/>
      <c r="E290" s="3" t="str">
        <f>IFERROR(VLOOKUP(D290,الموظفون!A:L,2,FALSE),"")</f>
        <v/>
      </c>
      <c r="F290" s="8"/>
      <c r="G290" s="8"/>
      <c r="H290" s="8" t="str">
        <f>IF(G290="","",G290)</f>
        <v/>
      </c>
      <c r="I290" s="3" t="str">
        <f>IF(H290="","",IF(H290&gt;=الإعدادات!B7,"ناجح","يحتاج إعادة تدريب"))</f>
        <v/>
      </c>
      <c r="J290" s="3"/>
      <c r="K290" s="3"/>
      <c r="L290" s="3"/>
    </row>
    <row r="291" spans="1:12" x14ac:dyDescent="0.2">
      <c r="A291" s="3" t="s">
        <v>437</v>
      </c>
      <c r="B291" s="3"/>
      <c r="C291" s="3" t="str">
        <f>IFERROR(VLOOKUP(B291,الخطة!A:O,4,FALSE),"")</f>
        <v/>
      </c>
      <c r="D291" s="3"/>
      <c r="E291" s="3" t="str">
        <f>IFERROR(VLOOKUP(D291,الموظفون!A:L,2,FALSE),"")</f>
        <v/>
      </c>
      <c r="F291" s="8"/>
      <c r="G291" s="8"/>
      <c r="H291" s="8" t="str">
        <f>IF(G291="","",G291)</f>
        <v/>
      </c>
      <c r="I291" s="3" t="str">
        <f>IF(H291="","",IF(H291&gt;=الإعدادات!B7,"ناجح","يحتاج إعادة تدريب"))</f>
        <v/>
      </c>
      <c r="J291" s="3"/>
      <c r="K291" s="3"/>
      <c r="L291" s="3"/>
    </row>
    <row r="292" spans="1:12" x14ac:dyDescent="0.2">
      <c r="A292" s="3" t="s">
        <v>438</v>
      </c>
      <c r="B292" s="3"/>
      <c r="C292" s="3" t="str">
        <f>IFERROR(VLOOKUP(B292,الخطة!A:O,4,FALSE),"")</f>
        <v/>
      </c>
      <c r="D292" s="3"/>
      <c r="E292" s="3" t="str">
        <f>IFERROR(VLOOKUP(D292,الموظفون!A:L,2,FALSE),"")</f>
        <v/>
      </c>
      <c r="F292" s="8"/>
      <c r="G292" s="8"/>
      <c r="H292" s="8" t="str">
        <f>IF(G292="","",G292)</f>
        <v/>
      </c>
      <c r="I292" s="3" t="str">
        <f>IF(H292="","",IF(H292&gt;=الإعدادات!B7,"ناجح","يحتاج إعادة تدريب"))</f>
        <v/>
      </c>
      <c r="J292" s="3"/>
      <c r="K292" s="3"/>
      <c r="L292" s="3"/>
    </row>
    <row r="293" spans="1:12" x14ac:dyDescent="0.2">
      <c r="A293" s="3" t="s">
        <v>439</v>
      </c>
      <c r="B293" s="3"/>
      <c r="C293" s="3" t="str">
        <f>IFERROR(VLOOKUP(B293,الخطة!A:O,4,FALSE),"")</f>
        <v/>
      </c>
      <c r="D293" s="3"/>
      <c r="E293" s="3" t="str">
        <f>IFERROR(VLOOKUP(D293,الموظفون!A:L,2,FALSE),"")</f>
        <v/>
      </c>
      <c r="F293" s="8"/>
      <c r="G293" s="8"/>
      <c r="H293" s="8" t="str">
        <f>IF(G293="","",G293)</f>
        <v/>
      </c>
      <c r="I293" s="3" t="str">
        <f>IF(H293="","",IF(H293&gt;=الإعدادات!B7,"ناجح","يحتاج إعادة تدريب"))</f>
        <v/>
      </c>
      <c r="J293" s="3"/>
      <c r="K293" s="3"/>
      <c r="L293" s="3"/>
    </row>
    <row r="294" spans="1:12" x14ac:dyDescent="0.2">
      <c r="A294" s="3" t="s">
        <v>440</v>
      </c>
      <c r="B294" s="3"/>
      <c r="C294" s="3" t="str">
        <f>IFERROR(VLOOKUP(B294,الخطة!A:O,4,FALSE),"")</f>
        <v/>
      </c>
      <c r="D294" s="3"/>
      <c r="E294" s="3" t="str">
        <f>IFERROR(VLOOKUP(D294,الموظفون!A:L,2,FALSE),"")</f>
        <v/>
      </c>
      <c r="F294" s="8"/>
      <c r="G294" s="8"/>
      <c r="H294" s="8" t="str">
        <f>IF(G294="","",G294)</f>
        <v/>
      </c>
      <c r="I294" s="3" t="str">
        <f>IF(H294="","",IF(H294&gt;=الإعدادات!B7,"ناجح","يحتاج إعادة تدريب"))</f>
        <v/>
      </c>
      <c r="J294" s="3"/>
      <c r="K294" s="3"/>
      <c r="L294" s="3"/>
    </row>
    <row r="295" spans="1:12" x14ac:dyDescent="0.2">
      <c r="A295" s="3" t="s">
        <v>441</v>
      </c>
      <c r="B295" s="3"/>
      <c r="C295" s="3" t="str">
        <f>IFERROR(VLOOKUP(B295,الخطة!A:O,4,FALSE),"")</f>
        <v/>
      </c>
      <c r="D295" s="3"/>
      <c r="E295" s="3" t="str">
        <f>IFERROR(VLOOKUP(D295,الموظفون!A:L,2,FALSE),"")</f>
        <v/>
      </c>
      <c r="F295" s="8"/>
      <c r="G295" s="8"/>
      <c r="H295" s="8" t="str">
        <f>IF(G295="","",G295)</f>
        <v/>
      </c>
      <c r="I295" s="3" t="str">
        <f>IF(H295="","",IF(H295&gt;=الإعدادات!B7,"ناجح","يحتاج إعادة تدريب"))</f>
        <v/>
      </c>
      <c r="J295" s="3"/>
      <c r="K295" s="3"/>
      <c r="L295" s="3"/>
    </row>
    <row r="296" spans="1:12" x14ac:dyDescent="0.2">
      <c r="A296" s="3" t="s">
        <v>442</v>
      </c>
      <c r="B296" s="3"/>
      <c r="C296" s="3" t="str">
        <f>IFERROR(VLOOKUP(B296,الخطة!A:O,4,FALSE),"")</f>
        <v/>
      </c>
      <c r="D296" s="3"/>
      <c r="E296" s="3" t="str">
        <f>IFERROR(VLOOKUP(D296,الموظفون!A:L,2,FALSE),"")</f>
        <v/>
      </c>
      <c r="F296" s="8"/>
      <c r="G296" s="8"/>
      <c r="H296" s="8" t="str">
        <f>IF(G296="","",G296)</f>
        <v/>
      </c>
      <c r="I296" s="3" t="str">
        <f>IF(H296="","",IF(H296&gt;=الإعدادات!B7,"ناجح","يحتاج إعادة تدريب"))</f>
        <v/>
      </c>
      <c r="J296" s="3"/>
      <c r="K296" s="3"/>
      <c r="L296" s="3"/>
    </row>
    <row r="297" spans="1:12" x14ac:dyDescent="0.2">
      <c r="A297" s="3" t="s">
        <v>443</v>
      </c>
      <c r="B297" s="3"/>
      <c r="C297" s="3" t="str">
        <f>IFERROR(VLOOKUP(B297,الخطة!A:O,4,FALSE),"")</f>
        <v/>
      </c>
      <c r="D297" s="3"/>
      <c r="E297" s="3" t="str">
        <f>IFERROR(VLOOKUP(D297,الموظفون!A:L,2,FALSE),"")</f>
        <v/>
      </c>
      <c r="F297" s="8"/>
      <c r="G297" s="8"/>
      <c r="H297" s="8" t="str">
        <f>IF(G297="","",G297)</f>
        <v/>
      </c>
      <c r="I297" s="3" t="str">
        <f>IF(H297="","",IF(H297&gt;=الإعدادات!B7,"ناجح","يحتاج إعادة تدريب"))</f>
        <v/>
      </c>
      <c r="J297" s="3"/>
      <c r="K297" s="3"/>
      <c r="L297" s="3"/>
    </row>
    <row r="298" spans="1:12" x14ac:dyDescent="0.2">
      <c r="A298" s="3" t="s">
        <v>444</v>
      </c>
      <c r="B298" s="3"/>
      <c r="C298" s="3" t="str">
        <f>IFERROR(VLOOKUP(B298,الخطة!A:O,4,FALSE),"")</f>
        <v/>
      </c>
      <c r="D298" s="3"/>
      <c r="E298" s="3" t="str">
        <f>IFERROR(VLOOKUP(D298,الموظفون!A:L,2,FALSE),"")</f>
        <v/>
      </c>
      <c r="F298" s="8"/>
      <c r="G298" s="8"/>
      <c r="H298" s="8" t="str">
        <f>IF(G298="","",G298)</f>
        <v/>
      </c>
      <c r="I298" s="3" t="str">
        <f>IF(H298="","",IF(H298&gt;=الإعدادات!B7,"ناجح","يحتاج إعادة تدريب"))</f>
        <v/>
      </c>
      <c r="J298" s="3"/>
      <c r="K298" s="3"/>
      <c r="L298" s="3"/>
    </row>
    <row r="299" spans="1:12" x14ac:dyDescent="0.2">
      <c r="A299" s="3" t="s">
        <v>445</v>
      </c>
      <c r="B299" s="3"/>
      <c r="C299" s="3" t="str">
        <f>IFERROR(VLOOKUP(B299,الخطة!A:O,4,FALSE),"")</f>
        <v/>
      </c>
      <c r="D299" s="3"/>
      <c r="E299" s="3" t="str">
        <f>IFERROR(VLOOKUP(D299,الموظفون!A:L,2,FALSE),"")</f>
        <v/>
      </c>
      <c r="F299" s="8"/>
      <c r="G299" s="8"/>
      <c r="H299" s="8" t="str">
        <f>IF(G299="","",G299)</f>
        <v/>
      </c>
      <c r="I299" s="3" t="str">
        <f>IF(H299="","",IF(H299&gt;=الإعدادات!B7,"ناجح","يحتاج إعادة تدريب"))</f>
        <v/>
      </c>
      <c r="J299" s="3"/>
      <c r="K299" s="3"/>
      <c r="L299" s="3"/>
    </row>
    <row r="300" spans="1:12" x14ac:dyDescent="0.2">
      <c r="A300" s="3" t="s">
        <v>446</v>
      </c>
      <c r="B300" s="3"/>
      <c r="C300" s="3" t="str">
        <f>IFERROR(VLOOKUP(B300,الخطة!A:O,4,FALSE),"")</f>
        <v/>
      </c>
      <c r="D300" s="3"/>
      <c r="E300" s="3" t="str">
        <f>IFERROR(VLOOKUP(D300,الموظفون!A:L,2,FALSE),"")</f>
        <v/>
      </c>
      <c r="F300" s="8"/>
      <c r="G300" s="8"/>
      <c r="H300" s="8" t="str">
        <f>IF(G300="","",G300)</f>
        <v/>
      </c>
      <c r="I300" s="3" t="str">
        <f>IF(H300="","",IF(H300&gt;=الإعدادات!B7,"ناجح","يحتاج إعادة تدريب"))</f>
        <v/>
      </c>
      <c r="J300" s="3"/>
      <c r="K300" s="3"/>
      <c r="L300" s="3"/>
    </row>
    <row r="301" spans="1:12" x14ac:dyDescent="0.2">
      <c r="A301" s="3" t="s">
        <v>447</v>
      </c>
      <c r="B301" s="3"/>
      <c r="C301" s="3" t="str">
        <f>IFERROR(VLOOKUP(B301,الخطة!A:O,4,FALSE),"")</f>
        <v/>
      </c>
      <c r="D301" s="3"/>
      <c r="E301" s="3" t="str">
        <f>IFERROR(VLOOKUP(D301,الموظفون!A:L,2,FALSE),"")</f>
        <v/>
      </c>
      <c r="F301" s="8"/>
      <c r="G301" s="8"/>
      <c r="H301" s="8" t="str">
        <f>IF(G301="","",G301)</f>
        <v/>
      </c>
      <c r="I301" s="3" t="str">
        <f>IF(H301="","",IF(H301&gt;=الإعدادات!B7,"ناجح","يحتاج إعادة تدريب"))</f>
        <v/>
      </c>
      <c r="J301" s="3"/>
      <c r="K301" s="3"/>
      <c r="L301" s="3"/>
    </row>
    <row r="302" spans="1:12" x14ac:dyDescent="0.2">
      <c r="A302" s="3" t="s">
        <v>448</v>
      </c>
      <c r="B302" s="3"/>
      <c r="C302" s="3" t="str">
        <f>IFERROR(VLOOKUP(B302,الخطة!A:O,4,FALSE),"")</f>
        <v/>
      </c>
      <c r="D302" s="3"/>
      <c r="E302" s="3" t="str">
        <f>IFERROR(VLOOKUP(D302,الموظفون!A:L,2,FALSE),"")</f>
        <v/>
      </c>
      <c r="F302" s="8"/>
      <c r="G302" s="8"/>
      <c r="H302" s="8" t="str">
        <f>IF(G302="","",G302)</f>
        <v/>
      </c>
      <c r="I302" s="3" t="str">
        <f>IF(H302="","",IF(H302&gt;=الإعدادات!B7,"ناجح","يحتاج إعادة تدريب"))</f>
        <v/>
      </c>
      <c r="J302" s="3"/>
      <c r="K302" s="3"/>
      <c r="L302" s="3"/>
    </row>
    <row r="303" spans="1:12" x14ac:dyDescent="0.2">
      <c r="A303" s="3" t="s">
        <v>449</v>
      </c>
      <c r="B303" s="3"/>
      <c r="C303" s="3" t="str">
        <f>IFERROR(VLOOKUP(B303,الخطة!A:O,4,FALSE),"")</f>
        <v/>
      </c>
      <c r="D303" s="3"/>
      <c r="E303" s="3" t="str">
        <f>IFERROR(VLOOKUP(D303,الموظفون!A:L,2,FALSE),"")</f>
        <v/>
      </c>
      <c r="F303" s="8"/>
      <c r="G303" s="8"/>
      <c r="H303" s="8" t="str">
        <f>IF(G303="","",G303)</f>
        <v/>
      </c>
      <c r="I303" s="3" t="str">
        <f>IF(H303="","",IF(H303&gt;=الإعدادات!B7,"ناجح","يحتاج إعادة تدريب"))</f>
        <v/>
      </c>
      <c r="J303" s="3"/>
      <c r="K303" s="3"/>
      <c r="L303" s="3"/>
    </row>
    <row r="304" spans="1:12" x14ac:dyDescent="0.2">
      <c r="A304" s="3" t="s">
        <v>450</v>
      </c>
      <c r="B304" s="3"/>
      <c r="C304" s="3" t="str">
        <f>IFERROR(VLOOKUP(B304,الخطة!A:O,4,FALSE),"")</f>
        <v/>
      </c>
      <c r="D304" s="3"/>
      <c r="E304" s="3" t="str">
        <f>IFERROR(VLOOKUP(D304,الموظفون!A:L,2,FALSE),"")</f>
        <v/>
      </c>
      <c r="F304" s="8"/>
      <c r="G304" s="8"/>
      <c r="H304" s="8" t="str">
        <f>IF(G304="","",G304)</f>
        <v/>
      </c>
      <c r="I304" s="3" t="str">
        <f>IF(H304="","",IF(H304&gt;=الإعدادات!B7,"ناجح","يحتاج إعادة تدريب"))</f>
        <v/>
      </c>
      <c r="J304" s="3"/>
      <c r="K304" s="3"/>
      <c r="L304" s="3"/>
    </row>
    <row r="305" spans="1:12" x14ac:dyDescent="0.2">
      <c r="A305" s="3" t="s">
        <v>451</v>
      </c>
      <c r="B305" s="3"/>
      <c r="C305" s="3" t="str">
        <f>IFERROR(VLOOKUP(B305,الخطة!A:O,4,FALSE),"")</f>
        <v/>
      </c>
      <c r="D305" s="3"/>
      <c r="E305" s="3" t="str">
        <f>IFERROR(VLOOKUP(D305,الموظفون!A:L,2,FALSE),"")</f>
        <v/>
      </c>
      <c r="F305" s="8"/>
      <c r="G305" s="8"/>
      <c r="H305" s="8" t="str">
        <f>IF(G305="","",G305)</f>
        <v/>
      </c>
      <c r="I305" s="3" t="str">
        <f>IF(H305="","",IF(H305&gt;=الإعدادات!B7,"ناجح","يحتاج إعادة تدريب"))</f>
        <v/>
      </c>
      <c r="J305" s="3"/>
      <c r="K305" s="3"/>
      <c r="L305" s="3"/>
    </row>
    <row r="306" spans="1:12" x14ac:dyDescent="0.2">
      <c r="A306" s="3" t="s">
        <v>452</v>
      </c>
      <c r="B306" s="3"/>
      <c r="C306" s="3" t="str">
        <f>IFERROR(VLOOKUP(B306,الخطة!A:O,4,FALSE),"")</f>
        <v/>
      </c>
      <c r="D306" s="3"/>
      <c r="E306" s="3" t="str">
        <f>IFERROR(VLOOKUP(D306,الموظفون!A:L,2,FALSE),"")</f>
        <v/>
      </c>
      <c r="F306" s="8"/>
      <c r="G306" s="8"/>
      <c r="H306" s="8" t="str">
        <f>IF(G306="","",G306)</f>
        <v/>
      </c>
      <c r="I306" s="3" t="str">
        <f>IF(H306="","",IF(H306&gt;=الإعدادات!B7,"ناجح","يحتاج إعادة تدريب"))</f>
        <v/>
      </c>
      <c r="J306" s="3"/>
      <c r="K306" s="3"/>
      <c r="L306" s="3"/>
    </row>
    <row r="307" spans="1:12" x14ac:dyDescent="0.2">
      <c r="A307" s="3" t="s">
        <v>453</v>
      </c>
      <c r="B307" s="3"/>
      <c r="C307" s="3" t="str">
        <f>IFERROR(VLOOKUP(B307,الخطة!A:O,4,FALSE),"")</f>
        <v/>
      </c>
      <c r="D307" s="3"/>
      <c r="E307" s="3" t="str">
        <f>IFERROR(VLOOKUP(D307,الموظفون!A:L,2,FALSE),"")</f>
        <v/>
      </c>
      <c r="F307" s="8"/>
      <c r="G307" s="8"/>
      <c r="H307" s="8" t="str">
        <f>IF(G307="","",G307)</f>
        <v/>
      </c>
      <c r="I307" s="3" t="str">
        <f>IF(H307="","",IF(H307&gt;=الإعدادات!B7,"ناجح","يحتاج إعادة تدريب"))</f>
        <v/>
      </c>
      <c r="J307" s="3"/>
      <c r="K307" s="3"/>
      <c r="L307" s="3"/>
    </row>
    <row r="308" spans="1:12" x14ac:dyDescent="0.2">
      <c r="A308" s="3" t="s">
        <v>454</v>
      </c>
      <c r="B308" s="3"/>
      <c r="C308" s="3" t="str">
        <f>IFERROR(VLOOKUP(B308,الخطة!A:O,4,FALSE),"")</f>
        <v/>
      </c>
      <c r="D308" s="3"/>
      <c r="E308" s="3" t="str">
        <f>IFERROR(VLOOKUP(D308,الموظفون!A:L,2,FALSE),"")</f>
        <v/>
      </c>
      <c r="F308" s="8"/>
      <c r="G308" s="8"/>
      <c r="H308" s="8" t="str">
        <f>IF(G308="","",G308)</f>
        <v/>
      </c>
      <c r="I308" s="3" t="str">
        <f>IF(H308="","",IF(H308&gt;=الإعدادات!B7,"ناجح","يحتاج إعادة تدريب"))</f>
        <v/>
      </c>
      <c r="J308" s="3"/>
      <c r="K308" s="3"/>
      <c r="L308" s="3"/>
    </row>
    <row r="309" spans="1:12" x14ac:dyDescent="0.2">
      <c r="A309" s="3" t="s">
        <v>455</v>
      </c>
      <c r="B309" s="3"/>
      <c r="C309" s="3" t="str">
        <f>IFERROR(VLOOKUP(B309,الخطة!A:O,4,FALSE),"")</f>
        <v/>
      </c>
      <c r="D309" s="3"/>
      <c r="E309" s="3" t="str">
        <f>IFERROR(VLOOKUP(D309,الموظفون!A:L,2,FALSE),"")</f>
        <v/>
      </c>
      <c r="F309" s="8"/>
      <c r="G309" s="8"/>
      <c r="H309" s="8" t="str">
        <f>IF(G309="","",G309)</f>
        <v/>
      </c>
      <c r="I309" s="3" t="str">
        <f>IF(H309="","",IF(H309&gt;=الإعدادات!B7,"ناجح","يحتاج إعادة تدريب"))</f>
        <v/>
      </c>
      <c r="J309" s="3"/>
      <c r="K309" s="3"/>
      <c r="L309" s="3"/>
    </row>
    <row r="310" spans="1:12" x14ac:dyDescent="0.2">
      <c r="A310" s="3" t="s">
        <v>456</v>
      </c>
      <c r="B310" s="3"/>
      <c r="C310" s="3" t="str">
        <f>IFERROR(VLOOKUP(B310,الخطة!A:O,4,FALSE),"")</f>
        <v/>
      </c>
      <c r="D310" s="3"/>
      <c r="E310" s="3" t="str">
        <f>IFERROR(VLOOKUP(D310,الموظفون!A:L,2,FALSE),"")</f>
        <v/>
      </c>
      <c r="F310" s="8"/>
      <c r="G310" s="8"/>
      <c r="H310" s="8" t="str">
        <f>IF(G310="","",G310)</f>
        <v/>
      </c>
      <c r="I310" s="3" t="str">
        <f>IF(H310="","",IF(H310&gt;=الإعدادات!B7,"ناجح","يحتاج إعادة تدريب"))</f>
        <v/>
      </c>
      <c r="J310" s="3"/>
      <c r="K310" s="3"/>
      <c r="L310" s="3"/>
    </row>
    <row r="311" spans="1:12" x14ac:dyDescent="0.2">
      <c r="A311" s="3" t="s">
        <v>457</v>
      </c>
      <c r="B311" s="3"/>
      <c r="C311" s="3" t="str">
        <f>IFERROR(VLOOKUP(B311,الخطة!A:O,4,FALSE),"")</f>
        <v/>
      </c>
      <c r="D311" s="3"/>
      <c r="E311" s="3" t="str">
        <f>IFERROR(VLOOKUP(D311,الموظفون!A:L,2,FALSE),"")</f>
        <v/>
      </c>
      <c r="F311" s="8"/>
      <c r="G311" s="8"/>
      <c r="H311" s="8" t="str">
        <f>IF(G311="","",G311)</f>
        <v/>
      </c>
      <c r="I311" s="3" t="str">
        <f>IF(H311="","",IF(H311&gt;=الإعدادات!B7,"ناجح","يحتاج إعادة تدريب"))</f>
        <v/>
      </c>
      <c r="J311" s="3"/>
      <c r="K311" s="3"/>
      <c r="L311" s="3"/>
    </row>
    <row r="312" spans="1:12" x14ac:dyDescent="0.2">
      <c r="A312" s="3" t="s">
        <v>458</v>
      </c>
      <c r="B312" s="3"/>
      <c r="C312" s="3" t="str">
        <f>IFERROR(VLOOKUP(B312,الخطة!A:O,4,FALSE),"")</f>
        <v/>
      </c>
      <c r="D312" s="3"/>
      <c r="E312" s="3" t="str">
        <f>IFERROR(VLOOKUP(D312,الموظفون!A:L,2,FALSE),"")</f>
        <v/>
      </c>
      <c r="F312" s="8"/>
      <c r="G312" s="8"/>
      <c r="H312" s="8" t="str">
        <f>IF(G312="","",G312)</f>
        <v/>
      </c>
      <c r="I312" s="3" t="str">
        <f>IF(H312="","",IF(H312&gt;=الإعدادات!B7,"ناجح","يحتاج إعادة تدريب"))</f>
        <v/>
      </c>
      <c r="J312" s="3"/>
      <c r="K312" s="3"/>
      <c r="L312" s="3"/>
    </row>
    <row r="313" spans="1:12" x14ac:dyDescent="0.2">
      <c r="A313" s="3" t="s">
        <v>459</v>
      </c>
      <c r="B313" s="3"/>
      <c r="C313" s="3" t="str">
        <f>IFERROR(VLOOKUP(B313,الخطة!A:O,4,FALSE),"")</f>
        <v/>
      </c>
      <c r="D313" s="3"/>
      <c r="E313" s="3" t="str">
        <f>IFERROR(VLOOKUP(D313,الموظفون!A:L,2,FALSE),"")</f>
        <v/>
      </c>
      <c r="F313" s="8"/>
      <c r="G313" s="8"/>
      <c r="H313" s="8" t="str">
        <f>IF(G313="","",G313)</f>
        <v/>
      </c>
      <c r="I313" s="3" t="str">
        <f>IF(H313="","",IF(H313&gt;=الإعدادات!B7,"ناجح","يحتاج إعادة تدريب"))</f>
        <v/>
      </c>
      <c r="J313" s="3"/>
      <c r="K313" s="3"/>
      <c r="L313" s="3"/>
    </row>
    <row r="314" spans="1:12" x14ac:dyDescent="0.2">
      <c r="A314" s="3" t="s">
        <v>460</v>
      </c>
      <c r="B314" s="3"/>
      <c r="C314" s="3" t="str">
        <f>IFERROR(VLOOKUP(B314,الخطة!A:O,4,FALSE),"")</f>
        <v/>
      </c>
      <c r="D314" s="3"/>
      <c r="E314" s="3" t="str">
        <f>IFERROR(VLOOKUP(D314,الموظفون!A:L,2,FALSE),"")</f>
        <v/>
      </c>
      <c r="F314" s="8"/>
      <c r="G314" s="8"/>
      <c r="H314" s="8" t="str">
        <f>IF(G314="","",G314)</f>
        <v/>
      </c>
      <c r="I314" s="3" t="str">
        <f>IF(H314="","",IF(H314&gt;=الإعدادات!B7,"ناجح","يحتاج إعادة تدريب"))</f>
        <v/>
      </c>
      <c r="J314" s="3"/>
      <c r="K314" s="3"/>
      <c r="L314" s="3"/>
    </row>
    <row r="315" spans="1:12" x14ac:dyDescent="0.2">
      <c r="A315" s="3" t="s">
        <v>461</v>
      </c>
      <c r="B315" s="3"/>
      <c r="C315" s="3" t="str">
        <f>IFERROR(VLOOKUP(B315,الخطة!A:O,4,FALSE),"")</f>
        <v/>
      </c>
      <c r="D315" s="3"/>
      <c r="E315" s="3" t="str">
        <f>IFERROR(VLOOKUP(D315,الموظفون!A:L,2,FALSE),"")</f>
        <v/>
      </c>
      <c r="F315" s="8"/>
      <c r="G315" s="8"/>
      <c r="H315" s="8" t="str">
        <f>IF(G315="","",G315)</f>
        <v/>
      </c>
      <c r="I315" s="3" t="str">
        <f>IF(H315="","",IF(H315&gt;=الإعدادات!B7,"ناجح","يحتاج إعادة تدريب"))</f>
        <v/>
      </c>
      <c r="J315" s="3"/>
      <c r="K315" s="3"/>
      <c r="L315" s="3"/>
    </row>
    <row r="316" spans="1:12" x14ac:dyDescent="0.2">
      <c r="A316" s="3" t="s">
        <v>462</v>
      </c>
      <c r="B316" s="3"/>
      <c r="C316" s="3" t="str">
        <f>IFERROR(VLOOKUP(B316,الخطة!A:O,4,FALSE),"")</f>
        <v/>
      </c>
      <c r="D316" s="3"/>
      <c r="E316" s="3" t="str">
        <f>IFERROR(VLOOKUP(D316,الموظفون!A:L,2,FALSE),"")</f>
        <v/>
      </c>
      <c r="F316" s="8"/>
      <c r="G316" s="8"/>
      <c r="H316" s="8" t="str">
        <f>IF(G316="","",G316)</f>
        <v/>
      </c>
      <c r="I316" s="3" t="str">
        <f>IF(H316="","",IF(H316&gt;=الإعدادات!B7,"ناجح","يحتاج إعادة تدريب"))</f>
        <v/>
      </c>
      <c r="J316" s="3"/>
      <c r="K316" s="3"/>
      <c r="L316" s="3"/>
    </row>
    <row r="317" spans="1:12" x14ac:dyDescent="0.2">
      <c r="A317" s="3" t="s">
        <v>463</v>
      </c>
      <c r="B317" s="3"/>
      <c r="C317" s="3" t="str">
        <f>IFERROR(VLOOKUP(B317,الخطة!A:O,4,FALSE),"")</f>
        <v/>
      </c>
      <c r="D317" s="3"/>
      <c r="E317" s="3" t="str">
        <f>IFERROR(VLOOKUP(D317,الموظفون!A:L,2,FALSE),"")</f>
        <v/>
      </c>
      <c r="F317" s="8"/>
      <c r="G317" s="8"/>
      <c r="H317" s="8" t="str">
        <f>IF(G317="","",G317)</f>
        <v/>
      </c>
      <c r="I317" s="3" t="str">
        <f>IF(H317="","",IF(H317&gt;=الإعدادات!B7,"ناجح","يحتاج إعادة تدريب"))</f>
        <v/>
      </c>
      <c r="J317" s="3"/>
      <c r="K317" s="3"/>
      <c r="L317" s="3"/>
    </row>
    <row r="318" spans="1:12" x14ac:dyDescent="0.2">
      <c r="A318" s="3" t="s">
        <v>464</v>
      </c>
      <c r="B318" s="3"/>
      <c r="C318" s="3" t="str">
        <f>IFERROR(VLOOKUP(B318,الخطة!A:O,4,FALSE),"")</f>
        <v/>
      </c>
      <c r="D318" s="3"/>
      <c r="E318" s="3" t="str">
        <f>IFERROR(VLOOKUP(D318,الموظفون!A:L,2,FALSE),"")</f>
        <v/>
      </c>
      <c r="F318" s="8"/>
      <c r="G318" s="8"/>
      <c r="H318" s="8" t="str">
        <f>IF(G318="","",G318)</f>
        <v/>
      </c>
      <c r="I318" s="3" t="str">
        <f>IF(H318="","",IF(H318&gt;=الإعدادات!B7,"ناجح","يحتاج إعادة تدريب"))</f>
        <v/>
      </c>
      <c r="J318" s="3"/>
      <c r="K318" s="3"/>
      <c r="L318" s="3"/>
    </row>
    <row r="319" spans="1:12" x14ac:dyDescent="0.2">
      <c r="A319" s="3" t="s">
        <v>465</v>
      </c>
      <c r="B319" s="3"/>
      <c r="C319" s="3" t="str">
        <f>IFERROR(VLOOKUP(B319,الخطة!A:O,4,FALSE),"")</f>
        <v/>
      </c>
      <c r="D319" s="3"/>
      <c r="E319" s="3" t="str">
        <f>IFERROR(VLOOKUP(D319,الموظفون!A:L,2,FALSE),"")</f>
        <v/>
      </c>
      <c r="F319" s="8"/>
      <c r="G319" s="8"/>
      <c r="H319" s="8" t="str">
        <f>IF(G319="","",G319)</f>
        <v/>
      </c>
      <c r="I319" s="3" t="str">
        <f>IF(H319="","",IF(H319&gt;=الإعدادات!B7,"ناجح","يحتاج إعادة تدريب"))</f>
        <v/>
      </c>
      <c r="J319" s="3"/>
      <c r="K319" s="3"/>
      <c r="L319" s="3"/>
    </row>
    <row r="320" spans="1:12" x14ac:dyDescent="0.2">
      <c r="A320" s="3" t="s">
        <v>466</v>
      </c>
      <c r="B320" s="3"/>
      <c r="C320" s="3" t="str">
        <f>IFERROR(VLOOKUP(B320,الخطة!A:O,4,FALSE),"")</f>
        <v/>
      </c>
      <c r="D320" s="3"/>
      <c r="E320" s="3" t="str">
        <f>IFERROR(VLOOKUP(D320,الموظفون!A:L,2,FALSE),"")</f>
        <v/>
      </c>
      <c r="F320" s="8"/>
      <c r="G320" s="8"/>
      <c r="H320" s="8" t="str">
        <f>IF(G320="","",G320)</f>
        <v/>
      </c>
      <c r="I320" s="3" t="str">
        <f>IF(H320="","",IF(H320&gt;=الإعدادات!B7,"ناجح","يحتاج إعادة تدريب"))</f>
        <v/>
      </c>
      <c r="J320" s="3"/>
      <c r="K320" s="3"/>
      <c r="L320" s="3"/>
    </row>
    <row r="321" spans="1:12" x14ac:dyDescent="0.2">
      <c r="A321" s="3" t="s">
        <v>467</v>
      </c>
      <c r="B321" s="3"/>
      <c r="C321" s="3" t="str">
        <f>IFERROR(VLOOKUP(B321,الخطة!A:O,4,FALSE),"")</f>
        <v/>
      </c>
      <c r="D321" s="3"/>
      <c r="E321" s="3" t="str">
        <f>IFERROR(VLOOKUP(D321,الموظفون!A:L,2,FALSE),"")</f>
        <v/>
      </c>
      <c r="F321" s="8"/>
      <c r="G321" s="8"/>
      <c r="H321" s="8" t="str">
        <f>IF(G321="","",G321)</f>
        <v/>
      </c>
      <c r="I321" s="3" t="str">
        <f>IF(H321="","",IF(H321&gt;=الإعدادات!B7,"ناجح","يحتاج إعادة تدريب"))</f>
        <v/>
      </c>
      <c r="J321" s="3"/>
      <c r="K321" s="3"/>
      <c r="L321" s="3"/>
    </row>
    <row r="322" spans="1:12" x14ac:dyDescent="0.2">
      <c r="A322" s="3" t="s">
        <v>468</v>
      </c>
      <c r="B322" s="3"/>
      <c r="C322" s="3" t="str">
        <f>IFERROR(VLOOKUP(B322,الخطة!A:O,4,FALSE),"")</f>
        <v/>
      </c>
      <c r="D322" s="3"/>
      <c r="E322" s="3" t="str">
        <f>IFERROR(VLOOKUP(D322,الموظفون!A:L,2,FALSE),"")</f>
        <v/>
      </c>
      <c r="F322" s="8"/>
      <c r="G322" s="8"/>
      <c r="H322" s="8" t="str">
        <f>IF(G322="","",G322)</f>
        <v/>
      </c>
      <c r="I322" s="3" t="str">
        <f>IF(H322="","",IF(H322&gt;=الإعدادات!B7,"ناجح","يحتاج إعادة تدريب"))</f>
        <v/>
      </c>
      <c r="J322" s="3"/>
      <c r="K322" s="3"/>
      <c r="L322" s="3"/>
    </row>
    <row r="323" spans="1:12" x14ac:dyDescent="0.2">
      <c r="A323" s="3" t="s">
        <v>469</v>
      </c>
      <c r="B323" s="3"/>
      <c r="C323" s="3" t="str">
        <f>IFERROR(VLOOKUP(B323,الخطة!A:O,4,FALSE),"")</f>
        <v/>
      </c>
      <c r="D323" s="3"/>
      <c r="E323" s="3" t="str">
        <f>IFERROR(VLOOKUP(D323,الموظفون!A:L,2,FALSE),"")</f>
        <v/>
      </c>
      <c r="F323" s="8"/>
      <c r="G323" s="8"/>
      <c r="H323" s="8" t="str">
        <f>IF(G323="","",G323)</f>
        <v/>
      </c>
      <c r="I323" s="3" t="str">
        <f>IF(H323="","",IF(H323&gt;=الإعدادات!B7,"ناجح","يحتاج إعادة تدريب"))</f>
        <v/>
      </c>
      <c r="J323" s="3"/>
      <c r="K323" s="3"/>
      <c r="L323" s="3"/>
    </row>
    <row r="324" spans="1:12" x14ac:dyDescent="0.2">
      <c r="A324" s="3" t="s">
        <v>470</v>
      </c>
      <c r="B324" s="3"/>
      <c r="C324" s="3" t="str">
        <f>IFERROR(VLOOKUP(B324,الخطة!A:O,4,FALSE),"")</f>
        <v/>
      </c>
      <c r="D324" s="3"/>
      <c r="E324" s="3" t="str">
        <f>IFERROR(VLOOKUP(D324,الموظفون!A:L,2,FALSE),"")</f>
        <v/>
      </c>
      <c r="F324" s="8"/>
      <c r="G324" s="8"/>
      <c r="H324" s="8" t="str">
        <f>IF(G324="","",G324)</f>
        <v/>
      </c>
      <c r="I324" s="3" t="str">
        <f>IF(H324="","",IF(H324&gt;=الإعدادات!B7,"ناجح","يحتاج إعادة تدريب"))</f>
        <v/>
      </c>
      <c r="J324" s="3"/>
      <c r="K324" s="3"/>
      <c r="L324" s="3"/>
    </row>
    <row r="325" spans="1:12" x14ac:dyDescent="0.2">
      <c r="A325" s="3" t="s">
        <v>471</v>
      </c>
      <c r="B325" s="3"/>
      <c r="C325" s="3" t="str">
        <f>IFERROR(VLOOKUP(B325,الخطة!A:O,4,FALSE),"")</f>
        <v/>
      </c>
      <c r="D325" s="3"/>
      <c r="E325" s="3" t="str">
        <f>IFERROR(VLOOKUP(D325,الموظفون!A:L,2,FALSE),"")</f>
        <v/>
      </c>
      <c r="F325" s="8"/>
      <c r="G325" s="8"/>
      <c r="H325" s="8" t="str">
        <f>IF(G325="","",G325)</f>
        <v/>
      </c>
      <c r="I325" s="3" t="str">
        <f>IF(H325="","",IF(H325&gt;=الإعدادات!B7,"ناجح","يحتاج إعادة تدريب"))</f>
        <v/>
      </c>
      <c r="J325" s="3"/>
      <c r="K325" s="3"/>
      <c r="L325" s="3"/>
    </row>
    <row r="326" spans="1:12" x14ac:dyDescent="0.2">
      <c r="A326" s="3" t="s">
        <v>472</v>
      </c>
      <c r="B326" s="3"/>
      <c r="C326" s="3" t="str">
        <f>IFERROR(VLOOKUP(B326,الخطة!A:O,4,FALSE),"")</f>
        <v/>
      </c>
      <c r="D326" s="3"/>
      <c r="E326" s="3" t="str">
        <f>IFERROR(VLOOKUP(D326,الموظفون!A:L,2,FALSE),"")</f>
        <v/>
      </c>
      <c r="F326" s="8"/>
      <c r="G326" s="8"/>
      <c r="H326" s="8" t="str">
        <f>IF(G326="","",G326)</f>
        <v/>
      </c>
      <c r="I326" s="3" t="str">
        <f>IF(H326="","",IF(H326&gt;=الإعدادات!B7,"ناجح","يحتاج إعادة تدريب"))</f>
        <v/>
      </c>
      <c r="J326" s="3"/>
      <c r="K326" s="3"/>
      <c r="L326" s="3"/>
    </row>
    <row r="327" spans="1:12" x14ac:dyDescent="0.2">
      <c r="A327" s="3" t="s">
        <v>473</v>
      </c>
      <c r="B327" s="3"/>
      <c r="C327" s="3" t="str">
        <f>IFERROR(VLOOKUP(B327,الخطة!A:O,4,FALSE),"")</f>
        <v/>
      </c>
      <c r="D327" s="3"/>
      <c r="E327" s="3" t="str">
        <f>IFERROR(VLOOKUP(D327,الموظفون!A:L,2,FALSE),"")</f>
        <v/>
      </c>
      <c r="F327" s="8"/>
      <c r="G327" s="8"/>
      <c r="H327" s="8" t="str">
        <f>IF(G327="","",G327)</f>
        <v/>
      </c>
      <c r="I327" s="3" t="str">
        <f>IF(H327="","",IF(H327&gt;=الإعدادات!B7,"ناجح","يحتاج إعادة تدريب"))</f>
        <v/>
      </c>
      <c r="J327" s="3"/>
      <c r="K327" s="3"/>
      <c r="L327" s="3"/>
    </row>
    <row r="328" spans="1:12" x14ac:dyDescent="0.2">
      <c r="A328" s="3" t="s">
        <v>474</v>
      </c>
      <c r="B328" s="3"/>
      <c r="C328" s="3" t="str">
        <f>IFERROR(VLOOKUP(B328,الخطة!A:O,4,FALSE),"")</f>
        <v/>
      </c>
      <c r="D328" s="3"/>
      <c r="E328" s="3" t="str">
        <f>IFERROR(VLOOKUP(D328,الموظفون!A:L,2,FALSE),"")</f>
        <v/>
      </c>
      <c r="F328" s="8"/>
      <c r="G328" s="8"/>
      <c r="H328" s="8" t="str">
        <f>IF(G328="","",G328)</f>
        <v/>
      </c>
      <c r="I328" s="3" t="str">
        <f>IF(H328="","",IF(H328&gt;=الإعدادات!B7,"ناجح","يحتاج إعادة تدريب"))</f>
        <v/>
      </c>
      <c r="J328" s="3"/>
      <c r="K328" s="3"/>
      <c r="L328" s="3"/>
    </row>
    <row r="329" spans="1:12" x14ac:dyDescent="0.2">
      <c r="A329" s="3" t="s">
        <v>475</v>
      </c>
      <c r="B329" s="3"/>
      <c r="C329" s="3" t="str">
        <f>IFERROR(VLOOKUP(B329,الخطة!A:O,4,FALSE),"")</f>
        <v/>
      </c>
      <c r="D329" s="3"/>
      <c r="E329" s="3" t="str">
        <f>IFERROR(VLOOKUP(D329,الموظفون!A:L,2,FALSE),"")</f>
        <v/>
      </c>
      <c r="F329" s="8"/>
      <c r="G329" s="8"/>
      <c r="H329" s="8" t="str">
        <f>IF(G329="","",G329)</f>
        <v/>
      </c>
      <c r="I329" s="3" t="str">
        <f>IF(H329="","",IF(H329&gt;=الإعدادات!B7,"ناجح","يحتاج إعادة تدريب"))</f>
        <v/>
      </c>
      <c r="J329" s="3"/>
      <c r="K329" s="3"/>
      <c r="L329" s="3"/>
    </row>
    <row r="330" spans="1:12" x14ac:dyDescent="0.2">
      <c r="A330" s="3" t="s">
        <v>476</v>
      </c>
      <c r="B330" s="3"/>
      <c r="C330" s="3" t="str">
        <f>IFERROR(VLOOKUP(B330,الخطة!A:O,4,FALSE),"")</f>
        <v/>
      </c>
      <c r="D330" s="3"/>
      <c r="E330" s="3" t="str">
        <f>IFERROR(VLOOKUP(D330,الموظفون!A:L,2,FALSE),"")</f>
        <v/>
      </c>
      <c r="F330" s="8"/>
      <c r="G330" s="8"/>
      <c r="H330" s="8" t="str">
        <f>IF(G330="","",G330)</f>
        <v/>
      </c>
      <c r="I330" s="3" t="str">
        <f>IF(H330="","",IF(H330&gt;=الإعدادات!B7,"ناجح","يحتاج إعادة تدريب"))</f>
        <v/>
      </c>
      <c r="J330" s="3"/>
      <c r="K330" s="3"/>
      <c r="L330" s="3"/>
    </row>
    <row r="331" spans="1:12" x14ac:dyDescent="0.2">
      <c r="A331" s="3" t="s">
        <v>477</v>
      </c>
      <c r="B331" s="3"/>
      <c r="C331" s="3" t="str">
        <f>IFERROR(VLOOKUP(B331,الخطة!A:O,4,FALSE),"")</f>
        <v/>
      </c>
      <c r="D331" s="3"/>
      <c r="E331" s="3" t="str">
        <f>IFERROR(VLOOKUP(D331,الموظفون!A:L,2,FALSE),"")</f>
        <v/>
      </c>
      <c r="F331" s="8"/>
      <c r="G331" s="8"/>
      <c r="H331" s="8" t="str">
        <f>IF(G331="","",G331)</f>
        <v/>
      </c>
      <c r="I331" s="3" t="str">
        <f>IF(H331="","",IF(H331&gt;=الإعدادات!B7,"ناجح","يحتاج إعادة تدريب"))</f>
        <v/>
      </c>
      <c r="J331" s="3"/>
      <c r="K331" s="3"/>
      <c r="L331" s="3"/>
    </row>
    <row r="332" spans="1:12" x14ac:dyDescent="0.2">
      <c r="A332" s="3" t="s">
        <v>478</v>
      </c>
      <c r="B332" s="3"/>
      <c r="C332" s="3" t="str">
        <f>IFERROR(VLOOKUP(B332,الخطة!A:O,4,FALSE),"")</f>
        <v/>
      </c>
      <c r="D332" s="3"/>
      <c r="E332" s="3" t="str">
        <f>IFERROR(VLOOKUP(D332,الموظفون!A:L,2,FALSE),"")</f>
        <v/>
      </c>
      <c r="F332" s="8"/>
      <c r="G332" s="8"/>
      <c r="H332" s="8" t="str">
        <f>IF(G332="","",G332)</f>
        <v/>
      </c>
      <c r="I332" s="3" t="str">
        <f>IF(H332="","",IF(H332&gt;=الإعدادات!B7,"ناجح","يحتاج إعادة تدريب"))</f>
        <v/>
      </c>
      <c r="J332" s="3"/>
      <c r="K332" s="3"/>
      <c r="L332" s="3"/>
    </row>
    <row r="333" spans="1:12" x14ac:dyDescent="0.2">
      <c r="A333" s="3" t="s">
        <v>479</v>
      </c>
      <c r="B333" s="3"/>
      <c r="C333" s="3" t="str">
        <f>IFERROR(VLOOKUP(B333,الخطة!A:O,4,FALSE),"")</f>
        <v/>
      </c>
      <c r="D333" s="3"/>
      <c r="E333" s="3" t="str">
        <f>IFERROR(VLOOKUP(D333,الموظفون!A:L,2,FALSE),"")</f>
        <v/>
      </c>
      <c r="F333" s="8"/>
      <c r="G333" s="8"/>
      <c r="H333" s="8" t="str">
        <f>IF(G333="","",G333)</f>
        <v/>
      </c>
      <c r="I333" s="3" t="str">
        <f>IF(H333="","",IF(H333&gt;=الإعدادات!B7,"ناجح","يحتاج إعادة تدريب"))</f>
        <v/>
      </c>
      <c r="J333" s="3"/>
      <c r="K333" s="3"/>
      <c r="L333" s="3"/>
    </row>
    <row r="334" spans="1:12" x14ac:dyDescent="0.2">
      <c r="A334" s="3" t="s">
        <v>480</v>
      </c>
      <c r="B334" s="3"/>
      <c r="C334" s="3" t="str">
        <f>IFERROR(VLOOKUP(B334,الخطة!A:O,4,FALSE),"")</f>
        <v/>
      </c>
      <c r="D334" s="3"/>
      <c r="E334" s="3" t="str">
        <f>IFERROR(VLOOKUP(D334,الموظفون!A:L,2,FALSE),"")</f>
        <v/>
      </c>
      <c r="F334" s="8"/>
      <c r="G334" s="8"/>
      <c r="H334" s="8" t="str">
        <f>IF(G334="","",G334)</f>
        <v/>
      </c>
      <c r="I334" s="3" t="str">
        <f>IF(H334="","",IF(H334&gt;=الإعدادات!B7,"ناجح","يحتاج إعادة تدريب"))</f>
        <v/>
      </c>
      <c r="J334" s="3"/>
      <c r="K334" s="3"/>
      <c r="L334" s="3"/>
    </row>
    <row r="335" spans="1:12" x14ac:dyDescent="0.2">
      <c r="A335" s="3" t="s">
        <v>481</v>
      </c>
      <c r="B335" s="3"/>
      <c r="C335" s="3" t="str">
        <f>IFERROR(VLOOKUP(B335,الخطة!A:O,4,FALSE),"")</f>
        <v/>
      </c>
      <c r="D335" s="3"/>
      <c r="E335" s="3" t="str">
        <f>IFERROR(VLOOKUP(D335,الموظفون!A:L,2,FALSE),"")</f>
        <v/>
      </c>
      <c r="F335" s="8"/>
      <c r="G335" s="8"/>
      <c r="H335" s="8" t="str">
        <f>IF(G335="","",G335)</f>
        <v/>
      </c>
      <c r="I335" s="3" t="str">
        <f>IF(H335="","",IF(H335&gt;=الإعدادات!B7,"ناجح","يحتاج إعادة تدريب"))</f>
        <v/>
      </c>
      <c r="J335" s="3"/>
      <c r="K335" s="3"/>
      <c r="L335" s="3"/>
    </row>
    <row r="336" spans="1:12" x14ac:dyDescent="0.2">
      <c r="A336" s="3" t="s">
        <v>482</v>
      </c>
      <c r="B336" s="3"/>
      <c r="C336" s="3" t="str">
        <f>IFERROR(VLOOKUP(B336,الخطة!A:O,4,FALSE),"")</f>
        <v/>
      </c>
      <c r="D336" s="3"/>
      <c r="E336" s="3" t="str">
        <f>IFERROR(VLOOKUP(D336,الموظفون!A:L,2,FALSE),"")</f>
        <v/>
      </c>
      <c r="F336" s="8"/>
      <c r="G336" s="8"/>
      <c r="H336" s="8" t="str">
        <f>IF(G336="","",G336)</f>
        <v/>
      </c>
      <c r="I336" s="3" t="str">
        <f>IF(H336="","",IF(H336&gt;=الإعدادات!B7,"ناجح","يحتاج إعادة تدريب"))</f>
        <v/>
      </c>
      <c r="J336" s="3"/>
      <c r="K336" s="3"/>
      <c r="L336" s="3"/>
    </row>
    <row r="337" spans="1:12" x14ac:dyDescent="0.2">
      <c r="A337" s="3" t="s">
        <v>483</v>
      </c>
      <c r="B337" s="3"/>
      <c r="C337" s="3" t="str">
        <f>IFERROR(VLOOKUP(B337,الخطة!A:O,4,FALSE),"")</f>
        <v/>
      </c>
      <c r="D337" s="3"/>
      <c r="E337" s="3" t="str">
        <f>IFERROR(VLOOKUP(D337,الموظفون!A:L,2,FALSE),"")</f>
        <v/>
      </c>
      <c r="F337" s="8"/>
      <c r="G337" s="8"/>
      <c r="H337" s="8" t="str">
        <f>IF(G337="","",G337)</f>
        <v/>
      </c>
      <c r="I337" s="3" t="str">
        <f>IF(H337="","",IF(H337&gt;=الإعدادات!B7,"ناجح","يحتاج إعادة تدريب"))</f>
        <v/>
      </c>
      <c r="J337" s="3"/>
      <c r="K337" s="3"/>
      <c r="L337" s="3"/>
    </row>
    <row r="338" spans="1:12" x14ac:dyDescent="0.2">
      <c r="A338" s="3" t="s">
        <v>484</v>
      </c>
      <c r="B338" s="3"/>
      <c r="C338" s="3" t="str">
        <f>IFERROR(VLOOKUP(B338,الخطة!A:O,4,FALSE),"")</f>
        <v/>
      </c>
      <c r="D338" s="3"/>
      <c r="E338" s="3" t="str">
        <f>IFERROR(VLOOKUP(D338,الموظفون!A:L,2,FALSE),"")</f>
        <v/>
      </c>
      <c r="F338" s="8"/>
      <c r="G338" s="8"/>
      <c r="H338" s="8" t="str">
        <f>IF(G338="","",G338)</f>
        <v/>
      </c>
      <c r="I338" s="3" t="str">
        <f>IF(H338="","",IF(H338&gt;=الإعدادات!B7,"ناجح","يحتاج إعادة تدريب"))</f>
        <v/>
      </c>
      <c r="J338" s="3"/>
      <c r="K338" s="3"/>
      <c r="L338" s="3"/>
    </row>
    <row r="339" spans="1:12" x14ac:dyDescent="0.2">
      <c r="A339" s="3" t="s">
        <v>485</v>
      </c>
      <c r="B339" s="3"/>
      <c r="C339" s="3" t="str">
        <f>IFERROR(VLOOKUP(B339,الخطة!A:O,4,FALSE),"")</f>
        <v/>
      </c>
      <c r="D339" s="3"/>
      <c r="E339" s="3" t="str">
        <f>IFERROR(VLOOKUP(D339,الموظفون!A:L,2,FALSE),"")</f>
        <v/>
      </c>
      <c r="F339" s="8"/>
      <c r="G339" s="8"/>
      <c r="H339" s="8" t="str">
        <f>IF(G339="","",G339)</f>
        <v/>
      </c>
      <c r="I339" s="3" t="str">
        <f>IF(H339="","",IF(H339&gt;=الإعدادات!B7,"ناجح","يحتاج إعادة تدريب"))</f>
        <v/>
      </c>
      <c r="J339" s="3"/>
      <c r="K339" s="3"/>
      <c r="L339" s="3"/>
    </row>
    <row r="340" spans="1:12" x14ac:dyDescent="0.2">
      <c r="A340" s="3" t="s">
        <v>486</v>
      </c>
      <c r="B340" s="3"/>
      <c r="C340" s="3" t="str">
        <f>IFERROR(VLOOKUP(B340,الخطة!A:O,4,FALSE),"")</f>
        <v/>
      </c>
      <c r="D340" s="3"/>
      <c r="E340" s="3" t="str">
        <f>IFERROR(VLOOKUP(D340,الموظفون!A:L,2,FALSE),"")</f>
        <v/>
      </c>
      <c r="F340" s="8"/>
      <c r="G340" s="8"/>
      <c r="H340" s="8" t="str">
        <f>IF(G340="","",G340)</f>
        <v/>
      </c>
      <c r="I340" s="3" t="str">
        <f>IF(H340="","",IF(H340&gt;=الإعدادات!B7,"ناجح","يحتاج إعادة تدريب"))</f>
        <v/>
      </c>
      <c r="J340" s="3"/>
      <c r="K340" s="3"/>
      <c r="L340" s="3"/>
    </row>
    <row r="341" spans="1:12" x14ac:dyDescent="0.2">
      <c r="A341" s="3" t="s">
        <v>487</v>
      </c>
      <c r="B341" s="3"/>
      <c r="C341" s="3" t="str">
        <f>IFERROR(VLOOKUP(B341,الخطة!A:O,4,FALSE),"")</f>
        <v/>
      </c>
      <c r="D341" s="3"/>
      <c r="E341" s="3" t="str">
        <f>IFERROR(VLOOKUP(D341,الموظفون!A:L,2,FALSE),"")</f>
        <v/>
      </c>
      <c r="F341" s="8"/>
      <c r="G341" s="8"/>
      <c r="H341" s="8" t="str">
        <f>IF(G341="","",G341)</f>
        <v/>
      </c>
      <c r="I341" s="3" t="str">
        <f>IF(H341="","",IF(H341&gt;=الإعدادات!B7,"ناجح","يحتاج إعادة تدريب"))</f>
        <v/>
      </c>
      <c r="J341" s="3"/>
      <c r="K341" s="3"/>
      <c r="L341" s="3"/>
    </row>
    <row r="342" spans="1:12" x14ac:dyDescent="0.2">
      <c r="A342" s="3" t="s">
        <v>488</v>
      </c>
      <c r="B342" s="3"/>
      <c r="C342" s="3" t="str">
        <f>IFERROR(VLOOKUP(B342,الخطة!A:O,4,FALSE),"")</f>
        <v/>
      </c>
      <c r="D342" s="3"/>
      <c r="E342" s="3" t="str">
        <f>IFERROR(VLOOKUP(D342,الموظفون!A:L,2,FALSE),"")</f>
        <v/>
      </c>
      <c r="F342" s="8"/>
      <c r="G342" s="8"/>
      <c r="H342" s="8" t="str">
        <f>IF(G342="","",G342)</f>
        <v/>
      </c>
      <c r="I342" s="3" t="str">
        <f>IF(H342="","",IF(H342&gt;=الإعدادات!B7,"ناجح","يحتاج إعادة تدريب"))</f>
        <v/>
      </c>
      <c r="J342" s="3"/>
      <c r="K342" s="3"/>
      <c r="L342" s="3"/>
    </row>
    <row r="343" spans="1:12" x14ac:dyDescent="0.2">
      <c r="A343" s="3" t="s">
        <v>489</v>
      </c>
      <c r="B343" s="3"/>
      <c r="C343" s="3" t="str">
        <f>IFERROR(VLOOKUP(B343,الخطة!A:O,4,FALSE),"")</f>
        <v/>
      </c>
      <c r="D343" s="3"/>
      <c r="E343" s="3" t="str">
        <f>IFERROR(VLOOKUP(D343,الموظفون!A:L,2,FALSE),"")</f>
        <v/>
      </c>
      <c r="F343" s="8"/>
      <c r="G343" s="8"/>
      <c r="H343" s="8" t="str">
        <f>IF(G343="","",G343)</f>
        <v/>
      </c>
      <c r="I343" s="3" t="str">
        <f>IF(H343="","",IF(H343&gt;=الإعدادات!B7,"ناجح","يحتاج إعادة تدريب"))</f>
        <v/>
      </c>
      <c r="J343" s="3"/>
      <c r="K343" s="3"/>
      <c r="L343" s="3"/>
    </row>
    <row r="344" spans="1:12" x14ac:dyDescent="0.2">
      <c r="A344" s="3" t="s">
        <v>490</v>
      </c>
      <c r="B344" s="3"/>
      <c r="C344" s="3" t="str">
        <f>IFERROR(VLOOKUP(B344,الخطة!A:O,4,FALSE),"")</f>
        <v/>
      </c>
      <c r="D344" s="3"/>
      <c r="E344" s="3" t="str">
        <f>IFERROR(VLOOKUP(D344,الموظفون!A:L,2,FALSE),"")</f>
        <v/>
      </c>
      <c r="F344" s="8"/>
      <c r="G344" s="8"/>
      <c r="H344" s="8" t="str">
        <f>IF(G344="","",G344)</f>
        <v/>
      </c>
      <c r="I344" s="3" t="str">
        <f>IF(H344="","",IF(H344&gt;=الإعدادات!B7,"ناجح","يحتاج إعادة تدريب"))</f>
        <v/>
      </c>
      <c r="J344" s="3"/>
      <c r="K344" s="3"/>
      <c r="L344" s="3"/>
    </row>
    <row r="345" spans="1:12" x14ac:dyDescent="0.2">
      <c r="A345" s="3" t="s">
        <v>491</v>
      </c>
      <c r="B345" s="3"/>
      <c r="C345" s="3" t="str">
        <f>IFERROR(VLOOKUP(B345,الخطة!A:O,4,FALSE),"")</f>
        <v/>
      </c>
      <c r="D345" s="3"/>
      <c r="E345" s="3" t="str">
        <f>IFERROR(VLOOKUP(D345,الموظفون!A:L,2,FALSE),"")</f>
        <v/>
      </c>
      <c r="F345" s="8"/>
      <c r="G345" s="8"/>
      <c r="H345" s="8" t="str">
        <f>IF(G345="","",G345)</f>
        <v/>
      </c>
      <c r="I345" s="3" t="str">
        <f>IF(H345="","",IF(H345&gt;=الإعدادات!B7,"ناجح","يحتاج إعادة تدريب"))</f>
        <v/>
      </c>
      <c r="J345" s="3"/>
      <c r="K345" s="3"/>
      <c r="L345" s="3"/>
    </row>
    <row r="346" spans="1:12" x14ac:dyDescent="0.2">
      <c r="A346" s="3" t="s">
        <v>492</v>
      </c>
      <c r="B346" s="3"/>
      <c r="C346" s="3" t="str">
        <f>IFERROR(VLOOKUP(B346,الخطة!A:O,4,FALSE),"")</f>
        <v/>
      </c>
      <c r="D346" s="3"/>
      <c r="E346" s="3" t="str">
        <f>IFERROR(VLOOKUP(D346,الموظفون!A:L,2,FALSE),"")</f>
        <v/>
      </c>
      <c r="F346" s="8"/>
      <c r="G346" s="8"/>
      <c r="H346" s="8" t="str">
        <f>IF(G346="","",G346)</f>
        <v/>
      </c>
      <c r="I346" s="3" t="str">
        <f>IF(H346="","",IF(H346&gt;=الإعدادات!B7,"ناجح","يحتاج إعادة تدريب"))</f>
        <v/>
      </c>
      <c r="J346" s="3"/>
      <c r="K346" s="3"/>
      <c r="L346" s="3"/>
    </row>
    <row r="347" spans="1:12" x14ac:dyDescent="0.2">
      <c r="A347" s="3" t="s">
        <v>493</v>
      </c>
      <c r="B347" s="3"/>
      <c r="C347" s="3" t="str">
        <f>IFERROR(VLOOKUP(B347,الخطة!A:O,4,FALSE),"")</f>
        <v/>
      </c>
      <c r="D347" s="3"/>
      <c r="E347" s="3" t="str">
        <f>IFERROR(VLOOKUP(D347,الموظفون!A:L,2,FALSE),"")</f>
        <v/>
      </c>
      <c r="F347" s="8"/>
      <c r="G347" s="8"/>
      <c r="H347" s="8" t="str">
        <f>IF(G347="","",G347)</f>
        <v/>
      </c>
      <c r="I347" s="3" t="str">
        <f>IF(H347="","",IF(H347&gt;=الإعدادات!B7,"ناجح","يحتاج إعادة تدريب"))</f>
        <v/>
      </c>
      <c r="J347" s="3"/>
      <c r="K347" s="3"/>
      <c r="L347" s="3"/>
    </row>
    <row r="348" spans="1:12" x14ac:dyDescent="0.2">
      <c r="A348" s="3" t="s">
        <v>494</v>
      </c>
      <c r="B348" s="3"/>
      <c r="C348" s="3" t="str">
        <f>IFERROR(VLOOKUP(B348,الخطة!A:O,4,FALSE),"")</f>
        <v/>
      </c>
      <c r="D348" s="3"/>
      <c r="E348" s="3" t="str">
        <f>IFERROR(VLOOKUP(D348,الموظفون!A:L,2,FALSE),"")</f>
        <v/>
      </c>
      <c r="F348" s="8"/>
      <c r="G348" s="8"/>
      <c r="H348" s="8" t="str">
        <f>IF(G348="","",G348)</f>
        <v/>
      </c>
      <c r="I348" s="3" t="str">
        <f>IF(H348="","",IF(H348&gt;=الإعدادات!B7,"ناجح","يحتاج إعادة تدريب"))</f>
        <v/>
      </c>
      <c r="J348" s="3"/>
      <c r="K348" s="3"/>
      <c r="L348" s="3"/>
    </row>
    <row r="349" spans="1:12" x14ac:dyDescent="0.2">
      <c r="A349" s="3" t="s">
        <v>495</v>
      </c>
      <c r="B349" s="3"/>
      <c r="C349" s="3" t="str">
        <f>IFERROR(VLOOKUP(B349,الخطة!A:O,4,FALSE),"")</f>
        <v/>
      </c>
      <c r="D349" s="3"/>
      <c r="E349" s="3" t="str">
        <f>IFERROR(VLOOKUP(D349,الموظفون!A:L,2,FALSE),"")</f>
        <v/>
      </c>
      <c r="F349" s="8"/>
      <c r="G349" s="8"/>
      <c r="H349" s="8" t="str">
        <f>IF(G349="","",G349)</f>
        <v/>
      </c>
      <c r="I349" s="3" t="str">
        <f>IF(H349="","",IF(H349&gt;=الإعدادات!B7,"ناجح","يحتاج إعادة تدريب"))</f>
        <v/>
      </c>
      <c r="J349" s="3"/>
      <c r="K349" s="3"/>
      <c r="L349" s="3"/>
    </row>
    <row r="350" spans="1:12" x14ac:dyDescent="0.2">
      <c r="A350" s="3" t="s">
        <v>496</v>
      </c>
      <c r="B350" s="3"/>
      <c r="C350" s="3" t="str">
        <f>IFERROR(VLOOKUP(B350,الخطة!A:O,4,FALSE),"")</f>
        <v/>
      </c>
      <c r="D350" s="3"/>
      <c r="E350" s="3" t="str">
        <f>IFERROR(VLOOKUP(D350,الموظفون!A:L,2,FALSE),"")</f>
        <v/>
      </c>
      <c r="F350" s="8"/>
      <c r="G350" s="8"/>
      <c r="H350" s="8" t="str">
        <f>IF(G350="","",G350)</f>
        <v/>
      </c>
      <c r="I350" s="3" t="str">
        <f>IF(H350="","",IF(H350&gt;=الإعدادات!B7,"ناجح","يحتاج إعادة تدريب"))</f>
        <v/>
      </c>
      <c r="J350" s="3"/>
      <c r="K350" s="3"/>
      <c r="L350" s="3"/>
    </row>
    <row r="351" spans="1:12" x14ac:dyDescent="0.2">
      <c r="A351" s="3" t="s">
        <v>497</v>
      </c>
      <c r="B351" s="3"/>
      <c r="C351" s="3" t="str">
        <f>IFERROR(VLOOKUP(B351,الخطة!A:O,4,FALSE),"")</f>
        <v/>
      </c>
      <c r="D351" s="3"/>
      <c r="E351" s="3" t="str">
        <f>IFERROR(VLOOKUP(D351,الموظفون!A:L,2,FALSE),"")</f>
        <v/>
      </c>
      <c r="F351" s="8"/>
      <c r="G351" s="8"/>
      <c r="H351" s="8" t="str">
        <f>IF(G351="","",G351)</f>
        <v/>
      </c>
      <c r="I351" s="3" t="str">
        <f>IF(H351="","",IF(H351&gt;=الإعدادات!B7,"ناجح","يحتاج إعادة تدريب"))</f>
        <v/>
      </c>
      <c r="J351" s="3"/>
      <c r="K351" s="3"/>
      <c r="L351" s="3"/>
    </row>
    <row r="352" spans="1:12" x14ac:dyDescent="0.2">
      <c r="A352" s="3" t="s">
        <v>498</v>
      </c>
      <c r="B352" s="3"/>
      <c r="C352" s="3" t="str">
        <f>IFERROR(VLOOKUP(B352,الخطة!A:O,4,FALSE),"")</f>
        <v/>
      </c>
      <c r="D352" s="3"/>
      <c r="E352" s="3" t="str">
        <f>IFERROR(VLOOKUP(D352,الموظفون!A:L,2,FALSE),"")</f>
        <v/>
      </c>
      <c r="F352" s="8"/>
      <c r="G352" s="8"/>
      <c r="H352" s="8" t="str">
        <f>IF(G352="","",G352)</f>
        <v/>
      </c>
      <c r="I352" s="3" t="str">
        <f>IF(H352="","",IF(H352&gt;=الإعدادات!B7,"ناجح","يحتاج إعادة تدريب"))</f>
        <v/>
      </c>
      <c r="J352" s="3"/>
      <c r="K352" s="3"/>
      <c r="L352" s="3"/>
    </row>
    <row r="353" spans="1:12" x14ac:dyDescent="0.2">
      <c r="A353" s="3" t="s">
        <v>499</v>
      </c>
      <c r="B353" s="3"/>
      <c r="C353" s="3" t="str">
        <f>IFERROR(VLOOKUP(B353,الخطة!A:O,4,FALSE),"")</f>
        <v/>
      </c>
      <c r="D353" s="3"/>
      <c r="E353" s="3" t="str">
        <f>IFERROR(VLOOKUP(D353,الموظفون!A:L,2,FALSE),"")</f>
        <v/>
      </c>
      <c r="F353" s="8"/>
      <c r="G353" s="8"/>
      <c r="H353" s="8" t="str">
        <f>IF(G353="","",G353)</f>
        <v/>
      </c>
      <c r="I353" s="3" t="str">
        <f>IF(H353="","",IF(H353&gt;=الإعدادات!B7,"ناجح","يحتاج إعادة تدريب"))</f>
        <v/>
      </c>
      <c r="J353" s="3"/>
      <c r="K353" s="3"/>
      <c r="L353" s="3"/>
    </row>
    <row r="354" spans="1:12" x14ac:dyDescent="0.2">
      <c r="A354" s="3" t="s">
        <v>500</v>
      </c>
      <c r="B354" s="3"/>
      <c r="C354" s="3" t="str">
        <f>IFERROR(VLOOKUP(B354,الخطة!A:O,4,FALSE),"")</f>
        <v/>
      </c>
      <c r="D354" s="3"/>
      <c r="E354" s="3" t="str">
        <f>IFERROR(VLOOKUP(D354,الموظفون!A:L,2,FALSE),"")</f>
        <v/>
      </c>
      <c r="F354" s="8"/>
      <c r="G354" s="8"/>
      <c r="H354" s="8" t="str">
        <f>IF(G354="","",G354)</f>
        <v/>
      </c>
      <c r="I354" s="3" t="str">
        <f>IF(H354="","",IF(H354&gt;=الإعدادات!B7,"ناجح","يحتاج إعادة تدريب"))</f>
        <v/>
      </c>
      <c r="J354" s="3"/>
      <c r="K354" s="3"/>
      <c r="L354" s="3"/>
    </row>
    <row r="355" spans="1:12" x14ac:dyDescent="0.2">
      <c r="A355" s="3" t="s">
        <v>501</v>
      </c>
      <c r="B355" s="3"/>
      <c r="C355" s="3" t="str">
        <f>IFERROR(VLOOKUP(B355,الخطة!A:O,4,FALSE),"")</f>
        <v/>
      </c>
      <c r="D355" s="3"/>
      <c r="E355" s="3" t="str">
        <f>IFERROR(VLOOKUP(D355,الموظفون!A:L,2,FALSE),"")</f>
        <v/>
      </c>
      <c r="F355" s="8"/>
      <c r="G355" s="8"/>
      <c r="H355" s="8" t="str">
        <f>IF(G355="","",G355)</f>
        <v/>
      </c>
      <c r="I355" s="3" t="str">
        <f>IF(H355="","",IF(H355&gt;=الإعدادات!B7,"ناجح","يحتاج إعادة تدريب"))</f>
        <v/>
      </c>
      <c r="J355" s="3"/>
      <c r="K355" s="3"/>
      <c r="L355" s="3"/>
    </row>
    <row r="356" spans="1:12" x14ac:dyDescent="0.2">
      <c r="A356" s="3" t="s">
        <v>502</v>
      </c>
      <c r="B356" s="3"/>
      <c r="C356" s="3" t="str">
        <f>IFERROR(VLOOKUP(B356,الخطة!A:O,4,FALSE),"")</f>
        <v/>
      </c>
      <c r="D356" s="3"/>
      <c r="E356" s="3" t="str">
        <f>IFERROR(VLOOKUP(D356,الموظفون!A:L,2,FALSE),"")</f>
        <v/>
      </c>
      <c r="F356" s="8"/>
      <c r="G356" s="8"/>
      <c r="H356" s="8" t="str">
        <f>IF(G356="","",G356)</f>
        <v/>
      </c>
      <c r="I356" s="3" t="str">
        <f>IF(H356="","",IF(H356&gt;=الإعدادات!B7,"ناجح","يحتاج إعادة تدريب"))</f>
        <v/>
      </c>
      <c r="J356" s="3"/>
      <c r="K356" s="3"/>
      <c r="L356" s="3"/>
    </row>
    <row r="357" spans="1:12" x14ac:dyDescent="0.2">
      <c r="A357" s="3" t="s">
        <v>503</v>
      </c>
      <c r="B357" s="3"/>
      <c r="C357" s="3" t="str">
        <f>IFERROR(VLOOKUP(B357,الخطة!A:O,4,FALSE),"")</f>
        <v/>
      </c>
      <c r="D357" s="3"/>
      <c r="E357" s="3" t="str">
        <f>IFERROR(VLOOKUP(D357,الموظفون!A:L,2,FALSE),"")</f>
        <v/>
      </c>
      <c r="F357" s="8"/>
      <c r="G357" s="8"/>
      <c r="H357" s="8" t="str">
        <f>IF(G357="","",G357)</f>
        <v/>
      </c>
      <c r="I357" s="3" t="str">
        <f>IF(H357="","",IF(H357&gt;=الإعدادات!B7,"ناجح","يحتاج إعادة تدريب"))</f>
        <v/>
      </c>
      <c r="J357" s="3"/>
      <c r="K357" s="3"/>
      <c r="L357" s="3"/>
    </row>
    <row r="358" spans="1:12" x14ac:dyDescent="0.2">
      <c r="A358" s="3" t="s">
        <v>504</v>
      </c>
      <c r="B358" s="3"/>
      <c r="C358" s="3" t="str">
        <f>IFERROR(VLOOKUP(B358,الخطة!A:O,4,FALSE),"")</f>
        <v/>
      </c>
      <c r="D358" s="3"/>
      <c r="E358" s="3" t="str">
        <f>IFERROR(VLOOKUP(D358,الموظفون!A:L,2,FALSE),"")</f>
        <v/>
      </c>
      <c r="F358" s="8"/>
      <c r="G358" s="8"/>
      <c r="H358" s="8" t="str">
        <f>IF(G358="","",G358)</f>
        <v/>
      </c>
      <c r="I358" s="3" t="str">
        <f>IF(H358="","",IF(H358&gt;=الإعدادات!B7,"ناجح","يحتاج إعادة تدريب"))</f>
        <v/>
      </c>
      <c r="J358" s="3"/>
      <c r="K358" s="3"/>
      <c r="L358" s="3"/>
    </row>
    <row r="359" spans="1:12" x14ac:dyDescent="0.2">
      <c r="A359" s="3" t="s">
        <v>505</v>
      </c>
      <c r="B359" s="3"/>
      <c r="C359" s="3" t="str">
        <f>IFERROR(VLOOKUP(B359,الخطة!A:O,4,FALSE),"")</f>
        <v/>
      </c>
      <c r="D359" s="3"/>
      <c r="E359" s="3" t="str">
        <f>IFERROR(VLOOKUP(D359,الموظفون!A:L,2,FALSE),"")</f>
        <v/>
      </c>
      <c r="F359" s="8"/>
      <c r="G359" s="8"/>
      <c r="H359" s="8" t="str">
        <f>IF(G359="","",G359)</f>
        <v/>
      </c>
      <c r="I359" s="3" t="str">
        <f>IF(H359="","",IF(H359&gt;=الإعدادات!B7,"ناجح","يحتاج إعادة تدريب"))</f>
        <v/>
      </c>
      <c r="J359" s="3"/>
      <c r="K359" s="3"/>
      <c r="L359" s="3"/>
    </row>
    <row r="360" spans="1:12" x14ac:dyDescent="0.2">
      <c r="A360" s="3" t="s">
        <v>506</v>
      </c>
      <c r="B360" s="3"/>
      <c r="C360" s="3" t="str">
        <f>IFERROR(VLOOKUP(B360,الخطة!A:O,4,FALSE),"")</f>
        <v/>
      </c>
      <c r="D360" s="3"/>
      <c r="E360" s="3" t="str">
        <f>IFERROR(VLOOKUP(D360,الموظفون!A:L,2,FALSE),"")</f>
        <v/>
      </c>
      <c r="F360" s="8"/>
      <c r="G360" s="8"/>
      <c r="H360" s="8" t="str">
        <f>IF(G360="","",G360)</f>
        <v/>
      </c>
      <c r="I360" s="3" t="str">
        <f>IF(H360="","",IF(H360&gt;=الإعدادات!B7,"ناجح","يحتاج إعادة تدريب"))</f>
        <v/>
      </c>
      <c r="J360" s="3"/>
      <c r="K360" s="3"/>
      <c r="L360" s="3"/>
    </row>
    <row r="361" spans="1:12" x14ac:dyDescent="0.2">
      <c r="A361" s="3" t="s">
        <v>507</v>
      </c>
      <c r="B361" s="3"/>
      <c r="C361" s="3" t="str">
        <f>IFERROR(VLOOKUP(B361,الخطة!A:O,4,FALSE),"")</f>
        <v/>
      </c>
      <c r="D361" s="3"/>
      <c r="E361" s="3" t="str">
        <f>IFERROR(VLOOKUP(D361,الموظفون!A:L,2,FALSE),"")</f>
        <v/>
      </c>
      <c r="F361" s="8"/>
      <c r="G361" s="8"/>
      <c r="H361" s="8" t="str">
        <f>IF(G361="","",G361)</f>
        <v/>
      </c>
      <c r="I361" s="3" t="str">
        <f>IF(H361="","",IF(H361&gt;=الإعدادات!B7,"ناجح","يحتاج إعادة تدريب"))</f>
        <v/>
      </c>
      <c r="J361" s="3"/>
      <c r="K361" s="3"/>
      <c r="L361" s="3"/>
    </row>
    <row r="362" spans="1:12" x14ac:dyDescent="0.2">
      <c r="A362" s="3" t="s">
        <v>508</v>
      </c>
      <c r="B362" s="3"/>
      <c r="C362" s="3" t="str">
        <f>IFERROR(VLOOKUP(B362,الخطة!A:O,4,FALSE),"")</f>
        <v/>
      </c>
      <c r="D362" s="3"/>
      <c r="E362" s="3" t="str">
        <f>IFERROR(VLOOKUP(D362,الموظفون!A:L,2,FALSE),"")</f>
        <v/>
      </c>
      <c r="F362" s="8"/>
      <c r="G362" s="8"/>
      <c r="H362" s="8" t="str">
        <f>IF(G362="","",G362)</f>
        <v/>
      </c>
      <c r="I362" s="3" t="str">
        <f>IF(H362="","",IF(H362&gt;=الإعدادات!B7,"ناجح","يحتاج إعادة تدريب"))</f>
        <v/>
      </c>
      <c r="J362" s="3"/>
      <c r="K362" s="3"/>
      <c r="L362" s="3"/>
    </row>
    <row r="363" spans="1:12" x14ac:dyDescent="0.2">
      <c r="A363" s="3" t="s">
        <v>509</v>
      </c>
      <c r="B363" s="3"/>
      <c r="C363" s="3" t="str">
        <f>IFERROR(VLOOKUP(B363,الخطة!A:O,4,FALSE),"")</f>
        <v/>
      </c>
      <c r="D363" s="3"/>
      <c r="E363" s="3" t="str">
        <f>IFERROR(VLOOKUP(D363,الموظفون!A:L,2,FALSE),"")</f>
        <v/>
      </c>
      <c r="F363" s="8"/>
      <c r="G363" s="8"/>
      <c r="H363" s="8" t="str">
        <f>IF(G363="","",G363)</f>
        <v/>
      </c>
      <c r="I363" s="3" t="str">
        <f>IF(H363="","",IF(H363&gt;=الإعدادات!B7,"ناجح","يحتاج إعادة تدريب"))</f>
        <v/>
      </c>
      <c r="J363" s="3"/>
      <c r="K363" s="3"/>
      <c r="L363" s="3"/>
    </row>
    <row r="364" spans="1:12" x14ac:dyDescent="0.2">
      <c r="A364" s="3" t="s">
        <v>510</v>
      </c>
      <c r="B364" s="3"/>
      <c r="C364" s="3" t="str">
        <f>IFERROR(VLOOKUP(B364,الخطة!A:O,4,FALSE),"")</f>
        <v/>
      </c>
      <c r="D364" s="3"/>
      <c r="E364" s="3" t="str">
        <f>IFERROR(VLOOKUP(D364,الموظفون!A:L,2,FALSE),"")</f>
        <v/>
      </c>
      <c r="F364" s="8"/>
      <c r="G364" s="8"/>
      <c r="H364" s="8" t="str">
        <f>IF(G364="","",G364)</f>
        <v/>
      </c>
      <c r="I364" s="3" t="str">
        <f>IF(H364="","",IF(H364&gt;=الإعدادات!B7,"ناجح","يحتاج إعادة تدريب"))</f>
        <v/>
      </c>
      <c r="J364" s="3"/>
      <c r="K364" s="3"/>
      <c r="L364" s="3"/>
    </row>
    <row r="365" spans="1:12" x14ac:dyDescent="0.2">
      <c r="A365" s="3" t="s">
        <v>511</v>
      </c>
      <c r="B365" s="3"/>
      <c r="C365" s="3" t="str">
        <f>IFERROR(VLOOKUP(B365,الخطة!A:O,4,FALSE),"")</f>
        <v/>
      </c>
      <c r="D365" s="3"/>
      <c r="E365" s="3" t="str">
        <f>IFERROR(VLOOKUP(D365,الموظفون!A:L,2,FALSE),"")</f>
        <v/>
      </c>
      <c r="F365" s="8"/>
      <c r="G365" s="8"/>
      <c r="H365" s="8" t="str">
        <f>IF(G365="","",G365)</f>
        <v/>
      </c>
      <c r="I365" s="3" t="str">
        <f>IF(H365="","",IF(H365&gt;=الإعدادات!B7,"ناجح","يحتاج إعادة تدريب"))</f>
        <v/>
      </c>
      <c r="J365" s="3"/>
      <c r="K365" s="3"/>
      <c r="L365" s="3"/>
    </row>
    <row r="366" spans="1:12" x14ac:dyDescent="0.2">
      <c r="A366" s="3" t="s">
        <v>512</v>
      </c>
      <c r="B366" s="3"/>
      <c r="C366" s="3" t="str">
        <f>IFERROR(VLOOKUP(B366,الخطة!A:O,4,FALSE),"")</f>
        <v/>
      </c>
      <c r="D366" s="3"/>
      <c r="E366" s="3" t="str">
        <f>IFERROR(VLOOKUP(D366,الموظفون!A:L,2,FALSE),"")</f>
        <v/>
      </c>
      <c r="F366" s="8"/>
      <c r="G366" s="8"/>
      <c r="H366" s="8" t="str">
        <f>IF(G366="","",G366)</f>
        <v/>
      </c>
      <c r="I366" s="3" t="str">
        <f>IF(H366="","",IF(H366&gt;=الإعدادات!B7,"ناجح","يحتاج إعادة تدريب"))</f>
        <v/>
      </c>
      <c r="J366" s="3"/>
      <c r="K366" s="3"/>
      <c r="L366" s="3"/>
    </row>
    <row r="367" spans="1:12" x14ac:dyDescent="0.2">
      <c r="A367" s="3" t="s">
        <v>513</v>
      </c>
      <c r="B367" s="3"/>
      <c r="C367" s="3" t="str">
        <f>IFERROR(VLOOKUP(B367,الخطة!A:O,4,FALSE),"")</f>
        <v/>
      </c>
      <c r="D367" s="3"/>
      <c r="E367" s="3" t="str">
        <f>IFERROR(VLOOKUP(D367,الموظفون!A:L,2,FALSE),"")</f>
        <v/>
      </c>
      <c r="F367" s="8"/>
      <c r="G367" s="8"/>
      <c r="H367" s="8" t="str">
        <f>IF(G367="","",G367)</f>
        <v/>
      </c>
      <c r="I367" s="3" t="str">
        <f>IF(H367="","",IF(H367&gt;=الإعدادات!B7,"ناجح","يحتاج إعادة تدريب"))</f>
        <v/>
      </c>
      <c r="J367" s="3"/>
      <c r="K367" s="3"/>
      <c r="L367" s="3"/>
    </row>
    <row r="368" spans="1:12" x14ac:dyDescent="0.2">
      <c r="A368" s="3" t="s">
        <v>514</v>
      </c>
      <c r="B368" s="3"/>
      <c r="C368" s="3" t="str">
        <f>IFERROR(VLOOKUP(B368,الخطة!A:O,4,FALSE),"")</f>
        <v/>
      </c>
      <c r="D368" s="3"/>
      <c r="E368" s="3" t="str">
        <f>IFERROR(VLOOKUP(D368,الموظفون!A:L,2,FALSE),"")</f>
        <v/>
      </c>
      <c r="F368" s="8"/>
      <c r="G368" s="8"/>
      <c r="H368" s="8" t="str">
        <f>IF(G368="","",G368)</f>
        <v/>
      </c>
      <c r="I368" s="3" t="str">
        <f>IF(H368="","",IF(H368&gt;=الإعدادات!B7,"ناجح","يحتاج إعادة تدريب"))</f>
        <v/>
      </c>
      <c r="J368" s="3"/>
      <c r="K368" s="3"/>
      <c r="L368" s="3"/>
    </row>
    <row r="369" spans="1:12" x14ac:dyDescent="0.2">
      <c r="A369" s="3" t="s">
        <v>515</v>
      </c>
      <c r="B369" s="3"/>
      <c r="C369" s="3" t="str">
        <f>IFERROR(VLOOKUP(B369,الخطة!A:O,4,FALSE),"")</f>
        <v/>
      </c>
      <c r="D369" s="3"/>
      <c r="E369" s="3" t="str">
        <f>IFERROR(VLOOKUP(D369,الموظفون!A:L,2,FALSE),"")</f>
        <v/>
      </c>
      <c r="F369" s="8"/>
      <c r="G369" s="8"/>
      <c r="H369" s="8" t="str">
        <f>IF(G369="","",G369)</f>
        <v/>
      </c>
      <c r="I369" s="3" t="str">
        <f>IF(H369="","",IF(H369&gt;=الإعدادات!B7,"ناجح","يحتاج إعادة تدريب"))</f>
        <v/>
      </c>
      <c r="J369" s="3"/>
      <c r="K369" s="3"/>
      <c r="L369" s="3"/>
    </row>
    <row r="370" spans="1:12" x14ac:dyDescent="0.2">
      <c r="A370" s="3" t="s">
        <v>516</v>
      </c>
      <c r="B370" s="3"/>
      <c r="C370" s="3" t="str">
        <f>IFERROR(VLOOKUP(B370,الخطة!A:O,4,FALSE),"")</f>
        <v/>
      </c>
      <c r="D370" s="3"/>
      <c r="E370" s="3" t="str">
        <f>IFERROR(VLOOKUP(D370,الموظفون!A:L,2,FALSE),"")</f>
        <v/>
      </c>
      <c r="F370" s="8"/>
      <c r="G370" s="8"/>
      <c r="H370" s="8" t="str">
        <f>IF(G370="","",G370)</f>
        <v/>
      </c>
      <c r="I370" s="3" t="str">
        <f>IF(H370="","",IF(H370&gt;=الإعدادات!B7,"ناجح","يحتاج إعادة تدريب"))</f>
        <v/>
      </c>
      <c r="J370" s="3"/>
      <c r="K370" s="3"/>
      <c r="L370" s="3"/>
    </row>
    <row r="371" spans="1:12" x14ac:dyDescent="0.2">
      <c r="A371" s="3" t="s">
        <v>517</v>
      </c>
      <c r="B371" s="3"/>
      <c r="C371" s="3" t="str">
        <f>IFERROR(VLOOKUP(B371,الخطة!A:O,4,FALSE),"")</f>
        <v/>
      </c>
      <c r="D371" s="3"/>
      <c r="E371" s="3" t="str">
        <f>IFERROR(VLOOKUP(D371,الموظفون!A:L,2,FALSE),"")</f>
        <v/>
      </c>
      <c r="F371" s="8"/>
      <c r="G371" s="8"/>
      <c r="H371" s="8" t="str">
        <f>IF(G371="","",G371)</f>
        <v/>
      </c>
      <c r="I371" s="3" t="str">
        <f>IF(H371="","",IF(H371&gt;=الإعدادات!B7,"ناجح","يحتاج إعادة تدريب"))</f>
        <v/>
      </c>
      <c r="J371" s="3"/>
      <c r="K371" s="3"/>
      <c r="L371" s="3"/>
    </row>
    <row r="372" spans="1:12" x14ac:dyDescent="0.2">
      <c r="A372" s="3" t="s">
        <v>518</v>
      </c>
      <c r="B372" s="3"/>
      <c r="C372" s="3" t="str">
        <f>IFERROR(VLOOKUP(B372,الخطة!A:O,4,FALSE),"")</f>
        <v/>
      </c>
      <c r="D372" s="3"/>
      <c r="E372" s="3" t="str">
        <f>IFERROR(VLOOKUP(D372,الموظفون!A:L,2,FALSE),"")</f>
        <v/>
      </c>
      <c r="F372" s="8"/>
      <c r="G372" s="8"/>
      <c r="H372" s="8" t="str">
        <f>IF(G372="","",G372)</f>
        <v/>
      </c>
      <c r="I372" s="3" t="str">
        <f>IF(H372="","",IF(H372&gt;=الإعدادات!B7,"ناجح","يحتاج إعادة تدريب"))</f>
        <v/>
      </c>
      <c r="J372" s="3"/>
      <c r="K372" s="3"/>
      <c r="L372" s="3"/>
    </row>
    <row r="373" spans="1:12" x14ac:dyDescent="0.2">
      <c r="A373" s="3" t="s">
        <v>519</v>
      </c>
      <c r="B373" s="3"/>
      <c r="C373" s="3" t="str">
        <f>IFERROR(VLOOKUP(B373,الخطة!A:O,4,FALSE),"")</f>
        <v/>
      </c>
      <c r="D373" s="3"/>
      <c r="E373" s="3" t="str">
        <f>IFERROR(VLOOKUP(D373,الموظفون!A:L,2,FALSE),"")</f>
        <v/>
      </c>
      <c r="F373" s="8"/>
      <c r="G373" s="8"/>
      <c r="H373" s="8" t="str">
        <f>IF(G373="","",G373)</f>
        <v/>
      </c>
      <c r="I373" s="3" t="str">
        <f>IF(H373="","",IF(H373&gt;=الإعدادات!B7,"ناجح","يحتاج إعادة تدريب"))</f>
        <v/>
      </c>
      <c r="J373" s="3"/>
      <c r="K373" s="3"/>
      <c r="L373" s="3"/>
    </row>
    <row r="374" spans="1:12" x14ac:dyDescent="0.2">
      <c r="A374" s="3" t="s">
        <v>520</v>
      </c>
      <c r="B374" s="3"/>
      <c r="C374" s="3" t="str">
        <f>IFERROR(VLOOKUP(B374,الخطة!A:O,4,FALSE),"")</f>
        <v/>
      </c>
      <c r="D374" s="3"/>
      <c r="E374" s="3" t="str">
        <f>IFERROR(VLOOKUP(D374,الموظفون!A:L,2,FALSE),"")</f>
        <v/>
      </c>
      <c r="F374" s="8"/>
      <c r="G374" s="8"/>
      <c r="H374" s="8" t="str">
        <f>IF(G374="","",G374)</f>
        <v/>
      </c>
      <c r="I374" s="3" t="str">
        <f>IF(H374="","",IF(H374&gt;=الإعدادات!B7,"ناجح","يحتاج إعادة تدريب"))</f>
        <v/>
      </c>
      <c r="J374" s="3"/>
      <c r="K374" s="3"/>
      <c r="L374" s="3"/>
    </row>
    <row r="375" spans="1:12" x14ac:dyDescent="0.2">
      <c r="A375" s="3" t="s">
        <v>521</v>
      </c>
      <c r="B375" s="3"/>
      <c r="C375" s="3" t="str">
        <f>IFERROR(VLOOKUP(B375,الخطة!A:O,4,FALSE),"")</f>
        <v/>
      </c>
      <c r="D375" s="3"/>
      <c r="E375" s="3" t="str">
        <f>IFERROR(VLOOKUP(D375,الموظفون!A:L,2,FALSE),"")</f>
        <v/>
      </c>
      <c r="F375" s="8"/>
      <c r="G375" s="8"/>
      <c r="H375" s="8" t="str">
        <f>IF(G375="","",G375)</f>
        <v/>
      </c>
      <c r="I375" s="3" t="str">
        <f>IF(H375="","",IF(H375&gt;=الإعدادات!B7,"ناجح","يحتاج إعادة تدريب"))</f>
        <v/>
      </c>
      <c r="J375" s="3"/>
      <c r="K375" s="3"/>
      <c r="L375" s="3"/>
    </row>
    <row r="376" spans="1:12" x14ac:dyDescent="0.2">
      <c r="A376" s="3" t="s">
        <v>522</v>
      </c>
      <c r="B376" s="3"/>
      <c r="C376" s="3" t="str">
        <f>IFERROR(VLOOKUP(B376,الخطة!A:O,4,FALSE),"")</f>
        <v/>
      </c>
      <c r="D376" s="3"/>
      <c r="E376" s="3" t="str">
        <f>IFERROR(VLOOKUP(D376,الموظفون!A:L,2,FALSE),"")</f>
        <v/>
      </c>
      <c r="F376" s="8"/>
      <c r="G376" s="8"/>
      <c r="H376" s="8" t="str">
        <f>IF(G376="","",G376)</f>
        <v/>
      </c>
      <c r="I376" s="3" t="str">
        <f>IF(H376="","",IF(H376&gt;=الإعدادات!B7,"ناجح","يحتاج إعادة تدريب"))</f>
        <v/>
      </c>
      <c r="J376" s="3"/>
      <c r="K376" s="3"/>
      <c r="L376" s="3"/>
    </row>
    <row r="377" spans="1:12" x14ac:dyDescent="0.2">
      <c r="A377" s="3" t="s">
        <v>523</v>
      </c>
      <c r="B377" s="3"/>
      <c r="C377" s="3" t="str">
        <f>IFERROR(VLOOKUP(B377,الخطة!A:O,4,FALSE),"")</f>
        <v/>
      </c>
      <c r="D377" s="3"/>
      <c r="E377" s="3" t="str">
        <f>IFERROR(VLOOKUP(D377,الموظفون!A:L,2,FALSE),"")</f>
        <v/>
      </c>
      <c r="F377" s="8"/>
      <c r="G377" s="8"/>
      <c r="H377" s="8" t="str">
        <f>IF(G377="","",G377)</f>
        <v/>
      </c>
      <c r="I377" s="3" t="str">
        <f>IF(H377="","",IF(H377&gt;=الإعدادات!B7,"ناجح","يحتاج إعادة تدريب"))</f>
        <v/>
      </c>
      <c r="J377" s="3"/>
      <c r="K377" s="3"/>
      <c r="L377" s="3"/>
    </row>
    <row r="378" spans="1:12" x14ac:dyDescent="0.2">
      <c r="A378" s="3" t="s">
        <v>524</v>
      </c>
      <c r="B378" s="3"/>
      <c r="C378" s="3" t="str">
        <f>IFERROR(VLOOKUP(B378,الخطة!A:O,4,FALSE),"")</f>
        <v/>
      </c>
      <c r="D378" s="3"/>
      <c r="E378" s="3" t="str">
        <f>IFERROR(VLOOKUP(D378,الموظفون!A:L,2,FALSE),"")</f>
        <v/>
      </c>
      <c r="F378" s="8"/>
      <c r="G378" s="8"/>
      <c r="H378" s="8" t="str">
        <f>IF(G378="","",G378)</f>
        <v/>
      </c>
      <c r="I378" s="3" t="str">
        <f>IF(H378="","",IF(H378&gt;=الإعدادات!B7,"ناجح","يحتاج إعادة تدريب"))</f>
        <v/>
      </c>
      <c r="J378" s="3"/>
      <c r="K378" s="3"/>
      <c r="L378" s="3"/>
    </row>
    <row r="379" spans="1:12" x14ac:dyDescent="0.2">
      <c r="A379" s="3" t="s">
        <v>525</v>
      </c>
      <c r="B379" s="3"/>
      <c r="C379" s="3" t="str">
        <f>IFERROR(VLOOKUP(B379,الخطة!A:O,4,FALSE),"")</f>
        <v/>
      </c>
      <c r="D379" s="3"/>
      <c r="E379" s="3" t="str">
        <f>IFERROR(VLOOKUP(D379,الموظفون!A:L,2,FALSE),"")</f>
        <v/>
      </c>
      <c r="F379" s="8"/>
      <c r="G379" s="8"/>
      <c r="H379" s="8" t="str">
        <f>IF(G379="","",G379)</f>
        <v/>
      </c>
      <c r="I379" s="3" t="str">
        <f>IF(H379="","",IF(H379&gt;=الإعدادات!B7,"ناجح","يحتاج إعادة تدريب"))</f>
        <v/>
      </c>
      <c r="J379" s="3"/>
      <c r="K379" s="3"/>
      <c r="L379" s="3"/>
    </row>
    <row r="380" spans="1:12" x14ac:dyDescent="0.2">
      <c r="A380" s="3" t="s">
        <v>526</v>
      </c>
      <c r="B380" s="3"/>
      <c r="C380" s="3" t="str">
        <f>IFERROR(VLOOKUP(B380,الخطة!A:O,4,FALSE),"")</f>
        <v/>
      </c>
      <c r="D380" s="3"/>
      <c r="E380" s="3" t="str">
        <f>IFERROR(VLOOKUP(D380,الموظفون!A:L,2,FALSE),"")</f>
        <v/>
      </c>
      <c r="F380" s="8"/>
      <c r="G380" s="8"/>
      <c r="H380" s="8" t="str">
        <f>IF(G380="","",G380)</f>
        <v/>
      </c>
      <c r="I380" s="3" t="str">
        <f>IF(H380="","",IF(H380&gt;=الإعدادات!B7,"ناجح","يحتاج إعادة تدريب"))</f>
        <v/>
      </c>
      <c r="J380" s="3"/>
      <c r="K380" s="3"/>
      <c r="L380" s="3"/>
    </row>
    <row r="381" spans="1:12" x14ac:dyDescent="0.2">
      <c r="A381" s="3" t="s">
        <v>527</v>
      </c>
      <c r="B381" s="3"/>
      <c r="C381" s="3" t="str">
        <f>IFERROR(VLOOKUP(B381,الخطة!A:O,4,FALSE),"")</f>
        <v/>
      </c>
      <c r="D381" s="3"/>
      <c r="E381" s="3" t="str">
        <f>IFERROR(VLOOKUP(D381,الموظفون!A:L,2,FALSE),"")</f>
        <v/>
      </c>
      <c r="F381" s="8"/>
      <c r="G381" s="8"/>
      <c r="H381" s="8" t="str">
        <f>IF(G381="","",G381)</f>
        <v/>
      </c>
      <c r="I381" s="3" t="str">
        <f>IF(H381="","",IF(H381&gt;=الإعدادات!B7,"ناجح","يحتاج إعادة تدريب"))</f>
        <v/>
      </c>
      <c r="J381" s="3"/>
      <c r="K381" s="3"/>
      <c r="L381" s="3"/>
    </row>
    <row r="382" spans="1:12" x14ac:dyDescent="0.2">
      <c r="A382" s="3" t="s">
        <v>528</v>
      </c>
      <c r="B382" s="3"/>
      <c r="C382" s="3" t="str">
        <f>IFERROR(VLOOKUP(B382,الخطة!A:O,4,FALSE),"")</f>
        <v/>
      </c>
      <c r="D382" s="3"/>
      <c r="E382" s="3" t="str">
        <f>IFERROR(VLOOKUP(D382,الموظفون!A:L,2,FALSE),"")</f>
        <v/>
      </c>
      <c r="F382" s="8"/>
      <c r="G382" s="8"/>
      <c r="H382" s="8" t="str">
        <f>IF(G382="","",G382)</f>
        <v/>
      </c>
      <c r="I382" s="3" t="str">
        <f>IF(H382="","",IF(H382&gt;=الإعدادات!B7,"ناجح","يحتاج إعادة تدريب"))</f>
        <v/>
      </c>
      <c r="J382" s="3"/>
      <c r="K382" s="3"/>
      <c r="L382" s="3"/>
    </row>
    <row r="383" spans="1:12" x14ac:dyDescent="0.2">
      <c r="A383" s="3" t="s">
        <v>529</v>
      </c>
      <c r="B383" s="3"/>
      <c r="C383" s="3" t="str">
        <f>IFERROR(VLOOKUP(B383,الخطة!A:O,4,FALSE),"")</f>
        <v/>
      </c>
      <c r="D383" s="3"/>
      <c r="E383" s="3" t="str">
        <f>IFERROR(VLOOKUP(D383,الموظفون!A:L,2,FALSE),"")</f>
        <v/>
      </c>
      <c r="F383" s="8"/>
      <c r="G383" s="8"/>
      <c r="H383" s="8" t="str">
        <f>IF(G383="","",G383)</f>
        <v/>
      </c>
      <c r="I383" s="3" t="str">
        <f>IF(H383="","",IF(H383&gt;=الإعدادات!B7,"ناجح","يحتاج إعادة تدريب"))</f>
        <v/>
      </c>
      <c r="J383" s="3"/>
      <c r="K383" s="3"/>
      <c r="L383" s="3"/>
    </row>
    <row r="384" spans="1:12" x14ac:dyDescent="0.2">
      <c r="A384" s="3" t="s">
        <v>530</v>
      </c>
      <c r="B384" s="3"/>
      <c r="C384" s="3" t="str">
        <f>IFERROR(VLOOKUP(B384,الخطة!A:O,4,FALSE),"")</f>
        <v/>
      </c>
      <c r="D384" s="3"/>
      <c r="E384" s="3" t="str">
        <f>IFERROR(VLOOKUP(D384,الموظفون!A:L,2,FALSE),"")</f>
        <v/>
      </c>
      <c r="F384" s="8"/>
      <c r="G384" s="8"/>
      <c r="H384" s="8" t="str">
        <f>IF(G384="","",G384)</f>
        <v/>
      </c>
      <c r="I384" s="3" t="str">
        <f>IF(H384="","",IF(H384&gt;=الإعدادات!B7,"ناجح","يحتاج إعادة تدريب"))</f>
        <v/>
      </c>
      <c r="J384" s="3"/>
      <c r="K384" s="3"/>
      <c r="L384" s="3"/>
    </row>
    <row r="385" spans="1:12" x14ac:dyDescent="0.2">
      <c r="A385" s="3" t="s">
        <v>531</v>
      </c>
      <c r="B385" s="3"/>
      <c r="C385" s="3" t="str">
        <f>IFERROR(VLOOKUP(B385,الخطة!A:O,4,FALSE),"")</f>
        <v/>
      </c>
      <c r="D385" s="3"/>
      <c r="E385" s="3" t="str">
        <f>IFERROR(VLOOKUP(D385,الموظفون!A:L,2,FALSE),"")</f>
        <v/>
      </c>
      <c r="F385" s="8"/>
      <c r="G385" s="8"/>
      <c r="H385" s="8" t="str">
        <f>IF(G385="","",G385)</f>
        <v/>
      </c>
      <c r="I385" s="3" t="str">
        <f>IF(H385="","",IF(H385&gt;=الإعدادات!B7,"ناجح","يحتاج إعادة تدريب"))</f>
        <v/>
      </c>
      <c r="J385" s="3"/>
      <c r="K385" s="3"/>
      <c r="L385" s="3"/>
    </row>
    <row r="386" spans="1:12" x14ac:dyDescent="0.2">
      <c r="A386" s="3" t="s">
        <v>532</v>
      </c>
      <c r="B386" s="3"/>
      <c r="C386" s="3" t="str">
        <f>IFERROR(VLOOKUP(B386,الخطة!A:O,4,FALSE),"")</f>
        <v/>
      </c>
      <c r="D386" s="3"/>
      <c r="E386" s="3" t="str">
        <f>IFERROR(VLOOKUP(D386,الموظفون!A:L,2,FALSE),"")</f>
        <v/>
      </c>
      <c r="F386" s="8"/>
      <c r="G386" s="8"/>
      <c r="H386" s="8" t="str">
        <f>IF(G386="","",G386)</f>
        <v/>
      </c>
      <c r="I386" s="3" t="str">
        <f>IF(H386="","",IF(H386&gt;=الإعدادات!B7,"ناجح","يحتاج إعادة تدريب"))</f>
        <v/>
      </c>
      <c r="J386" s="3"/>
      <c r="K386" s="3"/>
      <c r="L386" s="3"/>
    </row>
    <row r="387" spans="1:12" x14ac:dyDescent="0.2">
      <c r="A387" s="3" t="s">
        <v>533</v>
      </c>
      <c r="B387" s="3"/>
      <c r="C387" s="3" t="str">
        <f>IFERROR(VLOOKUP(B387,الخطة!A:O,4,FALSE),"")</f>
        <v/>
      </c>
      <c r="D387" s="3"/>
      <c r="E387" s="3" t="str">
        <f>IFERROR(VLOOKUP(D387,الموظفون!A:L,2,FALSE),"")</f>
        <v/>
      </c>
      <c r="F387" s="8"/>
      <c r="G387" s="8"/>
      <c r="H387" s="8" t="str">
        <f>IF(G387="","",G387)</f>
        <v/>
      </c>
      <c r="I387" s="3" t="str">
        <f>IF(H387="","",IF(H387&gt;=الإعدادات!B7,"ناجح","يحتاج إعادة تدريب"))</f>
        <v/>
      </c>
      <c r="J387" s="3"/>
      <c r="K387" s="3"/>
      <c r="L387" s="3"/>
    </row>
    <row r="388" spans="1:12" x14ac:dyDescent="0.2">
      <c r="A388" s="3" t="s">
        <v>534</v>
      </c>
      <c r="B388" s="3"/>
      <c r="C388" s="3" t="str">
        <f>IFERROR(VLOOKUP(B388,الخطة!A:O,4,FALSE),"")</f>
        <v/>
      </c>
      <c r="D388" s="3"/>
      <c r="E388" s="3" t="str">
        <f>IFERROR(VLOOKUP(D388,الموظفون!A:L,2,FALSE),"")</f>
        <v/>
      </c>
      <c r="F388" s="8"/>
      <c r="G388" s="8"/>
      <c r="H388" s="8" t="str">
        <f>IF(G388="","",G388)</f>
        <v/>
      </c>
      <c r="I388" s="3" t="str">
        <f>IF(H388="","",IF(H388&gt;=الإعدادات!B7,"ناجح","يحتاج إعادة تدريب"))</f>
        <v/>
      </c>
      <c r="J388" s="3"/>
      <c r="K388" s="3"/>
      <c r="L388" s="3"/>
    </row>
    <row r="389" spans="1:12" x14ac:dyDescent="0.2">
      <c r="A389" s="3" t="s">
        <v>535</v>
      </c>
      <c r="B389" s="3"/>
      <c r="C389" s="3" t="str">
        <f>IFERROR(VLOOKUP(B389,الخطة!A:O,4,FALSE),"")</f>
        <v/>
      </c>
      <c r="D389" s="3"/>
      <c r="E389" s="3" t="str">
        <f>IFERROR(VLOOKUP(D389,الموظفون!A:L,2,FALSE),"")</f>
        <v/>
      </c>
      <c r="F389" s="8"/>
      <c r="G389" s="8"/>
      <c r="H389" s="8" t="str">
        <f>IF(G389="","",G389)</f>
        <v/>
      </c>
      <c r="I389" s="3" t="str">
        <f>IF(H389="","",IF(H389&gt;=الإعدادات!B7,"ناجح","يحتاج إعادة تدريب"))</f>
        <v/>
      </c>
      <c r="J389" s="3"/>
      <c r="K389" s="3"/>
      <c r="L389" s="3"/>
    </row>
    <row r="390" spans="1:12" x14ac:dyDescent="0.2">
      <c r="A390" s="3" t="s">
        <v>536</v>
      </c>
      <c r="B390" s="3"/>
      <c r="C390" s="3" t="str">
        <f>IFERROR(VLOOKUP(B390,الخطة!A:O,4,FALSE),"")</f>
        <v/>
      </c>
      <c r="D390" s="3"/>
      <c r="E390" s="3" t="str">
        <f>IFERROR(VLOOKUP(D390,الموظفون!A:L,2,FALSE),"")</f>
        <v/>
      </c>
      <c r="F390" s="8"/>
      <c r="G390" s="8"/>
      <c r="H390" s="8" t="str">
        <f>IF(G390="","",G390)</f>
        <v/>
      </c>
      <c r="I390" s="3" t="str">
        <f>IF(H390="","",IF(H390&gt;=الإعدادات!B7,"ناجح","يحتاج إعادة تدريب"))</f>
        <v/>
      </c>
      <c r="J390" s="3"/>
      <c r="K390" s="3"/>
      <c r="L390" s="3"/>
    </row>
    <row r="391" spans="1:12" x14ac:dyDescent="0.2">
      <c r="A391" s="3" t="s">
        <v>537</v>
      </c>
      <c r="B391" s="3"/>
      <c r="C391" s="3" t="str">
        <f>IFERROR(VLOOKUP(B391,الخطة!A:O,4,FALSE),"")</f>
        <v/>
      </c>
      <c r="D391" s="3"/>
      <c r="E391" s="3" t="str">
        <f>IFERROR(VLOOKUP(D391,الموظفون!A:L,2,FALSE),"")</f>
        <v/>
      </c>
      <c r="F391" s="8"/>
      <c r="G391" s="8"/>
      <c r="H391" s="8" t="str">
        <f>IF(G391="","",G391)</f>
        <v/>
      </c>
      <c r="I391" s="3" t="str">
        <f>IF(H391="","",IF(H391&gt;=الإعدادات!B7,"ناجح","يحتاج إعادة تدريب"))</f>
        <v/>
      </c>
      <c r="J391" s="3"/>
      <c r="K391" s="3"/>
      <c r="L391" s="3"/>
    </row>
    <row r="392" spans="1:12" x14ac:dyDescent="0.2">
      <c r="A392" s="3" t="s">
        <v>538</v>
      </c>
      <c r="B392" s="3"/>
      <c r="C392" s="3" t="str">
        <f>IFERROR(VLOOKUP(B392,الخطة!A:O,4,FALSE),"")</f>
        <v/>
      </c>
      <c r="D392" s="3"/>
      <c r="E392" s="3" t="str">
        <f>IFERROR(VLOOKUP(D392,الموظفون!A:L,2,FALSE),"")</f>
        <v/>
      </c>
      <c r="F392" s="8"/>
      <c r="G392" s="8"/>
      <c r="H392" s="8" t="str">
        <f>IF(G392="","",G392)</f>
        <v/>
      </c>
      <c r="I392" s="3" t="str">
        <f>IF(H392="","",IF(H392&gt;=الإعدادات!B7,"ناجح","يحتاج إعادة تدريب"))</f>
        <v/>
      </c>
      <c r="J392" s="3"/>
      <c r="K392" s="3"/>
      <c r="L392" s="3"/>
    </row>
    <row r="393" spans="1:12" x14ac:dyDescent="0.2">
      <c r="A393" s="3" t="s">
        <v>539</v>
      </c>
      <c r="B393" s="3"/>
      <c r="C393" s="3" t="str">
        <f>IFERROR(VLOOKUP(B393,الخطة!A:O,4,FALSE),"")</f>
        <v/>
      </c>
      <c r="D393" s="3"/>
      <c r="E393" s="3" t="str">
        <f>IFERROR(VLOOKUP(D393,الموظفون!A:L,2,FALSE),"")</f>
        <v/>
      </c>
      <c r="F393" s="8"/>
      <c r="G393" s="8"/>
      <c r="H393" s="8" t="str">
        <f>IF(G393="","",G393)</f>
        <v/>
      </c>
      <c r="I393" s="3" t="str">
        <f>IF(H393="","",IF(H393&gt;=الإعدادات!B7,"ناجح","يحتاج إعادة تدريب"))</f>
        <v/>
      </c>
      <c r="J393" s="3"/>
      <c r="K393" s="3"/>
      <c r="L393" s="3"/>
    </row>
    <row r="394" spans="1:12" x14ac:dyDescent="0.2">
      <c r="A394" s="3" t="s">
        <v>540</v>
      </c>
      <c r="B394" s="3"/>
      <c r="C394" s="3" t="str">
        <f>IFERROR(VLOOKUP(B394,الخطة!A:O,4,FALSE),"")</f>
        <v/>
      </c>
      <c r="D394" s="3"/>
      <c r="E394" s="3" t="str">
        <f>IFERROR(VLOOKUP(D394,الموظفون!A:L,2,FALSE),"")</f>
        <v/>
      </c>
      <c r="F394" s="8"/>
      <c r="G394" s="8"/>
      <c r="H394" s="8" t="str">
        <f>IF(G394="","",G394)</f>
        <v/>
      </c>
      <c r="I394" s="3" t="str">
        <f>IF(H394="","",IF(H394&gt;=الإعدادات!B7,"ناجح","يحتاج إعادة تدريب"))</f>
        <v/>
      </c>
      <c r="J394" s="3"/>
      <c r="K394" s="3"/>
      <c r="L394" s="3"/>
    </row>
    <row r="395" spans="1:12" x14ac:dyDescent="0.2">
      <c r="A395" s="3" t="s">
        <v>541</v>
      </c>
      <c r="B395" s="3"/>
      <c r="C395" s="3" t="str">
        <f>IFERROR(VLOOKUP(B395,الخطة!A:O,4,FALSE),"")</f>
        <v/>
      </c>
      <c r="D395" s="3"/>
      <c r="E395" s="3" t="str">
        <f>IFERROR(VLOOKUP(D395,الموظفون!A:L,2,FALSE),"")</f>
        <v/>
      </c>
      <c r="F395" s="8"/>
      <c r="G395" s="8"/>
      <c r="H395" s="8" t="str">
        <f>IF(G395="","",G395)</f>
        <v/>
      </c>
      <c r="I395" s="3" t="str">
        <f>IF(H395="","",IF(H395&gt;=الإعدادات!B7,"ناجح","يحتاج إعادة تدريب"))</f>
        <v/>
      </c>
      <c r="J395" s="3"/>
      <c r="K395" s="3"/>
      <c r="L395" s="3"/>
    </row>
    <row r="396" spans="1:12" x14ac:dyDescent="0.2">
      <c r="A396" s="3" t="s">
        <v>542</v>
      </c>
      <c r="B396" s="3"/>
      <c r="C396" s="3" t="str">
        <f>IFERROR(VLOOKUP(B396,الخطة!A:O,4,FALSE),"")</f>
        <v/>
      </c>
      <c r="D396" s="3"/>
      <c r="E396" s="3" t="str">
        <f>IFERROR(VLOOKUP(D396,الموظفون!A:L,2,FALSE),"")</f>
        <v/>
      </c>
      <c r="F396" s="8"/>
      <c r="G396" s="8"/>
      <c r="H396" s="8" t="str">
        <f>IF(G396="","",G396)</f>
        <v/>
      </c>
      <c r="I396" s="3" t="str">
        <f>IF(H396="","",IF(H396&gt;=الإعدادات!B7,"ناجح","يحتاج إعادة تدريب"))</f>
        <v/>
      </c>
      <c r="J396" s="3"/>
      <c r="K396" s="3"/>
      <c r="L396" s="3"/>
    </row>
    <row r="397" spans="1:12" x14ac:dyDescent="0.2">
      <c r="A397" s="3" t="s">
        <v>543</v>
      </c>
      <c r="B397" s="3"/>
      <c r="C397" s="3" t="str">
        <f>IFERROR(VLOOKUP(B397,الخطة!A:O,4,FALSE),"")</f>
        <v/>
      </c>
      <c r="D397" s="3"/>
      <c r="E397" s="3" t="str">
        <f>IFERROR(VLOOKUP(D397,الموظفون!A:L,2,FALSE),"")</f>
        <v/>
      </c>
      <c r="F397" s="8"/>
      <c r="G397" s="8"/>
      <c r="H397" s="8" t="str">
        <f>IF(G397="","",G397)</f>
        <v/>
      </c>
      <c r="I397" s="3" t="str">
        <f>IF(H397="","",IF(H397&gt;=الإعدادات!B7,"ناجح","يحتاج إعادة تدريب"))</f>
        <v/>
      </c>
      <c r="J397" s="3"/>
      <c r="K397" s="3"/>
      <c r="L397" s="3"/>
    </row>
    <row r="398" spans="1:12" x14ac:dyDescent="0.2">
      <c r="A398" s="3" t="s">
        <v>544</v>
      </c>
      <c r="B398" s="3"/>
      <c r="C398" s="3" t="str">
        <f>IFERROR(VLOOKUP(B398,الخطة!A:O,4,FALSE),"")</f>
        <v/>
      </c>
      <c r="D398" s="3"/>
      <c r="E398" s="3" t="str">
        <f>IFERROR(VLOOKUP(D398,الموظفون!A:L,2,FALSE),"")</f>
        <v/>
      </c>
      <c r="F398" s="8"/>
      <c r="G398" s="8"/>
      <c r="H398" s="8" t="str">
        <f>IF(G398="","",G398)</f>
        <v/>
      </c>
      <c r="I398" s="3" t="str">
        <f>IF(H398="","",IF(H398&gt;=الإعدادات!B7,"ناجح","يحتاج إعادة تدريب"))</f>
        <v/>
      </c>
      <c r="J398" s="3"/>
      <c r="K398" s="3"/>
      <c r="L398" s="3"/>
    </row>
    <row r="399" spans="1:12" x14ac:dyDescent="0.2">
      <c r="A399" s="3" t="s">
        <v>545</v>
      </c>
      <c r="B399" s="3"/>
      <c r="C399" s="3" t="str">
        <f>IFERROR(VLOOKUP(B399,الخطة!A:O,4,FALSE),"")</f>
        <v/>
      </c>
      <c r="D399" s="3"/>
      <c r="E399" s="3" t="str">
        <f>IFERROR(VLOOKUP(D399,الموظفون!A:L,2,FALSE),"")</f>
        <v/>
      </c>
      <c r="F399" s="8"/>
      <c r="G399" s="8"/>
      <c r="H399" s="8" t="str">
        <f>IF(G399="","",G399)</f>
        <v/>
      </c>
      <c r="I399" s="3" t="str">
        <f>IF(H399="","",IF(H399&gt;=الإعدادات!B7,"ناجح","يحتاج إعادة تدريب"))</f>
        <v/>
      </c>
      <c r="J399" s="3"/>
      <c r="K399" s="3"/>
      <c r="L399" s="3"/>
    </row>
    <row r="400" spans="1:12" x14ac:dyDescent="0.2">
      <c r="A400" s="3" t="s">
        <v>546</v>
      </c>
      <c r="B400" s="3"/>
      <c r="C400" s="3" t="str">
        <f>IFERROR(VLOOKUP(B400,الخطة!A:O,4,FALSE),"")</f>
        <v/>
      </c>
      <c r="D400" s="3"/>
      <c r="E400" s="3" t="str">
        <f>IFERROR(VLOOKUP(D400,الموظفون!A:L,2,FALSE),"")</f>
        <v/>
      </c>
      <c r="F400" s="8"/>
      <c r="G400" s="8"/>
      <c r="H400" s="8" t="str">
        <f>IF(G400="","",G400)</f>
        <v/>
      </c>
      <c r="I400" s="3" t="str">
        <f>IF(H400="","",IF(H400&gt;=الإعدادات!B7,"ناجح","يحتاج إعادة تدريب"))</f>
        <v/>
      </c>
      <c r="J400" s="3"/>
      <c r="K400" s="3"/>
      <c r="L400" s="3"/>
    </row>
    <row r="401" spans="1:12" x14ac:dyDescent="0.2">
      <c r="A401" s="3" t="s">
        <v>547</v>
      </c>
      <c r="B401" s="3"/>
      <c r="C401" s="3" t="str">
        <f>IFERROR(VLOOKUP(B401,الخطة!A:O,4,FALSE),"")</f>
        <v/>
      </c>
      <c r="D401" s="3"/>
      <c r="E401" s="3" t="str">
        <f>IFERROR(VLOOKUP(D401,الموظفون!A:L,2,FALSE),"")</f>
        <v/>
      </c>
      <c r="F401" s="8"/>
      <c r="G401" s="8"/>
      <c r="H401" s="8" t="str">
        <f>IF(G401="","",G401)</f>
        <v/>
      </c>
      <c r="I401" s="3" t="str">
        <f>IF(H401="","",IF(H401&gt;=الإعدادات!B7,"ناجح","يحتاج إعادة تدريب"))</f>
        <v/>
      </c>
      <c r="J401" s="3"/>
      <c r="K401" s="3"/>
      <c r="L401" s="3"/>
    </row>
    <row r="402" spans="1:12" x14ac:dyDescent="0.2">
      <c r="A402" s="3" t="s">
        <v>548</v>
      </c>
      <c r="B402" s="3"/>
      <c r="C402" s="3" t="str">
        <f>IFERROR(VLOOKUP(B402,الخطة!A:O,4,FALSE),"")</f>
        <v/>
      </c>
      <c r="D402" s="3"/>
      <c r="E402" s="3" t="str">
        <f>IFERROR(VLOOKUP(D402,الموظفون!A:L,2,FALSE),"")</f>
        <v/>
      </c>
      <c r="F402" s="8"/>
      <c r="G402" s="8"/>
      <c r="H402" s="8" t="str">
        <f>IF(G402="","",G402)</f>
        <v/>
      </c>
      <c r="I402" s="3" t="str">
        <f>IF(H402="","",IF(H402&gt;=الإعدادات!B7,"ناجح","يحتاج إعادة تدريب"))</f>
        <v/>
      </c>
      <c r="J402" s="3"/>
      <c r="K402" s="3"/>
      <c r="L402" s="3"/>
    </row>
    <row r="403" spans="1:12" x14ac:dyDescent="0.2">
      <c r="A403" s="3" t="s">
        <v>549</v>
      </c>
      <c r="B403" s="3"/>
      <c r="C403" s="3" t="str">
        <f>IFERROR(VLOOKUP(B403,الخطة!A:O,4,FALSE),"")</f>
        <v/>
      </c>
      <c r="D403" s="3"/>
      <c r="E403" s="3" t="str">
        <f>IFERROR(VLOOKUP(D403,الموظفون!A:L,2,FALSE),"")</f>
        <v/>
      </c>
      <c r="F403" s="8"/>
      <c r="G403" s="8"/>
      <c r="H403" s="8" t="str">
        <f>IF(G403="","",G403)</f>
        <v/>
      </c>
      <c r="I403" s="3" t="str">
        <f>IF(H403="","",IF(H403&gt;=الإعدادات!B7,"ناجح","يحتاج إعادة تدريب"))</f>
        <v/>
      </c>
      <c r="J403" s="3"/>
      <c r="K403" s="3"/>
      <c r="L403" s="3"/>
    </row>
    <row r="404" spans="1:12" x14ac:dyDescent="0.2">
      <c r="A404" s="3" t="s">
        <v>550</v>
      </c>
      <c r="B404" s="3"/>
      <c r="C404" s="3" t="str">
        <f>IFERROR(VLOOKUP(B404,الخطة!A:O,4,FALSE),"")</f>
        <v/>
      </c>
      <c r="D404" s="3"/>
      <c r="E404" s="3" t="str">
        <f>IFERROR(VLOOKUP(D404,الموظفون!A:L,2,FALSE),"")</f>
        <v/>
      </c>
      <c r="F404" s="8"/>
      <c r="G404" s="8"/>
      <c r="H404" s="8" t="str">
        <f>IF(G404="","",G404)</f>
        <v/>
      </c>
      <c r="I404" s="3" t="str">
        <f>IF(H404="","",IF(H404&gt;=الإعدادات!B7,"ناجح","يحتاج إعادة تدريب"))</f>
        <v/>
      </c>
      <c r="J404" s="3"/>
      <c r="K404" s="3"/>
      <c r="L404" s="3"/>
    </row>
    <row r="405" spans="1:12" x14ac:dyDescent="0.2">
      <c r="A405" s="3" t="s">
        <v>551</v>
      </c>
      <c r="B405" s="3"/>
      <c r="C405" s="3" t="str">
        <f>IFERROR(VLOOKUP(B405,الخطة!A:O,4,FALSE),"")</f>
        <v/>
      </c>
      <c r="D405" s="3"/>
      <c r="E405" s="3" t="str">
        <f>IFERROR(VLOOKUP(D405,الموظفون!A:L,2,FALSE),"")</f>
        <v/>
      </c>
      <c r="F405" s="8"/>
      <c r="G405" s="8"/>
      <c r="H405" s="8" t="str">
        <f>IF(G405="","",G405)</f>
        <v/>
      </c>
      <c r="I405" s="3" t="str">
        <f>IF(H405="","",IF(H405&gt;=الإعدادات!B7,"ناجح","يحتاج إعادة تدريب"))</f>
        <v/>
      </c>
      <c r="J405" s="3"/>
      <c r="K405" s="3"/>
      <c r="L405" s="3"/>
    </row>
    <row r="406" spans="1:12" x14ac:dyDescent="0.2">
      <c r="A406" s="3" t="s">
        <v>552</v>
      </c>
      <c r="B406" s="3"/>
      <c r="C406" s="3" t="str">
        <f>IFERROR(VLOOKUP(B406,الخطة!A:O,4,FALSE),"")</f>
        <v/>
      </c>
      <c r="D406" s="3"/>
      <c r="E406" s="3" t="str">
        <f>IFERROR(VLOOKUP(D406,الموظفون!A:L,2,FALSE),"")</f>
        <v/>
      </c>
      <c r="F406" s="8"/>
      <c r="G406" s="8"/>
      <c r="H406" s="8" t="str">
        <f>IF(G406="","",G406)</f>
        <v/>
      </c>
      <c r="I406" s="3" t="str">
        <f>IF(H406="","",IF(H406&gt;=الإعدادات!B7,"ناجح","يحتاج إعادة تدريب"))</f>
        <v/>
      </c>
      <c r="J406" s="3"/>
      <c r="K406" s="3"/>
      <c r="L406" s="3"/>
    </row>
    <row r="407" spans="1:12" x14ac:dyDescent="0.2">
      <c r="A407" s="3" t="s">
        <v>553</v>
      </c>
      <c r="B407" s="3"/>
      <c r="C407" s="3" t="str">
        <f>IFERROR(VLOOKUP(B407,الخطة!A:O,4,FALSE),"")</f>
        <v/>
      </c>
      <c r="D407" s="3"/>
      <c r="E407" s="3" t="str">
        <f>IFERROR(VLOOKUP(D407,الموظفون!A:L,2,FALSE),"")</f>
        <v/>
      </c>
      <c r="F407" s="8"/>
      <c r="G407" s="8"/>
      <c r="H407" s="8" t="str">
        <f>IF(G407="","",G407)</f>
        <v/>
      </c>
      <c r="I407" s="3" t="str">
        <f>IF(H407="","",IF(H407&gt;=الإعدادات!B7,"ناجح","يحتاج إعادة تدريب"))</f>
        <v/>
      </c>
      <c r="J407" s="3"/>
      <c r="K407" s="3"/>
      <c r="L407" s="3"/>
    </row>
    <row r="408" spans="1:12" x14ac:dyDescent="0.2">
      <c r="A408" s="3" t="s">
        <v>554</v>
      </c>
      <c r="B408" s="3"/>
      <c r="C408" s="3" t="str">
        <f>IFERROR(VLOOKUP(B408,الخطة!A:O,4,FALSE),"")</f>
        <v/>
      </c>
      <c r="D408" s="3"/>
      <c r="E408" s="3" t="str">
        <f>IFERROR(VLOOKUP(D408,الموظفون!A:L,2,FALSE),"")</f>
        <v/>
      </c>
      <c r="F408" s="8"/>
      <c r="G408" s="8"/>
      <c r="H408" s="8" t="str">
        <f>IF(G408="","",G408)</f>
        <v/>
      </c>
      <c r="I408" s="3" t="str">
        <f>IF(H408="","",IF(H408&gt;=الإعدادات!B7,"ناجح","يحتاج إعادة تدريب"))</f>
        <v/>
      </c>
      <c r="J408" s="3"/>
      <c r="K408" s="3"/>
      <c r="L408" s="3"/>
    </row>
    <row r="409" spans="1:12" x14ac:dyDescent="0.2">
      <c r="A409" s="3" t="s">
        <v>555</v>
      </c>
      <c r="B409" s="3"/>
      <c r="C409" s="3" t="str">
        <f>IFERROR(VLOOKUP(B409,الخطة!A:O,4,FALSE),"")</f>
        <v/>
      </c>
      <c r="D409" s="3"/>
      <c r="E409" s="3" t="str">
        <f>IFERROR(VLOOKUP(D409,الموظفون!A:L,2,FALSE),"")</f>
        <v/>
      </c>
      <c r="F409" s="8"/>
      <c r="G409" s="8"/>
      <c r="H409" s="8" t="str">
        <f>IF(G409="","",G409)</f>
        <v/>
      </c>
      <c r="I409" s="3" t="str">
        <f>IF(H409="","",IF(H409&gt;=الإعدادات!B7,"ناجح","يحتاج إعادة تدريب"))</f>
        <v/>
      </c>
      <c r="J409" s="3"/>
      <c r="K409" s="3"/>
      <c r="L409" s="3"/>
    </row>
    <row r="410" spans="1:12" x14ac:dyDescent="0.2">
      <c r="A410" s="3" t="s">
        <v>556</v>
      </c>
      <c r="B410" s="3"/>
      <c r="C410" s="3" t="str">
        <f>IFERROR(VLOOKUP(B410,الخطة!A:O,4,FALSE),"")</f>
        <v/>
      </c>
      <c r="D410" s="3"/>
      <c r="E410" s="3" t="str">
        <f>IFERROR(VLOOKUP(D410,الموظفون!A:L,2,FALSE),"")</f>
        <v/>
      </c>
      <c r="F410" s="8"/>
      <c r="G410" s="8"/>
      <c r="H410" s="8" t="str">
        <f>IF(G410="","",G410)</f>
        <v/>
      </c>
      <c r="I410" s="3" t="str">
        <f>IF(H410="","",IF(H410&gt;=الإعدادات!B7,"ناجح","يحتاج إعادة تدريب"))</f>
        <v/>
      </c>
      <c r="J410" s="3"/>
      <c r="K410" s="3"/>
      <c r="L410" s="3"/>
    </row>
    <row r="411" spans="1:12" x14ac:dyDescent="0.2">
      <c r="A411" s="3" t="s">
        <v>557</v>
      </c>
      <c r="B411" s="3"/>
      <c r="C411" s="3" t="str">
        <f>IFERROR(VLOOKUP(B411,الخطة!A:O,4,FALSE),"")</f>
        <v/>
      </c>
      <c r="D411" s="3"/>
      <c r="E411" s="3" t="str">
        <f>IFERROR(VLOOKUP(D411,الموظفون!A:L,2,FALSE),"")</f>
        <v/>
      </c>
      <c r="F411" s="8"/>
      <c r="G411" s="8"/>
      <c r="H411" s="8" t="str">
        <f>IF(G411="","",G411)</f>
        <v/>
      </c>
      <c r="I411" s="3" t="str">
        <f>IF(H411="","",IF(H411&gt;=الإعدادات!B7,"ناجح","يحتاج إعادة تدريب"))</f>
        <v/>
      </c>
      <c r="J411" s="3"/>
      <c r="K411" s="3"/>
      <c r="L411" s="3"/>
    </row>
    <row r="412" spans="1:12" x14ac:dyDescent="0.2">
      <c r="A412" s="3" t="s">
        <v>558</v>
      </c>
      <c r="B412" s="3"/>
      <c r="C412" s="3" t="str">
        <f>IFERROR(VLOOKUP(B412,الخطة!A:O,4,FALSE),"")</f>
        <v/>
      </c>
      <c r="D412" s="3"/>
      <c r="E412" s="3" t="str">
        <f>IFERROR(VLOOKUP(D412,الموظفون!A:L,2,FALSE),"")</f>
        <v/>
      </c>
      <c r="F412" s="8"/>
      <c r="G412" s="8"/>
      <c r="H412" s="8" t="str">
        <f>IF(G412="","",G412)</f>
        <v/>
      </c>
      <c r="I412" s="3" t="str">
        <f>IF(H412="","",IF(H412&gt;=الإعدادات!B7,"ناجح","يحتاج إعادة تدريب"))</f>
        <v/>
      </c>
      <c r="J412" s="3"/>
      <c r="K412" s="3"/>
      <c r="L412" s="3"/>
    </row>
    <row r="413" spans="1:12" x14ac:dyDescent="0.2">
      <c r="A413" s="3" t="s">
        <v>559</v>
      </c>
      <c r="B413" s="3"/>
      <c r="C413" s="3" t="str">
        <f>IFERROR(VLOOKUP(B413,الخطة!A:O,4,FALSE),"")</f>
        <v/>
      </c>
      <c r="D413" s="3"/>
      <c r="E413" s="3" t="str">
        <f>IFERROR(VLOOKUP(D413,الموظفون!A:L,2,FALSE),"")</f>
        <v/>
      </c>
      <c r="F413" s="8"/>
      <c r="G413" s="8"/>
      <c r="H413" s="8" t="str">
        <f>IF(G413="","",G413)</f>
        <v/>
      </c>
      <c r="I413" s="3" t="str">
        <f>IF(H413="","",IF(H413&gt;=الإعدادات!B7,"ناجح","يحتاج إعادة تدريب"))</f>
        <v/>
      </c>
      <c r="J413" s="3"/>
      <c r="K413" s="3"/>
      <c r="L413" s="3"/>
    </row>
    <row r="414" spans="1:12" x14ac:dyDescent="0.2">
      <c r="A414" s="3" t="s">
        <v>560</v>
      </c>
      <c r="B414" s="3"/>
      <c r="C414" s="3" t="str">
        <f>IFERROR(VLOOKUP(B414,الخطة!A:O,4,FALSE),"")</f>
        <v/>
      </c>
      <c r="D414" s="3"/>
      <c r="E414" s="3" t="str">
        <f>IFERROR(VLOOKUP(D414,الموظفون!A:L,2,FALSE),"")</f>
        <v/>
      </c>
      <c r="F414" s="8"/>
      <c r="G414" s="8"/>
      <c r="H414" s="8" t="str">
        <f>IF(G414="","",G414)</f>
        <v/>
      </c>
      <c r="I414" s="3" t="str">
        <f>IF(H414="","",IF(H414&gt;=الإعدادات!B7,"ناجح","يحتاج إعادة تدريب"))</f>
        <v/>
      </c>
      <c r="J414" s="3"/>
      <c r="K414" s="3"/>
      <c r="L414" s="3"/>
    </row>
    <row r="415" spans="1:12" x14ac:dyDescent="0.2">
      <c r="A415" s="3" t="s">
        <v>561</v>
      </c>
      <c r="B415" s="3"/>
      <c r="C415" s="3" t="str">
        <f>IFERROR(VLOOKUP(B415,الخطة!A:O,4,FALSE),"")</f>
        <v/>
      </c>
      <c r="D415" s="3"/>
      <c r="E415" s="3" t="str">
        <f>IFERROR(VLOOKUP(D415,الموظفون!A:L,2,FALSE),"")</f>
        <v/>
      </c>
      <c r="F415" s="8"/>
      <c r="G415" s="8"/>
      <c r="H415" s="8" t="str">
        <f>IF(G415="","",G415)</f>
        <v/>
      </c>
      <c r="I415" s="3" t="str">
        <f>IF(H415="","",IF(H415&gt;=الإعدادات!B7,"ناجح","يحتاج إعادة تدريب"))</f>
        <v/>
      </c>
      <c r="J415" s="3"/>
      <c r="K415" s="3"/>
      <c r="L415" s="3"/>
    </row>
    <row r="416" spans="1:12" x14ac:dyDescent="0.2">
      <c r="A416" s="3" t="s">
        <v>562</v>
      </c>
      <c r="B416" s="3"/>
      <c r="C416" s="3" t="str">
        <f>IFERROR(VLOOKUP(B416,الخطة!A:O,4,FALSE),"")</f>
        <v/>
      </c>
      <c r="D416" s="3"/>
      <c r="E416" s="3" t="str">
        <f>IFERROR(VLOOKUP(D416,الموظفون!A:L,2,FALSE),"")</f>
        <v/>
      </c>
      <c r="F416" s="8"/>
      <c r="G416" s="8"/>
      <c r="H416" s="8" t="str">
        <f>IF(G416="","",G416)</f>
        <v/>
      </c>
      <c r="I416" s="3" t="str">
        <f>IF(H416="","",IF(H416&gt;=الإعدادات!B7,"ناجح","يحتاج إعادة تدريب"))</f>
        <v/>
      </c>
      <c r="J416" s="3"/>
      <c r="K416" s="3"/>
      <c r="L416" s="3"/>
    </row>
    <row r="417" spans="1:12" x14ac:dyDescent="0.2">
      <c r="A417" s="3" t="s">
        <v>563</v>
      </c>
      <c r="B417" s="3"/>
      <c r="C417" s="3" t="str">
        <f>IFERROR(VLOOKUP(B417,الخطة!A:O,4,FALSE),"")</f>
        <v/>
      </c>
      <c r="D417" s="3"/>
      <c r="E417" s="3" t="str">
        <f>IFERROR(VLOOKUP(D417,الموظفون!A:L,2,FALSE),"")</f>
        <v/>
      </c>
      <c r="F417" s="8"/>
      <c r="G417" s="8"/>
      <c r="H417" s="8" t="str">
        <f>IF(G417="","",G417)</f>
        <v/>
      </c>
      <c r="I417" s="3" t="str">
        <f>IF(H417="","",IF(H417&gt;=الإعدادات!B7,"ناجح","يحتاج إعادة تدريب"))</f>
        <v/>
      </c>
      <c r="J417" s="3"/>
      <c r="K417" s="3"/>
      <c r="L417" s="3"/>
    </row>
    <row r="418" spans="1:12" x14ac:dyDescent="0.2">
      <c r="A418" s="3" t="s">
        <v>564</v>
      </c>
      <c r="B418" s="3"/>
      <c r="C418" s="3" t="str">
        <f>IFERROR(VLOOKUP(B418,الخطة!A:O,4,FALSE),"")</f>
        <v/>
      </c>
      <c r="D418" s="3"/>
      <c r="E418" s="3" t="str">
        <f>IFERROR(VLOOKUP(D418,الموظفون!A:L,2,FALSE),"")</f>
        <v/>
      </c>
      <c r="F418" s="8"/>
      <c r="G418" s="8"/>
      <c r="H418" s="8" t="str">
        <f>IF(G418="","",G418)</f>
        <v/>
      </c>
      <c r="I418" s="3" t="str">
        <f>IF(H418="","",IF(H418&gt;=الإعدادات!B7,"ناجح","يحتاج إعادة تدريب"))</f>
        <v/>
      </c>
      <c r="J418" s="3"/>
      <c r="K418" s="3"/>
      <c r="L418" s="3"/>
    </row>
    <row r="419" spans="1:12" x14ac:dyDescent="0.2">
      <c r="A419" s="3" t="s">
        <v>565</v>
      </c>
      <c r="B419" s="3"/>
      <c r="C419" s="3" t="str">
        <f>IFERROR(VLOOKUP(B419,الخطة!A:O,4,FALSE),"")</f>
        <v/>
      </c>
      <c r="D419" s="3"/>
      <c r="E419" s="3" t="str">
        <f>IFERROR(VLOOKUP(D419,الموظفون!A:L,2,FALSE),"")</f>
        <v/>
      </c>
      <c r="F419" s="8"/>
      <c r="G419" s="8"/>
      <c r="H419" s="8" t="str">
        <f>IF(G419="","",G419)</f>
        <v/>
      </c>
      <c r="I419" s="3" t="str">
        <f>IF(H419="","",IF(H419&gt;=الإعدادات!B7,"ناجح","يحتاج إعادة تدريب"))</f>
        <v/>
      </c>
      <c r="J419" s="3"/>
      <c r="K419" s="3"/>
      <c r="L419" s="3"/>
    </row>
    <row r="420" spans="1:12" x14ac:dyDescent="0.2">
      <c r="A420" s="3" t="s">
        <v>566</v>
      </c>
      <c r="B420" s="3"/>
      <c r="C420" s="3" t="str">
        <f>IFERROR(VLOOKUP(B420,الخطة!A:O,4,FALSE),"")</f>
        <v/>
      </c>
      <c r="D420" s="3"/>
      <c r="E420" s="3" t="str">
        <f>IFERROR(VLOOKUP(D420,الموظفون!A:L,2,FALSE),"")</f>
        <v/>
      </c>
      <c r="F420" s="8"/>
      <c r="G420" s="8"/>
      <c r="H420" s="8" t="str">
        <f>IF(G420="","",G420)</f>
        <v/>
      </c>
      <c r="I420" s="3" t="str">
        <f>IF(H420="","",IF(H420&gt;=الإعدادات!B7,"ناجح","يحتاج إعادة تدريب"))</f>
        <v/>
      </c>
      <c r="J420" s="3"/>
      <c r="K420" s="3"/>
      <c r="L420" s="3"/>
    </row>
    <row r="421" spans="1:12" x14ac:dyDescent="0.2">
      <c r="A421" s="3" t="s">
        <v>567</v>
      </c>
      <c r="B421" s="3"/>
      <c r="C421" s="3" t="str">
        <f>IFERROR(VLOOKUP(B421,الخطة!A:O,4,FALSE),"")</f>
        <v/>
      </c>
      <c r="D421" s="3"/>
      <c r="E421" s="3" t="str">
        <f>IFERROR(VLOOKUP(D421,الموظفون!A:L,2,FALSE),"")</f>
        <v/>
      </c>
      <c r="F421" s="8"/>
      <c r="G421" s="8"/>
      <c r="H421" s="8" t="str">
        <f>IF(G421="","",G421)</f>
        <v/>
      </c>
      <c r="I421" s="3" t="str">
        <f>IF(H421="","",IF(H421&gt;=الإعدادات!B7,"ناجح","يحتاج إعادة تدريب"))</f>
        <v/>
      </c>
      <c r="J421" s="3"/>
      <c r="K421" s="3"/>
      <c r="L421" s="3"/>
    </row>
    <row r="422" spans="1:12" x14ac:dyDescent="0.2">
      <c r="A422" s="3" t="s">
        <v>568</v>
      </c>
      <c r="B422" s="3"/>
      <c r="C422" s="3" t="str">
        <f>IFERROR(VLOOKUP(B422,الخطة!A:O,4,FALSE),"")</f>
        <v/>
      </c>
      <c r="D422" s="3"/>
      <c r="E422" s="3" t="str">
        <f>IFERROR(VLOOKUP(D422,الموظفون!A:L,2,FALSE),"")</f>
        <v/>
      </c>
      <c r="F422" s="8"/>
      <c r="G422" s="8"/>
      <c r="H422" s="8" t="str">
        <f>IF(G422="","",G422)</f>
        <v/>
      </c>
      <c r="I422" s="3" t="str">
        <f>IF(H422="","",IF(H422&gt;=الإعدادات!B7,"ناجح","يحتاج إعادة تدريب"))</f>
        <v/>
      </c>
      <c r="J422" s="3"/>
      <c r="K422" s="3"/>
      <c r="L422" s="3"/>
    </row>
    <row r="423" spans="1:12" x14ac:dyDescent="0.2">
      <c r="A423" s="3" t="s">
        <v>569</v>
      </c>
      <c r="B423" s="3"/>
      <c r="C423" s="3" t="str">
        <f>IFERROR(VLOOKUP(B423,الخطة!A:O,4,FALSE),"")</f>
        <v/>
      </c>
      <c r="D423" s="3"/>
      <c r="E423" s="3" t="str">
        <f>IFERROR(VLOOKUP(D423,الموظفون!A:L,2,FALSE),"")</f>
        <v/>
      </c>
      <c r="F423" s="8"/>
      <c r="G423" s="8"/>
      <c r="H423" s="8" t="str">
        <f>IF(G423="","",G423)</f>
        <v/>
      </c>
      <c r="I423" s="3" t="str">
        <f>IF(H423="","",IF(H423&gt;=الإعدادات!B7,"ناجح","يحتاج إعادة تدريب"))</f>
        <v/>
      </c>
      <c r="J423" s="3"/>
      <c r="K423" s="3"/>
      <c r="L423" s="3"/>
    </row>
    <row r="424" spans="1:12" x14ac:dyDescent="0.2">
      <c r="A424" s="3" t="s">
        <v>570</v>
      </c>
      <c r="B424" s="3"/>
      <c r="C424" s="3" t="str">
        <f>IFERROR(VLOOKUP(B424,الخطة!A:O,4,FALSE),"")</f>
        <v/>
      </c>
      <c r="D424" s="3"/>
      <c r="E424" s="3" t="str">
        <f>IFERROR(VLOOKUP(D424,الموظفون!A:L,2,FALSE),"")</f>
        <v/>
      </c>
      <c r="F424" s="8"/>
      <c r="G424" s="8"/>
      <c r="H424" s="8" t="str">
        <f>IF(G424="","",G424)</f>
        <v/>
      </c>
      <c r="I424" s="3" t="str">
        <f>IF(H424="","",IF(H424&gt;=الإعدادات!B7,"ناجح","يحتاج إعادة تدريب"))</f>
        <v/>
      </c>
      <c r="J424" s="3"/>
      <c r="K424" s="3"/>
      <c r="L424" s="3"/>
    </row>
    <row r="425" spans="1:12" x14ac:dyDescent="0.2">
      <c r="A425" s="3" t="s">
        <v>571</v>
      </c>
      <c r="B425" s="3"/>
      <c r="C425" s="3" t="str">
        <f>IFERROR(VLOOKUP(B425,الخطة!A:O,4,FALSE),"")</f>
        <v/>
      </c>
      <c r="D425" s="3"/>
      <c r="E425" s="3" t="str">
        <f>IFERROR(VLOOKUP(D425,الموظفون!A:L,2,FALSE),"")</f>
        <v/>
      </c>
      <c r="F425" s="8"/>
      <c r="G425" s="8"/>
      <c r="H425" s="8" t="str">
        <f>IF(G425="","",G425)</f>
        <v/>
      </c>
      <c r="I425" s="3" t="str">
        <f>IF(H425="","",IF(H425&gt;=الإعدادات!B7,"ناجح","يحتاج إعادة تدريب"))</f>
        <v/>
      </c>
      <c r="J425" s="3"/>
      <c r="K425" s="3"/>
      <c r="L425" s="3"/>
    </row>
    <row r="426" spans="1:12" x14ac:dyDescent="0.2">
      <c r="A426" s="3" t="s">
        <v>572</v>
      </c>
      <c r="B426" s="3"/>
      <c r="C426" s="3" t="str">
        <f>IFERROR(VLOOKUP(B426,الخطة!A:O,4,FALSE),"")</f>
        <v/>
      </c>
      <c r="D426" s="3"/>
      <c r="E426" s="3" t="str">
        <f>IFERROR(VLOOKUP(D426,الموظفون!A:L,2,FALSE),"")</f>
        <v/>
      </c>
      <c r="F426" s="8"/>
      <c r="G426" s="8"/>
      <c r="H426" s="8" t="str">
        <f>IF(G426="","",G426)</f>
        <v/>
      </c>
      <c r="I426" s="3" t="str">
        <f>IF(H426="","",IF(H426&gt;=الإعدادات!B7,"ناجح","يحتاج إعادة تدريب"))</f>
        <v/>
      </c>
      <c r="J426" s="3"/>
      <c r="K426" s="3"/>
      <c r="L426" s="3"/>
    </row>
    <row r="427" spans="1:12" x14ac:dyDescent="0.2">
      <c r="A427" s="3" t="s">
        <v>573</v>
      </c>
      <c r="B427" s="3"/>
      <c r="C427" s="3" t="str">
        <f>IFERROR(VLOOKUP(B427,الخطة!A:O,4,FALSE),"")</f>
        <v/>
      </c>
      <c r="D427" s="3"/>
      <c r="E427" s="3" t="str">
        <f>IFERROR(VLOOKUP(D427,الموظفون!A:L,2,FALSE),"")</f>
        <v/>
      </c>
      <c r="F427" s="8"/>
      <c r="G427" s="8"/>
      <c r="H427" s="8" t="str">
        <f>IF(G427="","",G427)</f>
        <v/>
      </c>
      <c r="I427" s="3" t="str">
        <f>IF(H427="","",IF(H427&gt;=الإعدادات!B7,"ناجح","يحتاج إعادة تدريب"))</f>
        <v/>
      </c>
      <c r="J427" s="3"/>
      <c r="K427" s="3"/>
      <c r="L427" s="3"/>
    </row>
    <row r="428" spans="1:12" x14ac:dyDescent="0.2">
      <c r="A428" s="3" t="s">
        <v>574</v>
      </c>
      <c r="B428" s="3"/>
      <c r="C428" s="3" t="str">
        <f>IFERROR(VLOOKUP(B428,الخطة!A:O,4,FALSE),"")</f>
        <v/>
      </c>
      <c r="D428" s="3"/>
      <c r="E428" s="3" t="str">
        <f>IFERROR(VLOOKUP(D428,الموظفون!A:L,2,FALSE),"")</f>
        <v/>
      </c>
      <c r="F428" s="8"/>
      <c r="G428" s="8"/>
      <c r="H428" s="8" t="str">
        <f>IF(G428="","",G428)</f>
        <v/>
      </c>
      <c r="I428" s="3" t="str">
        <f>IF(H428="","",IF(H428&gt;=الإعدادات!B7,"ناجح","يحتاج إعادة تدريب"))</f>
        <v/>
      </c>
      <c r="J428" s="3"/>
      <c r="K428" s="3"/>
      <c r="L428" s="3"/>
    </row>
    <row r="429" spans="1:12" x14ac:dyDescent="0.2">
      <c r="A429" s="3" t="s">
        <v>575</v>
      </c>
      <c r="B429" s="3"/>
      <c r="C429" s="3" t="str">
        <f>IFERROR(VLOOKUP(B429,الخطة!A:O,4,FALSE),"")</f>
        <v/>
      </c>
      <c r="D429" s="3"/>
      <c r="E429" s="3" t="str">
        <f>IFERROR(VLOOKUP(D429,الموظفون!A:L,2,FALSE),"")</f>
        <v/>
      </c>
      <c r="F429" s="8"/>
      <c r="G429" s="8"/>
      <c r="H429" s="8" t="str">
        <f>IF(G429="","",G429)</f>
        <v/>
      </c>
      <c r="I429" s="3" t="str">
        <f>IF(H429="","",IF(H429&gt;=الإعدادات!B7,"ناجح","يحتاج إعادة تدريب"))</f>
        <v/>
      </c>
      <c r="J429" s="3"/>
      <c r="K429" s="3"/>
      <c r="L429" s="3"/>
    </row>
    <row r="430" spans="1:12" x14ac:dyDescent="0.2">
      <c r="A430" s="3" t="s">
        <v>576</v>
      </c>
      <c r="B430" s="3"/>
      <c r="C430" s="3" t="str">
        <f>IFERROR(VLOOKUP(B430,الخطة!A:O,4,FALSE),"")</f>
        <v/>
      </c>
      <c r="D430" s="3"/>
      <c r="E430" s="3" t="str">
        <f>IFERROR(VLOOKUP(D430,الموظفون!A:L,2,FALSE),"")</f>
        <v/>
      </c>
      <c r="F430" s="8"/>
      <c r="G430" s="8"/>
      <c r="H430" s="8" t="str">
        <f>IF(G430="","",G430)</f>
        <v/>
      </c>
      <c r="I430" s="3" t="str">
        <f>IF(H430="","",IF(H430&gt;=الإعدادات!B7,"ناجح","يحتاج إعادة تدريب"))</f>
        <v/>
      </c>
      <c r="J430" s="3"/>
      <c r="K430" s="3"/>
      <c r="L430" s="3"/>
    </row>
    <row r="431" spans="1:12" x14ac:dyDescent="0.2">
      <c r="A431" s="3" t="s">
        <v>577</v>
      </c>
      <c r="B431" s="3"/>
      <c r="C431" s="3" t="str">
        <f>IFERROR(VLOOKUP(B431,الخطة!A:O,4,FALSE),"")</f>
        <v/>
      </c>
      <c r="D431" s="3"/>
      <c r="E431" s="3" t="str">
        <f>IFERROR(VLOOKUP(D431,الموظفون!A:L,2,FALSE),"")</f>
        <v/>
      </c>
      <c r="F431" s="8"/>
      <c r="G431" s="8"/>
      <c r="H431" s="8" t="str">
        <f>IF(G431="","",G431)</f>
        <v/>
      </c>
      <c r="I431" s="3" t="str">
        <f>IF(H431="","",IF(H431&gt;=الإعدادات!B7,"ناجح","يحتاج إعادة تدريب"))</f>
        <v/>
      </c>
      <c r="J431" s="3"/>
      <c r="K431" s="3"/>
      <c r="L431" s="3"/>
    </row>
    <row r="432" spans="1:12" x14ac:dyDescent="0.2">
      <c r="A432" s="3" t="s">
        <v>578</v>
      </c>
      <c r="B432" s="3"/>
      <c r="C432" s="3" t="str">
        <f>IFERROR(VLOOKUP(B432,الخطة!A:O,4,FALSE),"")</f>
        <v/>
      </c>
      <c r="D432" s="3"/>
      <c r="E432" s="3" t="str">
        <f>IFERROR(VLOOKUP(D432,الموظفون!A:L,2,FALSE),"")</f>
        <v/>
      </c>
      <c r="F432" s="8"/>
      <c r="G432" s="8"/>
      <c r="H432" s="8" t="str">
        <f>IF(G432="","",G432)</f>
        <v/>
      </c>
      <c r="I432" s="3" t="str">
        <f>IF(H432="","",IF(H432&gt;=الإعدادات!B7,"ناجح","يحتاج إعادة تدريب"))</f>
        <v/>
      </c>
      <c r="J432" s="3"/>
      <c r="K432" s="3"/>
      <c r="L432" s="3"/>
    </row>
    <row r="433" spans="1:12" x14ac:dyDescent="0.2">
      <c r="A433" s="3" t="s">
        <v>579</v>
      </c>
      <c r="B433" s="3"/>
      <c r="C433" s="3" t="str">
        <f>IFERROR(VLOOKUP(B433,الخطة!A:O,4,FALSE),"")</f>
        <v/>
      </c>
      <c r="D433" s="3"/>
      <c r="E433" s="3" t="str">
        <f>IFERROR(VLOOKUP(D433,الموظفون!A:L,2,FALSE),"")</f>
        <v/>
      </c>
      <c r="F433" s="8"/>
      <c r="G433" s="8"/>
      <c r="H433" s="8" t="str">
        <f>IF(G433="","",G433)</f>
        <v/>
      </c>
      <c r="I433" s="3" t="str">
        <f>IF(H433="","",IF(H433&gt;=الإعدادات!B7,"ناجح","يحتاج إعادة تدريب"))</f>
        <v/>
      </c>
      <c r="J433" s="3"/>
      <c r="K433" s="3"/>
      <c r="L433" s="3"/>
    </row>
    <row r="434" spans="1:12" x14ac:dyDescent="0.2">
      <c r="A434" s="3" t="s">
        <v>580</v>
      </c>
      <c r="B434" s="3"/>
      <c r="C434" s="3" t="str">
        <f>IFERROR(VLOOKUP(B434,الخطة!A:O,4,FALSE),"")</f>
        <v/>
      </c>
      <c r="D434" s="3"/>
      <c r="E434" s="3" t="str">
        <f>IFERROR(VLOOKUP(D434,الموظفون!A:L,2,FALSE),"")</f>
        <v/>
      </c>
      <c r="F434" s="8"/>
      <c r="G434" s="8"/>
      <c r="H434" s="8" t="str">
        <f>IF(G434="","",G434)</f>
        <v/>
      </c>
      <c r="I434" s="3" t="str">
        <f>IF(H434="","",IF(H434&gt;=الإعدادات!B7,"ناجح","يحتاج إعادة تدريب"))</f>
        <v/>
      </c>
      <c r="J434" s="3"/>
      <c r="K434" s="3"/>
      <c r="L434" s="3"/>
    </row>
    <row r="435" spans="1:12" x14ac:dyDescent="0.2">
      <c r="A435" s="3" t="s">
        <v>581</v>
      </c>
      <c r="B435" s="3"/>
      <c r="C435" s="3" t="str">
        <f>IFERROR(VLOOKUP(B435,الخطة!A:O,4,FALSE),"")</f>
        <v/>
      </c>
      <c r="D435" s="3"/>
      <c r="E435" s="3" t="str">
        <f>IFERROR(VLOOKUP(D435,الموظفون!A:L,2,FALSE),"")</f>
        <v/>
      </c>
      <c r="F435" s="8"/>
      <c r="G435" s="8"/>
      <c r="H435" s="8" t="str">
        <f>IF(G435="","",G435)</f>
        <v/>
      </c>
      <c r="I435" s="3" t="str">
        <f>IF(H435="","",IF(H435&gt;=الإعدادات!B7,"ناجح","يحتاج إعادة تدريب"))</f>
        <v/>
      </c>
      <c r="J435" s="3"/>
      <c r="K435" s="3"/>
      <c r="L435" s="3"/>
    </row>
    <row r="436" spans="1:12" x14ac:dyDescent="0.2">
      <c r="A436" s="3" t="s">
        <v>582</v>
      </c>
      <c r="B436" s="3"/>
      <c r="C436" s="3" t="str">
        <f>IFERROR(VLOOKUP(B436,الخطة!A:O,4,FALSE),"")</f>
        <v/>
      </c>
      <c r="D436" s="3"/>
      <c r="E436" s="3" t="str">
        <f>IFERROR(VLOOKUP(D436,الموظفون!A:L,2,FALSE),"")</f>
        <v/>
      </c>
      <c r="F436" s="8"/>
      <c r="G436" s="8"/>
      <c r="H436" s="8" t="str">
        <f>IF(G436="","",G436)</f>
        <v/>
      </c>
      <c r="I436" s="3" t="str">
        <f>IF(H436="","",IF(H436&gt;=الإعدادات!B7,"ناجح","يحتاج إعادة تدريب"))</f>
        <v/>
      </c>
      <c r="J436" s="3"/>
      <c r="K436" s="3"/>
      <c r="L436" s="3"/>
    </row>
    <row r="437" spans="1:12" x14ac:dyDescent="0.2">
      <c r="A437" s="3" t="s">
        <v>583</v>
      </c>
      <c r="B437" s="3"/>
      <c r="C437" s="3" t="str">
        <f>IFERROR(VLOOKUP(B437,الخطة!A:O,4,FALSE),"")</f>
        <v/>
      </c>
      <c r="D437" s="3"/>
      <c r="E437" s="3" t="str">
        <f>IFERROR(VLOOKUP(D437,الموظفون!A:L,2,FALSE),"")</f>
        <v/>
      </c>
      <c r="F437" s="8"/>
      <c r="G437" s="8"/>
      <c r="H437" s="8" t="str">
        <f>IF(G437="","",G437)</f>
        <v/>
      </c>
      <c r="I437" s="3" t="str">
        <f>IF(H437="","",IF(H437&gt;=الإعدادات!B7,"ناجح","يحتاج إعادة تدريب"))</f>
        <v/>
      </c>
      <c r="J437" s="3"/>
      <c r="K437" s="3"/>
      <c r="L437" s="3"/>
    </row>
    <row r="438" spans="1:12" x14ac:dyDescent="0.2">
      <c r="A438" s="3" t="s">
        <v>584</v>
      </c>
      <c r="B438" s="3"/>
      <c r="C438" s="3" t="str">
        <f>IFERROR(VLOOKUP(B438,الخطة!A:O,4,FALSE),"")</f>
        <v/>
      </c>
      <c r="D438" s="3"/>
      <c r="E438" s="3" t="str">
        <f>IFERROR(VLOOKUP(D438,الموظفون!A:L,2,FALSE),"")</f>
        <v/>
      </c>
      <c r="F438" s="8"/>
      <c r="G438" s="8"/>
      <c r="H438" s="8" t="str">
        <f>IF(G438="","",G438)</f>
        <v/>
      </c>
      <c r="I438" s="3" t="str">
        <f>IF(H438="","",IF(H438&gt;=الإعدادات!B7,"ناجح","يحتاج إعادة تدريب"))</f>
        <v/>
      </c>
      <c r="J438" s="3"/>
      <c r="K438" s="3"/>
      <c r="L438" s="3"/>
    </row>
    <row r="439" spans="1:12" x14ac:dyDescent="0.2">
      <c r="A439" s="3" t="s">
        <v>585</v>
      </c>
      <c r="B439" s="3"/>
      <c r="C439" s="3" t="str">
        <f>IFERROR(VLOOKUP(B439,الخطة!A:O,4,FALSE),"")</f>
        <v/>
      </c>
      <c r="D439" s="3"/>
      <c r="E439" s="3" t="str">
        <f>IFERROR(VLOOKUP(D439,الموظفون!A:L,2,FALSE),"")</f>
        <v/>
      </c>
      <c r="F439" s="8"/>
      <c r="G439" s="8"/>
      <c r="H439" s="8" t="str">
        <f>IF(G439="","",G439)</f>
        <v/>
      </c>
      <c r="I439" s="3" t="str">
        <f>IF(H439="","",IF(H439&gt;=الإعدادات!B7,"ناجح","يحتاج إعادة تدريب"))</f>
        <v/>
      </c>
      <c r="J439" s="3"/>
      <c r="K439" s="3"/>
      <c r="L439" s="3"/>
    </row>
    <row r="440" spans="1:12" x14ac:dyDescent="0.2">
      <c r="A440" s="3" t="s">
        <v>586</v>
      </c>
      <c r="B440" s="3"/>
      <c r="C440" s="3" t="str">
        <f>IFERROR(VLOOKUP(B440,الخطة!A:O,4,FALSE),"")</f>
        <v/>
      </c>
      <c r="D440" s="3"/>
      <c r="E440" s="3" t="str">
        <f>IFERROR(VLOOKUP(D440,الموظفون!A:L,2,FALSE),"")</f>
        <v/>
      </c>
      <c r="F440" s="8"/>
      <c r="G440" s="8"/>
      <c r="H440" s="8" t="str">
        <f>IF(G440="","",G440)</f>
        <v/>
      </c>
      <c r="I440" s="3" t="str">
        <f>IF(H440="","",IF(H440&gt;=الإعدادات!B7,"ناجح","يحتاج إعادة تدريب"))</f>
        <v/>
      </c>
      <c r="J440" s="3"/>
      <c r="K440" s="3"/>
      <c r="L440" s="3"/>
    </row>
    <row r="441" spans="1:12" x14ac:dyDescent="0.2">
      <c r="A441" s="3" t="s">
        <v>587</v>
      </c>
      <c r="B441" s="3"/>
      <c r="C441" s="3" t="str">
        <f>IFERROR(VLOOKUP(B441,الخطة!A:O,4,FALSE),"")</f>
        <v/>
      </c>
      <c r="D441" s="3"/>
      <c r="E441" s="3" t="str">
        <f>IFERROR(VLOOKUP(D441,الموظفون!A:L,2,FALSE),"")</f>
        <v/>
      </c>
      <c r="F441" s="8"/>
      <c r="G441" s="8"/>
      <c r="H441" s="8" t="str">
        <f>IF(G441="","",G441)</f>
        <v/>
      </c>
      <c r="I441" s="3" t="str">
        <f>IF(H441="","",IF(H441&gt;=الإعدادات!B7,"ناجح","يحتاج إعادة تدريب"))</f>
        <v/>
      </c>
      <c r="J441" s="3"/>
      <c r="K441" s="3"/>
      <c r="L441" s="3"/>
    </row>
    <row r="442" spans="1:12" x14ac:dyDescent="0.2">
      <c r="A442" s="3" t="s">
        <v>588</v>
      </c>
      <c r="B442" s="3"/>
      <c r="C442" s="3" t="str">
        <f>IFERROR(VLOOKUP(B442,الخطة!A:O,4,FALSE),"")</f>
        <v/>
      </c>
      <c r="D442" s="3"/>
      <c r="E442" s="3" t="str">
        <f>IFERROR(VLOOKUP(D442,الموظفون!A:L,2,FALSE),"")</f>
        <v/>
      </c>
      <c r="F442" s="8"/>
      <c r="G442" s="8"/>
      <c r="H442" s="8" t="str">
        <f>IF(G442="","",G442)</f>
        <v/>
      </c>
      <c r="I442" s="3" t="str">
        <f>IF(H442="","",IF(H442&gt;=الإعدادات!B7,"ناجح","يحتاج إعادة تدريب"))</f>
        <v/>
      </c>
      <c r="J442" s="3"/>
      <c r="K442" s="3"/>
      <c r="L442" s="3"/>
    </row>
    <row r="443" spans="1:12" x14ac:dyDescent="0.2">
      <c r="A443" s="3" t="s">
        <v>589</v>
      </c>
      <c r="B443" s="3"/>
      <c r="C443" s="3" t="str">
        <f>IFERROR(VLOOKUP(B443,الخطة!A:O,4,FALSE),"")</f>
        <v/>
      </c>
      <c r="D443" s="3"/>
      <c r="E443" s="3" t="str">
        <f>IFERROR(VLOOKUP(D443,الموظفون!A:L,2,FALSE),"")</f>
        <v/>
      </c>
      <c r="F443" s="8"/>
      <c r="G443" s="8"/>
      <c r="H443" s="8" t="str">
        <f>IF(G443="","",G443)</f>
        <v/>
      </c>
      <c r="I443" s="3" t="str">
        <f>IF(H443="","",IF(H443&gt;=الإعدادات!B7,"ناجح","يحتاج إعادة تدريب"))</f>
        <v/>
      </c>
      <c r="J443" s="3"/>
      <c r="K443" s="3"/>
      <c r="L443" s="3"/>
    </row>
    <row r="444" spans="1:12" x14ac:dyDescent="0.2">
      <c r="A444" s="3" t="s">
        <v>590</v>
      </c>
      <c r="B444" s="3"/>
      <c r="C444" s="3" t="str">
        <f>IFERROR(VLOOKUP(B444,الخطة!A:O,4,FALSE),"")</f>
        <v/>
      </c>
      <c r="D444" s="3"/>
      <c r="E444" s="3" t="str">
        <f>IFERROR(VLOOKUP(D444,الموظفون!A:L,2,FALSE),"")</f>
        <v/>
      </c>
      <c r="F444" s="8"/>
      <c r="G444" s="8"/>
      <c r="H444" s="8" t="str">
        <f>IF(G444="","",G444)</f>
        <v/>
      </c>
      <c r="I444" s="3" t="str">
        <f>IF(H444="","",IF(H444&gt;=الإعدادات!B7,"ناجح","يحتاج إعادة تدريب"))</f>
        <v/>
      </c>
      <c r="J444" s="3"/>
      <c r="K444" s="3"/>
      <c r="L444" s="3"/>
    </row>
    <row r="445" spans="1:12" x14ac:dyDescent="0.2">
      <c r="A445" s="3" t="s">
        <v>591</v>
      </c>
      <c r="B445" s="3"/>
      <c r="C445" s="3" t="str">
        <f>IFERROR(VLOOKUP(B445,الخطة!A:O,4,FALSE),"")</f>
        <v/>
      </c>
      <c r="D445" s="3"/>
      <c r="E445" s="3" t="str">
        <f>IFERROR(VLOOKUP(D445,الموظفون!A:L,2,FALSE),"")</f>
        <v/>
      </c>
      <c r="F445" s="8"/>
      <c r="G445" s="8"/>
      <c r="H445" s="8" t="str">
        <f>IF(G445="","",G445)</f>
        <v/>
      </c>
      <c r="I445" s="3" t="str">
        <f>IF(H445="","",IF(H445&gt;=الإعدادات!B7,"ناجح","يحتاج إعادة تدريب"))</f>
        <v/>
      </c>
      <c r="J445" s="3"/>
      <c r="K445" s="3"/>
      <c r="L445" s="3"/>
    </row>
    <row r="446" spans="1:12" x14ac:dyDescent="0.2">
      <c r="A446" s="3" t="s">
        <v>592</v>
      </c>
      <c r="B446" s="3"/>
      <c r="C446" s="3" t="str">
        <f>IFERROR(VLOOKUP(B446,الخطة!A:O,4,FALSE),"")</f>
        <v/>
      </c>
      <c r="D446" s="3"/>
      <c r="E446" s="3" t="str">
        <f>IFERROR(VLOOKUP(D446,الموظفون!A:L,2,FALSE),"")</f>
        <v/>
      </c>
      <c r="F446" s="8"/>
      <c r="G446" s="8"/>
      <c r="H446" s="8" t="str">
        <f>IF(G446="","",G446)</f>
        <v/>
      </c>
      <c r="I446" s="3" t="str">
        <f>IF(H446="","",IF(H446&gt;=الإعدادات!B7,"ناجح","يحتاج إعادة تدريب"))</f>
        <v/>
      </c>
      <c r="J446" s="3"/>
      <c r="K446" s="3"/>
      <c r="L446" s="3"/>
    </row>
    <row r="447" spans="1:12" x14ac:dyDescent="0.2">
      <c r="A447" s="3" t="s">
        <v>593</v>
      </c>
      <c r="B447" s="3"/>
      <c r="C447" s="3" t="str">
        <f>IFERROR(VLOOKUP(B447,الخطة!A:O,4,FALSE),"")</f>
        <v/>
      </c>
      <c r="D447" s="3"/>
      <c r="E447" s="3" t="str">
        <f>IFERROR(VLOOKUP(D447,الموظفون!A:L,2,FALSE),"")</f>
        <v/>
      </c>
      <c r="F447" s="8"/>
      <c r="G447" s="8"/>
      <c r="H447" s="8" t="str">
        <f>IF(G447="","",G447)</f>
        <v/>
      </c>
      <c r="I447" s="3" t="str">
        <f>IF(H447="","",IF(H447&gt;=الإعدادات!B7,"ناجح","يحتاج إعادة تدريب"))</f>
        <v/>
      </c>
      <c r="J447" s="3"/>
      <c r="K447" s="3"/>
      <c r="L447" s="3"/>
    </row>
    <row r="448" spans="1:12" x14ac:dyDescent="0.2">
      <c r="A448" s="3" t="s">
        <v>594</v>
      </c>
      <c r="B448" s="3"/>
      <c r="C448" s="3" t="str">
        <f>IFERROR(VLOOKUP(B448,الخطة!A:O,4,FALSE),"")</f>
        <v/>
      </c>
      <c r="D448" s="3"/>
      <c r="E448" s="3" t="str">
        <f>IFERROR(VLOOKUP(D448,الموظفون!A:L,2,FALSE),"")</f>
        <v/>
      </c>
      <c r="F448" s="8"/>
      <c r="G448" s="8"/>
      <c r="H448" s="8" t="str">
        <f>IF(G448="","",G448)</f>
        <v/>
      </c>
      <c r="I448" s="3" t="str">
        <f>IF(H448="","",IF(H448&gt;=الإعدادات!B7,"ناجح","يحتاج إعادة تدريب"))</f>
        <v/>
      </c>
      <c r="J448" s="3"/>
      <c r="K448" s="3"/>
      <c r="L448" s="3"/>
    </row>
    <row r="449" spans="1:12" x14ac:dyDescent="0.2">
      <c r="A449" s="3" t="s">
        <v>595</v>
      </c>
      <c r="B449" s="3"/>
      <c r="C449" s="3" t="str">
        <f>IFERROR(VLOOKUP(B449,الخطة!A:O,4,FALSE),"")</f>
        <v/>
      </c>
      <c r="D449" s="3"/>
      <c r="E449" s="3" t="str">
        <f>IFERROR(VLOOKUP(D449,الموظفون!A:L,2,FALSE),"")</f>
        <v/>
      </c>
      <c r="F449" s="8"/>
      <c r="G449" s="8"/>
      <c r="H449" s="8" t="str">
        <f>IF(G449="","",G449)</f>
        <v/>
      </c>
      <c r="I449" s="3" t="str">
        <f>IF(H449="","",IF(H449&gt;=الإعدادات!B7,"ناجح","يحتاج إعادة تدريب"))</f>
        <v/>
      </c>
      <c r="J449" s="3"/>
      <c r="K449" s="3"/>
      <c r="L449" s="3"/>
    </row>
    <row r="450" spans="1:12" x14ac:dyDescent="0.2">
      <c r="A450" s="3" t="s">
        <v>596</v>
      </c>
      <c r="B450" s="3"/>
      <c r="C450" s="3" t="str">
        <f>IFERROR(VLOOKUP(B450,الخطة!A:O,4,FALSE),"")</f>
        <v/>
      </c>
      <c r="D450" s="3"/>
      <c r="E450" s="3" t="str">
        <f>IFERROR(VLOOKUP(D450,الموظفون!A:L,2,FALSE),"")</f>
        <v/>
      </c>
      <c r="F450" s="8"/>
      <c r="G450" s="8"/>
      <c r="H450" s="8" t="str">
        <f>IF(G450="","",G450)</f>
        <v/>
      </c>
      <c r="I450" s="3" t="str">
        <f>IF(H450="","",IF(H450&gt;=الإعدادات!B7,"ناجح","يحتاج إعادة تدريب"))</f>
        <v/>
      </c>
      <c r="J450" s="3"/>
      <c r="K450" s="3"/>
      <c r="L450" s="3"/>
    </row>
    <row r="451" spans="1:12" x14ac:dyDescent="0.2">
      <c r="A451" s="3" t="s">
        <v>597</v>
      </c>
      <c r="B451" s="3"/>
      <c r="C451" s="3" t="str">
        <f>IFERROR(VLOOKUP(B451,الخطة!A:O,4,FALSE),"")</f>
        <v/>
      </c>
      <c r="D451" s="3"/>
      <c r="E451" s="3" t="str">
        <f>IFERROR(VLOOKUP(D451,الموظفون!A:L,2,FALSE),"")</f>
        <v/>
      </c>
      <c r="F451" s="8"/>
      <c r="G451" s="8"/>
      <c r="H451" s="8" t="str">
        <f>IF(G451="","",G451)</f>
        <v/>
      </c>
      <c r="I451" s="3" t="str">
        <f>IF(H451="","",IF(H451&gt;=الإعدادات!B7,"ناجح","يحتاج إعادة تدريب"))</f>
        <v/>
      </c>
      <c r="J451" s="3"/>
      <c r="K451" s="3"/>
      <c r="L451" s="3"/>
    </row>
    <row r="452" spans="1:12" x14ac:dyDescent="0.2">
      <c r="A452" s="3" t="s">
        <v>598</v>
      </c>
      <c r="B452" s="3"/>
      <c r="C452" s="3" t="str">
        <f>IFERROR(VLOOKUP(B452,الخطة!A:O,4,FALSE),"")</f>
        <v/>
      </c>
      <c r="D452" s="3"/>
      <c r="E452" s="3" t="str">
        <f>IFERROR(VLOOKUP(D452,الموظفون!A:L,2,FALSE),"")</f>
        <v/>
      </c>
      <c r="F452" s="8"/>
      <c r="G452" s="8"/>
      <c r="H452" s="8" t="str">
        <f>IF(G452="","",G452)</f>
        <v/>
      </c>
      <c r="I452" s="3" t="str">
        <f>IF(H452="","",IF(H452&gt;=الإعدادات!B7,"ناجح","يحتاج إعادة تدريب"))</f>
        <v/>
      </c>
      <c r="J452" s="3"/>
      <c r="K452" s="3"/>
      <c r="L452" s="3"/>
    </row>
    <row r="453" spans="1:12" x14ac:dyDescent="0.2">
      <c r="A453" s="3" t="s">
        <v>599</v>
      </c>
      <c r="B453" s="3"/>
      <c r="C453" s="3" t="str">
        <f>IFERROR(VLOOKUP(B453,الخطة!A:O,4,FALSE),"")</f>
        <v/>
      </c>
      <c r="D453" s="3"/>
      <c r="E453" s="3" t="str">
        <f>IFERROR(VLOOKUP(D453,الموظفون!A:L,2,FALSE),"")</f>
        <v/>
      </c>
      <c r="F453" s="8"/>
      <c r="G453" s="8"/>
      <c r="H453" s="8" t="str">
        <f>IF(G453="","",G453)</f>
        <v/>
      </c>
      <c r="I453" s="3" t="str">
        <f>IF(H453="","",IF(H453&gt;=الإعدادات!B7,"ناجح","يحتاج إعادة تدريب"))</f>
        <v/>
      </c>
      <c r="J453" s="3"/>
      <c r="K453" s="3"/>
      <c r="L453" s="3"/>
    </row>
    <row r="454" spans="1:12" x14ac:dyDescent="0.2">
      <c r="A454" s="3" t="s">
        <v>600</v>
      </c>
      <c r="B454" s="3"/>
      <c r="C454" s="3" t="str">
        <f>IFERROR(VLOOKUP(B454,الخطة!A:O,4,FALSE),"")</f>
        <v/>
      </c>
      <c r="D454" s="3"/>
      <c r="E454" s="3" t="str">
        <f>IFERROR(VLOOKUP(D454,الموظفون!A:L,2,FALSE),"")</f>
        <v/>
      </c>
      <c r="F454" s="8"/>
      <c r="G454" s="8"/>
      <c r="H454" s="8" t="str">
        <f>IF(G454="","",G454)</f>
        <v/>
      </c>
      <c r="I454" s="3" t="str">
        <f>IF(H454="","",IF(H454&gt;=الإعدادات!B7,"ناجح","يحتاج إعادة تدريب"))</f>
        <v/>
      </c>
      <c r="J454" s="3"/>
      <c r="K454" s="3"/>
      <c r="L454" s="3"/>
    </row>
    <row r="455" spans="1:12" x14ac:dyDescent="0.2">
      <c r="A455" s="3" t="s">
        <v>601</v>
      </c>
      <c r="B455" s="3"/>
      <c r="C455" s="3" t="str">
        <f>IFERROR(VLOOKUP(B455,الخطة!A:O,4,FALSE),"")</f>
        <v/>
      </c>
      <c r="D455" s="3"/>
      <c r="E455" s="3" t="str">
        <f>IFERROR(VLOOKUP(D455,الموظفون!A:L,2,FALSE),"")</f>
        <v/>
      </c>
      <c r="F455" s="8"/>
      <c r="G455" s="8"/>
      <c r="H455" s="8" t="str">
        <f>IF(G455="","",G455)</f>
        <v/>
      </c>
      <c r="I455" s="3" t="str">
        <f>IF(H455="","",IF(H455&gt;=الإعدادات!B7,"ناجح","يحتاج إعادة تدريب"))</f>
        <v/>
      </c>
      <c r="J455" s="3"/>
      <c r="K455" s="3"/>
      <c r="L455" s="3"/>
    </row>
    <row r="456" spans="1:12" x14ac:dyDescent="0.2">
      <c r="A456" s="3" t="s">
        <v>602</v>
      </c>
      <c r="B456" s="3"/>
      <c r="C456" s="3" t="str">
        <f>IFERROR(VLOOKUP(B456,الخطة!A:O,4,FALSE),"")</f>
        <v/>
      </c>
      <c r="D456" s="3"/>
      <c r="E456" s="3" t="str">
        <f>IFERROR(VLOOKUP(D456,الموظفون!A:L,2,FALSE),"")</f>
        <v/>
      </c>
      <c r="F456" s="8"/>
      <c r="G456" s="8"/>
      <c r="H456" s="8" t="str">
        <f>IF(G456="","",G456)</f>
        <v/>
      </c>
      <c r="I456" s="3" t="str">
        <f>IF(H456="","",IF(H456&gt;=الإعدادات!B7,"ناجح","يحتاج إعادة تدريب"))</f>
        <v/>
      </c>
      <c r="J456" s="3"/>
      <c r="K456" s="3"/>
      <c r="L456" s="3"/>
    </row>
    <row r="457" spans="1:12" x14ac:dyDescent="0.2">
      <c r="A457" s="3" t="s">
        <v>603</v>
      </c>
      <c r="B457" s="3"/>
      <c r="C457" s="3" t="str">
        <f>IFERROR(VLOOKUP(B457,الخطة!A:O,4,FALSE),"")</f>
        <v/>
      </c>
      <c r="D457" s="3"/>
      <c r="E457" s="3" t="str">
        <f>IFERROR(VLOOKUP(D457,الموظفون!A:L,2,FALSE),"")</f>
        <v/>
      </c>
      <c r="F457" s="8"/>
      <c r="G457" s="8"/>
      <c r="H457" s="8" t="str">
        <f>IF(G457="","",G457)</f>
        <v/>
      </c>
      <c r="I457" s="3" t="str">
        <f>IF(H457="","",IF(H457&gt;=الإعدادات!B7,"ناجح","يحتاج إعادة تدريب"))</f>
        <v/>
      </c>
      <c r="J457" s="3"/>
      <c r="K457" s="3"/>
      <c r="L457" s="3"/>
    </row>
    <row r="458" spans="1:12" x14ac:dyDescent="0.2">
      <c r="A458" s="3" t="s">
        <v>604</v>
      </c>
      <c r="B458" s="3"/>
      <c r="C458" s="3" t="str">
        <f>IFERROR(VLOOKUP(B458,الخطة!A:O,4,FALSE),"")</f>
        <v/>
      </c>
      <c r="D458" s="3"/>
      <c r="E458" s="3" t="str">
        <f>IFERROR(VLOOKUP(D458,الموظفون!A:L,2,FALSE),"")</f>
        <v/>
      </c>
      <c r="F458" s="8"/>
      <c r="G458" s="8"/>
      <c r="H458" s="8" t="str">
        <f>IF(G458="","",G458)</f>
        <v/>
      </c>
      <c r="I458" s="3" t="str">
        <f>IF(H458="","",IF(H458&gt;=الإعدادات!B7,"ناجح","يحتاج إعادة تدريب"))</f>
        <v/>
      </c>
      <c r="J458" s="3"/>
      <c r="K458" s="3"/>
      <c r="L458" s="3"/>
    </row>
    <row r="459" spans="1:12" x14ac:dyDescent="0.2">
      <c r="A459" s="3" t="s">
        <v>605</v>
      </c>
      <c r="B459" s="3"/>
      <c r="C459" s="3" t="str">
        <f>IFERROR(VLOOKUP(B459,الخطة!A:O,4,FALSE),"")</f>
        <v/>
      </c>
      <c r="D459" s="3"/>
      <c r="E459" s="3" t="str">
        <f>IFERROR(VLOOKUP(D459,الموظفون!A:L,2,FALSE),"")</f>
        <v/>
      </c>
      <c r="F459" s="8"/>
      <c r="G459" s="8"/>
      <c r="H459" s="8" t="str">
        <f>IF(G459="","",G459)</f>
        <v/>
      </c>
      <c r="I459" s="3" t="str">
        <f>IF(H459="","",IF(H459&gt;=الإعدادات!B7,"ناجح","يحتاج إعادة تدريب"))</f>
        <v/>
      </c>
      <c r="J459" s="3"/>
      <c r="K459" s="3"/>
      <c r="L459" s="3"/>
    </row>
    <row r="460" spans="1:12" x14ac:dyDescent="0.2">
      <c r="A460" s="3" t="s">
        <v>606</v>
      </c>
      <c r="B460" s="3"/>
      <c r="C460" s="3" t="str">
        <f>IFERROR(VLOOKUP(B460,الخطة!A:O,4,FALSE),"")</f>
        <v/>
      </c>
      <c r="D460" s="3"/>
      <c r="E460" s="3" t="str">
        <f>IFERROR(VLOOKUP(D460,الموظفون!A:L,2,FALSE),"")</f>
        <v/>
      </c>
      <c r="F460" s="8"/>
      <c r="G460" s="8"/>
      <c r="H460" s="8" t="str">
        <f>IF(G460="","",G460)</f>
        <v/>
      </c>
      <c r="I460" s="3" t="str">
        <f>IF(H460="","",IF(H460&gt;=الإعدادات!B7,"ناجح","يحتاج إعادة تدريب"))</f>
        <v/>
      </c>
      <c r="J460" s="3"/>
      <c r="K460" s="3"/>
      <c r="L460" s="3"/>
    </row>
    <row r="461" spans="1:12" x14ac:dyDescent="0.2">
      <c r="A461" s="3" t="s">
        <v>607</v>
      </c>
      <c r="B461" s="3"/>
      <c r="C461" s="3" t="str">
        <f>IFERROR(VLOOKUP(B461,الخطة!A:O,4,FALSE),"")</f>
        <v/>
      </c>
      <c r="D461" s="3"/>
      <c r="E461" s="3" t="str">
        <f>IFERROR(VLOOKUP(D461,الموظفون!A:L,2,FALSE),"")</f>
        <v/>
      </c>
      <c r="F461" s="8"/>
      <c r="G461" s="8"/>
      <c r="H461" s="8" t="str">
        <f>IF(G461="","",G461)</f>
        <v/>
      </c>
      <c r="I461" s="3" t="str">
        <f>IF(H461="","",IF(H461&gt;=الإعدادات!B7,"ناجح","يحتاج إعادة تدريب"))</f>
        <v/>
      </c>
      <c r="J461" s="3"/>
      <c r="K461" s="3"/>
      <c r="L461" s="3"/>
    </row>
    <row r="462" spans="1:12" x14ac:dyDescent="0.2">
      <c r="A462" s="3" t="s">
        <v>608</v>
      </c>
      <c r="B462" s="3"/>
      <c r="C462" s="3" t="str">
        <f>IFERROR(VLOOKUP(B462,الخطة!A:O,4,FALSE),"")</f>
        <v/>
      </c>
      <c r="D462" s="3"/>
      <c r="E462" s="3" t="str">
        <f>IFERROR(VLOOKUP(D462,الموظفون!A:L,2,FALSE),"")</f>
        <v/>
      </c>
      <c r="F462" s="8"/>
      <c r="G462" s="8"/>
      <c r="H462" s="8" t="str">
        <f>IF(G462="","",G462)</f>
        <v/>
      </c>
      <c r="I462" s="3" t="str">
        <f>IF(H462="","",IF(H462&gt;=الإعدادات!B7,"ناجح","يحتاج إعادة تدريب"))</f>
        <v/>
      </c>
      <c r="J462" s="3"/>
      <c r="K462" s="3"/>
      <c r="L462" s="3"/>
    </row>
    <row r="463" spans="1:12" x14ac:dyDescent="0.2">
      <c r="A463" s="3" t="s">
        <v>609</v>
      </c>
      <c r="B463" s="3"/>
      <c r="C463" s="3" t="str">
        <f>IFERROR(VLOOKUP(B463,الخطة!A:O,4,FALSE),"")</f>
        <v/>
      </c>
      <c r="D463" s="3"/>
      <c r="E463" s="3" t="str">
        <f>IFERROR(VLOOKUP(D463,الموظفون!A:L,2,FALSE),"")</f>
        <v/>
      </c>
      <c r="F463" s="8"/>
      <c r="G463" s="8"/>
      <c r="H463" s="8" t="str">
        <f>IF(G463="","",G463)</f>
        <v/>
      </c>
      <c r="I463" s="3" t="str">
        <f>IF(H463="","",IF(H463&gt;=الإعدادات!B7,"ناجح","يحتاج إعادة تدريب"))</f>
        <v/>
      </c>
      <c r="J463" s="3"/>
      <c r="K463" s="3"/>
      <c r="L463" s="3"/>
    </row>
    <row r="464" spans="1:12" x14ac:dyDescent="0.2">
      <c r="A464" s="3" t="s">
        <v>610</v>
      </c>
      <c r="B464" s="3"/>
      <c r="C464" s="3" t="str">
        <f>IFERROR(VLOOKUP(B464,الخطة!A:O,4,FALSE),"")</f>
        <v/>
      </c>
      <c r="D464" s="3"/>
      <c r="E464" s="3" t="str">
        <f>IFERROR(VLOOKUP(D464,الموظفون!A:L,2,FALSE),"")</f>
        <v/>
      </c>
      <c r="F464" s="8"/>
      <c r="G464" s="8"/>
      <c r="H464" s="8" t="str">
        <f>IF(G464="","",G464)</f>
        <v/>
      </c>
      <c r="I464" s="3" t="str">
        <f>IF(H464="","",IF(H464&gt;=الإعدادات!B7,"ناجح","يحتاج إعادة تدريب"))</f>
        <v/>
      </c>
      <c r="J464" s="3"/>
      <c r="K464" s="3"/>
      <c r="L464" s="3"/>
    </row>
    <row r="465" spans="1:12" x14ac:dyDescent="0.2">
      <c r="A465" s="3" t="s">
        <v>611</v>
      </c>
      <c r="B465" s="3"/>
      <c r="C465" s="3" t="str">
        <f>IFERROR(VLOOKUP(B465,الخطة!A:O,4,FALSE),"")</f>
        <v/>
      </c>
      <c r="D465" s="3"/>
      <c r="E465" s="3" t="str">
        <f>IFERROR(VLOOKUP(D465,الموظفون!A:L,2,FALSE),"")</f>
        <v/>
      </c>
      <c r="F465" s="8"/>
      <c r="G465" s="8"/>
      <c r="H465" s="8" t="str">
        <f>IF(G465="","",G465)</f>
        <v/>
      </c>
      <c r="I465" s="3" t="str">
        <f>IF(H465="","",IF(H465&gt;=الإعدادات!B7,"ناجح","يحتاج إعادة تدريب"))</f>
        <v/>
      </c>
      <c r="J465" s="3"/>
      <c r="K465" s="3"/>
      <c r="L465" s="3"/>
    </row>
    <row r="466" spans="1:12" x14ac:dyDescent="0.2">
      <c r="A466" s="3" t="s">
        <v>612</v>
      </c>
      <c r="B466" s="3"/>
      <c r="C466" s="3" t="str">
        <f>IFERROR(VLOOKUP(B466,الخطة!A:O,4,FALSE),"")</f>
        <v/>
      </c>
      <c r="D466" s="3"/>
      <c r="E466" s="3" t="str">
        <f>IFERROR(VLOOKUP(D466,الموظفون!A:L,2,FALSE),"")</f>
        <v/>
      </c>
      <c r="F466" s="8"/>
      <c r="G466" s="8"/>
      <c r="H466" s="8" t="str">
        <f>IF(G466="","",G466)</f>
        <v/>
      </c>
      <c r="I466" s="3" t="str">
        <f>IF(H466="","",IF(H466&gt;=الإعدادات!B7,"ناجح","يحتاج إعادة تدريب"))</f>
        <v/>
      </c>
      <c r="J466" s="3"/>
      <c r="K466" s="3"/>
      <c r="L466" s="3"/>
    </row>
    <row r="467" spans="1:12" x14ac:dyDescent="0.2">
      <c r="A467" s="3" t="s">
        <v>613</v>
      </c>
      <c r="B467" s="3"/>
      <c r="C467" s="3" t="str">
        <f>IFERROR(VLOOKUP(B467,الخطة!A:O,4,FALSE),"")</f>
        <v/>
      </c>
      <c r="D467" s="3"/>
      <c r="E467" s="3" t="str">
        <f>IFERROR(VLOOKUP(D467,الموظفون!A:L,2,FALSE),"")</f>
        <v/>
      </c>
      <c r="F467" s="8"/>
      <c r="G467" s="8"/>
      <c r="H467" s="8" t="str">
        <f>IF(G467="","",G467)</f>
        <v/>
      </c>
      <c r="I467" s="3" t="str">
        <f>IF(H467="","",IF(H467&gt;=الإعدادات!B7,"ناجح","يحتاج إعادة تدريب"))</f>
        <v/>
      </c>
      <c r="J467" s="3"/>
      <c r="K467" s="3"/>
      <c r="L467" s="3"/>
    </row>
    <row r="468" spans="1:12" x14ac:dyDescent="0.2">
      <c r="A468" s="3" t="s">
        <v>614</v>
      </c>
      <c r="B468" s="3"/>
      <c r="C468" s="3" t="str">
        <f>IFERROR(VLOOKUP(B468,الخطة!A:O,4,FALSE),"")</f>
        <v/>
      </c>
      <c r="D468" s="3"/>
      <c r="E468" s="3" t="str">
        <f>IFERROR(VLOOKUP(D468,الموظفون!A:L,2,FALSE),"")</f>
        <v/>
      </c>
      <c r="F468" s="8"/>
      <c r="G468" s="8"/>
      <c r="H468" s="8" t="str">
        <f>IF(G468="","",G468)</f>
        <v/>
      </c>
      <c r="I468" s="3" t="str">
        <f>IF(H468="","",IF(H468&gt;=الإعدادات!B7,"ناجح","يحتاج إعادة تدريب"))</f>
        <v/>
      </c>
      <c r="J468" s="3"/>
      <c r="K468" s="3"/>
      <c r="L468" s="3"/>
    </row>
    <row r="469" spans="1:12" x14ac:dyDescent="0.2">
      <c r="A469" s="3" t="s">
        <v>615</v>
      </c>
      <c r="B469" s="3"/>
      <c r="C469" s="3" t="str">
        <f>IFERROR(VLOOKUP(B469,الخطة!A:O,4,FALSE),"")</f>
        <v/>
      </c>
      <c r="D469" s="3"/>
      <c r="E469" s="3" t="str">
        <f>IFERROR(VLOOKUP(D469,الموظفون!A:L,2,FALSE),"")</f>
        <v/>
      </c>
      <c r="F469" s="8"/>
      <c r="G469" s="8"/>
      <c r="H469" s="8" t="str">
        <f>IF(G469="","",G469)</f>
        <v/>
      </c>
      <c r="I469" s="3" t="str">
        <f>IF(H469="","",IF(H469&gt;=الإعدادات!B7,"ناجح","يحتاج إعادة تدريب"))</f>
        <v/>
      </c>
      <c r="J469" s="3"/>
      <c r="K469" s="3"/>
      <c r="L469" s="3"/>
    </row>
    <row r="470" spans="1:12" x14ac:dyDescent="0.2">
      <c r="A470" s="3" t="s">
        <v>616</v>
      </c>
      <c r="B470" s="3"/>
      <c r="C470" s="3" t="str">
        <f>IFERROR(VLOOKUP(B470,الخطة!A:O,4,FALSE),"")</f>
        <v/>
      </c>
      <c r="D470" s="3"/>
      <c r="E470" s="3" t="str">
        <f>IFERROR(VLOOKUP(D470,الموظفون!A:L,2,FALSE),"")</f>
        <v/>
      </c>
      <c r="F470" s="8"/>
      <c r="G470" s="8"/>
      <c r="H470" s="8" t="str">
        <f>IF(G470="","",G470)</f>
        <v/>
      </c>
      <c r="I470" s="3" t="str">
        <f>IF(H470="","",IF(H470&gt;=الإعدادات!B7,"ناجح","يحتاج إعادة تدريب"))</f>
        <v/>
      </c>
      <c r="J470" s="3"/>
      <c r="K470" s="3"/>
      <c r="L470" s="3"/>
    </row>
    <row r="471" spans="1:12" x14ac:dyDescent="0.2">
      <c r="A471" s="3" t="s">
        <v>617</v>
      </c>
      <c r="B471" s="3"/>
      <c r="C471" s="3" t="str">
        <f>IFERROR(VLOOKUP(B471,الخطة!A:O,4,FALSE),"")</f>
        <v/>
      </c>
      <c r="D471" s="3"/>
      <c r="E471" s="3" t="str">
        <f>IFERROR(VLOOKUP(D471,الموظفون!A:L,2,FALSE),"")</f>
        <v/>
      </c>
      <c r="F471" s="8"/>
      <c r="G471" s="8"/>
      <c r="H471" s="8" t="str">
        <f>IF(G471="","",G471)</f>
        <v/>
      </c>
      <c r="I471" s="3" t="str">
        <f>IF(H471="","",IF(H471&gt;=الإعدادات!B7,"ناجح","يحتاج إعادة تدريب"))</f>
        <v/>
      </c>
      <c r="J471" s="3"/>
      <c r="K471" s="3"/>
      <c r="L471" s="3"/>
    </row>
    <row r="472" spans="1:12" x14ac:dyDescent="0.2">
      <c r="A472" s="3" t="s">
        <v>618</v>
      </c>
      <c r="B472" s="3"/>
      <c r="C472" s="3" t="str">
        <f>IFERROR(VLOOKUP(B472,الخطة!A:O,4,FALSE),"")</f>
        <v/>
      </c>
      <c r="D472" s="3"/>
      <c r="E472" s="3" t="str">
        <f>IFERROR(VLOOKUP(D472,الموظفون!A:L,2,FALSE),"")</f>
        <v/>
      </c>
      <c r="F472" s="8"/>
      <c r="G472" s="8"/>
      <c r="H472" s="8" t="str">
        <f>IF(G472="","",G472)</f>
        <v/>
      </c>
      <c r="I472" s="3" t="str">
        <f>IF(H472="","",IF(H472&gt;=الإعدادات!B7,"ناجح","يحتاج إعادة تدريب"))</f>
        <v/>
      </c>
      <c r="J472" s="3"/>
      <c r="K472" s="3"/>
      <c r="L472" s="3"/>
    </row>
    <row r="473" spans="1:12" x14ac:dyDescent="0.2">
      <c r="A473" s="3" t="s">
        <v>619</v>
      </c>
      <c r="B473" s="3"/>
      <c r="C473" s="3" t="str">
        <f>IFERROR(VLOOKUP(B473,الخطة!A:O,4,FALSE),"")</f>
        <v/>
      </c>
      <c r="D473" s="3"/>
      <c r="E473" s="3" t="str">
        <f>IFERROR(VLOOKUP(D473,الموظفون!A:L,2,FALSE),"")</f>
        <v/>
      </c>
      <c r="F473" s="8"/>
      <c r="G473" s="8"/>
      <c r="H473" s="8" t="str">
        <f>IF(G473="","",G473)</f>
        <v/>
      </c>
      <c r="I473" s="3" t="str">
        <f>IF(H473="","",IF(H473&gt;=الإعدادات!B7,"ناجح","يحتاج إعادة تدريب"))</f>
        <v/>
      </c>
      <c r="J473" s="3"/>
      <c r="K473" s="3"/>
      <c r="L473" s="3"/>
    </row>
    <row r="474" spans="1:12" x14ac:dyDescent="0.2">
      <c r="A474" s="3" t="s">
        <v>620</v>
      </c>
      <c r="B474" s="3"/>
      <c r="C474" s="3" t="str">
        <f>IFERROR(VLOOKUP(B474,الخطة!A:O,4,FALSE),"")</f>
        <v/>
      </c>
      <c r="D474" s="3"/>
      <c r="E474" s="3" t="str">
        <f>IFERROR(VLOOKUP(D474,الموظفون!A:L,2,FALSE),"")</f>
        <v/>
      </c>
      <c r="F474" s="8"/>
      <c r="G474" s="8"/>
      <c r="H474" s="8" t="str">
        <f>IF(G474="","",G474)</f>
        <v/>
      </c>
      <c r="I474" s="3" t="str">
        <f>IF(H474="","",IF(H474&gt;=الإعدادات!B7,"ناجح","يحتاج إعادة تدريب"))</f>
        <v/>
      </c>
      <c r="J474" s="3"/>
      <c r="K474" s="3"/>
      <c r="L474" s="3"/>
    </row>
    <row r="475" spans="1:12" x14ac:dyDescent="0.2">
      <c r="A475" s="3" t="s">
        <v>621</v>
      </c>
      <c r="B475" s="3"/>
      <c r="C475" s="3" t="str">
        <f>IFERROR(VLOOKUP(B475,الخطة!A:O,4,FALSE),"")</f>
        <v/>
      </c>
      <c r="D475" s="3"/>
      <c r="E475" s="3" t="str">
        <f>IFERROR(VLOOKUP(D475,الموظفون!A:L,2,FALSE),"")</f>
        <v/>
      </c>
      <c r="F475" s="8"/>
      <c r="G475" s="8"/>
      <c r="H475" s="8" t="str">
        <f>IF(G475="","",G475)</f>
        <v/>
      </c>
      <c r="I475" s="3" t="str">
        <f>IF(H475="","",IF(H475&gt;=الإعدادات!B7,"ناجح","يحتاج إعادة تدريب"))</f>
        <v/>
      </c>
      <c r="J475" s="3"/>
      <c r="K475" s="3"/>
      <c r="L475" s="3"/>
    </row>
    <row r="476" spans="1:12" x14ac:dyDescent="0.2">
      <c r="A476" s="3" t="s">
        <v>622</v>
      </c>
      <c r="B476" s="3"/>
      <c r="C476" s="3" t="str">
        <f>IFERROR(VLOOKUP(B476,الخطة!A:O,4,FALSE),"")</f>
        <v/>
      </c>
      <c r="D476" s="3"/>
      <c r="E476" s="3" t="str">
        <f>IFERROR(VLOOKUP(D476,الموظفون!A:L,2,FALSE),"")</f>
        <v/>
      </c>
      <c r="F476" s="8"/>
      <c r="G476" s="8"/>
      <c r="H476" s="8" t="str">
        <f>IF(G476="","",G476)</f>
        <v/>
      </c>
      <c r="I476" s="3" t="str">
        <f>IF(H476="","",IF(H476&gt;=الإعدادات!B7,"ناجح","يحتاج إعادة تدريب"))</f>
        <v/>
      </c>
      <c r="J476" s="3"/>
      <c r="K476" s="3"/>
      <c r="L476" s="3"/>
    </row>
    <row r="477" spans="1:12" x14ac:dyDescent="0.2">
      <c r="A477" s="3" t="s">
        <v>623</v>
      </c>
      <c r="B477" s="3"/>
      <c r="C477" s="3" t="str">
        <f>IFERROR(VLOOKUP(B477,الخطة!A:O,4,FALSE),"")</f>
        <v/>
      </c>
      <c r="D477" s="3"/>
      <c r="E477" s="3" t="str">
        <f>IFERROR(VLOOKUP(D477,الموظفون!A:L,2,FALSE),"")</f>
        <v/>
      </c>
      <c r="F477" s="8"/>
      <c r="G477" s="8"/>
      <c r="H477" s="8" t="str">
        <f>IF(G477="","",G477)</f>
        <v/>
      </c>
      <c r="I477" s="3" t="str">
        <f>IF(H477="","",IF(H477&gt;=الإعدادات!B7,"ناجح","يحتاج إعادة تدريب"))</f>
        <v/>
      </c>
      <c r="J477" s="3"/>
      <c r="K477" s="3"/>
      <c r="L477" s="3"/>
    </row>
    <row r="478" spans="1:12" x14ac:dyDescent="0.2">
      <c r="A478" s="3" t="s">
        <v>624</v>
      </c>
      <c r="B478" s="3"/>
      <c r="C478" s="3" t="str">
        <f>IFERROR(VLOOKUP(B478,الخطة!A:O,4,FALSE),"")</f>
        <v/>
      </c>
      <c r="D478" s="3"/>
      <c r="E478" s="3" t="str">
        <f>IFERROR(VLOOKUP(D478,الموظفون!A:L,2,FALSE),"")</f>
        <v/>
      </c>
      <c r="F478" s="8"/>
      <c r="G478" s="8"/>
      <c r="H478" s="8" t="str">
        <f>IF(G478="","",G478)</f>
        <v/>
      </c>
      <c r="I478" s="3" t="str">
        <f>IF(H478="","",IF(H478&gt;=الإعدادات!B7,"ناجح","يحتاج إعادة تدريب"))</f>
        <v/>
      </c>
      <c r="J478" s="3"/>
      <c r="K478" s="3"/>
      <c r="L478" s="3"/>
    </row>
    <row r="479" spans="1:12" x14ac:dyDescent="0.2">
      <c r="A479" s="3" t="s">
        <v>625</v>
      </c>
      <c r="B479" s="3"/>
      <c r="C479" s="3" t="str">
        <f>IFERROR(VLOOKUP(B479,الخطة!A:O,4,FALSE),"")</f>
        <v/>
      </c>
      <c r="D479" s="3"/>
      <c r="E479" s="3" t="str">
        <f>IFERROR(VLOOKUP(D479,الموظفون!A:L,2,FALSE),"")</f>
        <v/>
      </c>
      <c r="F479" s="8"/>
      <c r="G479" s="8"/>
      <c r="H479" s="8" t="str">
        <f>IF(G479="","",G479)</f>
        <v/>
      </c>
      <c r="I479" s="3" t="str">
        <f>IF(H479="","",IF(H479&gt;=الإعدادات!B7,"ناجح","يحتاج إعادة تدريب"))</f>
        <v/>
      </c>
      <c r="J479" s="3"/>
      <c r="K479" s="3"/>
      <c r="L479" s="3"/>
    </row>
    <row r="480" spans="1:12" x14ac:dyDescent="0.2">
      <c r="A480" s="3" t="s">
        <v>626</v>
      </c>
      <c r="B480" s="3"/>
      <c r="C480" s="3" t="str">
        <f>IFERROR(VLOOKUP(B480,الخطة!A:O,4,FALSE),"")</f>
        <v/>
      </c>
      <c r="D480" s="3"/>
      <c r="E480" s="3" t="str">
        <f>IFERROR(VLOOKUP(D480,الموظفون!A:L,2,FALSE),"")</f>
        <v/>
      </c>
      <c r="F480" s="8"/>
      <c r="G480" s="8"/>
      <c r="H480" s="8" t="str">
        <f>IF(G480="","",G480)</f>
        <v/>
      </c>
      <c r="I480" s="3" t="str">
        <f>IF(H480="","",IF(H480&gt;=الإعدادات!B7,"ناجح","يحتاج إعادة تدريب"))</f>
        <v/>
      </c>
      <c r="J480" s="3"/>
      <c r="K480" s="3"/>
      <c r="L480" s="3"/>
    </row>
    <row r="481" spans="1:12" x14ac:dyDescent="0.2">
      <c r="A481" s="3" t="s">
        <v>627</v>
      </c>
      <c r="B481" s="3"/>
      <c r="C481" s="3" t="str">
        <f>IFERROR(VLOOKUP(B481,الخطة!A:O,4,FALSE),"")</f>
        <v/>
      </c>
      <c r="D481" s="3"/>
      <c r="E481" s="3" t="str">
        <f>IFERROR(VLOOKUP(D481,الموظفون!A:L,2,FALSE),"")</f>
        <v/>
      </c>
      <c r="F481" s="8"/>
      <c r="G481" s="8"/>
      <c r="H481" s="8" t="str">
        <f>IF(G481="","",G481)</f>
        <v/>
      </c>
      <c r="I481" s="3" t="str">
        <f>IF(H481="","",IF(H481&gt;=الإعدادات!B7,"ناجح","يحتاج إعادة تدريب"))</f>
        <v/>
      </c>
      <c r="J481" s="3"/>
      <c r="K481" s="3"/>
      <c r="L481" s="3"/>
    </row>
    <row r="482" spans="1:12" x14ac:dyDescent="0.2">
      <c r="A482" s="3" t="s">
        <v>628</v>
      </c>
      <c r="B482" s="3"/>
      <c r="C482" s="3" t="str">
        <f>IFERROR(VLOOKUP(B482,الخطة!A:O,4,FALSE),"")</f>
        <v/>
      </c>
      <c r="D482" s="3"/>
      <c r="E482" s="3" t="str">
        <f>IFERROR(VLOOKUP(D482,الموظفون!A:L,2,FALSE),"")</f>
        <v/>
      </c>
      <c r="F482" s="8"/>
      <c r="G482" s="8"/>
      <c r="H482" s="8" t="str">
        <f>IF(G482="","",G482)</f>
        <v/>
      </c>
      <c r="I482" s="3" t="str">
        <f>IF(H482="","",IF(H482&gt;=الإعدادات!B7,"ناجح","يحتاج إعادة تدريب"))</f>
        <v/>
      </c>
      <c r="J482" s="3"/>
      <c r="K482" s="3"/>
      <c r="L482" s="3"/>
    </row>
    <row r="483" spans="1:12" x14ac:dyDescent="0.2">
      <c r="A483" s="3" t="s">
        <v>629</v>
      </c>
      <c r="B483" s="3"/>
      <c r="C483" s="3" t="str">
        <f>IFERROR(VLOOKUP(B483,الخطة!A:O,4,FALSE),"")</f>
        <v/>
      </c>
      <c r="D483" s="3"/>
      <c r="E483" s="3" t="str">
        <f>IFERROR(VLOOKUP(D483,الموظفون!A:L,2,FALSE),"")</f>
        <v/>
      </c>
      <c r="F483" s="8"/>
      <c r="G483" s="8"/>
      <c r="H483" s="8" t="str">
        <f>IF(G483="","",G483)</f>
        <v/>
      </c>
      <c r="I483" s="3" t="str">
        <f>IF(H483="","",IF(H483&gt;=الإعدادات!B7,"ناجح","يحتاج إعادة تدريب"))</f>
        <v/>
      </c>
      <c r="J483" s="3"/>
      <c r="K483" s="3"/>
      <c r="L483" s="3"/>
    </row>
    <row r="484" spans="1:12" x14ac:dyDescent="0.2">
      <c r="A484" s="3" t="s">
        <v>630</v>
      </c>
      <c r="B484" s="3"/>
      <c r="C484" s="3" t="str">
        <f>IFERROR(VLOOKUP(B484,الخطة!A:O,4,FALSE),"")</f>
        <v/>
      </c>
      <c r="D484" s="3"/>
      <c r="E484" s="3" t="str">
        <f>IFERROR(VLOOKUP(D484,الموظفون!A:L,2,FALSE),"")</f>
        <v/>
      </c>
      <c r="F484" s="8"/>
      <c r="G484" s="8"/>
      <c r="H484" s="8" t="str">
        <f>IF(G484="","",G484)</f>
        <v/>
      </c>
      <c r="I484" s="3" t="str">
        <f>IF(H484="","",IF(H484&gt;=الإعدادات!B7,"ناجح","يحتاج إعادة تدريب"))</f>
        <v/>
      </c>
      <c r="J484" s="3"/>
      <c r="K484" s="3"/>
      <c r="L484" s="3"/>
    </row>
    <row r="485" spans="1:12" x14ac:dyDescent="0.2">
      <c r="A485" s="3" t="s">
        <v>631</v>
      </c>
      <c r="B485" s="3"/>
      <c r="C485" s="3" t="str">
        <f>IFERROR(VLOOKUP(B485,الخطة!A:O,4,FALSE),"")</f>
        <v/>
      </c>
      <c r="D485" s="3"/>
      <c r="E485" s="3" t="str">
        <f>IFERROR(VLOOKUP(D485,الموظفون!A:L,2,FALSE),"")</f>
        <v/>
      </c>
      <c r="F485" s="8"/>
      <c r="G485" s="8"/>
      <c r="H485" s="8" t="str">
        <f>IF(G485="","",G485)</f>
        <v/>
      </c>
      <c r="I485" s="3" t="str">
        <f>IF(H485="","",IF(H485&gt;=الإعدادات!B7,"ناجح","يحتاج إعادة تدريب"))</f>
        <v/>
      </c>
      <c r="J485" s="3"/>
      <c r="K485" s="3"/>
      <c r="L485" s="3"/>
    </row>
    <row r="486" spans="1:12" x14ac:dyDescent="0.2">
      <c r="A486" s="3" t="s">
        <v>632</v>
      </c>
      <c r="B486" s="3"/>
      <c r="C486" s="3" t="str">
        <f>IFERROR(VLOOKUP(B486,الخطة!A:O,4,FALSE),"")</f>
        <v/>
      </c>
      <c r="D486" s="3"/>
      <c r="E486" s="3" t="str">
        <f>IFERROR(VLOOKUP(D486,الموظفون!A:L,2,FALSE),"")</f>
        <v/>
      </c>
      <c r="F486" s="8"/>
      <c r="G486" s="8"/>
      <c r="H486" s="8" t="str">
        <f>IF(G486="","",G486)</f>
        <v/>
      </c>
      <c r="I486" s="3" t="str">
        <f>IF(H486="","",IF(H486&gt;=الإعدادات!B7,"ناجح","يحتاج إعادة تدريب"))</f>
        <v/>
      </c>
      <c r="J486" s="3"/>
      <c r="K486" s="3"/>
      <c r="L486" s="3"/>
    </row>
    <row r="487" spans="1:12" x14ac:dyDescent="0.2">
      <c r="A487" s="3" t="s">
        <v>633</v>
      </c>
      <c r="B487" s="3"/>
      <c r="C487" s="3" t="str">
        <f>IFERROR(VLOOKUP(B487,الخطة!A:O,4,FALSE),"")</f>
        <v/>
      </c>
      <c r="D487" s="3"/>
      <c r="E487" s="3" t="str">
        <f>IFERROR(VLOOKUP(D487,الموظفون!A:L,2,FALSE),"")</f>
        <v/>
      </c>
      <c r="F487" s="8"/>
      <c r="G487" s="8"/>
      <c r="H487" s="8" t="str">
        <f>IF(G487="","",G487)</f>
        <v/>
      </c>
      <c r="I487" s="3" t="str">
        <f>IF(H487="","",IF(H487&gt;=الإعدادات!B7,"ناجح","يحتاج إعادة تدريب"))</f>
        <v/>
      </c>
      <c r="J487" s="3"/>
      <c r="K487" s="3"/>
      <c r="L487" s="3"/>
    </row>
    <row r="488" spans="1:12" x14ac:dyDescent="0.2">
      <c r="A488" s="3" t="s">
        <v>634</v>
      </c>
      <c r="B488" s="3"/>
      <c r="C488" s="3" t="str">
        <f>IFERROR(VLOOKUP(B488,الخطة!A:O,4,FALSE),"")</f>
        <v/>
      </c>
      <c r="D488" s="3"/>
      <c r="E488" s="3" t="str">
        <f>IFERROR(VLOOKUP(D488,الموظفون!A:L,2,FALSE),"")</f>
        <v/>
      </c>
      <c r="F488" s="8"/>
      <c r="G488" s="8"/>
      <c r="H488" s="8" t="str">
        <f>IF(G488="","",G488)</f>
        <v/>
      </c>
      <c r="I488" s="3" t="str">
        <f>IF(H488="","",IF(H488&gt;=الإعدادات!B7,"ناجح","يحتاج إعادة تدريب"))</f>
        <v/>
      </c>
      <c r="J488" s="3"/>
      <c r="K488" s="3"/>
      <c r="L488" s="3"/>
    </row>
    <row r="489" spans="1:12" x14ac:dyDescent="0.2">
      <c r="A489" s="3" t="s">
        <v>635</v>
      </c>
      <c r="B489" s="3"/>
      <c r="C489" s="3" t="str">
        <f>IFERROR(VLOOKUP(B489,الخطة!A:O,4,FALSE),"")</f>
        <v/>
      </c>
      <c r="D489" s="3"/>
      <c r="E489" s="3" t="str">
        <f>IFERROR(VLOOKUP(D489,الموظفون!A:L,2,FALSE),"")</f>
        <v/>
      </c>
      <c r="F489" s="8"/>
      <c r="G489" s="8"/>
      <c r="H489" s="8" t="str">
        <f>IF(G489="","",G489)</f>
        <v/>
      </c>
      <c r="I489" s="3" t="str">
        <f>IF(H489="","",IF(H489&gt;=الإعدادات!B7,"ناجح","يحتاج إعادة تدريب"))</f>
        <v/>
      </c>
      <c r="J489" s="3"/>
      <c r="K489" s="3"/>
      <c r="L489" s="3"/>
    </row>
    <row r="490" spans="1:12" x14ac:dyDescent="0.2">
      <c r="A490" s="3" t="s">
        <v>636</v>
      </c>
      <c r="B490" s="3"/>
      <c r="C490" s="3" t="str">
        <f>IFERROR(VLOOKUP(B490,الخطة!A:O,4,FALSE),"")</f>
        <v/>
      </c>
      <c r="D490" s="3"/>
      <c r="E490" s="3" t="str">
        <f>IFERROR(VLOOKUP(D490,الموظفون!A:L,2,FALSE),"")</f>
        <v/>
      </c>
      <c r="F490" s="8"/>
      <c r="G490" s="8"/>
      <c r="H490" s="8" t="str">
        <f>IF(G490="","",G490)</f>
        <v/>
      </c>
      <c r="I490" s="3" t="str">
        <f>IF(H490="","",IF(H490&gt;=الإعدادات!B7,"ناجح","يحتاج إعادة تدريب"))</f>
        <v/>
      </c>
      <c r="J490" s="3"/>
      <c r="K490" s="3"/>
      <c r="L490" s="3"/>
    </row>
    <row r="491" spans="1:12" x14ac:dyDescent="0.2">
      <c r="A491" s="3" t="s">
        <v>637</v>
      </c>
      <c r="B491" s="3"/>
      <c r="C491" s="3" t="str">
        <f>IFERROR(VLOOKUP(B491,الخطة!A:O,4,FALSE),"")</f>
        <v/>
      </c>
      <c r="D491" s="3"/>
      <c r="E491" s="3" t="str">
        <f>IFERROR(VLOOKUP(D491,الموظفون!A:L,2,FALSE),"")</f>
        <v/>
      </c>
      <c r="F491" s="8"/>
      <c r="G491" s="8"/>
      <c r="H491" s="8" t="str">
        <f>IF(G491="","",G491)</f>
        <v/>
      </c>
      <c r="I491" s="3" t="str">
        <f>IF(H491="","",IF(H491&gt;=الإعدادات!B7,"ناجح","يحتاج إعادة تدريب"))</f>
        <v/>
      </c>
      <c r="J491" s="3"/>
      <c r="K491" s="3"/>
      <c r="L491" s="3"/>
    </row>
    <row r="492" spans="1:12" x14ac:dyDescent="0.2">
      <c r="A492" s="3" t="s">
        <v>638</v>
      </c>
      <c r="B492" s="3"/>
      <c r="C492" s="3" t="str">
        <f>IFERROR(VLOOKUP(B492,الخطة!A:O,4,FALSE),"")</f>
        <v/>
      </c>
      <c r="D492" s="3"/>
      <c r="E492" s="3" t="str">
        <f>IFERROR(VLOOKUP(D492,الموظفون!A:L,2,FALSE),"")</f>
        <v/>
      </c>
      <c r="F492" s="8"/>
      <c r="G492" s="8"/>
      <c r="H492" s="8" t="str">
        <f>IF(G492="","",G492)</f>
        <v/>
      </c>
      <c r="I492" s="3" t="str">
        <f>IF(H492="","",IF(H492&gt;=الإعدادات!B7,"ناجح","يحتاج إعادة تدريب"))</f>
        <v/>
      </c>
      <c r="J492" s="3"/>
      <c r="K492" s="3"/>
      <c r="L492" s="3"/>
    </row>
    <row r="493" spans="1:12" x14ac:dyDescent="0.2">
      <c r="A493" s="3" t="s">
        <v>639</v>
      </c>
      <c r="B493" s="3"/>
      <c r="C493" s="3" t="str">
        <f>IFERROR(VLOOKUP(B493,الخطة!A:O,4,FALSE),"")</f>
        <v/>
      </c>
      <c r="D493" s="3"/>
      <c r="E493" s="3" t="str">
        <f>IFERROR(VLOOKUP(D493,الموظفون!A:L,2,FALSE),"")</f>
        <v/>
      </c>
      <c r="F493" s="8"/>
      <c r="G493" s="8"/>
      <c r="H493" s="8" t="str">
        <f>IF(G493="","",G493)</f>
        <v/>
      </c>
      <c r="I493" s="3" t="str">
        <f>IF(H493="","",IF(H493&gt;=الإعدادات!B7,"ناجح","يحتاج إعادة تدريب"))</f>
        <v/>
      </c>
      <c r="J493" s="3"/>
      <c r="K493" s="3"/>
      <c r="L493" s="3"/>
    </row>
    <row r="494" spans="1:12" x14ac:dyDescent="0.2">
      <c r="A494" s="3" t="s">
        <v>640</v>
      </c>
      <c r="B494" s="3"/>
      <c r="C494" s="3" t="str">
        <f>IFERROR(VLOOKUP(B494,الخطة!A:O,4,FALSE),"")</f>
        <v/>
      </c>
      <c r="D494" s="3"/>
      <c r="E494" s="3" t="str">
        <f>IFERROR(VLOOKUP(D494,الموظفون!A:L,2,FALSE),"")</f>
        <v/>
      </c>
      <c r="F494" s="8"/>
      <c r="G494" s="8"/>
      <c r="H494" s="8" t="str">
        <f>IF(G494="","",G494)</f>
        <v/>
      </c>
      <c r="I494" s="3" t="str">
        <f>IF(H494="","",IF(H494&gt;=الإعدادات!B7,"ناجح","يحتاج إعادة تدريب"))</f>
        <v/>
      </c>
      <c r="J494" s="3"/>
      <c r="K494" s="3"/>
      <c r="L494" s="3"/>
    </row>
    <row r="495" spans="1:12" x14ac:dyDescent="0.2">
      <c r="A495" s="3" t="s">
        <v>641</v>
      </c>
      <c r="B495" s="3"/>
      <c r="C495" s="3" t="str">
        <f>IFERROR(VLOOKUP(B495,الخطة!A:O,4,FALSE),"")</f>
        <v/>
      </c>
      <c r="D495" s="3"/>
      <c r="E495" s="3" t="str">
        <f>IFERROR(VLOOKUP(D495,الموظفون!A:L,2,FALSE),"")</f>
        <v/>
      </c>
      <c r="F495" s="8"/>
      <c r="G495" s="8"/>
      <c r="H495" s="8" t="str">
        <f>IF(G495="","",G495)</f>
        <v/>
      </c>
      <c r="I495" s="3" t="str">
        <f>IF(H495="","",IF(H495&gt;=الإعدادات!B7,"ناجح","يحتاج إعادة تدريب"))</f>
        <v/>
      </c>
      <c r="J495" s="3"/>
      <c r="K495" s="3"/>
      <c r="L495" s="3"/>
    </row>
    <row r="496" spans="1:12" x14ac:dyDescent="0.2">
      <c r="A496" s="3" t="s">
        <v>642</v>
      </c>
      <c r="B496" s="3"/>
      <c r="C496" s="3" t="str">
        <f>IFERROR(VLOOKUP(B496,الخطة!A:O,4,FALSE),"")</f>
        <v/>
      </c>
      <c r="D496" s="3"/>
      <c r="E496" s="3" t="str">
        <f>IFERROR(VLOOKUP(D496,الموظفون!A:L,2,FALSE),"")</f>
        <v/>
      </c>
      <c r="F496" s="8"/>
      <c r="G496" s="8"/>
      <c r="H496" s="8" t="str">
        <f>IF(G496="","",G496)</f>
        <v/>
      </c>
      <c r="I496" s="3" t="str">
        <f>IF(H496="","",IF(H496&gt;=الإعدادات!B7,"ناجح","يحتاج إعادة تدريب"))</f>
        <v/>
      </c>
      <c r="J496" s="3"/>
      <c r="K496" s="3"/>
      <c r="L496" s="3"/>
    </row>
    <row r="497" spans="1:12" x14ac:dyDescent="0.2">
      <c r="A497" s="3" t="s">
        <v>643</v>
      </c>
      <c r="B497" s="3"/>
      <c r="C497" s="3" t="str">
        <f>IFERROR(VLOOKUP(B497,الخطة!A:O,4,FALSE),"")</f>
        <v/>
      </c>
      <c r="D497" s="3"/>
      <c r="E497" s="3" t="str">
        <f>IFERROR(VLOOKUP(D497,الموظفون!A:L,2,FALSE),"")</f>
        <v/>
      </c>
      <c r="F497" s="8"/>
      <c r="G497" s="8"/>
      <c r="H497" s="8" t="str">
        <f>IF(G497="","",G497)</f>
        <v/>
      </c>
      <c r="I497" s="3" t="str">
        <f>IF(H497="","",IF(H497&gt;=الإعدادات!B7,"ناجح","يحتاج إعادة تدريب"))</f>
        <v/>
      </c>
      <c r="J497" s="3"/>
      <c r="K497" s="3"/>
      <c r="L497" s="3"/>
    </row>
    <row r="498" spans="1:12" x14ac:dyDescent="0.2">
      <c r="A498" s="3" t="s">
        <v>644</v>
      </c>
      <c r="B498" s="3"/>
      <c r="C498" s="3" t="str">
        <f>IFERROR(VLOOKUP(B498,الخطة!A:O,4,FALSE),"")</f>
        <v/>
      </c>
      <c r="D498" s="3"/>
      <c r="E498" s="3" t="str">
        <f>IFERROR(VLOOKUP(D498,الموظفون!A:L,2,FALSE),"")</f>
        <v/>
      </c>
      <c r="F498" s="8"/>
      <c r="G498" s="8"/>
      <c r="H498" s="8" t="str">
        <f>IF(G498="","",G498)</f>
        <v/>
      </c>
      <c r="I498" s="3" t="str">
        <f>IF(H498="","",IF(H498&gt;=الإعدادات!B7,"ناجح","يحتاج إعادة تدريب"))</f>
        <v/>
      </c>
      <c r="J498" s="3"/>
      <c r="K498" s="3"/>
      <c r="L498" s="3"/>
    </row>
    <row r="499" spans="1:12" x14ac:dyDescent="0.2">
      <c r="A499" s="3" t="s">
        <v>645</v>
      </c>
      <c r="B499" s="3"/>
      <c r="C499" s="3" t="str">
        <f>IFERROR(VLOOKUP(B499,الخطة!A:O,4,FALSE),"")</f>
        <v/>
      </c>
      <c r="D499" s="3"/>
      <c r="E499" s="3" t="str">
        <f>IFERROR(VLOOKUP(D499,الموظفون!A:L,2,FALSE),"")</f>
        <v/>
      </c>
      <c r="F499" s="8"/>
      <c r="G499" s="8"/>
      <c r="H499" s="8" t="str">
        <f>IF(G499="","",G499)</f>
        <v/>
      </c>
      <c r="I499" s="3" t="str">
        <f>IF(H499="","",IF(H499&gt;=الإعدادات!B7,"ناجح","يحتاج إعادة تدريب"))</f>
        <v/>
      </c>
      <c r="J499" s="3"/>
      <c r="K499" s="3"/>
      <c r="L499" s="3"/>
    </row>
    <row r="500" spans="1:12" x14ac:dyDescent="0.2">
      <c r="A500" s="3" t="s">
        <v>646</v>
      </c>
      <c r="B500" s="3"/>
      <c r="C500" s="3" t="str">
        <f>IFERROR(VLOOKUP(B500,الخطة!A:O,4,FALSE),"")</f>
        <v/>
      </c>
      <c r="D500" s="3"/>
      <c r="E500" s="3" t="str">
        <f>IFERROR(VLOOKUP(D500,الموظفون!A:L,2,FALSE),"")</f>
        <v/>
      </c>
      <c r="F500" s="8"/>
      <c r="G500" s="8"/>
      <c r="H500" s="8" t="str">
        <f>IF(G500="","",G500)</f>
        <v/>
      </c>
      <c r="I500" s="3" t="str">
        <f>IF(H500="","",IF(H500&gt;=الإعدادات!B7,"ناجح","يحتاج إعادة تدريب"))</f>
        <v/>
      </c>
      <c r="J500" s="3"/>
      <c r="K500" s="3"/>
      <c r="L500" s="3"/>
    </row>
    <row r="501" spans="1:12" x14ac:dyDescent="0.2">
      <c r="A501" s="3" t="s">
        <v>647</v>
      </c>
      <c r="B501" s="3"/>
      <c r="C501" s="3" t="str">
        <f>IFERROR(VLOOKUP(B501,الخطة!A:O,4,FALSE),"")</f>
        <v/>
      </c>
      <c r="D501" s="3"/>
      <c r="E501" s="3" t="str">
        <f>IFERROR(VLOOKUP(D501,الموظفون!A:L,2,FALSE),"")</f>
        <v/>
      </c>
      <c r="F501" s="8"/>
      <c r="G501" s="8"/>
      <c r="H501" s="8" t="str">
        <f>IF(G501="","",G501)</f>
        <v/>
      </c>
      <c r="I501" s="3" t="str">
        <f>IF(H501="","",IF(H501&gt;=الإعدادات!B7,"ناجح","يحتاج إعادة تدريب"))</f>
        <v/>
      </c>
      <c r="J501" s="3"/>
      <c r="K501" s="3"/>
      <c r="L501" s="3"/>
    </row>
    <row r="502" spans="1:12" x14ac:dyDescent="0.2">
      <c r="A502" s="3" t="s">
        <v>648</v>
      </c>
      <c r="B502" s="3"/>
      <c r="C502" s="3" t="str">
        <f>IFERROR(VLOOKUP(B502,الخطة!A:O,4,FALSE),"")</f>
        <v/>
      </c>
      <c r="D502" s="3"/>
      <c r="E502" s="3" t="str">
        <f>IFERROR(VLOOKUP(D502,الموظفون!A:L,2,FALSE),"")</f>
        <v/>
      </c>
      <c r="F502" s="8"/>
      <c r="G502" s="8"/>
      <c r="H502" s="8" t="str">
        <f>IF(G502="","",G502)</f>
        <v/>
      </c>
      <c r="I502" s="3" t="str">
        <f>IF(H502="","",IF(H502&gt;=الإعدادات!B7,"ناجح","يحتاج إعادة تدريب"))</f>
        <v/>
      </c>
      <c r="J502" s="3"/>
      <c r="K502" s="3"/>
      <c r="L502" s="3"/>
    </row>
    <row r="503" spans="1:12" x14ac:dyDescent="0.2">
      <c r="A503" s="3" t="s">
        <v>649</v>
      </c>
      <c r="B503" s="3"/>
      <c r="C503" s="3" t="str">
        <f>IFERROR(VLOOKUP(B503,الخطة!A:O,4,FALSE),"")</f>
        <v/>
      </c>
      <c r="D503" s="3"/>
      <c r="E503" s="3" t="str">
        <f>IFERROR(VLOOKUP(D503,الموظفون!A:L,2,FALSE),"")</f>
        <v/>
      </c>
      <c r="F503" s="8"/>
      <c r="G503" s="8"/>
      <c r="H503" s="8" t="str">
        <f>IF(G503="","",G503)</f>
        <v/>
      </c>
      <c r="I503" s="3" t="str">
        <f>IF(H503="","",IF(H503&gt;=الإعدادات!B7,"ناجح","يحتاج إعادة تدريب"))</f>
        <v/>
      </c>
      <c r="J503" s="3"/>
      <c r="K503" s="3"/>
      <c r="L503" s="3"/>
    </row>
  </sheetData>
  <mergeCells count="1">
    <mergeCell ref="A1:L1"/>
  </mergeCells>
  <dataValidations count="2">
    <dataValidation type="list" allowBlank="1" showInputMessage="1" showErrorMessage="1" sqref="B4:B503" xr:uid="{E3D675F6-E541-4955-BBD8-46744454D8B4}">
      <formula1>"TR-001,TR-002,TR-003,TR-004,TR-005,TR-006,TR-007,TR-008,TR-009,TR-010,TR-011"</formula1>
    </dataValidation>
    <dataValidation type="list" allowBlank="1" showInputMessage="1" showErrorMessage="1" sqref="D4:D503" xr:uid="{0D4D9CE6-CF21-4A93-8FB4-F07F4DD568CE}">
      <formula1>"EMP-001,EMP-002,EMP-003"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A97F8-16DA-407E-A2EC-92B1B0F67568}">
  <dimension ref="A1:L503"/>
  <sheetViews>
    <sheetView rightToLeft="1" workbookViewId="0">
      <pane ySplit="3" topLeftCell="A4" activePane="bottomLeft" state="frozenSplit"/>
      <selection pane="bottomLeft" sqref="A1:L1"/>
    </sheetView>
  </sheetViews>
  <sheetFormatPr defaultRowHeight="12.75" x14ac:dyDescent="0.2"/>
  <cols>
    <col min="1" max="1" width="12.140625" style="1" bestFit="1" customWidth="1"/>
    <col min="2" max="2" width="12.28515625" style="1" bestFit="1" customWidth="1"/>
    <col min="3" max="3" width="15.5703125" style="1" bestFit="1" customWidth="1"/>
    <col min="4" max="4" width="13.140625" style="1" bestFit="1" customWidth="1"/>
    <col min="5" max="5" width="13.28515625" style="1" bestFit="1" customWidth="1"/>
    <col min="6" max="6" width="9.5703125" style="1" bestFit="1" customWidth="1"/>
    <col min="7" max="7" width="13.7109375" style="1" bestFit="1" customWidth="1"/>
    <col min="8" max="8" width="14.42578125" style="1" bestFit="1" customWidth="1"/>
    <col min="9" max="9" width="9.7109375" style="1" bestFit="1" customWidth="1"/>
    <col min="10" max="10" width="9.85546875" style="1" bestFit="1" customWidth="1"/>
    <col min="11" max="11" width="12.5703125" style="1" bestFit="1" customWidth="1"/>
    <col min="12" max="12" width="10.85546875" style="1" bestFit="1" customWidth="1"/>
    <col min="13" max="16384" width="9.140625" style="1"/>
  </cols>
  <sheetData>
    <row r="1" spans="1:12" x14ac:dyDescent="0.2">
      <c r="A1" s="2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 t="s">
        <v>152</v>
      </c>
      <c r="B3" s="4" t="s">
        <v>45</v>
      </c>
      <c r="C3" s="4" t="s">
        <v>48</v>
      </c>
      <c r="D3" s="4" t="s">
        <v>14</v>
      </c>
      <c r="E3" s="4" t="s">
        <v>15</v>
      </c>
      <c r="F3" s="4" t="s">
        <v>153</v>
      </c>
      <c r="G3" s="4" t="s">
        <v>154</v>
      </c>
      <c r="H3" s="4" t="s">
        <v>155</v>
      </c>
      <c r="I3" s="4" t="s">
        <v>156</v>
      </c>
      <c r="J3" s="4" t="s">
        <v>157</v>
      </c>
      <c r="K3" s="4" t="s">
        <v>158</v>
      </c>
      <c r="L3" s="4" t="s">
        <v>25</v>
      </c>
    </row>
    <row r="4" spans="1:12" x14ac:dyDescent="0.2">
      <c r="A4" s="7">
        <v>46115</v>
      </c>
      <c r="B4" s="3"/>
      <c r="C4" s="3" t="str">
        <f>IFERROR(VLOOKUP(B4,الخطة!A:O,4,FALSE),"")</f>
        <v/>
      </c>
      <c r="D4" s="3"/>
      <c r="E4" s="3" t="str">
        <f>IFERROR(VLOOKUP(D4,الموظفون!A:L,2,FALSE),"")</f>
        <v/>
      </c>
      <c r="F4" s="3"/>
      <c r="G4" s="3"/>
      <c r="H4" s="3"/>
      <c r="I4" s="3"/>
      <c r="J4" s="3"/>
      <c r="K4" s="3" t="str">
        <f>IF(B4="","",IF(OR(D4="",F4=""),"ناقص بيانات",IF(F4="نعم","مكتمل","غائب")))</f>
        <v/>
      </c>
      <c r="L4" s="3"/>
    </row>
    <row r="5" spans="1:12" x14ac:dyDescent="0.2">
      <c r="A5" s="7">
        <v>46145</v>
      </c>
      <c r="B5" s="3"/>
      <c r="C5" s="3" t="str">
        <f>IFERROR(VLOOKUP(B5,الخطة!A:O,4,FALSE),"")</f>
        <v/>
      </c>
      <c r="D5" s="3"/>
      <c r="E5" s="3" t="str">
        <f>IFERROR(VLOOKUP(D5,الموظفون!A:L,2,FALSE),"")</f>
        <v/>
      </c>
      <c r="F5" s="3"/>
      <c r="G5" s="3"/>
      <c r="H5" s="3"/>
      <c r="I5" s="3"/>
      <c r="J5" s="3"/>
      <c r="K5" s="3" t="str">
        <f>IF(B5="","",IF(OR(D5="",F5=""),"ناقص بيانات",IF(F5="نعم","مكتمل","غائب")))</f>
        <v/>
      </c>
      <c r="L5" s="3"/>
    </row>
    <row r="6" spans="1:12" x14ac:dyDescent="0.2">
      <c r="A6" s="7">
        <v>46176</v>
      </c>
      <c r="B6" s="3"/>
      <c r="C6" s="3" t="str">
        <f>IFERROR(VLOOKUP(B6,الخطة!A:O,4,FALSE),"")</f>
        <v/>
      </c>
      <c r="D6" s="3"/>
      <c r="E6" s="3" t="str">
        <f>IFERROR(VLOOKUP(D6,الموظفون!A:L,2,FALSE),"")</f>
        <v/>
      </c>
      <c r="F6" s="3"/>
      <c r="G6" s="3"/>
      <c r="H6" s="3"/>
      <c r="I6" s="3"/>
      <c r="J6" s="3"/>
      <c r="K6" s="3" t="str">
        <f>IF(B6="","",IF(OR(D6="",F6=""),"ناقص بيانات",IF(F6="نعم","مكتمل","غائب")))</f>
        <v/>
      </c>
      <c r="L6" s="3"/>
    </row>
    <row r="7" spans="1:12" x14ac:dyDescent="0.2">
      <c r="A7" s="7">
        <v>46206</v>
      </c>
      <c r="B7" s="3"/>
      <c r="C7" s="3" t="str">
        <f>IFERROR(VLOOKUP(B7,الخطة!A:O,4,FALSE),"")</f>
        <v/>
      </c>
      <c r="D7" s="3"/>
      <c r="E7" s="3" t="str">
        <f>IFERROR(VLOOKUP(D7,الموظفون!A:L,2,FALSE),"")</f>
        <v/>
      </c>
      <c r="F7" s="3"/>
      <c r="G7" s="3"/>
      <c r="H7" s="3"/>
      <c r="I7" s="3"/>
      <c r="J7" s="3"/>
      <c r="K7" s="3" t="str">
        <f>IF(B7="","",IF(OR(D7="",F7=""),"ناقص بيانات",IF(F7="نعم","مكتمل","غائب")))</f>
        <v/>
      </c>
      <c r="L7" s="3"/>
    </row>
    <row r="8" spans="1:12" x14ac:dyDescent="0.2">
      <c r="A8" s="7">
        <v>46237</v>
      </c>
      <c r="B8" s="3"/>
      <c r="C8" s="3" t="str">
        <f>IFERROR(VLOOKUP(B8,الخطة!A:O,4,FALSE),"")</f>
        <v/>
      </c>
      <c r="D8" s="3"/>
      <c r="E8" s="3" t="str">
        <f>IFERROR(VLOOKUP(D8,الموظفون!A:L,2,FALSE),"")</f>
        <v/>
      </c>
      <c r="F8" s="3"/>
      <c r="G8" s="3"/>
      <c r="H8" s="3"/>
      <c r="I8" s="3"/>
      <c r="J8" s="3"/>
      <c r="K8" s="3" t="str">
        <f>IF(B8="","",IF(OR(D8="",F8=""),"ناقص بيانات",IF(F8="نعم","مكتمل","غائب")))</f>
        <v/>
      </c>
      <c r="L8" s="3"/>
    </row>
    <row r="9" spans="1:12" x14ac:dyDescent="0.2">
      <c r="A9" s="7">
        <v>46268</v>
      </c>
      <c r="B9" s="3"/>
      <c r="C9" s="3" t="str">
        <f>IFERROR(VLOOKUP(B9,الخطة!A:O,4,FALSE),"")</f>
        <v/>
      </c>
      <c r="D9" s="3"/>
      <c r="E9" s="3" t="str">
        <f>IFERROR(VLOOKUP(D9,الموظفون!A:L,2,FALSE),"")</f>
        <v/>
      </c>
      <c r="F9" s="3"/>
      <c r="G9" s="3"/>
      <c r="H9" s="3"/>
      <c r="I9" s="3"/>
      <c r="J9" s="3"/>
      <c r="K9" s="3" t="str">
        <f>IF(B9="","",IF(OR(D9="",F9=""),"ناقص بيانات",IF(F9="نعم","مكتمل","غائب")))</f>
        <v/>
      </c>
      <c r="L9" s="3"/>
    </row>
    <row r="10" spans="1:12" x14ac:dyDescent="0.2">
      <c r="A10" s="7">
        <v>46298</v>
      </c>
      <c r="B10" s="3"/>
      <c r="C10" s="3" t="str">
        <f>IFERROR(VLOOKUP(B10,الخطة!A:O,4,FALSE),"")</f>
        <v/>
      </c>
      <c r="D10" s="3"/>
      <c r="E10" s="3" t="str">
        <f>IFERROR(VLOOKUP(D10,الموظفون!A:L,2,FALSE),"")</f>
        <v/>
      </c>
      <c r="F10" s="3"/>
      <c r="G10" s="3"/>
      <c r="H10" s="3"/>
      <c r="I10" s="3"/>
      <c r="J10" s="3"/>
      <c r="K10" s="3" t="str">
        <f>IF(B10="","",IF(OR(D10="",F10=""),"ناقص بيانات",IF(F10="نعم","مكتمل","غائب")))</f>
        <v/>
      </c>
      <c r="L10" s="3"/>
    </row>
    <row r="11" spans="1:12" x14ac:dyDescent="0.2">
      <c r="A11" s="7">
        <v>46329</v>
      </c>
      <c r="B11" s="3"/>
      <c r="C11" s="3" t="str">
        <f>IFERROR(VLOOKUP(B11,الخطة!A:O,4,FALSE),"")</f>
        <v/>
      </c>
      <c r="D11" s="3"/>
      <c r="E11" s="3" t="str">
        <f>IFERROR(VLOOKUP(D11,الموظفون!A:L,2,FALSE),"")</f>
        <v/>
      </c>
      <c r="F11" s="3"/>
      <c r="G11" s="3"/>
      <c r="H11" s="3"/>
      <c r="I11" s="3"/>
      <c r="J11" s="3"/>
      <c r="K11" s="3" t="str">
        <f>IF(B11="","",IF(OR(D11="",F11=""),"ناقص بيانات",IF(F11="نعم","مكتمل","غائب")))</f>
        <v/>
      </c>
      <c r="L11" s="3"/>
    </row>
    <row r="12" spans="1:12" x14ac:dyDescent="0.2">
      <c r="A12" s="7">
        <v>46359</v>
      </c>
      <c r="B12" s="3"/>
      <c r="C12" s="3" t="str">
        <f>IFERROR(VLOOKUP(B12,الخطة!A:O,4,FALSE),"")</f>
        <v/>
      </c>
      <c r="D12" s="3"/>
      <c r="E12" s="3" t="str">
        <f>IFERROR(VLOOKUP(D12,الموظفون!A:L,2,FALSE),"")</f>
        <v/>
      </c>
      <c r="F12" s="3"/>
      <c r="G12" s="3"/>
      <c r="H12" s="3"/>
      <c r="I12" s="3"/>
      <c r="J12" s="3"/>
      <c r="K12" s="3" t="str">
        <f>IF(B12="","",IF(OR(D12="",F12=""),"ناقص بيانات",IF(F12="نعم","مكتمل","غائب")))</f>
        <v/>
      </c>
      <c r="L12" s="3"/>
    </row>
    <row r="13" spans="1:12" x14ac:dyDescent="0.2">
      <c r="A13" s="3" t="s">
        <v>159</v>
      </c>
      <c r="B13" s="3"/>
      <c r="C13" s="3" t="str">
        <f>IFERROR(VLOOKUP(B13,الخطة!A:O,4,FALSE),"")</f>
        <v/>
      </c>
      <c r="D13" s="3"/>
      <c r="E13" s="3" t="str">
        <f>IFERROR(VLOOKUP(D13,الموظفون!A:L,2,FALSE),"")</f>
        <v/>
      </c>
      <c r="F13" s="3"/>
      <c r="G13" s="3"/>
      <c r="H13" s="3"/>
      <c r="I13" s="3"/>
      <c r="J13" s="3"/>
      <c r="K13" s="3" t="str">
        <f>IF(B13="","",IF(OR(D13="",F13=""),"ناقص بيانات",IF(F13="نعم","مكتمل","غائب")))</f>
        <v/>
      </c>
      <c r="L13" s="3"/>
    </row>
    <row r="14" spans="1:12" x14ac:dyDescent="0.2">
      <c r="A14" s="3" t="s">
        <v>160</v>
      </c>
      <c r="B14" s="3"/>
      <c r="C14" s="3" t="str">
        <f>IFERROR(VLOOKUP(B14,الخطة!A:O,4,FALSE),"")</f>
        <v/>
      </c>
      <c r="D14" s="3"/>
      <c r="E14" s="3" t="str">
        <f>IFERROR(VLOOKUP(D14,الموظفون!A:L,2,FALSE),"")</f>
        <v/>
      </c>
      <c r="F14" s="3"/>
      <c r="G14" s="3"/>
      <c r="H14" s="3"/>
      <c r="I14" s="3"/>
      <c r="J14" s="3"/>
      <c r="K14" s="3" t="str">
        <f>IF(B14="","",IF(OR(D14="",F14=""),"ناقص بيانات",IF(F14="نعم","مكتمل","غائب")))</f>
        <v/>
      </c>
      <c r="L14" s="3"/>
    </row>
    <row r="15" spans="1:12" x14ac:dyDescent="0.2">
      <c r="A15" s="3" t="s">
        <v>161</v>
      </c>
      <c r="B15" s="3"/>
      <c r="C15" s="3" t="str">
        <f>IFERROR(VLOOKUP(B15,الخطة!A:O,4,FALSE),"")</f>
        <v/>
      </c>
      <c r="D15" s="3"/>
      <c r="E15" s="3" t="str">
        <f>IFERROR(VLOOKUP(D15,الموظفون!A:L,2,FALSE),"")</f>
        <v/>
      </c>
      <c r="F15" s="3"/>
      <c r="G15" s="3"/>
      <c r="H15" s="3"/>
      <c r="I15" s="3"/>
      <c r="J15" s="3"/>
      <c r="K15" s="3" t="str">
        <f>IF(B15="","",IF(OR(D15="",F15=""),"ناقص بيانات",IF(F15="نعم","مكتمل","غائب")))</f>
        <v/>
      </c>
      <c r="L15" s="3"/>
    </row>
    <row r="16" spans="1:12" x14ac:dyDescent="0.2">
      <c r="A16" s="3" t="s">
        <v>162</v>
      </c>
      <c r="B16" s="3"/>
      <c r="C16" s="3" t="str">
        <f>IFERROR(VLOOKUP(B16,الخطة!A:O,4,FALSE),"")</f>
        <v/>
      </c>
      <c r="D16" s="3"/>
      <c r="E16" s="3" t="str">
        <f>IFERROR(VLOOKUP(D16,الموظفون!A:L,2,FALSE),"")</f>
        <v/>
      </c>
      <c r="F16" s="3"/>
      <c r="G16" s="3"/>
      <c r="H16" s="3"/>
      <c r="I16" s="3"/>
      <c r="J16" s="3"/>
      <c r="K16" s="3" t="str">
        <f>IF(B16="","",IF(OR(D16="",F16=""),"ناقص بيانات",IF(F16="نعم","مكتمل","غائب")))</f>
        <v/>
      </c>
      <c r="L16" s="3"/>
    </row>
    <row r="17" spans="1:12" x14ac:dyDescent="0.2">
      <c r="A17" s="3" t="s">
        <v>163</v>
      </c>
      <c r="B17" s="3"/>
      <c r="C17" s="3" t="str">
        <f>IFERROR(VLOOKUP(B17,الخطة!A:O,4,FALSE),"")</f>
        <v/>
      </c>
      <c r="D17" s="3"/>
      <c r="E17" s="3" t="str">
        <f>IFERROR(VLOOKUP(D17,الموظفون!A:L,2,FALSE),"")</f>
        <v/>
      </c>
      <c r="F17" s="3"/>
      <c r="G17" s="3"/>
      <c r="H17" s="3"/>
      <c r="I17" s="3"/>
      <c r="J17" s="3"/>
      <c r="K17" s="3" t="str">
        <f>IF(B17="","",IF(OR(D17="",F17=""),"ناقص بيانات",IF(F17="نعم","مكتمل","غائب")))</f>
        <v/>
      </c>
      <c r="L17" s="3"/>
    </row>
    <row r="18" spans="1:12" x14ac:dyDescent="0.2">
      <c r="A18" s="3" t="s">
        <v>164</v>
      </c>
      <c r="B18" s="3"/>
      <c r="C18" s="3" t="str">
        <f>IFERROR(VLOOKUP(B18,الخطة!A:O,4,FALSE),"")</f>
        <v/>
      </c>
      <c r="D18" s="3"/>
      <c r="E18" s="3" t="str">
        <f>IFERROR(VLOOKUP(D18,الموظفون!A:L,2,FALSE),"")</f>
        <v/>
      </c>
      <c r="F18" s="3"/>
      <c r="G18" s="3"/>
      <c r="H18" s="3"/>
      <c r="I18" s="3"/>
      <c r="J18" s="3"/>
      <c r="K18" s="3" t="str">
        <f>IF(B18="","",IF(OR(D18="",F18=""),"ناقص بيانات",IF(F18="نعم","مكتمل","غائب")))</f>
        <v/>
      </c>
      <c r="L18" s="3"/>
    </row>
    <row r="19" spans="1:12" x14ac:dyDescent="0.2">
      <c r="A19" s="3" t="s">
        <v>165</v>
      </c>
      <c r="B19" s="3"/>
      <c r="C19" s="3" t="str">
        <f>IFERROR(VLOOKUP(B19,الخطة!A:O,4,FALSE),"")</f>
        <v/>
      </c>
      <c r="D19" s="3"/>
      <c r="E19" s="3" t="str">
        <f>IFERROR(VLOOKUP(D19,الموظفون!A:L,2,FALSE),"")</f>
        <v/>
      </c>
      <c r="F19" s="3"/>
      <c r="G19" s="3"/>
      <c r="H19" s="3"/>
      <c r="I19" s="3"/>
      <c r="J19" s="3"/>
      <c r="K19" s="3" t="str">
        <f>IF(B19="","",IF(OR(D19="",F19=""),"ناقص بيانات",IF(F19="نعم","مكتمل","غائب")))</f>
        <v/>
      </c>
      <c r="L19" s="3"/>
    </row>
    <row r="20" spans="1:12" x14ac:dyDescent="0.2">
      <c r="A20" s="3" t="s">
        <v>166</v>
      </c>
      <c r="B20" s="3"/>
      <c r="C20" s="3" t="str">
        <f>IFERROR(VLOOKUP(B20,الخطة!A:O,4,FALSE),"")</f>
        <v/>
      </c>
      <c r="D20" s="3"/>
      <c r="E20" s="3" t="str">
        <f>IFERROR(VLOOKUP(D20,الموظفون!A:L,2,FALSE),"")</f>
        <v/>
      </c>
      <c r="F20" s="3"/>
      <c r="G20" s="3"/>
      <c r="H20" s="3"/>
      <c r="I20" s="3"/>
      <c r="J20" s="3"/>
      <c r="K20" s="3" t="str">
        <f>IF(B20="","",IF(OR(D20="",F20=""),"ناقص بيانات",IF(F20="نعم","مكتمل","غائب")))</f>
        <v/>
      </c>
      <c r="L20" s="3"/>
    </row>
    <row r="21" spans="1:12" x14ac:dyDescent="0.2">
      <c r="A21" s="3" t="s">
        <v>167</v>
      </c>
      <c r="B21" s="3"/>
      <c r="C21" s="3" t="str">
        <f>IFERROR(VLOOKUP(B21,الخطة!A:O,4,FALSE),"")</f>
        <v/>
      </c>
      <c r="D21" s="3"/>
      <c r="E21" s="3" t="str">
        <f>IFERROR(VLOOKUP(D21,الموظفون!A:L,2,FALSE),"")</f>
        <v/>
      </c>
      <c r="F21" s="3"/>
      <c r="G21" s="3"/>
      <c r="H21" s="3"/>
      <c r="I21" s="3"/>
      <c r="J21" s="3"/>
      <c r="K21" s="3" t="str">
        <f>IF(B21="","",IF(OR(D21="",F21=""),"ناقص بيانات",IF(F21="نعم","مكتمل","غائب")))</f>
        <v/>
      </c>
      <c r="L21" s="3"/>
    </row>
    <row r="22" spans="1:12" x14ac:dyDescent="0.2">
      <c r="A22" s="3" t="s">
        <v>168</v>
      </c>
      <c r="B22" s="3"/>
      <c r="C22" s="3" t="str">
        <f>IFERROR(VLOOKUP(B22,الخطة!A:O,4,FALSE),"")</f>
        <v/>
      </c>
      <c r="D22" s="3"/>
      <c r="E22" s="3" t="str">
        <f>IFERROR(VLOOKUP(D22,الموظفون!A:L,2,FALSE),"")</f>
        <v/>
      </c>
      <c r="F22" s="3"/>
      <c r="G22" s="3"/>
      <c r="H22" s="3"/>
      <c r="I22" s="3"/>
      <c r="J22" s="3"/>
      <c r="K22" s="3" t="str">
        <f>IF(B22="","",IF(OR(D22="",F22=""),"ناقص بيانات",IF(F22="نعم","مكتمل","غائب")))</f>
        <v/>
      </c>
      <c r="L22" s="3"/>
    </row>
    <row r="23" spans="1:12" x14ac:dyDescent="0.2">
      <c r="A23" s="3" t="s">
        <v>169</v>
      </c>
      <c r="B23" s="3"/>
      <c r="C23" s="3" t="str">
        <f>IFERROR(VLOOKUP(B23,الخطة!A:O,4,FALSE),"")</f>
        <v/>
      </c>
      <c r="D23" s="3"/>
      <c r="E23" s="3" t="str">
        <f>IFERROR(VLOOKUP(D23,الموظفون!A:L,2,FALSE),"")</f>
        <v/>
      </c>
      <c r="F23" s="3"/>
      <c r="G23" s="3"/>
      <c r="H23" s="3"/>
      <c r="I23" s="3"/>
      <c r="J23" s="3"/>
      <c r="K23" s="3" t="str">
        <f>IF(B23="","",IF(OR(D23="",F23=""),"ناقص بيانات",IF(F23="نعم","مكتمل","غائب")))</f>
        <v/>
      </c>
      <c r="L23" s="3"/>
    </row>
    <row r="24" spans="1:12" x14ac:dyDescent="0.2">
      <c r="A24" s="3" t="s">
        <v>170</v>
      </c>
      <c r="B24" s="3"/>
      <c r="C24" s="3" t="str">
        <f>IFERROR(VLOOKUP(B24,الخطة!A:O,4,FALSE),"")</f>
        <v/>
      </c>
      <c r="D24" s="3"/>
      <c r="E24" s="3" t="str">
        <f>IFERROR(VLOOKUP(D24,الموظفون!A:L,2,FALSE),"")</f>
        <v/>
      </c>
      <c r="F24" s="3"/>
      <c r="G24" s="3"/>
      <c r="H24" s="3"/>
      <c r="I24" s="3"/>
      <c r="J24" s="3"/>
      <c r="K24" s="3" t="str">
        <f>IF(B24="","",IF(OR(D24="",F24=""),"ناقص بيانات",IF(F24="نعم","مكتمل","غائب")))</f>
        <v/>
      </c>
      <c r="L24" s="3"/>
    </row>
    <row r="25" spans="1:12" x14ac:dyDescent="0.2">
      <c r="A25" s="3" t="s">
        <v>171</v>
      </c>
      <c r="B25" s="3"/>
      <c r="C25" s="3" t="str">
        <f>IFERROR(VLOOKUP(B25,الخطة!A:O,4,FALSE),"")</f>
        <v/>
      </c>
      <c r="D25" s="3"/>
      <c r="E25" s="3" t="str">
        <f>IFERROR(VLOOKUP(D25,الموظفون!A:L,2,FALSE),"")</f>
        <v/>
      </c>
      <c r="F25" s="3"/>
      <c r="G25" s="3"/>
      <c r="H25" s="3"/>
      <c r="I25" s="3"/>
      <c r="J25" s="3"/>
      <c r="K25" s="3" t="str">
        <f>IF(B25="","",IF(OR(D25="",F25=""),"ناقص بيانات",IF(F25="نعم","مكتمل","غائب")))</f>
        <v/>
      </c>
      <c r="L25" s="3"/>
    </row>
    <row r="26" spans="1:12" x14ac:dyDescent="0.2">
      <c r="A26" s="3" t="s">
        <v>172</v>
      </c>
      <c r="B26" s="3"/>
      <c r="C26" s="3" t="str">
        <f>IFERROR(VLOOKUP(B26,الخطة!A:O,4,FALSE),"")</f>
        <v/>
      </c>
      <c r="D26" s="3"/>
      <c r="E26" s="3" t="str">
        <f>IFERROR(VLOOKUP(D26,الموظفون!A:L,2,FALSE),"")</f>
        <v/>
      </c>
      <c r="F26" s="3"/>
      <c r="G26" s="3"/>
      <c r="H26" s="3"/>
      <c r="I26" s="3"/>
      <c r="J26" s="3"/>
      <c r="K26" s="3" t="str">
        <f>IF(B26="","",IF(OR(D26="",F26=""),"ناقص بيانات",IF(F26="نعم","مكتمل","غائب")))</f>
        <v/>
      </c>
      <c r="L26" s="3"/>
    </row>
    <row r="27" spans="1:12" x14ac:dyDescent="0.2">
      <c r="A27" s="3" t="s">
        <v>173</v>
      </c>
      <c r="B27" s="3"/>
      <c r="C27" s="3" t="str">
        <f>IFERROR(VLOOKUP(B27,الخطة!A:O,4,FALSE),"")</f>
        <v/>
      </c>
      <c r="D27" s="3"/>
      <c r="E27" s="3" t="str">
        <f>IFERROR(VLOOKUP(D27,الموظفون!A:L,2,FALSE),"")</f>
        <v/>
      </c>
      <c r="F27" s="3"/>
      <c r="G27" s="3"/>
      <c r="H27" s="3"/>
      <c r="I27" s="3"/>
      <c r="J27" s="3"/>
      <c r="K27" s="3" t="str">
        <f>IF(B27="","",IF(OR(D27="",F27=""),"ناقص بيانات",IF(F27="نعم","مكتمل","غائب")))</f>
        <v/>
      </c>
      <c r="L27" s="3"/>
    </row>
    <row r="28" spans="1:12" x14ac:dyDescent="0.2">
      <c r="A28" s="3" t="s">
        <v>174</v>
      </c>
      <c r="B28" s="3"/>
      <c r="C28" s="3" t="str">
        <f>IFERROR(VLOOKUP(B28,الخطة!A:O,4,FALSE),"")</f>
        <v/>
      </c>
      <c r="D28" s="3"/>
      <c r="E28" s="3" t="str">
        <f>IFERROR(VLOOKUP(D28,الموظفون!A:L,2,FALSE),"")</f>
        <v/>
      </c>
      <c r="F28" s="3"/>
      <c r="G28" s="3"/>
      <c r="H28" s="3"/>
      <c r="I28" s="3"/>
      <c r="J28" s="3"/>
      <c r="K28" s="3" t="str">
        <f>IF(B28="","",IF(OR(D28="",F28=""),"ناقص بيانات",IF(F28="نعم","مكتمل","غائب")))</f>
        <v/>
      </c>
      <c r="L28" s="3"/>
    </row>
    <row r="29" spans="1:12" x14ac:dyDescent="0.2">
      <c r="A29" s="3" t="s">
        <v>175</v>
      </c>
      <c r="B29" s="3"/>
      <c r="C29" s="3" t="str">
        <f>IFERROR(VLOOKUP(B29,الخطة!A:O,4,FALSE),"")</f>
        <v/>
      </c>
      <c r="D29" s="3"/>
      <c r="E29" s="3" t="str">
        <f>IFERROR(VLOOKUP(D29,الموظفون!A:L,2,FALSE),"")</f>
        <v/>
      </c>
      <c r="F29" s="3"/>
      <c r="G29" s="3"/>
      <c r="H29" s="3"/>
      <c r="I29" s="3"/>
      <c r="J29" s="3"/>
      <c r="K29" s="3" t="str">
        <f>IF(B29="","",IF(OR(D29="",F29=""),"ناقص بيانات",IF(F29="نعم","مكتمل","غائب")))</f>
        <v/>
      </c>
      <c r="L29" s="3"/>
    </row>
    <row r="30" spans="1:12" x14ac:dyDescent="0.2">
      <c r="A30" s="3" t="s">
        <v>176</v>
      </c>
      <c r="B30" s="3"/>
      <c r="C30" s="3" t="str">
        <f>IFERROR(VLOOKUP(B30,الخطة!A:O,4,FALSE),"")</f>
        <v/>
      </c>
      <c r="D30" s="3"/>
      <c r="E30" s="3" t="str">
        <f>IFERROR(VLOOKUP(D30,الموظفون!A:L,2,FALSE),"")</f>
        <v/>
      </c>
      <c r="F30" s="3"/>
      <c r="G30" s="3"/>
      <c r="H30" s="3"/>
      <c r="I30" s="3"/>
      <c r="J30" s="3"/>
      <c r="K30" s="3" t="str">
        <f>IF(B30="","",IF(OR(D30="",F30=""),"ناقص بيانات",IF(F30="نعم","مكتمل","غائب")))</f>
        <v/>
      </c>
      <c r="L30" s="3"/>
    </row>
    <row r="31" spans="1:12" x14ac:dyDescent="0.2">
      <c r="A31" s="3" t="s">
        <v>177</v>
      </c>
      <c r="B31" s="3"/>
      <c r="C31" s="3" t="str">
        <f>IFERROR(VLOOKUP(B31,الخطة!A:O,4,FALSE),"")</f>
        <v/>
      </c>
      <c r="D31" s="3"/>
      <c r="E31" s="3" t="str">
        <f>IFERROR(VLOOKUP(D31,الموظفون!A:L,2,FALSE),"")</f>
        <v/>
      </c>
      <c r="F31" s="3"/>
      <c r="G31" s="3"/>
      <c r="H31" s="3"/>
      <c r="I31" s="3"/>
      <c r="J31" s="3"/>
      <c r="K31" s="3" t="str">
        <f>IF(B31="","",IF(OR(D31="",F31=""),"ناقص بيانات",IF(F31="نعم","مكتمل","غائب")))</f>
        <v/>
      </c>
      <c r="L31" s="3"/>
    </row>
    <row r="32" spans="1:12" x14ac:dyDescent="0.2">
      <c r="A32" s="3" t="s">
        <v>178</v>
      </c>
      <c r="B32" s="3"/>
      <c r="C32" s="3" t="str">
        <f>IFERROR(VLOOKUP(B32,الخطة!A:O,4,FALSE),"")</f>
        <v/>
      </c>
      <c r="D32" s="3"/>
      <c r="E32" s="3" t="str">
        <f>IFERROR(VLOOKUP(D32,الموظفون!A:L,2,FALSE),"")</f>
        <v/>
      </c>
      <c r="F32" s="3"/>
      <c r="G32" s="3"/>
      <c r="H32" s="3"/>
      <c r="I32" s="3"/>
      <c r="J32" s="3"/>
      <c r="K32" s="3" t="str">
        <f>IF(B32="","",IF(OR(D32="",F32=""),"ناقص بيانات",IF(F32="نعم","مكتمل","غائب")))</f>
        <v/>
      </c>
      <c r="L32" s="3"/>
    </row>
    <row r="33" spans="1:12" x14ac:dyDescent="0.2">
      <c r="A33" s="3" t="s">
        <v>179</v>
      </c>
      <c r="B33" s="3"/>
      <c r="C33" s="3" t="str">
        <f>IFERROR(VLOOKUP(B33,الخطة!A:O,4,FALSE),"")</f>
        <v/>
      </c>
      <c r="D33" s="3"/>
      <c r="E33" s="3" t="str">
        <f>IFERROR(VLOOKUP(D33,الموظفون!A:L,2,FALSE),"")</f>
        <v/>
      </c>
      <c r="F33" s="3"/>
      <c r="G33" s="3"/>
      <c r="H33" s="3"/>
      <c r="I33" s="3"/>
      <c r="J33" s="3"/>
      <c r="K33" s="3" t="str">
        <f>IF(B33="","",IF(OR(D33="",F33=""),"ناقص بيانات",IF(F33="نعم","مكتمل","غائب")))</f>
        <v/>
      </c>
      <c r="L33" s="3"/>
    </row>
    <row r="34" spans="1:12" x14ac:dyDescent="0.2">
      <c r="A34" s="3" t="s">
        <v>180</v>
      </c>
      <c r="B34" s="3"/>
      <c r="C34" s="3" t="str">
        <f>IFERROR(VLOOKUP(B34,الخطة!A:O,4,FALSE),"")</f>
        <v/>
      </c>
      <c r="D34" s="3"/>
      <c r="E34" s="3" t="str">
        <f>IFERROR(VLOOKUP(D34,الموظفون!A:L,2,FALSE),"")</f>
        <v/>
      </c>
      <c r="F34" s="3"/>
      <c r="G34" s="3"/>
      <c r="H34" s="3"/>
      <c r="I34" s="3"/>
      <c r="J34" s="3"/>
      <c r="K34" s="3" t="str">
        <f>IF(B34="","",IF(OR(D34="",F34=""),"ناقص بيانات",IF(F34="نعم","مكتمل","غائب")))</f>
        <v/>
      </c>
      <c r="L34" s="3"/>
    </row>
    <row r="35" spans="1:12" x14ac:dyDescent="0.2">
      <c r="A35" s="3" t="s">
        <v>181</v>
      </c>
      <c r="B35" s="3"/>
      <c r="C35" s="3" t="str">
        <f>IFERROR(VLOOKUP(B35,الخطة!A:O,4,FALSE),"")</f>
        <v/>
      </c>
      <c r="D35" s="3"/>
      <c r="E35" s="3" t="str">
        <f>IFERROR(VLOOKUP(D35,الموظفون!A:L,2,FALSE),"")</f>
        <v/>
      </c>
      <c r="F35" s="3"/>
      <c r="G35" s="3"/>
      <c r="H35" s="3"/>
      <c r="I35" s="3"/>
      <c r="J35" s="3"/>
      <c r="K35" s="3" t="str">
        <f>IF(B35="","",IF(OR(D35="",F35=""),"ناقص بيانات",IF(F35="نعم","مكتمل","غائب")))</f>
        <v/>
      </c>
      <c r="L35" s="3"/>
    </row>
    <row r="36" spans="1:12" x14ac:dyDescent="0.2">
      <c r="A36" s="3" t="s">
        <v>182</v>
      </c>
      <c r="B36" s="3"/>
      <c r="C36" s="3" t="str">
        <f>IFERROR(VLOOKUP(B36,الخطة!A:O,4,FALSE),"")</f>
        <v/>
      </c>
      <c r="D36" s="3"/>
      <c r="E36" s="3" t="str">
        <f>IFERROR(VLOOKUP(D36,الموظفون!A:L,2,FALSE),"")</f>
        <v/>
      </c>
      <c r="F36" s="3"/>
      <c r="G36" s="3"/>
      <c r="H36" s="3"/>
      <c r="I36" s="3"/>
      <c r="J36" s="3"/>
      <c r="K36" s="3" t="str">
        <f>IF(B36="","",IF(OR(D36="",F36=""),"ناقص بيانات",IF(F36="نعم","مكتمل","غائب")))</f>
        <v/>
      </c>
      <c r="L36" s="3"/>
    </row>
    <row r="37" spans="1:12" x14ac:dyDescent="0.2">
      <c r="A37" s="3" t="s">
        <v>183</v>
      </c>
      <c r="B37" s="3"/>
      <c r="C37" s="3" t="str">
        <f>IFERROR(VLOOKUP(B37,الخطة!A:O,4,FALSE),"")</f>
        <v/>
      </c>
      <c r="D37" s="3"/>
      <c r="E37" s="3" t="str">
        <f>IFERROR(VLOOKUP(D37,الموظفون!A:L,2,FALSE),"")</f>
        <v/>
      </c>
      <c r="F37" s="3"/>
      <c r="G37" s="3"/>
      <c r="H37" s="3"/>
      <c r="I37" s="3"/>
      <c r="J37" s="3"/>
      <c r="K37" s="3" t="str">
        <f>IF(B37="","",IF(OR(D37="",F37=""),"ناقص بيانات",IF(F37="نعم","مكتمل","غائب")))</f>
        <v/>
      </c>
      <c r="L37" s="3"/>
    </row>
    <row r="38" spans="1:12" x14ac:dyDescent="0.2">
      <c r="A38" s="3" t="s">
        <v>184</v>
      </c>
      <c r="B38" s="3"/>
      <c r="C38" s="3" t="str">
        <f>IFERROR(VLOOKUP(B38,الخطة!A:O,4,FALSE),"")</f>
        <v/>
      </c>
      <c r="D38" s="3"/>
      <c r="E38" s="3" t="str">
        <f>IFERROR(VLOOKUP(D38,الموظفون!A:L,2,FALSE),"")</f>
        <v/>
      </c>
      <c r="F38" s="3"/>
      <c r="G38" s="3"/>
      <c r="H38" s="3"/>
      <c r="I38" s="3"/>
      <c r="J38" s="3"/>
      <c r="K38" s="3" t="str">
        <f>IF(B38="","",IF(OR(D38="",F38=""),"ناقص بيانات",IF(F38="نعم","مكتمل","غائب")))</f>
        <v/>
      </c>
      <c r="L38" s="3"/>
    </row>
    <row r="39" spans="1:12" x14ac:dyDescent="0.2">
      <c r="A39" s="3" t="s">
        <v>185</v>
      </c>
      <c r="B39" s="3"/>
      <c r="C39" s="3" t="str">
        <f>IFERROR(VLOOKUP(B39,الخطة!A:O,4,FALSE),"")</f>
        <v/>
      </c>
      <c r="D39" s="3"/>
      <c r="E39" s="3" t="str">
        <f>IFERROR(VLOOKUP(D39,الموظفون!A:L,2,FALSE),"")</f>
        <v/>
      </c>
      <c r="F39" s="3"/>
      <c r="G39" s="3"/>
      <c r="H39" s="3"/>
      <c r="I39" s="3"/>
      <c r="J39" s="3"/>
      <c r="K39" s="3" t="str">
        <f>IF(B39="","",IF(OR(D39="",F39=""),"ناقص بيانات",IF(F39="نعم","مكتمل","غائب")))</f>
        <v/>
      </c>
      <c r="L39" s="3"/>
    </row>
    <row r="40" spans="1:12" x14ac:dyDescent="0.2">
      <c r="A40" s="3" t="s">
        <v>186</v>
      </c>
      <c r="B40" s="3"/>
      <c r="C40" s="3" t="str">
        <f>IFERROR(VLOOKUP(B40,الخطة!A:O,4,FALSE),"")</f>
        <v/>
      </c>
      <c r="D40" s="3"/>
      <c r="E40" s="3" t="str">
        <f>IFERROR(VLOOKUP(D40,الموظفون!A:L,2,FALSE),"")</f>
        <v/>
      </c>
      <c r="F40" s="3"/>
      <c r="G40" s="3"/>
      <c r="H40" s="3"/>
      <c r="I40" s="3"/>
      <c r="J40" s="3"/>
      <c r="K40" s="3" t="str">
        <f>IF(B40="","",IF(OR(D40="",F40=""),"ناقص بيانات",IF(F40="نعم","مكتمل","غائب")))</f>
        <v/>
      </c>
      <c r="L40" s="3"/>
    </row>
    <row r="41" spans="1:12" x14ac:dyDescent="0.2">
      <c r="A41" s="3" t="s">
        <v>187</v>
      </c>
      <c r="B41" s="3"/>
      <c r="C41" s="3" t="str">
        <f>IFERROR(VLOOKUP(B41,الخطة!A:O,4,FALSE),"")</f>
        <v/>
      </c>
      <c r="D41" s="3"/>
      <c r="E41" s="3" t="str">
        <f>IFERROR(VLOOKUP(D41,الموظفون!A:L,2,FALSE),"")</f>
        <v/>
      </c>
      <c r="F41" s="3"/>
      <c r="G41" s="3"/>
      <c r="H41" s="3"/>
      <c r="I41" s="3"/>
      <c r="J41" s="3"/>
      <c r="K41" s="3" t="str">
        <f>IF(B41="","",IF(OR(D41="",F41=""),"ناقص بيانات",IF(F41="نعم","مكتمل","غائب")))</f>
        <v/>
      </c>
      <c r="L41" s="3"/>
    </row>
    <row r="42" spans="1:12" x14ac:dyDescent="0.2">
      <c r="A42" s="3" t="s">
        <v>188</v>
      </c>
      <c r="B42" s="3"/>
      <c r="C42" s="3" t="str">
        <f>IFERROR(VLOOKUP(B42,الخطة!A:O,4,FALSE),"")</f>
        <v/>
      </c>
      <c r="D42" s="3"/>
      <c r="E42" s="3" t="str">
        <f>IFERROR(VLOOKUP(D42,الموظفون!A:L,2,FALSE),"")</f>
        <v/>
      </c>
      <c r="F42" s="3"/>
      <c r="G42" s="3"/>
      <c r="H42" s="3"/>
      <c r="I42" s="3"/>
      <c r="J42" s="3"/>
      <c r="K42" s="3" t="str">
        <f>IF(B42="","",IF(OR(D42="",F42=""),"ناقص بيانات",IF(F42="نعم","مكتمل","غائب")))</f>
        <v/>
      </c>
      <c r="L42" s="3"/>
    </row>
    <row r="43" spans="1:12" x14ac:dyDescent="0.2">
      <c r="A43" s="3" t="s">
        <v>189</v>
      </c>
      <c r="B43" s="3"/>
      <c r="C43" s="3" t="str">
        <f>IFERROR(VLOOKUP(B43,الخطة!A:O,4,FALSE),"")</f>
        <v/>
      </c>
      <c r="D43" s="3"/>
      <c r="E43" s="3" t="str">
        <f>IFERROR(VLOOKUP(D43,الموظفون!A:L,2,FALSE),"")</f>
        <v/>
      </c>
      <c r="F43" s="3"/>
      <c r="G43" s="3"/>
      <c r="H43" s="3"/>
      <c r="I43" s="3"/>
      <c r="J43" s="3"/>
      <c r="K43" s="3" t="str">
        <f>IF(B43="","",IF(OR(D43="",F43=""),"ناقص بيانات",IF(F43="نعم","مكتمل","غائب")))</f>
        <v/>
      </c>
      <c r="L43" s="3"/>
    </row>
    <row r="44" spans="1:12" x14ac:dyDescent="0.2">
      <c r="A44" s="3" t="s">
        <v>190</v>
      </c>
      <c r="B44" s="3"/>
      <c r="C44" s="3" t="str">
        <f>IFERROR(VLOOKUP(B44,الخطة!A:O,4,FALSE),"")</f>
        <v/>
      </c>
      <c r="D44" s="3"/>
      <c r="E44" s="3" t="str">
        <f>IFERROR(VLOOKUP(D44,الموظفون!A:L,2,FALSE),"")</f>
        <v/>
      </c>
      <c r="F44" s="3"/>
      <c r="G44" s="3"/>
      <c r="H44" s="3"/>
      <c r="I44" s="3"/>
      <c r="J44" s="3"/>
      <c r="K44" s="3" t="str">
        <f>IF(B44="","",IF(OR(D44="",F44=""),"ناقص بيانات",IF(F44="نعم","مكتمل","غائب")))</f>
        <v/>
      </c>
      <c r="L44" s="3"/>
    </row>
    <row r="45" spans="1:12" x14ac:dyDescent="0.2">
      <c r="A45" s="3" t="s">
        <v>191</v>
      </c>
      <c r="B45" s="3"/>
      <c r="C45" s="3" t="str">
        <f>IFERROR(VLOOKUP(B45,الخطة!A:O,4,FALSE),"")</f>
        <v/>
      </c>
      <c r="D45" s="3"/>
      <c r="E45" s="3" t="str">
        <f>IFERROR(VLOOKUP(D45,الموظفون!A:L,2,FALSE),"")</f>
        <v/>
      </c>
      <c r="F45" s="3"/>
      <c r="G45" s="3"/>
      <c r="H45" s="3"/>
      <c r="I45" s="3"/>
      <c r="J45" s="3"/>
      <c r="K45" s="3" t="str">
        <f>IF(B45="","",IF(OR(D45="",F45=""),"ناقص بيانات",IF(F45="نعم","مكتمل","غائب")))</f>
        <v/>
      </c>
      <c r="L45" s="3"/>
    </row>
    <row r="46" spans="1:12" x14ac:dyDescent="0.2">
      <c r="A46" s="3" t="s">
        <v>192</v>
      </c>
      <c r="B46" s="3"/>
      <c r="C46" s="3" t="str">
        <f>IFERROR(VLOOKUP(B46,الخطة!A:O,4,FALSE),"")</f>
        <v/>
      </c>
      <c r="D46" s="3"/>
      <c r="E46" s="3" t="str">
        <f>IFERROR(VLOOKUP(D46,الموظفون!A:L,2,FALSE),"")</f>
        <v/>
      </c>
      <c r="F46" s="3"/>
      <c r="G46" s="3"/>
      <c r="H46" s="3"/>
      <c r="I46" s="3"/>
      <c r="J46" s="3"/>
      <c r="K46" s="3" t="str">
        <f>IF(B46="","",IF(OR(D46="",F46=""),"ناقص بيانات",IF(F46="نعم","مكتمل","غائب")))</f>
        <v/>
      </c>
      <c r="L46" s="3"/>
    </row>
    <row r="47" spans="1:12" x14ac:dyDescent="0.2">
      <c r="A47" s="3" t="s">
        <v>193</v>
      </c>
      <c r="B47" s="3"/>
      <c r="C47" s="3" t="str">
        <f>IFERROR(VLOOKUP(B47,الخطة!A:O,4,FALSE),"")</f>
        <v/>
      </c>
      <c r="D47" s="3"/>
      <c r="E47" s="3" t="str">
        <f>IFERROR(VLOOKUP(D47,الموظفون!A:L,2,FALSE),"")</f>
        <v/>
      </c>
      <c r="F47" s="3"/>
      <c r="G47" s="3"/>
      <c r="H47" s="3"/>
      <c r="I47" s="3"/>
      <c r="J47" s="3"/>
      <c r="K47" s="3" t="str">
        <f>IF(B47="","",IF(OR(D47="",F47=""),"ناقص بيانات",IF(F47="نعم","مكتمل","غائب")))</f>
        <v/>
      </c>
      <c r="L47" s="3"/>
    </row>
    <row r="48" spans="1:12" x14ac:dyDescent="0.2">
      <c r="A48" s="3" t="s">
        <v>194</v>
      </c>
      <c r="B48" s="3"/>
      <c r="C48" s="3" t="str">
        <f>IFERROR(VLOOKUP(B48,الخطة!A:O,4,FALSE),"")</f>
        <v/>
      </c>
      <c r="D48" s="3"/>
      <c r="E48" s="3" t="str">
        <f>IFERROR(VLOOKUP(D48,الموظفون!A:L,2,FALSE),"")</f>
        <v/>
      </c>
      <c r="F48" s="3"/>
      <c r="G48" s="3"/>
      <c r="H48" s="3"/>
      <c r="I48" s="3"/>
      <c r="J48" s="3"/>
      <c r="K48" s="3" t="str">
        <f>IF(B48="","",IF(OR(D48="",F48=""),"ناقص بيانات",IF(F48="نعم","مكتمل","غائب")))</f>
        <v/>
      </c>
      <c r="L48" s="3"/>
    </row>
    <row r="49" spans="1:12" x14ac:dyDescent="0.2">
      <c r="A49" s="3" t="s">
        <v>195</v>
      </c>
      <c r="B49" s="3"/>
      <c r="C49" s="3" t="str">
        <f>IFERROR(VLOOKUP(B49,الخطة!A:O,4,FALSE),"")</f>
        <v/>
      </c>
      <c r="D49" s="3"/>
      <c r="E49" s="3" t="str">
        <f>IFERROR(VLOOKUP(D49,الموظفون!A:L,2,FALSE),"")</f>
        <v/>
      </c>
      <c r="F49" s="3"/>
      <c r="G49" s="3"/>
      <c r="H49" s="3"/>
      <c r="I49" s="3"/>
      <c r="J49" s="3"/>
      <c r="K49" s="3" t="str">
        <f>IF(B49="","",IF(OR(D49="",F49=""),"ناقص بيانات",IF(F49="نعم","مكتمل","غائب")))</f>
        <v/>
      </c>
      <c r="L49" s="3"/>
    </row>
    <row r="50" spans="1:12" x14ac:dyDescent="0.2">
      <c r="A50" s="3" t="s">
        <v>196</v>
      </c>
      <c r="B50" s="3"/>
      <c r="C50" s="3" t="str">
        <f>IFERROR(VLOOKUP(B50,الخطة!A:O,4,FALSE),"")</f>
        <v/>
      </c>
      <c r="D50" s="3"/>
      <c r="E50" s="3" t="str">
        <f>IFERROR(VLOOKUP(D50,الموظفون!A:L,2,FALSE),"")</f>
        <v/>
      </c>
      <c r="F50" s="3"/>
      <c r="G50" s="3"/>
      <c r="H50" s="3"/>
      <c r="I50" s="3"/>
      <c r="J50" s="3"/>
      <c r="K50" s="3" t="str">
        <f>IF(B50="","",IF(OR(D50="",F50=""),"ناقص بيانات",IF(F50="نعم","مكتمل","غائب")))</f>
        <v/>
      </c>
      <c r="L50" s="3"/>
    </row>
    <row r="51" spans="1:12" x14ac:dyDescent="0.2">
      <c r="A51" s="3" t="s">
        <v>197</v>
      </c>
      <c r="B51" s="3"/>
      <c r="C51" s="3" t="str">
        <f>IFERROR(VLOOKUP(B51,الخطة!A:O,4,FALSE),"")</f>
        <v/>
      </c>
      <c r="D51" s="3"/>
      <c r="E51" s="3" t="str">
        <f>IFERROR(VLOOKUP(D51,الموظفون!A:L,2,FALSE),"")</f>
        <v/>
      </c>
      <c r="F51" s="3"/>
      <c r="G51" s="3"/>
      <c r="H51" s="3"/>
      <c r="I51" s="3"/>
      <c r="J51" s="3"/>
      <c r="K51" s="3" t="str">
        <f>IF(B51="","",IF(OR(D51="",F51=""),"ناقص بيانات",IF(F51="نعم","مكتمل","غائب")))</f>
        <v/>
      </c>
      <c r="L51" s="3"/>
    </row>
    <row r="52" spans="1:12" x14ac:dyDescent="0.2">
      <c r="A52" s="3" t="s">
        <v>198</v>
      </c>
      <c r="B52" s="3"/>
      <c r="C52" s="3" t="str">
        <f>IFERROR(VLOOKUP(B52,الخطة!A:O,4,FALSE),"")</f>
        <v/>
      </c>
      <c r="D52" s="3"/>
      <c r="E52" s="3" t="str">
        <f>IFERROR(VLOOKUP(D52,الموظفون!A:L,2,FALSE),"")</f>
        <v/>
      </c>
      <c r="F52" s="3"/>
      <c r="G52" s="3"/>
      <c r="H52" s="3"/>
      <c r="I52" s="3"/>
      <c r="J52" s="3"/>
      <c r="K52" s="3" t="str">
        <f>IF(B52="","",IF(OR(D52="",F52=""),"ناقص بيانات",IF(F52="نعم","مكتمل","غائب")))</f>
        <v/>
      </c>
      <c r="L52" s="3"/>
    </row>
    <row r="53" spans="1:12" x14ac:dyDescent="0.2">
      <c r="A53" s="3" t="s">
        <v>199</v>
      </c>
      <c r="B53" s="3"/>
      <c r="C53" s="3" t="str">
        <f>IFERROR(VLOOKUP(B53,الخطة!A:O,4,FALSE),"")</f>
        <v/>
      </c>
      <c r="D53" s="3"/>
      <c r="E53" s="3" t="str">
        <f>IFERROR(VLOOKUP(D53,الموظفون!A:L,2,FALSE),"")</f>
        <v/>
      </c>
      <c r="F53" s="3"/>
      <c r="G53" s="3"/>
      <c r="H53" s="3"/>
      <c r="I53" s="3"/>
      <c r="J53" s="3"/>
      <c r="K53" s="3" t="str">
        <f>IF(B53="","",IF(OR(D53="",F53=""),"ناقص بيانات",IF(F53="نعم","مكتمل","غائب")))</f>
        <v/>
      </c>
      <c r="L53" s="3"/>
    </row>
    <row r="54" spans="1:12" x14ac:dyDescent="0.2">
      <c r="A54" s="3" t="s">
        <v>200</v>
      </c>
      <c r="B54" s="3"/>
      <c r="C54" s="3" t="str">
        <f>IFERROR(VLOOKUP(B54,الخطة!A:O,4,FALSE),"")</f>
        <v/>
      </c>
      <c r="D54" s="3"/>
      <c r="E54" s="3" t="str">
        <f>IFERROR(VLOOKUP(D54,الموظفون!A:L,2,FALSE),"")</f>
        <v/>
      </c>
      <c r="F54" s="3"/>
      <c r="G54" s="3"/>
      <c r="H54" s="3"/>
      <c r="I54" s="3"/>
      <c r="J54" s="3"/>
      <c r="K54" s="3" t="str">
        <f>IF(B54="","",IF(OR(D54="",F54=""),"ناقص بيانات",IF(F54="نعم","مكتمل","غائب")))</f>
        <v/>
      </c>
      <c r="L54" s="3"/>
    </row>
    <row r="55" spans="1:12" x14ac:dyDescent="0.2">
      <c r="A55" s="3" t="s">
        <v>201</v>
      </c>
      <c r="B55" s="3"/>
      <c r="C55" s="3" t="str">
        <f>IFERROR(VLOOKUP(B55,الخطة!A:O,4,FALSE),"")</f>
        <v/>
      </c>
      <c r="D55" s="3"/>
      <c r="E55" s="3" t="str">
        <f>IFERROR(VLOOKUP(D55,الموظفون!A:L,2,FALSE),"")</f>
        <v/>
      </c>
      <c r="F55" s="3"/>
      <c r="G55" s="3"/>
      <c r="H55" s="3"/>
      <c r="I55" s="3"/>
      <c r="J55" s="3"/>
      <c r="K55" s="3" t="str">
        <f>IF(B55="","",IF(OR(D55="",F55=""),"ناقص بيانات",IF(F55="نعم","مكتمل","غائب")))</f>
        <v/>
      </c>
      <c r="L55" s="3"/>
    </row>
    <row r="56" spans="1:12" x14ac:dyDescent="0.2">
      <c r="A56" s="3" t="s">
        <v>202</v>
      </c>
      <c r="B56" s="3"/>
      <c r="C56" s="3" t="str">
        <f>IFERROR(VLOOKUP(B56,الخطة!A:O,4,FALSE),"")</f>
        <v/>
      </c>
      <c r="D56" s="3"/>
      <c r="E56" s="3" t="str">
        <f>IFERROR(VLOOKUP(D56,الموظفون!A:L,2,FALSE),"")</f>
        <v/>
      </c>
      <c r="F56" s="3"/>
      <c r="G56" s="3"/>
      <c r="H56" s="3"/>
      <c r="I56" s="3"/>
      <c r="J56" s="3"/>
      <c r="K56" s="3" t="str">
        <f>IF(B56="","",IF(OR(D56="",F56=""),"ناقص بيانات",IF(F56="نعم","مكتمل","غائب")))</f>
        <v/>
      </c>
      <c r="L56" s="3"/>
    </row>
    <row r="57" spans="1:12" x14ac:dyDescent="0.2">
      <c r="A57" s="3" t="s">
        <v>203</v>
      </c>
      <c r="B57" s="3"/>
      <c r="C57" s="3" t="str">
        <f>IFERROR(VLOOKUP(B57,الخطة!A:O,4,FALSE),"")</f>
        <v/>
      </c>
      <c r="D57" s="3"/>
      <c r="E57" s="3" t="str">
        <f>IFERROR(VLOOKUP(D57,الموظفون!A:L,2,FALSE),"")</f>
        <v/>
      </c>
      <c r="F57" s="3"/>
      <c r="G57" s="3"/>
      <c r="H57" s="3"/>
      <c r="I57" s="3"/>
      <c r="J57" s="3"/>
      <c r="K57" s="3" t="str">
        <f>IF(B57="","",IF(OR(D57="",F57=""),"ناقص بيانات",IF(F57="نعم","مكتمل","غائب")))</f>
        <v/>
      </c>
      <c r="L57" s="3"/>
    </row>
    <row r="58" spans="1:12" x14ac:dyDescent="0.2">
      <c r="A58" s="3" t="s">
        <v>204</v>
      </c>
      <c r="B58" s="3"/>
      <c r="C58" s="3" t="str">
        <f>IFERROR(VLOOKUP(B58,الخطة!A:O,4,FALSE),"")</f>
        <v/>
      </c>
      <c r="D58" s="3"/>
      <c r="E58" s="3" t="str">
        <f>IFERROR(VLOOKUP(D58,الموظفون!A:L,2,FALSE),"")</f>
        <v/>
      </c>
      <c r="F58" s="3"/>
      <c r="G58" s="3"/>
      <c r="H58" s="3"/>
      <c r="I58" s="3"/>
      <c r="J58" s="3"/>
      <c r="K58" s="3" t="str">
        <f>IF(B58="","",IF(OR(D58="",F58=""),"ناقص بيانات",IF(F58="نعم","مكتمل","غائب")))</f>
        <v/>
      </c>
      <c r="L58" s="3"/>
    </row>
    <row r="59" spans="1:12" x14ac:dyDescent="0.2">
      <c r="A59" s="3" t="s">
        <v>205</v>
      </c>
      <c r="B59" s="3"/>
      <c r="C59" s="3" t="str">
        <f>IFERROR(VLOOKUP(B59,الخطة!A:O,4,FALSE),"")</f>
        <v/>
      </c>
      <c r="D59" s="3"/>
      <c r="E59" s="3" t="str">
        <f>IFERROR(VLOOKUP(D59,الموظفون!A:L,2,FALSE),"")</f>
        <v/>
      </c>
      <c r="F59" s="3"/>
      <c r="G59" s="3"/>
      <c r="H59" s="3"/>
      <c r="I59" s="3"/>
      <c r="J59" s="3"/>
      <c r="K59" s="3" t="str">
        <f>IF(B59="","",IF(OR(D59="",F59=""),"ناقص بيانات",IF(F59="نعم","مكتمل","غائب")))</f>
        <v/>
      </c>
      <c r="L59" s="3"/>
    </row>
    <row r="60" spans="1:12" x14ac:dyDescent="0.2">
      <c r="A60" s="3" t="s">
        <v>206</v>
      </c>
      <c r="B60" s="3"/>
      <c r="C60" s="3" t="str">
        <f>IFERROR(VLOOKUP(B60,الخطة!A:O,4,FALSE),"")</f>
        <v/>
      </c>
      <c r="D60" s="3"/>
      <c r="E60" s="3" t="str">
        <f>IFERROR(VLOOKUP(D60,الموظفون!A:L,2,FALSE),"")</f>
        <v/>
      </c>
      <c r="F60" s="3"/>
      <c r="G60" s="3"/>
      <c r="H60" s="3"/>
      <c r="I60" s="3"/>
      <c r="J60" s="3"/>
      <c r="K60" s="3" t="str">
        <f>IF(B60="","",IF(OR(D60="",F60=""),"ناقص بيانات",IF(F60="نعم","مكتمل","غائب")))</f>
        <v/>
      </c>
      <c r="L60" s="3"/>
    </row>
    <row r="61" spans="1:12" x14ac:dyDescent="0.2">
      <c r="A61" s="3" t="s">
        <v>207</v>
      </c>
      <c r="B61" s="3"/>
      <c r="C61" s="3" t="str">
        <f>IFERROR(VLOOKUP(B61,الخطة!A:O,4,FALSE),"")</f>
        <v/>
      </c>
      <c r="D61" s="3"/>
      <c r="E61" s="3" t="str">
        <f>IFERROR(VLOOKUP(D61,الموظفون!A:L,2,FALSE),"")</f>
        <v/>
      </c>
      <c r="F61" s="3"/>
      <c r="G61" s="3"/>
      <c r="H61" s="3"/>
      <c r="I61" s="3"/>
      <c r="J61" s="3"/>
      <c r="K61" s="3" t="str">
        <f>IF(B61="","",IF(OR(D61="",F61=""),"ناقص بيانات",IF(F61="نعم","مكتمل","غائب")))</f>
        <v/>
      </c>
      <c r="L61" s="3"/>
    </row>
    <row r="62" spans="1:12" x14ac:dyDescent="0.2">
      <c r="A62" s="3" t="s">
        <v>208</v>
      </c>
      <c r="B62" s="3"/>
      <c r="C62" s="3" t="str">
        <f>IFERROR(VLOOKUP(B62,الخطة!A:O,4,FALSE),"")</f>
        <v/>
      </c>
      <c r="D62" s="3"/>
      <c r="E62" s="3" t="str">
        <f>IFERROR(VLOOKUP(D62,الموظفون!A:L,2,FALSE),"")</f>
        <v/>
      </c>
      <c r="F62" s="3"/>
      <c r="G62" s="3"/>
      <c r="H62" s="3"/>
      <c r="I62" s="3"/>
      <c r="J62" s="3"/>
      <c r="K62" s="3" t="str">
        <f>IF(B62="","",IF(OR(D62="",F62=""),"ناقص بيانات",IF(F62="نعم","مكتمل","غائب")))</f>
        <v/>
      </c>
      <c r="L62" s="3"/>
    </row>
    <row r="63" spans="1:12" x14ac:dyDescent="0.2">
      <c r="A63" s="3" t="s">
        <v>209</v>
      </c>
      <c r="B63" s="3"/>
      <c r="C63" s="3" t="str">
        <f>IFERROR(VLOOKUP(B63,الخطة!A:O,4,FALSE),"")</f>
        <v/>
      </c>
      <c r="D63" s="3"/>
      <c r="E63" s="3" t="str">
        <f>IFERROR(VLOOKUP(D63,الموظفون!A:L,2,FALSE),"")</f>
        <v/>
      </c>
      <c r="F63" s="3"/>
      <c r="G63" s="3"/>
      <c r="H63" s="3"/>
      <c r="I63" s="3"/>
      <c r="J63" s="3"/>
      <c r="K63" s="3" t="str">
        <f>IF(B63="","",IF(OR(D63="",F63=""),"ناقص بيانات",IF(F63="نعم","مكتمل","غائب")))</f>
        <v/>
      </c>
      <c r="L63" s="3"/>
    </row>
    <row r="64" spans="1:12" x14ac:dyDescent="0.2">
      <c r="A64" s="3" t="s">
        <v>210</v>
      </c>
      <c r="B64" s="3"/>
      <c r="C64" s="3" t="str">
        <f>IFERROR(VLOOKUP(B64,الخطة!A:O,4,FALSE),"")</f>
        <v/>
      </c>
      <c r="D64" s="3"/>
      <c r="E64" s="3" t="str">
        <f>IFERROR(VLOOKUP(D64,الموظفون!A:L,2,FALSE),"")</f>
        <v/>
      </c>
      <c r="F64" s="3"/>
      <c r="G64" s="3"/>
      <c r="H64" s="3"/>
      <c r="I64" s="3"/>
      <c r="J64" s="3"/>
      <c r="K64" s="3" t="str">
        <f>IF(B64="","",IF(OR(D64="",F64=""),"ناقص بيانات",IF(F64="نعم","مكتمل","غائب")))</f>
        <v/>
      </c>
      <c r="L64" s="3"/>
    </row>
    <row r="65" spans="1:12" x14ac:dyDescent="0.2">
      <c r="A65" s="3" t="s">
        <v>211</v>
      </c>
      <c r="B65" s="3"/>
      <c r="C65" s="3" t="str">
        <f>IFERROR(VLOOKUP(B65,الخطة!A:O,4,FALSE),"")</f>
        <v/>
      </c>
      <c r="D65" s="3"/>
      <c r="E65" s="3" t="str">
        <f>IFERROR(VLOOKUP(D65,الموظفون!A:L,2,FALSE),"")</f>
        <v/>
      </c>
      <c r="F65" s="3"/>
      <c r="G65" s="3"/>
      <c r="H65" s="3"/>
      <c r="I65" s="3"/>
      <c r="J65" s="3"/>
      <c r="K65" s="3" t="str">
        <f>IF(B65="","",IF(OR(D65="",F65=""),"ناقص بيانات",IF(F65="نعم","مكتمل","غائب")))</f>
        <v/>
      </c>
      <c r="L65" s="3"/>
    </row>
    <row r="66" spans="1:12" x14ac:dyDescent="0.2">
      <c r="A66" s="3" t="s">
        <v>212</v>
      </c>
      <c r="B66" s="3"/>
      <c r="C66" s="3" t="str">
        <f>IFERROR(VLOOKUP(B66,الخطة!A:O,4,FALSE),"")</f>
        <v/>
      </c>
      <c r="D66" s="3"/>
      <c r="E66" s="3" t="str">
        <f>IFERROR(VLOOKUP(D66,الموظفون!A:L,2,FALSE),"")</f>
        <v/>
      </c>
      <c r="F66" s="3"/>
      <c r="G66" s="3"/>
      <c r="H66" s="3"/>
      <c r="I66" s="3"/>
      <c r="J66" s="3"/>
      <c r="K66" s="3" t="str">
        <f>IF(B66="","",IF(OR(D66="",F66=""),"ناقص بيانات",IF(F66="نعم","مكتمل","غائب")))</f>
        <v/>
      </c>
      <c r="L66" s="3"/>
    </row>
    <row r="67" spans="1:12" x14ac:dyDescent="0.2">
      <c r="A67" s="3" t="s">
        <v>213</v>
      </c>
      <c r="B67" s="3"/>
      <c r="C67" s="3" t="str">
        <f>IFERROR(VLOOKUP(B67,الخطة!A:O,4,FALSE),"")</f>
        <v/>
      </c>
      <c r="D67" s="3"/>
      <c r="E67" s="3" t="str">
        <f>IFERROR(VLOOKUP(D67,الموظفون!A:L,2,FALSE),"")</f>
        <v/>
      </c>
      <c r="F67" s="3"/>
      <c r="G67" s="3"/>
      <c r="H67" s="3"/>
      <c r="I67" s="3"/>
      <c r="J67" s="3"/>
      <c r="K67" s="3" t="str">
        <f>IF(B67="","",IF(OR(D67="",F67=""),"ناقص بيانات",IF(F67="نعم","مكتمل","غائب")))</f>
        <v/>
      </c>
      <c r="L67" s="3"/>
    </row>
    <row r="68" spans="1:12" x14ac:dyDescent="0.2">
      <c r="A68" s="3" t="s">
        <v>214</v>
      </c>
      <c r="B68" s="3"/>
      <c r="C68" s="3" t="str">
        <f>IFERROR(VLOOKUP(B68,الخطة!A:O,4,FALSE),"")</f>
        <v/>
      </c>
      <c r="D68" s="3"/>
      <c r="E68" s="3" t="str">
        <f>IFERROR(VLOOKUP(D68,الموظفون!A:L,2,FALSE),"")</f>
        <v/>
      </c>
      <c r="F68" s="3"/>
      <c r="G68" s="3"/>
      <c r="H68" s="3"/>
      <c r="I68" s="3"/>
      <c r="J68" s="3"/>
      <c r="K68" s="3" t="str">
        <f>IF(B68="","",IF(OR(D68="",F68=""),"ناقص بيانات",IF(F68="نعم","مكتمل","غائب")))</f>
        <v/>
      </c>
      <c r="L68" s="3"/>
    </row>
    <row r="69" spans="1:12" x14ac:dyDescent="0.2">
      <c r="A69" s="3" t="s">
        <v>215</v>
      </c>
      <c r="B69" s="3"/>
      <c r="C69" s="3" t="str">
        <f>IFERROR(VLOOKUP(B69,الخطة!A:O,4,FALSE),"")</f>
        <v/>
      </c>
      <c r="D69" s="3"/>
      <c r="E69" s="3" t="str">
        <f>IFERROR(VLOOKUP(D69,الموظفون!A:L,2,FALSE),"")</f>
        <v/>
      </c>
      <c r="F69" s="3"/>
      <c r="G69" s="3"/>
      <c r="H69" s="3"/>
      <c r="I69" s="3"/>
      <c r="J69" s="3"/>
      <c r="K69" s="3" t="str">
        <f>IF(B69="","",IF(OR(D69="",F69=""),"ناقص بيانات",IF(F69="نعم","مكتمل","غائب")))</f>
        <v/>
      </c>
      <c r="L69" s="3"/>
    </row>
    <row r="70" spans="1:12" x14ac:dyDescent="0.2">
      <c r="A70" s="3" t="s">
        <v>216</v>
      </c>
      <c r="B70" s="3"/>
      <c r="C70" s="3" t="str">
        <f>IFERROR(VLOOKUP(B70,الخطة!A:O,4,FALSE),"")</f>
        <v/>
      </c>
      <c r="D70" s="3"/>
      <c r="E70" s="3" t="str">
        <f>IFERROR(VLOOKUP(D70,الموظفون!A:L,2,FALSE),"")</f>
        <v/>
      </c>
      <c r="F70" s="3"/>
      <c r="G70" s="3"/>
      <c r="H70" s="3"/>
      <c r="I70" s="3"/>
      <c r="J70" s="3"/>
      <c r="K70" s="3" t="str">
        <f>IF(B70="","",IF(OR(D70="",F70=""),"ناقص بيانات",IF(F70="نعم","مكتمل","غائب")))</f>
        <v/>
      </c>
      <c r="L70" s="3"/>
    </row>
    <row r="71" spans="1:12" x14ac:dyDescent="0.2">
      <c r="A71" s="3" t="s">
        <v>217</v>
      </c>
      <c r="B71" s="3"/>
      <c r="C71" s="3" t="str">
        <f>IFERROR(VLOOKUP(B71,الخطة!A:O,4,FALSE),"")</f>
        <v/>
      </c>
      <c r="D71" s="3"/>
      <c r="E71" s="3" t="str">
        <f>IFERROR(VLOOKUP(D71,الموظفون!A:L,2,FALSE),"")</f>
        <v/>
      </c>
      <c r="F71" s="3"/>
      <c r="G71" s="3"/>
      <c r="H71" s="3"/>
      <c r="I71" s="3"/>
      <c r="J71" s="3"/>
      <c r="K71" s="3" t="str">
        <f>IF(B71="","",IF(OR(D71="",F71=""),"ناقص بيانات",IF(F71="نعم","مكتمل","غائب")))</f>
        <v/>
      </c>
      <c r="L71" s="3"/>
    </row>
    <row r="72" spans="1:12" x14ac:dyDescent="0.2">
      <c r="A72" s="3" t="s">
        <v>218</v>
      </c>
      <c r="B72" s="3"/>
      <c r="C72" s="3" t="str">
        <f>IFERROR(VLOOKUP(B72,الخطة!A:O,4,FALSE),"")</f>
        <v/>
      </c>
      <c r="D72" s="3"/>
      <c r="E72" s="3" t="str">
        <f>IFERROR(VLOOKUP(D72,الموظفون!A:L,2,FALSE),"")</f>
        <v/>
      </c>
      <c r="F72" s="3"/>
      <c r="G72" s="3"/>
      <c r="H72" s="3"/>
      <c r="I72" s="3"/>
      <c r="J72" s="3"/>
      <c r="K72" s="3" t="str">
        <f>IF(B72="","",IF(OR(D72="",F72=""),"ناقص بيانات",IF(F72="نعم","مكتمل","غائب")))</f>
        <v/>
      </c>
      <c r="L72" s="3"/>
    </row>
    <row r="73" spans="1:12" x14ac:dyDescent="0.2">
      <c r="A73" s="3" t="s">
        <v>219</v>
      </c>
      <c r="B73" s="3"/>
      <c r="C73" s="3" t="str">
        <f>IFERROR(VLOOKUP(B73,الخطة!A:O,4,FALSE),"")</f>
        <v/>
      </c>
      <c r="D73" s="3"/>
      <c r="E73" s="3" t="str">
        <f>IFERROR(VLOOKUP(D73,الموظفون!A:L,2,FALSE),"")</f>
        <v/>
      </c>
      <c r="F73" s="3"/>
      <c r="G73" s="3"/>
      <c r="H73" s="3"/>
      <c r="I73" s="3"/>
      <c r="J73" s="3"/>
      <c r="K73" s="3" t="str">
        <f>IF(B73="","",IF(OR(D73="",F73=""),"ناقص بيانات",IF(F73="نعم","مكتمل","غائب")))</f>
        <v/>
      </c>
      <c r="L73" s="3"/>
    </row>
    <row r="74" spans="1:12" x14ac:dyDescent="0.2">
      <c r="A74" s="3" t="s">
        <v>220</v>
      </c>
      <c r="B74" s="3"/>
      <c r="C74" s="3" t="str">
        <f>IFERROR(VLOOKUP(B74,الخطة!A:O,4,FALSE),"")</f>
        <v/>
      </c>
      <c r="D74" s="3"/>
      <c r="E74" s="3" t="str">
        <f>IFERROR(VLOOKUP(D74,الموظفون!A:L,2,FALSE),"")</f>
        <v/>
      </c>
      <c r="F74" s="3"/>
      <c r="G74" s="3"/>
      <c r="H74" s="3"/>
      <c r="I74" s="3"/>
      <c r="J74" s="3"/>
      <c r="K74" s="3" t="str">
        <f>IF(B74="","",IF(OR(D74="",F74=""),"ناقص بيانات",IF(F74="نعم","مكتمل","غائب")))</f>
        <v/>
      </c>
      <c r="L74" s="3"/>
    </row>
    <row r="75" spans="1:12" x14ac:dyDescent="0.2">
      <c r="A75" s="3" t="s">
        <v>221</v>
      </c>
      <c r="B75" s="3"/>
      <c r="C75" s="3" t="str">
        <f>IFERROR(VLOOKUP(B75,الخطة!A:O,4,FALSE),"")</f>
        <v/>
      </c>
      <c r="D75" s="3"/>
      <c r="E75" s="3" t="str">
        <f>IFERROR(VLOOKUP(D75,الموظفون!A:L,2,FALSE),"")</f>
        <v/>
      </c>
      <c r="F75" s="3"/>
      <c r="G75" s="3"/>
      <c r="H75" s="3"/>
      <c r="I75" s="3"/>
      <c r="J75" s="3"/>
      <c r="K75" s="3" t="str">
        <f>IF(B75="","",IF(OR(D75="",F75=""),"ناقص بيانات",IF(F75="نعم","مكتمل","غائب")))</f>
        <v/>
      </c>
      <c r="L75" s="3"/>
    </row>
    <row r="76" spans="1:12" x14ac:dyDescent="0.2">
      <c r="A76" s="3" t="s">
        <v>222</v>
      </c>
      <c r="B76" s="3"/>
      <c r="C76" s="3" t="str">
        <f>IFERROR(VLOOKUP(B76,الخطة!A:O,4,FALSE),"")</f>
        <v/>
      </c>
      <c r="D76" s="3"/>
      <c r="E76" s="3" t="str">
        <f>IFERROR(VLOOKUP(D76,الموظفون!A:L,2,FALSE),"")</f>
        <v/>
      </c>
      <c r="F76" s="3"/>
      <c r="G76" s="3"/>
      <c r="H76" s="3"/>
      <c r="I76" s="3"/>
      <c r="J76" s="3"/>
      <c r="K76" s="3" t="str">
        <f>IF(B76="","",IF(OR(D76="",F76=""),"ناقص بيانات",IF(F76="نعم","مكتمل","غائب")))</f>
        <v/>
      </c>
      <c r="L76" s="3"/>
    </row>
    <row r="77" spans="1:12" x14ac:dyDescent="0.2">
      <c r="A77" s="3" t="s">
        <v>223</v>
      </c>
      <c r="B77" s="3"/>
      <c r="C77" s="3" t="str">
        <f>IFERROR(VLOOKUP(B77,الخطة!A:O,4,FALSE),"")</f>
        <v/>
      </c>
      <c r="D77" s="3"/>
      <c r="E77" s="3" t="str">
        <f>IFERROR(VLOOKUP(D77,الموظفون!A:L,2,FALSE),"")</f>
        <v/>
      </c>
      <c r="F77" s="3"/>
      <c r="G77" s="3"/>
      <c r="H77" s="3"/>
      <c r="I77" s="3"/>
      <c r="J77" s="3"/>
      <c r="K77" s="3" t="str">
        <f>IF(B77="","",IF(OR(D77="",F77=""),"ناقص بيانات",IF(F77="نعم","مكتمل","غائب")))</f>
        <v/>
      </c>
      <c r="L77" s="3"/>
    </row>
    <row r="78" spans="1:12" x14ac:dyDescent="0.2">
      <c r="A78" s="3" t="s">
        <v>224</v>
      </c>
      <c r="B78" s="3"/>
      <c r="C78" s="3" t="str">
        <f>IFERROR(VLOOKUP(B78,الخطة!A:O,4,FALSE),"")</f>
        <v/>
      </c>
      <c r="D78" s="3"/>
      <c r="E78" s="3" t="str">
        <f>IFERROR(VLOOKUP(D78,الموظفون!A:L,2,FALSE),"")</f>
        <v/>
      </c>
      <c r="F78" s="3"/>
      <c r="G78" s="3"/>
      <c r="H78" s="3"/>
      <c r="I78" s="3"/>
      <c r="J78" s="3"/>
      <c r="K78" s="3" t="str">
        <f>IF(B78="","",IF(OR(D78="",F78=""),"ناقص بيانات",IF(F78="نعم","مكتمل","غائب")))</f>
        <v/>
      </c>
      <c r="L78" s="3"/>
    </row>
    <row r="79" spans="1:12" x14ac:dyDescent="0.2">
      <c r="A79" s="3" t="s">
        <v>225</v>
      </c>
      <c r="B79" s="3"/>
      <c r="C79" s="3" t="str">
        <f>IFERROR(VLOOKUP(B79,الخطة!A:O,4,FALSE),"")</f>
        <v/>
      </c>
      <c r="D79" s="3"/>
      <c r="E79" s="3" t="str">
        <f>IFERROR(VLOOKUP(D79,الموظفون!A:L,2,FALSE),"")</f>
        <v/>
      </c>
      <c r="F79" s="3"/>
      <c r="G79" s="3"/>
      <c r="H79" s="3"/>
      <c r="I79" s="3"/>
      <c r="J79" s="3"/>
      <c r="K79" s="3" t="str">
        <f>IF(B79="","",IF(OR(D79="",F79=""),"ناقص بيانات",IF(F79="نعم","مكتمل","غائب")))</f>
        <v/>
      </c>
      <c r="L79" s="3"/>
    </row>
    <row r="80" spans="1:12" x14ac:dyDescent="0.2">
      <c r="A80" s="3" t="s">
        <v>226</v>
      </c>
      <c r="B80" s="3"/>
      <c r="C80" s="3" t="str">
        <f>IFERROR(VLOOKUP(B80,الخطة!A:O,4,FALSE),"")</f>
        <v/>
      </c>
      <c r="D80" s="3"/>
      <c r="E80" s="3" t="str">
        <f>IFERROR(VLOOKUP(D80,الموظفون!A:L,2,FALSE),"")</f>
        <v/>
      </c>
      <c r="F80" s="3"/>
      <c r="G80" s="3"/>
      <c r="H80" s="3"/>
      <c r="I80" s="3"/>
      <c r="J80" s="3"/>
      <c r="K80" s="3" t="str">
        <f>IF(B80="","",IF(OR(D80="",F80=""),"ناقص بيانات",IF(F80="نعم","مكتمل","غائب")))</f>
        <v/>
      </c>
      <c r="L80" s="3"/>
    </row>
    <row r="81" spans="1:12" x14ac:dyDescent="0.2">
      <c r="A81" s="3" t="s">
        <v>227</v>
      </c>
      <c r="B81" s="3"/>
      <c r="C81" s="3" t="str">
        <f>IFERROR(VLOOKUP(B81,الخطة!A:O,4,FALSE),"")</f>
        <v/>
      </c>
      <c r="D81" s="3"/>
      <c r="E81" s="3" t="str">
        <f>IFERROR(VLOOKUP(D81,الموظفون!A:L,2,FALSE),"")</f>
        <v/>
      </c>
      <c r="F81" s="3"/>
      <c r="G81" s="3"/>
      <c r="H81" s="3"/>
      <c r="I81" s="3"/>
      <c r="J81" s="3"/>
      <c r="K81" s="3" t="str">
        <f>IF(B81="","",IF(OR(D81="",F81=""),"ناقص بيانات",IF(F81="نعم","مكتمل","غائب")))</f>
        <v/>
      </c>
      <c r="L81" s="3"/>
    </row>
    <row r="82" spans="1:12" x14ac:dyDescent="0.2">
      <c r="A82" s="3" t="s">
        <v>228</v>
      </c>
      <c r="B82" s="3"/>
      <c r="C82" s="3" t="str">
        <f>IFERROR(VLOOKUP(B82,الخطة!A:O,4,FALSE),"")</f>
        <v/>
      </c>
      <c r="D82" s="3"/>
      <c r="E82" s="3" t="str">
        <f>IFERROR(VLOOKUP(D82,الموظفون!A:L,2,FALSE),"")</f>
        <v/>
      </c>
      <c r="F82" s="3"/>
      <c r="G82" s="3"/>
      <c r="H82" s="3"/>
      <c r="I82" s="3"/>
      <c r="J82" s="3"/>
      <c r="K82" s="3" t="str">
        <f>IF(B82="","",IF(OR(D82="",F82=""),"ناقص بيانات",IF(F82="نعم","مكتمل","غائب")))</f>
        <v/>
      </c>
      <c r="L82" s="3"/>
    </row>
    <row r="83" spans="1:12" x14ac:dyDescent="0.2">
      <c r="A83" s="3" t="s">
        <v>229</v>
      </c>
      <c r="B83" s="3"/>
      <c r="C83" s="3" t="str">
        <f>IFERROR(VLOOKUP(B83,الخطة!A:O,4,FALSE),"")</f>
        <v/>
      </c>
      <c r="D83" s="3"/>
      <c r="E83" s="3" t="str">
        <f>IFERROR(VLOOKUP(D83,الموظفون!A:L,2,FALSE),"")</f>
        <v/>
      </c>
      <c r="F83" s="3"/>
      <c r="G83" s="3"/>
      <c r="H83" s="3"/>
      <c r="I83" s="3"/>
      <c r="J83" s="3"/>
      <c r="K83" s="3" t="str">
        <f>IF(B83="","",IF(OR(D83="",F83=""),"ناقص بيانات",IF(F83="نعم","مكتمل","غائب")))</f>
        <v/>
      </c>
      <c r="L83" s="3"/>
    </row>
    <row r="84" spans="1:12" x14ac:dyDescent="0.2">
      <c r="A84" s="3" t="s">
        <v>230</v>
      </c>
      <c r="B84" s="3"/>
      <c r="C84" s="3" t="str">
        <f>IFERROR(VLOOKUP(B84,الخطة!A:O,4,FALSE),"")</f>
        <v/>
      </c>
      <c r="D84" s="3"/>
      <c r="E84" s="3" t="str">
        <f>IFERROR(VLOOKUP(D84,الموظفون!A:L,2,FALSE),"")</f>
        <v/>
      </c>
      <c r="F84" s="3"/>
      <c r="G84" s="3"/>
      <c r="H84" s="3"/>
      <c r="I84" s="3"/>
      <c r="J84" s="3"/>
      <c r="K84" s="3" t="str">
        <f>IF(B84="","",IF(OR(D84="",F84=""),"ناقص بيانات",IF(F84="نعم","مكتمل","غائب")))</f>
        <v/>
      </c>
      <c r="L84" s="3"/>
    </row>
    <row r="85" spans="1:12" x14ac:dyDescent="0.2">
      <c r="A85" s="3" t="s">
        <v>231</v>
      </c>
      <c r="B85" s="3"/>
      <c r="C85" s="3" t="str">
        <f>IFERROR(VLOOKUP(B85,الخطة!A:O,4,FALSE),"")</f>
        <v/>
      </c>
      <c r="D85" s="3"/>
      <c r="E85" s="3" t="str">
        <f>IFERROR(VLOOKUP(D85,الموظفون!A:L,2,FALSE),"")</f>
        <v/>
      </c>
      <c r="F85" s="3"/>
      <c r="G85" s="3"/>
      <c r="H85" s="3"/>
      <c r="I85" s="3"/>
      <c r="J85" s="3"/>
      <c r="K85" s="3" t="str">
        <f>IF(B85="","",IF(OR(D85="",F85=""),"ناقص بيانات",IF(F85="نعم","مكتمل","غائب")))</f>
        <v/>
      </c>
      <c r="L85" s="3"/>
    </row>
    <row r="86" spans="1:12" x14ac:dyDescent="0.2">
      <c r="A86" s="3" t="s">
        <v>232</v>
      </c>
      <c r="B86" s="3"/>
      <c r="C86" s="3" t="str">
        <f>IFERROR(VLOOKUP(B86,الخطة!A:O,4,FALSE),"")</f>
        <v/>
      </c>
      <c r="D86" s="3"/>
      <c r="E86" s="3" t="str">
        <f>IFERROR(VLOOKUP(D86,الموظفون!A:L,2,FALSE),"")</f>
        <v/>
      </c>
      <c r="F86" s="3"/>
      <c r="G86" s="3"/>
      <c r="H86" s="3"/>
      <c r="I86" s="3"/>
      <c r="J86" s="3"/>
      <c r="K86" s="3" t="str">
        <f>IF(B86="","",IF(OR(D86="",F86=""),"ناقص بيانات",IF(F86="نعم","مكتمل","غائب")))</f>
        <v/>
      </c>
      <c r="L86" s="3"/>
    </row>
    <row r="87" spans="1:12" x14ac:dyDescent="0.2">
      <c r="A87" s="3" t="s">
        <v>233</v>
      </c>
      <c r="B87" s="3"/>
      <c r="C87" s="3" t="str">
        <f>IFERROR(VLOOKUP(B87,الخطة!A:O,4,FALSE),"")</f>
        <v/>
      </c>
      <c r="D87" s="3"/>
      <c r="E87" s="3" t="str">
        <f>IFERROR(VLOOKUP(D87,الموظفون!A:L,2,FALSE),"")</f>
        <v/>
      </c>
      <c r="F87" s="3"/>
      <c r="G87" s="3"/>
      <c r="H87" s="3"/>
      <c r="I87" s="3"/>
      <c r="J87" s="3"/>
      <c r="K87" s="3" t="str">
        <f>IF(B87="","",IF(OR(D87="",F87=""),"ناقص بيانات",IF(F87="نعم","مكتمل","غائب")))</f>
        <v/>
      </c>
      <c r="L87" s="3"/>
    </row>
    <row r="88" spans="1:12" x14ac:dyDescent="0.2">
      <c r="A88" s="3" t="s">
        <v>234</v>
      </c>
      <c r="B88" s="3"/>
      <c r="C88" s="3" t="str">
        <f>IFERROR(VLOOKUP(B88,الخطة!A:O,4,FALSE),"")</f>
        <v/>
      </c>
      <c r="D88" s="3"/>
      <c r="E88" s="3" t="str">
        <f>IFERROR(VLOOKUP(D88,الموظفون!A:L,2,FALSE),"")</f>
        <v/>
      </c>
      <c r="F88" s="3"/>
      <c r="G88" s="3"/>
      <c r="H88" s="3"/>
      <c r="I88" s="3"/>
      <c r="J88" s="3"/>
      <c r="K88" s="3" t="str">
        <f>IF(B88="","",IF(OR(D88="",F88=""),"ناقص بيانات",IF(F88="نعم","مكتمل","غائب")))</f>
        <v/>
      </c>
      <c r="L88" s="3"/>
    </row>
    <row r="89" spans="1:12" x14ac:dyDescent="0.2">
      <c r="A89" s="3" t="s">
        <v>235</v>
      </c>
      <c r="B89" s="3"/>
      <c r="C89" s="3" t="str">
        <f>IFERROR(VLOOKUP(B89,الخطة!A:O,4,FALSE),"")</f>
        <v/>
      </c>
      <c r="D89" s="3"/>
      <c r="E89" s="3" t="str">
        <f>IFERROR(VLOOKUP(D89,الموظفون!A:L,2,FALSE),"")</f>
        <v/>
      </c>
      <c r="F89" s="3"/>
      <c r="G89" s="3"/>
      <c r="H89" s="3"/>
      <c r="I89" s="3"/>
      <c r="J89" s="3"/>
      <c r="K89" s="3" t="str">
        <f>IF(B89="","",IF(OR(D89="",F89=""),"ناقص بيانات",IF(F89="نعم","مكتمل","غائب")))</f>
        <v/>
      </c>
      <c r="L89" s="3"/>
    </row>
    <row r="90" spans="1:12" x14ac:dyDescent="0.2">
      <c r="A90" s="3" t="s">
        <v>236</v>
      </c>
      <c r="B90" s="3"/>
      <c r="C90" s="3" t="str">
        <f>IFERROR(VLOOKUP(B90,الخطة!A:O,4,FALSE),"")</f>
        <v/>
      </c>
      <c r="D90" s="3"/>
      <c r="E90" s="3" t="str">
        <f>IFERROR(VLOOKUP(D90,الموظفون!A:L,2,FALSE),"")</f>
        <v/>
      </c>
      <c r="F90" s="3"/>
      <c r="G90" s="3"/>
      <c r="H90" s="3"/>
      <c r="I90" s="3"/>
      <c r="J90" s="3"/>
      <c r="K90" s="3" t="str">
        <f>IF(B90="","",IF(OR(D90="",F90=""),"ناقص بيانات",IF(F90="نعم","مكتمل","غائب")))</f>
        <v/>
      </c>
      <c r="L90" s="3"/>
    </row>
    <row r="91" spans="1:12" x14ac:dyDescent="0.2">
      <c r="A91" s="3" t="s">
        <v>237</v>
      </c>
      <c r="B91" s="3"/>
      <c r="C91" s="3" t="str">
        <f>IFERROR(VLOOKUP(B91,الخطة!A:O,4,FALSE),"")</f>
        <v/>
      </c>
      <c r="D91" s="3"/>
      <c r="E91" s="3" t="str">
        <f>IFERROR(VLOOKUP(D91,الموظفون!A:L,2,FALSE),"")</f>
        <v/>
      </c>
      <c r="F91" s="3"/>
      <c r="G91" s="3"/>
      <c r="H91" s="3"/>
      <c r="I91" s="3"/>
      <c r="J91" s="3"/>
      <c r="K91" s="3" t="str">
        <f>IF(B91="","",IF(OR(D91="",F91=""),"ناقص بيانات",IF(F91="نعم","مكتمل","غائب")))</f>
        <v/>
      </c>
      <c r="L91" s="3"/>
    </row>
    <row r="92" spans="1:12" x14ac:dyDescent="0.2">
      <c r="A92" s="3" t="s">
        <v>238</v>
      </c>
      <c r="B92" s="3"/>
      <c r="C92" s="3" t="str">
        <f>IFERROR(VLOOKUP(B92,الخطة!A:O,4,FALSE),"")</f>
        <v/>
      </c>
      <c r="D92" s="3"/>
      <c r="E92" s="3" t="str">
        <f>IFERROR(VLOOKUP(D92,الموظفون!A:L,2,FALSE),"")</f>
        <v/>
      </c>
      <c r="F92" s="3"/>
      <c r="G92" s="3"/>
      <c r="H92" s="3"/>
      <c r="I92" s="3"/>
      <c r="J92" s="3"/>
      <c r="K92" s="3" t="str">
        <f>IF(B92="","",IF(OR(D92="",F92=""),"ناقص بيانات",IF(F92="نعم","مكتمل","غائب")))</f>
        <v/>
      </c>
      <c r="L92" s="3"/>
    </row>
    <row r="93" spans="1:12" x14ac:dyDescent="0.2">
      <c r="A93" s="3" t="s">
        <v>239</v>
      </c>
      <c r="B93" s="3"/>
      <c r="C93" s="3" t="str">
        <f>IFERROR(VLOOKUP(B93,الخطة!A:O,4,FALSE),"")</f>
        <v/>
      </c>
      <c r="D93" s="3"/>
      <c r="E93" s="3" t="str">
        <f>IFERROR(VLOOKUP(D93,الموظفون!A:L,2,FALSE),"")</f>
        <v/>
      </c>
      <c r="F93" s="3"/>
      <c r="G93" s="3"/>
      <c r="H93" s="3"/>
      <c r="I93" s="3"/>
      <c r="J93" s="3"/>
      <c r="K93" s="3" t="str">
        <f>IF(B93="","",IF(OR(D93="",F93=""),"ناقص بيانات",IF(F93="نعم","مكتمل","غائب")))</f>
        <v/>
      </c>
      <c r="L93" s="3"/>
    </row>
    <row r="94" spans="1:12" x14ac:dyDescent="0.2">
      <c r="A94" s="3" t="s">
        <v>240</v>
      </c>
      <c r="B94" s="3"/>
      <c r="C94" s="3" t="str">
        <f>IFERROR(VLOOKUP(B94,الخطة!A:O,4,FALSE),"")</f>
        <v/>
      </c>
      <c r="D94" s="3"/>
      <c r="E94" s="3" t="str">
        <f>IFERROR(VLOOKUP(D94,الموظفون!A:L,2,FALSE),"")</f>
        <v/>
      </c>
      <c r="F94" s="3"/>
      <c r="G94" s="3"/>
      <c r="H94" s="3"/>
      <c r="I94" s="3"/>
      <c r="J94" s="3"/>
      <c r="K94" s="3" t="str">
        <f>IF(B94="","",IF(OR(D94="",F94=""),"ناقص بيانات",IF(F94="نعم","مكتمل","غائب")))</f>
        <v/>
      </c>
      <c r="L94" s="3"/>
    </row>
    <row r="95" spans="1:12" x14ac:dyDescent="0.2">
      <c r="A95" s="3" t="s">
        <v>241</v>
      </c>
      <c r="B95" s="3"/>
      <c r="C95" s="3" t="str">
        <f>IFERROR(VLOOKUP(B95,الخطة!A:O,4,FALSE),"")</f>
        <v/>
      </c>
      <c r="D95" s="3"/>
      <c r="E95" s="3" t="str">
        <f>IFERROR(VLOOKUP(D95,الموظفون!A:L,2,FALSE),"")</f>
        <v/>
      </c>
      <c r="F95" s="3"/>
      <c r="G95" s="3"/>
      <c r="H95" s="3"/>
      <c r="I95" s="3"/>
      <c r="J95" s="3"/>
      <c r="K95" s="3" t="str">
        <f>IF(B95="","",IF(OR(D95="",F95=""),"ناقص بيانات",IF(F95="نعم","مكتمل","غائب")))</f>
        <v/>
      </c>
      <c r="L95" s="3"/>
    </row>
    <row r="96" spans="1:12" x14ac:dyDescent="0.2">
      <c r="A96" s="3" t="s">
        <v>242</v>
      </c>
      <c r="B96" s="3"/>
      <c r="C96" s="3" t="str">
        <f>IFERROR(VLOOKUP(B96,الخطة!A:O,4,FALSE),"")</f>
        <v/>
      </c>
      <c r="D96" s="3"/>
      <c r="E96" s="3" t="str">
        <f>IFERROR(VLOOKUP(D96,الموظفون!A:L,2,FALSE),"")</f>
        <v/>
      </c>
      <c r="F96" s="3"/>
      <c r="G96" s="3"/>
      <c r="H96" s="3"/>
      <c r="I96" s="3"/>
      <c r="J96" s="3"/>
      <c r="K96" s="3" t="str">
        <f>IF(B96="","",IF(OR(D96="",F96=""),"ناقص بيانات",IF(F96="نعم","مكتمل","غائب")))</f>
        <v/>
      </c>
      <c r="L96" s="3"/>
    </row>
    <row r="97" spans="1:12" x14ac:dyDescent="0.2">
      <c r="A97" s="3" t="s">
        <v>243</v>
      </c>
      <c r="B97" s="3"/>
      <c r="C97" s="3" t="str">
        <f>IFERROR(VLOOKUP(B97,الخطة!A:O,4,FALSE),"")</f>
        <v/>
      </c>
      <c r="D97" s="3"/>
      <c r="E97" s="3" t="str">
        <f>IFERROR(VLOOKUP(D97,الموظفون!A:L,2,FALSE),"")</f>
        <v/>
      </c>
      <c r="F97" s="3"/>
      <c r="G97" s="3"/>
      <c r="H97" s="3"/>
      <c r="I97" s="3"/>
      <c r="J97" s="3"/>
      <c r="K97" s="3" t="str">
        <f>IF(B97="","",IF(OR(D97="",F97=""),"ناقص بيانات",IF(F97="نعم","مكتمل","غائب")))</f>
        <v/>
      </c>
      <c r="L97" s="3"/>
    </row>
    <row r="98" spans="1:12" x14ac:dyDescent="0.2">
      <c r="A98" s="3" t="s">
        <v>244</v>
      </c>
      <c r="B98" s="3"/>
      <c r="C98" s="3" t="str">
        <f>IFERROR(VLOOKUP(B98,الخطة!A:O,4,FALSE),"")</f>
        <v/>
      </c>
      <c r="D98" s="3"/>
      <c r="E98" s="3" t="str">
        <f>IFERROR(VLOOKUP(D98,الموظفون!A:L,2,FALSE),"")</f>
        <v/>
      </c>
      <c r="F98" s="3"/>
      <c r="G98" s="3"/>
      <c r="H98" s="3"/>
      <c r="I98" s="3"/>
      <c r="J98" s="3"/>
      <c r="K98" s="3" t="str">
        <f>IF(B98="","",IF(OR(D98="",F98=""),"ناقص بيانات",IF(F98="نعم","مكتمل","غائب")))</f>
        <v/>
      </c>
      <c r="L98" s="3"/>
    </row>
    <row r="99" spans="1:12" x14ac:dyDescent="0.2">
      <c r="A99" s="3" t="s">
        <v>245</v>
      </c>
      <c r="B99" s="3"/>
      <c r="C99" s="3" t="str">
        <f>IFERROR(VLOOKUP(B99,الخطة!A:O,4,FALSE),"")</f>
        <v/>
      </c>
      <c r="D99" s="3"/>
      <c r="E99" s="3" t="str">
        <f>IFERROR(VLOOKUP(D99,الموظفون!A:L,2,FALSE),"")</f>
        <v/>
      </c>
      <c r="F99" s="3"/>
      <c r="G99" s="3"/>
      <c r="H99" s="3"/>
      <c r="I99" s="3"/>
      <c r="J99" s="3"/>
      <c r="K99" s="3" t="str">
        <f>IF(B99="","",IF(OR(D99="",F99=""),"ناقص بيانات",IF(F99="نعم","مكتمل","غائب")))</f>
        <v/>
      </c>
      <c r="L99" s="3"/>
    </row>
    <row r="100" spans="1:12" x14ac:dyDescent="0.2">
      <c r="A100" s="3" t="s">
        <v>246</v>
      </c>
      <c r="B100" s="3"/>
      <c r="C100" s="3" t="str">
        <f>IFERROR(VLOOKUP(B100,الخطة!A:O,4,FALSE),"")</f>
        <v/>
      </c>
      <c r="D100" s="3"/>
      <c r="E100" s="3" t="str">
        <f>IFERROR(VLOOKUP(D100,الموظفون!A:L,2,FALSE),"")</f>
        <v/>
      </c>
      <c r="F100" s="3"/>
      <c r="G100" s="3"/>
      <c r="H100" s="3"/>
      <c r="I100" s="3"/>
      <c r="J100" s="3"/>
      <c r="K100" s="3" t="str">
        <f>IF(B100="","",IF(OR(D100="",F100=""),"ناقص بيانات",IF(F100="نعم","مكتمل","غائب")))</f>
        <v/>
      </c>
      <c r="L100" s="3"/>
    </row>
    <row r="101" spans="1:12" x14ac:dyDescent="0.2">
      <c r="A101" s="3" t="s">
        <v>247</v>
      </c>
      <c r="B101" s="3"/>
      <c r="C101" s="3" t="str">
        <f>IFERROR(VLOOKUP(B101,الخطة!A:O,4,FALSE),"")</f>
        <v/>
      </c>
      <c r="D101" s="3"/>
      <c r="E101" s="3" t="str">
        <f>IFERROR(VLOOKUP(D101,الموظفون!A:L,2,FALSE),"")</f>
        <v/>
      </c>
      <c r="F101" s="3"/>
      <c r="G101" s="3"/>
      <c r="H101" s="3"/>
      <c r="I101" s="3"/>
      <c r="J101" s="3"/>
      <c r="K101" s="3" t="str">
        <f>IF(B101="","",IF(OR(D101="",F101=""),"ناقص بيانات",IF(F101="نعم","مكتمل","غائب")))</f>
        <v/>
      </c>
      <c r="L101" s="3"/>
    </row>
    <row r="102" spans="1:12" x14ac:dyDescent="0.2">
      <c r="A102" s="3" t="s">
        <v>248</v>
      </c>
      <c r="B102" s="3"/>
      <c r="C102" s="3" t="str">
        <f>IFERROR(VLOOKUP(B102,الخطة!A:O,4,FALSE),"")</f>
        <v/>
      </c>
      <c r="D102" s="3"/>
      <c r="E102" s="3" t="str">
        <f>IFERROR(VLOOKUP(D102,الموظفون!A:L,2,FALSE),"")</f>
        <v/>
      </c>
      <c r="F102" s="3"/>
      <c r="G102" s="3"/>
      <c r="H102" s="3"/>
      <c r="I102" s="3"/>
      <c r="J102" s="3"/>
      <c r="K102" s="3" t="str">
        <f>IF(B102="","",IF(OR(D102="",F102=""),"ناقص بيانات",IF(F102="نعم","مكتمل","غائب")))</f>
        <v/>
      </c>
      <c r="L102" s="3"/>
    </row>
    <row r="103" spans="1:12" x14ac:dyDescent="0.2">
      <c r="A103" s="3" t="s">
        <v>249</v>
      </c>
      <c r="B103" s="3"/>
      <c r="C103" s="3" t="str">
        <f>IFERROR(VLOOKUP(B103,الخطة!A:O,4,FALSE),"")</f>
        <v/>
      </c>
      <c r="D103" s="3"/>
      <c r="E103" s="3" t="str">
        <f>IFERROR(VLOOKUP(D103,الموظفون!A:L,2,FALSE),"")</f>
        <v/>
      </c>
      <c r="F103" s="3"/>
      <c r="G103" s="3"/>
      <c r="H103" s="3"/>
      <c r="I103" s="3"/>
      <c r="J103" s="3"/>
      <c r="K103" s="3" t="str">
        <f>IF(B103="","",IF(OR(D103="",F103=""),"ناقص بيانات",IF(F103="نعم","مكتمل","غائب")))</f>
        <v/>
      </c>
      <c r="L103" s="3"/>
    </row>
    <row r="104" spans="1:12" x14ac:dyDescent="0.2">
      <c r="A104" s="3" t="s">
        <v>250</v>
      </c>
      <c r="B104" s="3"/>
      <c r="C104" s="3" t="str">
        <f>IFERROR(VLOOKUP(B104,الخطة!A:O,4,FALSE),"")</f>
        <v/>
      </c>
      <c r="D104" s="3"/>
      <c r="E104" s="3" t="str">
        <f>IFERROR(VLOOKUP(D104,الموظفون!A:L,2,FALSE),"")</f>
        <v/>
      </c>
      <c r="F104" s="3"/>
      <c r="G104" s="3"/>
      <c r="H104" s="3"/>
      <c r="I104" s="3"/>
      <c r="J104" s="3"/>
      <c r="K104" s="3" t="str">
        <f>IF(B104="","",IF(OR(D104="",F104=""),"ناقص بيانات",IF(F104="نعم","مكتمل","غائب")))</f>
        <v/>
      </c>
      <c r="L104" s="3"/>
    </row>
    <row r="105" spans="1:12" x14ac:dyDescent="0.2">
      <c r="A105" s="3" t="s">
        <v>251</v>
      </c>
      <c r="B105" s="3"/>
      <c r="C105" s="3" t="str">
        <f>IFERROR(VLOOKUP(B105,الخطة!A:O,4,FALSE),"")</f>
        <v/>
      </c>
      <c r="D105" s="3"/>
      <c r="E105" s="3" t="str">
        <f>IFERROR(VLOOKUP(D105,الموظفون!A:L,2,FALSE),"")</f>
        <v/>
      </c>
      <c r="F105" s="3"/>
      <c r="G105" s="3"/>
      <c r="H105" s="3"/>
      <c r="I105" s="3"/>
      <c r="J105" s="3"/>
      <c r="K105" s="3" t="str">
        <f>IF(B105="","",IF(OR(D105="",F105=""),"ناقص بيانات",IF(F105="نعم","مكتمل","غائب")))</f>
        <v/>
      </c>
      <c r="L105" s="3"/>
    </row>
    <row r="106" spans="1:12" x14ac:dyDescent="0.2">
      <c r="A106" s="3" t="s">
        <v>252</v>
      </c>
      <c r="B106" s="3"/>
      <c r="C106" s="3" t="str">
        <f>IFERROR(VLOOKUP(B106,الخطة!A:O,4,FALSE),"")</f>
        <v/>
      </c>
      <c r="D106" s="3"/>
      <c r="E106" s="3" t="str">
        <f>IFERROR(VLOOKUP(D106,الموظفون!A:L,2,FALSE),"")</f>
        <v/>
      </c>
      <c r="F106" s="3"/>
      <c r="G106" s="3"/>
      <c r="H106" s="3"/>
      <c r="I106" s="3"/>
      <c r="J106" s="3"/>
      <c r="K106" s="3" t="str">
        <f>IF(B106="","",IF(OR(D106="",F106=""),"ناقص بيانات",IF(F106="نعم","مكتمل","غائب")))</f>
        <v/>
      </c>
      <c r="L106" s="3"/>
    </row>
    <row r="107" spans="1:12" x14ac:dyDescent="0.2">
      <c r="A107" s="3" t="s">
        <v>253</v>
      </c>
      <c r="B107" s="3"/>
      <c r="C107" s="3" t="str">
        <f>IFERROR(VLOOKUP(B107,الخطة!A:O,4,FALSE),"")</f>
        <v/>
      </c>
      <c r="D107" s="3"/>
      <c r="E107" s="3" t="str">
        <f>IFERROR(VLOOKUP(D107,الموظفون!A:L,2,FALSE),"")</f>
        <v/>
      </c>
      <c r="F107" s="3"/>
      <c r="G107" s="3"/>
      <c r="H107" s="3"/>
      <c r="I107" s="3"/>
      <c r="J107" s="3"/>
      <c r="K107" s="3" t="str">
        <f>IF(B107="","",IF(OR(D107="",F107=""),"ناقص بيانات",IF(F107="نعم","مكتمل","غائب")))</f>
        <v/>
      </c>
      <c r="L107" s="3"/>
    </row>
    <row r="108" spans="1:12" x14ac:dyDescent="0.2">
      <c r="A108" s="3" t="s">
        <v>254</v>
      </c>
      <c r="B108" s="3"/>
      <c r="C108" s="3" t="str">
        <f>IFERROR(VLOOKUP(B108,الخطة!A:O,4,FALSE),"")</f>
        <v/>
      </c>
      <c r="D108" s="3"/>
      <c r="E108" s="3" t="str">
        <f>IFERROR(VLOOKUP(D108,الموظفون!A:L,2,FALSE),"")</f>
        <v/>
      </c>
      <c r="F108" s="3"/>
      <c r="G108" s="3"/>
      <c r="H108" s="3"/>
      <c r="I108" s="3"/>
      <c r="J108" s="3"/>
      <c r="K108" s="3" t="str">
        <f>IF(B108="","",IF(OR(D108="",F108=""),"ناقص بيانات",IF(F108="نعم","مكتمل","غائب")))</f>
        <v/>
      </c>
      <c r="L108" s="3"/>
    </row>
    <row r="109" spans="1:12" x14ac:dyDescent="0.2">
      <c r="A109" s="3" t="s">
        <v>255</v>
      </c>
      <c r="B109" s="3"/>
      <c r="C109" s="3" t="str">
        <f>IFERROR(VLOOKUP(B109,الخطة!A:O,4,FALSE),"")</f>
        <v/>
      </c>
      <c r="D109" s="3"/>
      <c r="E109" s="3" t="str">
        <f>IFERROR(VLOOKUP(D109,الموظفون!A:L,2,FALSE),"")</f>
        <v/>
      </c>
      <c r="F109" s="3"/>
      <c r="G109" s="3"/>
      <c r="H109" s="3"/>
      <c r="I109" s="3"/>
      <c r="J109" s="3"/>
      <c r="K109" s="3" t="str">
        <f>IF(B109="","",IF(OR(D109="",F109=""),"ناقص بيانات",IF(F109="نعم","مكتمل","غائب")))</f>
        <v/>
      </c>
      <c r="L109" s="3"/>
    </row>
    <row r="110" spans="1:12" x14ac:dyDescent="0.2">
      <c r="A110" s="3" t="s">
        <v>256</v>
      </c>
      <c r="B110" s="3"/>
      <c r="C110" s="3" t="str">
        <f>IFERROR(VLOOKUP(B110,الخطة!A:O,4,FALSE),"")</f>
        <v/>
      </c>
      <c r="D110" s="3"/>
      <c r="E110" s="3" t="str">
        <f>IFERROR(VLOOKUP(D110,الموظفون!A:L,2,FALSE),"")</f>
        <v/>
      </c>
      <c r="F110" s="3"/>
      <c r="G110" s="3"/>
      <c r="H110" s="3"/>
      <c r="I110" s="3"/>
      <c r="J110" s="3"/>
      <c r="K110" s="3" t="str">
        <f>IF(B110="","",IF(OR(D110="",F110=""),"ناقص بيانات",IF(F110="نعم","مكتمل","غائب")))</f>
        <v/>
      </c>
      <c r="L110" s="3"/>
    </row>
    <row r="111" spans="1:12" x14ac:dyDescent="0.2">
      <c r="A111" s="3" t="s">
        <v>257</v>
      </c>
      <c r="B111" s="3"/>
      <c r="C111" s="3" t="str">
        <f>IFERROR(VLOOKUP(B111,الخطة!A:O,4,FALSE),"")</f>
        <v/>
      </c>
      <c r="D111" s="3"/>
      <c r="E111" s="3" t="str">
        <f>IFERROR(VLOOKUP(D111,الموظفون!A:L,2,FALSE),"")</f>
        <v/>
      </c>
      <c r="F111" s="3"/>
      <c r="G111" s="3"/>
      <c r="H111" s="3"/>
      <c r="I111" s="3"/>
      <c r="J111" s="3"/>
      <c r="K111" s="3" t="str">
        <f>IF(B111="","",IF(OR(D111="",F111=""),"ناقص بيانات",IF(F111="نعم","مكتمل","غائب")))</f>
        <v/>
      </c>
      <c r="L111" s="3"/>
    </row>
    <row r="112" spans="1:12" x14ac:dyDescent="0.2">
      <c r="A112" s="3" t="s">
        <v>258</v>
      </c>
      <c r="B112" s="3"/>
      <c r="C112" s="3" t="str">
        <f>IFERROR(VLOOKUP(B112,الخطة!A:O,4,FALSE),"")</f>
        <v/>
      </c>
      <c r="D112" s="3"/>
      <c r="E112" s="3" t="str">
        <f>IFERROR(VLOOKUP(D112,الموظفون!A:L,2,FALSE),"")</f>
        <v/>
      </c>
      <c r="F112" s="3"/>
      <c r="G112" s="3"/>
      <c r="H112" s="3"/>
      <c r="I112" s="3"/>
      <c r="J112" s="3"/>
      <c r="K112" s="3" t="str">
        <f>IF(B112="","",IF(OR(D112="",F112=""),"ناقص بيانات",IF(F112="نعم","مكتمل","غائب")))</f>
        <v/>
      </c>
      <c r="L112" s="3"/>
    </row>
    <row r="113" spans="1:12" x14ac:dyDescent="0.2">
      <c r="A113" s="3" t="s">
        <v>259</v>
      </c>
      <c r="B113" s="3"/>
      <c r="C113" s="3" t="str">
        <f>IFERROR(VLOOKUP(B113,الخطة!A:O,4,FALSE),"")</f>
        <v/>
      </c>
      <c r="D113" s="3"/>
      <c r="E113" s="3" t="str">
        <f>IFERROR(VLOOKUP(D113,الموظفون!A:L,2,FALSE),"")</f>
        <v/>
      </c>
      <c r="F113" s="3"/>
      <c r="G113" s="3"/>
      <c r="H113" s="3"/>
      <c r="I113" s="3"/>
      <c r="J113" s="3"/>
      <c r="K113" s="3" t="str">
        <f>IF(B113="","",IF(OR(D113="",F113=""),"ناقص بيانات",IF(F113="نعم","مكتمل","غائب")))</f>
        <v/>
      </c>
      <c r="L113" s="3"/>
    </row>
    <row r="114" spans="1:12" x14ac:dyDescent="0.2">
      <c r="A114" s="3" t="s">
        <v>260</v>
      </c>
      <c r="B114" s="3"/>
      <c r="C114" s="3" t="str">
        <f>IFERROR(VLOOKUP(B114,الخطة!A:O,4,FALSE),"")</f>
        <v/>
      </c>
      <c r="D114" s="3"/>
      <c r="E114" s="3" t="str">
        <f>IFERROR(VLOOKUP(D114,الموظفون!A:L,2,FALSE),"")</f>
        <v/>
      </c>
      <c r="F114" s="3"/>
      <c r="G114" s="3"/>
      <c r="H114" s="3"/>
      <c r="I114" s="3"/>
      <c r="J114" s="3"/>
      <c r="K114" s="3" t="str">
        <f>IF(B114="","",IF(OR(D114="",F114=""),"ناقص بيانات",IF(F114="نعم","مكتمل","غائب")))</f>
        <v/>
      </c>
      <c r="L114" s="3"/>
    </row>
    <row r="115" spans="1:12" x14ac:dyDescent="0.2">
      <c r="A115" s="3" t="s">
        <v>261</v>
      </c>
      <c r="B115" s="3"/>
      <c r="C115" s="3" t="str">
        <f>IFERROR(VLOOKUP(B115,الخطة!A:O,4,FALSE),"")</f>
        <v/>
      </c>
      <c r="D115" s="3"/>
      <c r="E115" s="3" t="str">
        <f>IFERROR(VLOOKUP(D115,الموظفون!A:L,2,FALSE),"")</f>
        <v/>
      </c>
      <c r="F115" s="3"/>
      <c r="G115" s="3"/>
      <c r="H115" s="3"/>
      <c r="I115" s="3"/>
      <c r="J115" s="3"/>
      <c r="K115" s="3" t="str">
        <f>IF(B115="","",IF(OR(D115="",F115=""),"ناقص بيانات",IF(F115="نعم","مكتمل","غائب")))</f>
        <v/>
      </c>
      <c r="L115" s="3"/>
    </row>
    <row r="116" spans="1:12" x14ac:dyDescent="0.2">
      <c r="A116" s="3" t="s">
        <v>262</v>
      </c>
      <c r="B116" s="3"/>
      <c r="C116" s="3" t="str">
        <f>IFERROR(VLOOKUP(B116,الخطة!A:O,4,FALSE),"")</f>
        <v/>
      </c>
      <c r="D116" s="3"/>
      <c r="E116" s="3" t="str">
        <f>IFERROR(VLOOKUP(D116,الموظفون!A:L,2,FALSE),"")</f>
        <v/>
      </c>
      <c r="F116" s="3"/>
      <c r="G116" s="3"/>
      <c r="H116" s="3"/>
      <c r="I116" s="3"/>
      <c r="J116" s="3"/>
      <c r="K116" s="3" t="str">
        <f>IF(B116="","",IF(OR(D116="",F116=""),"ناقص بيانات",IF(F116="نعم","مكتمل","غائب")))</f>
        <v/>
      </c>
      <c r="L116" s="3"/>
    </row>
    <row r="117" spans="1:12" x14ac:dyDescent="0.2">
      <c r="A117" s="3" t="s">
        <v>263</v>
      </c>
      <c r="B117" s="3"/>
      <c r="C117" s="3" t="str">
        <f>IFERROR(VLOOKUP(B117,الخطة!A:O,4,FALSE),"")</f>
        <v/>
      </c>
      <c r="D117" s="3"/>
      <c r="E117" s="3" t="str">
        <f>IFERROR(VLOOKUP(D117,الموظفون!A:L,2,FALSE),"")</f>
        <v/>
      </c>
      <c r="F117" s="3"/>
      <c r="G117" s="3"/>
      <c r="H117" s="3"/>
      <c r="I117" s="3"/>
      <c r="J117" s="3"/>
      <c r="K117" s="3" t="str">
        <f>IF(B117="","",IF(OR(D117="",F117=""),"ناقص بيانات",IF(F117="نعم","مكتمل","غائب")))</f>
        <v/>
      </c>
      <c r="L117" s="3"/>
    </row>
    <row r="118" spans="1:12" x14ac:dyDescent="0.2">
      <c r="A118" s="3" t="s">
        <v>264</v>
      </c>
      <c r="B118" s="3"/>
      <c r="C118" s="3" t="str">
        <f>IFERROR(VLOOKUP(B118,الخطة!A:O,4,FALSE),"")</f>
        <v/>
      </c>
      <c r="D118" s="3"/>
      <c r="E118" s="3" t="str">
        <f>IFERROR(VLOOKUP(D118,الموظفون!A:L,2,FALSE),"")</f>
        <v/>
      </c>
      <c r="F118" s="3"/>
      <c r="G118" s="3"/>
      <c r="H118" s="3"/>
      <c r="I118" s="3"/>
      <c r="J118" s="3"/>
      <c r="K118" s="3" t="str">
        <f>IF(B118="","",IF(OR(D118="",F118=""),"ناقص بيانات",IF(F118="نعم","مكتمل","غائب")))</f>
        <v/>
      </c>
      <c r="L118" s="3"/>
    </row>
    <row r="119" spans="1:12" x14ac:dyDescent="0.2">
      <c r="A119" s="3" t="s">
        <v>265</v>
      </c>
      <c r="B119" s="3"/>
      <c r="C119" s="3" t="str">
        <f>IFERROR(VLOOKUP(B119,الخطة!A:O,4,FALSE),"")</f>
        <v/>
      </c>
      <c r="D119" s="3"/>
      <c r="E119" s="3" t="str">
        <f>IFERROR(VLOOKUP(D119,الموظفون!A:L,2,FALSE),"")</f>
        <v/>
      </c>
      <c r="F119" s="3"/>
      <c r="G119" s="3"/>
      <c r="H119" s="3"/>
      <c r="I119" s="3"/>
      <c r="J119" s="3"/>
      <c r="K119" s="3" t="str">
        <f>IF(B119="","",IF(OR(D119="",F119=""),"ناقص بيانات",IF(F119="نعم","مكتمل","غائب")))</f>
        <v/>
      </c>
      <c r="L119" s="3"/>
    </row>
    <row r="120" spans="1:12" x14ac:dyDescent="0.2">
      <c r="A120" s="3" t="s">
        <v>266</v>
      </c>
      <c r="B120" s="3"/>
      <c r="C120" s="3" t="str">
        <f>IFERROR(VLOOKUP(B120,الخطة!A:O,4,FALSE),"")</f>
        <v/>
      </c>
      <c r="D120" s="3"/>
      <c r="E120" s="3" t="str">
        <f>IFERROR(VLOOKUP(D120,الموظفون!A:L,2,FALSE),"")</f>
        <v/>
      </c>
      <c r="F120" s="3"/>
      <c r="G120" s="3"/>
      <c r="H120" s="3"/>
      <c r="I120" s="3"/>
      <c r="J120" s="3"/>
      <c r="K120" s="3" t="str">
        <f>IF(B120="","",IF(OR(D120="",F120=""),"ناقص بيانات",IF(F120="نعم","مكتمل","غائب")))</f>
        <v/>
      </c>
      <c r="L120" s="3"/>
    </row>
    <row r="121" spans="1:12" x14ac:dyDescent="0.2">
      <c r="A121" s="3" t="s">
        <v>267</v>
      </c>
      <c r="B121" s="3"/>
      <c r="C121" s="3" t="str">
        <f>IFERROR(VLOOKUP(B121,الخطة!A:O,4,FALSE),"")</f>
        <v/>
      </c>
      <c r="D121" s="3"/>
      <c r="E121" s="3" t="str">
        <f>IFERROR(VLOOKUP(D121,الموظفون!A:L,2,FALSE),"")</f>
        <v/>
      </c>
      <c r="F121" s="3"/>
      <c r="G121" s="3"/>
      <c r="H121" s="3"/>
      <c r="I121" s="3"/>
      <c r="J121" s="3"/>
      <c r="K121" s="3" t="str">
        <f>IF(B121="","",IF(OR(D121="",F121=""),"ناقص بيانات",IF(F121="نعم","مكتمل","غائب")))</f>
        <v/>
      </c>
      <c r="L121" s="3"/>
    </row>
    <row r="122" spans="1:12" x14ac:dyDescent="0.2">
      <c r="A122" s="3" t="s">
        <v>268</v>
      </c>
      <c r="B122" s="3"/>
      <c r="C122" s="3" t="str">
        <f>IFERROR(VLOOKUP(B122,الخطة!A:O,4,FALSE),"")</f>
        <v/>
      </c>
      <c r="D122" s="3"/>
      <c r="E122" s="3" t="str">
        <f>IFERROR(VLOOKUP(D122,الموظفون!A:L,2,FALSE),"")</f>
        <v/>
      </c>
      <c r="F122" s="3"/>
      <c r="G122" s="3"/>
      <c r="H122" s="3"/>
      <c r="I122" s="3"/>
      <c r="J122" s="3"/>
      <c r="K122" s="3" t="str">
        <f>IF(B122="","",IF(OR(D122="",F122=""),"ناقص بيانات",IF(F122="نعم","مكتمل","غائب")))</f>
        <v/>
      </c>
      <c r="L122" s="3"/>
    </row>
    <row r="123" spans="1:12" x14ac:dyDescent="0.2">
      <c r="A123" s="3" t="s">
        <v>269</v>
      </c>
      <c r="B123" s="3"/>
      <c r="C123" s="3" t="str">
        <f>IFERROR(VLOOKUP(B123,الخطة!A:O,4,FALSE),"")</f>
        <v/>
      </c>
      <c r="D123" s="3"/>
      <c r="E123" s="3" t="str">
        <f>IFERROR(VLOOKUP(D123,الموظفون!A:L,2,FALSE),"")</f>
        <v/>
      </c>
      <c r="F123" s="3"/>
      <c r="G123" s="3"/>
      <c r="H123" s="3"/>
      <c r="I123" s="3"/>
      <c r="J123" s="3"/>
      <c r="K123" s="3" t="str">
        <f>IF(B123="","",IF(OR(D123="",F123=""),"ناقص بيانات",IF(F123="نعم","مكتمل","غائب")))</f>
        <v/>
      </c>
      <c r="L123" s="3"/>
    </row>
    <row r="124" spans="1:12" x14ac:dyDescent="0.2">
      <c r="A124" s="3" t="s">
        <v>270</v>
      </c>
      <c r="B124" s="3"/>
      <c r="C124" s="3" t="str">
        <f>IFERROR(VLOOKUP(B124,الخطة!A:O,4,FALSE),"")</f>
        <v/>
      </c>
      <c r="D124" s="3"/>
      <c r="E124" s="3" t="str">
        <f>IFERROR(VLOOKUP(D124,الموظفون!A:L,2,FALSE),"")</f>
        <v/>
      </c>
      <c r="F124" s="3"/>
      <c r="G124" s="3"/>
      <c r="H124" s="3"/>
      <c r="I124" s="3"/>
      <c r="J124" s="3"/>
      <c r="K124" s="3" t="str">
        <f>IF(B124="","",IF(OR(D124="",F124=""),"ناقص بيانات",IF(F124="نعم","مكتمل","غائب")))</f>
        <v/>
      </c>
      <c r="L124" s="3"/>
    </row>
    <row r="125" spans="1:12" x14ac:dyDescent="0.2">
      <c r="A125" s="3" t="s">
        <v>271</v>
      </c>
      <c r="B125" s="3"/>
      <c r="C125" s="3" t="str">
        <f>IFERROR(VLOOKUP(B125,الخطة!A:O,4,FALSE),"")</f>
        <v/>
      </c>
      <c r="D125" s="3"/>
      <c r="E125" s="3" t="str">
        <f>IFERROR(VLOOKUP(D125,الموظفون!A:L,2,FALSE),"")</f>
        <v/>
      </c>
      <c r="F125" s="3"/>
      <c r="G125" s="3"/>
      <c r="H125" s="3"/>
      <c r="I125" s="3"/>
      <c r="J125" s="3"/>
      <c r="K125" s="3" t="str">
        <f>IF(B125="","",IF(OR(D125="",F125=""),"ناقص بيانات",IF(F125="نعم","مكتمل","غائب")))</f>
        <v/>
      </c>
      <c r="L125" s="3"/>
    </row>
    <row r="126" spans="1:12" x14ac:dyDescent="0.2">
      <c r="A126" s="3" t="s">
        <v>272</v>
      </c>
      <c r="B126" s="3"/>
      <c r="C126" s="3" t="str">
        <f>IFERROR(VLOOKUP(B126,الخطة!A:O,4,FALSE),"")</f>
        <v/>
      </c>
      <c r="D126" s="3"/>
      <c r="E126" s="3" t="str">
        <f>IFERROR(VLOOKUP(D126,الموظفون!A:L,2,FALSE),"")</f>
        <v/>
      </c>
      <c r="F126" s="3"/>
      <c r="G126" s="3"/>
      <c r="H126" s="3"/>
      <c r="I126" s="3"/>
      <c r="J126" s="3"/>
      <c r="K126" s="3" t="str">
        <f>IF(B126="","",IF(OR(D126="",F126=""),"ناقص بيانات",IF(F126="نعم","مكتمل","غائب")))</f>
        <v/>
      </c>
      <c r="L126" s="3"/>
    </row>
    <row r="127" spans="1:12" x14ac:dyDescent="0.2">
      <c r="A127" s="3" t="s">
        <v>273</v>
      </c>
      <c r="B127" s="3"/>
      <c r="C127" s="3" t="str">
        <f>IFERROR(VLOOKUP(B127,الخطة!A:O,4,FALSE),"")</f>
        <v/>
      </c>
      <c r="D127" s="3"/>
      <c r="E127" s="3" t="str">
        <f>IFERROR(VLOOKUP(D127,الموظفون!A:L,2,FALSE),"")</f>
        <v/>
      </c>
      <c r="F127" s="3"/>
      <c r="G127" s="3"/>
      <c r="H127" s="3"/>
      <c r="I127" s="3"/>
      <c r="J127" s="3"/>
      <c r="K127" s="3" t="str">
        <f>IF(B127="","",IF(OR(D127="",F127=""),"ناقص بيانات",IF(F127="نعم","مكتمل","غائب")))</f>
        <v/>
      </c>
      <c r="L127" s="3"/>
    </row>
    <row r="128" spans="1:12" x14ac:dyDescent="0.2">
      <c r="A128" s="3" t="s">
        <v>274</v>
      </c>
      <c r="B128" s="3"/>
      <c r="C128" s="3" t="str">
        <f>IFERROR(VLOOKUP(B128,الخطة!A:O,4,FALSE),"")</f>
        <v/>
      </c>
      <c r="D128" s="3"/>
      <c r="E128" s="3" t="str">
        <f>IFERROR(VLOOKUP(D128,الموظفون!A:L,2,FALSE),"")</f>
        <v/>
      </c>
      <c r="F128" s="3"/>
      <c r="G128" s="3"/>
      <c r="H128" s="3"/>
      <c r="I128" s="3"/>
      <c r="J128" s="3"/>
      <c r="K128" s="3" t="str">
        <f>IF(B128="","",IF(OR(D128="",F128=""),"ناقص بيانات",IF(F128="نعم","مكتمل","غائب")))</f>
        <v/>
      </c>
      <c r="L128" s="3"/>
    </row>
    <row r="129" spans="1:12" x14ac:dyDescent="0.2">
      <c r="A129" s="3" t="s">
        <v>275</v>
      </c>
      <c r="B129" s="3"/>
      <c r="C129" s="3" t="str">
        <f>IFERROR(VLOOKUP(B129,الخطة!A:O,4,FALSE),"")</f>
        <v/>
      </c>
      <c r="D129" s="3"/>
      <c r="E129" s="3" t="str">
        <f>IFERROR(VLOOKUP(D129,الموظفون!A:L,2,FALSE),"")</f>
        <v/>
      </c>
      <c r="F129" s="3"/>
      <c r="G129" s="3"/>
      <c r="H129" s="3"/>
      <c r="I129" s="3"/>
      <c r="J129" s="3"/>
      <c r="K129" s="3" t="str">
        <f>IF(B129="","",IF(OR(D129="",F129=""),"ناقص بيانات",IF(F129="نعم","مكتمل","غائب")))</f>
        <v/>
      </c>
      <c r="L129" s="3"/>
    </row>
    <row r="130" spans="1:12" x14ac:dyDescent="0.2">
      <c r="A130" s="3" t="s">
        <v>276</v>
      </c>
      <c r="B130" s="3"/>
      <c r="C130" s="3" t="str">
        <f>IFERROR(VLOOKUP(B130,الخطة!A:O,4,FALSE),"")</f>
        <v/>
      </c>
      <c r="D130" s="3"/>
      <c r="E130" s="3" t="str">
        <f>IFERROR(VLOOKUP(D130,الموظفون!A:L,2,FALSE),"")</f>
        <v/>
      </c>
      <c r="F130" s="3"/>
      <c r="G130" s="3"/>
      <c r="H130" s="3"/>
      <c r="I130" s="3"/>
      <c r="J130" s="3"/>
      <c r="K130" s="3" t="str">
        <f>IF(B130="","",IF(OR(D130="",F130=""),"ناقص بيانات",IF(F130="نعم","مكتمل","غائب")))</f>
        <v/>
      </c>
      <c r="L130" s="3"/>
    </row>
    <row r="131" spans="1:12" x14ac:dyDescent="0.2">
      <c r="A131" s="3" t="s">
        <v>277</v>
      </c>
      <c r="B131" s="3"/>
      <c r="C131" s="3" t="str">
        <f>IFERROR(VLOOKUP(B131,الخطة!A:O,4,FALSE),"")</f>
        <v/>
      </c>
      <c r="D131" s="3"/>
      <c r="E131" s="3" t="str">
        <f>IFERROR(VLOOKUP(D131,الموظفون!A:L,2,FALSE),"")</f>
        <v/>
      </c>
      <c r="F131" s="3"/>
      <c r="G131" s="3"/>
      <c r="H131" s="3"/>
      <c r="I131" s="3"/>
      <c r="J131" s="3"/>
      <c r="K131" s="3" t="str">
        <f>IF(B131="","",IF(OR(D131="",F131=""),"ناقص بيانات",IF(F131="نعم","مكتمل","غائب")))</f>
        <v/>
      </c>
      <c r="L131" s="3"/>
    </row>
    <row r="132" spans="1:12" x14ac:dyDescent="0.2">
      <c r="A132" s="3" t="s">
        <v>278</v>
      </c>
      <c r="B132" s="3"/>
      <c r="C132" s="3" t="str">
        <f>IFERROR(VLOOKUP(B132,الخطة!A:O,4,FALSE),"")</f>
        <v/>
      </c>
      <c r="D132" s="3"/>
      <c r="E132" s="3" t="str">
        <f>IFERROR(VLOOKUP(D132,الموظفون!A:L,2,FALSE),"")</f>
        <v/>
      </c>
      <c r="F132" s="3"/>
      <c r="G132" s="3"/>
      <c r="H132" s="3"/>
      <c r="I132" s="3"/>
      <c r="J132" s="3"/>
      <c r="K132" s="3" t="str">
        <f>IF(B132="","",IF(OR(D132="",F132=""),"ناقص بيانات",IF(F132="نعم","مكتمل","غائب")))</f>
        <v/>
      </c>
      <c r="L132" s="3"/>
    </row>
    <row r="133" spans="1:12" x14ac:dyDescent="0.2">
      <c r="A133" s="3" t="s">
        <v>279</v>
      </c>
      <c r="B133" s="3"/>
      <c r="C133" s="3" t="str">
        <f>IFERROR(VLOOKUP(B133,الخطة!A:O,4,FALSE),"")</f>
        <v/>
      </c>
      <c r="D133" s="3"/>
      <c r="E133" s="3" t="str">
        <f>IFERROR(VLOOKUP(D133,الموظفون!A:L,2,FALSE),"")</f>
        <v/>
      </c>
      <c r="F133" s="3"/>
      <c r="G133" s="3"/>
      <c r="H133" s="3"/>
      <c r="I133" s="3"/>
      <c r="J133" s="3"/>
      <c r="K133" s="3" t="str">
        <f>IF(B133="","",IF(OR(D133="",F133=""),"ناقص بيانات",IF(F133="نعم","مكتمل","غائب")))</f>
        <v/>
      </c>
      <c r="L133" s="3"/>
    </row>
    <row r="134" spans="1:12" x14ac:dyDescent="0.2">
      <c r="A134" s="3" t="s">
        <v>280</v>
      </c>
      <c r="B134" s="3"/>
      <c r="C134" s="3" t="str">
        <f>IFERROR(VLOOKUP(B134,الخطة!A:O,4,FALSE),"")</f>
        <v/>
      </c>
      <c r="D134" s="3"/>
      <c r="E134" s="3" t="str">
        <f>IFERROR(VLOOKUP(D134,الموظفون!A:L,2,FALSE),"")</f>
        <v/>
      </c>
      <c r="F134" s="3"/>
      <c r="G134" s="3"/>
      <c r="H134" s="3"/>
      <c r="I134" s="3"/>
      <c r="J134" s="3"/>
      <c r="K134" s="3" t="str">
        <f>IF(B134="","",IF(OR(D134="",F134=""),"ناقص بيانات",IF(F134="نعم","مكتمل","غائب")))</f>
        <v/>
      </c>
      <c r="L134" s="3"/>
    </row>
    <row r="135" spans="1:12" x14ac:dyDescent="0.2">
      <c r="A135" s="3" t="s">
        <v>281</v>
      </c>
      <c r="B135" s="3"/>
      <c r="C135" s="3" t="str">
        <f>IFERROR(VLOOKUP(B135,الخطة!A:O,4,FALSE),"")</f>
        <v/>
      </c>
      <c r="D135" s="3"/>
      <c r="E135" s="3" t="str">
        <f>IFERROR(VLOOKUP(D135,الموظفون!A:L,2,FALSE),"")</f>
        <v/>
      </c>
      <c r="F135" s="3"/>
      <c r="G135" s="3"/>
      <c r="H135" s="3"/>
      <c r="I135" s="3"/>
      <c r="J135" s="3"/>
      <c r="K135" s="3" t="str">
        <f>IF(B135="","",IF(OR(D135="",F135=""),"ناقص بيانات",IF(F135="نعم","مكتمل","غائب")))</f>
        <v/>
      </c>
      <c r="L135" s="3"/>
    </row>
    <row r="136" spans="1:12" x14ac:dyDescent="0.2">
      <c r="A136" s="3" t="s">
        <v>282</v>
      </c>
      <c r="B136" s="3"/>
      <c r="C136" s="3" t="str">
        <f>IFERROR(VLOOKUP(B136,الخطة!A:O,4,FALSE),"")</f>
        <v/>
      </c>
      <c r="D136" s="3"/>
      <c r="E136" s="3" t="str">
        <f>IFERROR(VLOOKUP(D136,الموظفون!A:L,2,FALSE),"")</f>
        <v/>
      </c>
      <c r="F136" s="3"/>
      <c r="G136" s="3"/>
      <c r="H136" s="3"/>
      <c r="I136" s="3"/>
      <c r="J136" s="3"/>
      <c r="K136" s="3" t="str">
        <f>IF(B136="","",IF(OR(D136="",F136=""),"ناقص بيانات",IF(F136="نعم","مكتمل","غائب")))</f>
        <v/>
      </c>
      <c r="L136" s="3"/>
    </row>
    <row r="137" spans="1:12" x14ac:dyDescent="0.2">
      <c r="A137" s="3" t="s">
        <v>283</v>
      </c>
      <c r="B137" s="3"/>
      <c r="C137" s="3" t="str">
        <f>IFERROR(VLOOKUP(B137,الخطة!A:O,4,FALSE),"")</f>
        <v/>
      </c>
      <c r="D137" s="3"/>
      <c r="E137" s="3" t="str">
        <f>IFERROR(VLOOKUP(D137,الموظفون!A:L,2,FALSE),"")</f>
        <v/>
      </c>
      <c r="F137" s="3"/>
      <c r="G137" s="3"/>
      <c r="H137" s="3"/>
      <c r="I137" s="3"/>
      <c r="J137" s="3"/>
      <c r="K137" s="3" t="str">
        <f>IF(B137="","",IF(OR(D137="",F137=""),"ناقص بيانات",IF(F137="نعم","مكتمل","غائب")))</f>
        <v/>
      </c>
      <c r="L137" s="3"/>
    </row>
    <row r="138" spans="1:12" x14ac:dyDescent="0.2">
      <c r="A138" s="3" t="s">
        <v>284</v>
      </c>
      <c r="B138" s="3"/>
      <c r="C138" s="3" t="str">
        <f>IFERROR(VLOOKUP(B138,الخطة!A:O,4,FALSE),"")</f>
        <v/>
      </c>
      <c r="D138" s="3"/>
      <c r="E138" s="3" t="str">
        <f>IFERROR(VLOOKUP(D138,الموظفون!A:L,2,FALSE),"")</f>
        <v/>
      </c>
      <c r="F138" s="3"/>
      <c r="G138" s="3"/>
      <c r="H138" s="3"/>
      <c r="I138" s="3"/>
      <c r="J138" s="3"/>
      <c r="K138" s="3" t="str">
        <f>IF(B138="","",IF(OR(D138="",F138=""),"ناقص بيانات",IF(F138="نعم","مكتمل","غائب")))</f>
        <v/>
      </c>
      <c r="L138" s="3"/>
    </row>
    <row r="139" spans="1:12" x14ac:dyDescent="0.2">
      <c r="A139" s="3" t="s">
        <v>285</v>
      </c>
      <c r="B139" s="3"/>
      <c r="C139" s="3" t="str">
        <f>IFERROR(VLOOKUP(B139,الخطة!A:O,4,FALSE),"")</f>
        <v/>
      </c>
      <c r="D139" s="3"/>
      <c r="E139" s="3" t="str">
        <f>IFERROR(VLOOKUP(D139,الموظفون!A:L,2,FALSE),"")</f>
        <v/>
      </c>
      <c r="F139" s="3"/>
      <c r="G139" s="3"/>
      <c r="H139" s="3"/>
      <c r="I139" s="3"/>
      <c r="J139" s="3"/>
      <c r="K139" s="3" t="str">
        <f>IF(B139="","",IF(OR(D139="",F139=""),"ناقص بيانات",IF(F139="نعم","مكتمل","غائب")))</f>
        <v/>
      </c>
      <c r="L139" s="3"/>
    </row>
    <row r="140" spans="1:12" x14ac:dyDescent="0.2">
      <c r="A140" s="3" t="s">
        <v>286</v>
      </c>
      <c r="B140" s="3"/>
      <c r="C140" s="3" t="str">
        <f>IFERROR(VLOOKUP(B140,الخطة!A:O,4,FALSE),"")</f>
        <v/>
      </c>
      <c r="D140" s="3"/>
      <c r="E140" s="3" t="str">
        <f>IFERROR(VLOOKUP(D140,الموظفون!A:L,2,FALSE),"")</f>
        <v/>
      </c>
      <c r="F140" s="3"/>
      <c r="G140" s="3"/>
      <c r="H140" s="3"/>
      <c r="I140" s="3"/>
      <c r="J140" s="3"/>
      <c r="K140" s="3" t="str">
        <f>IF(B140="","",IF(OR(D140="",F140=""),"ناقص بيانات",IF(F140="نعم","مكتمل","غائب")))</f>
        <v/>
      </c>
      <c r="L140" s="3"/>
    </row>
    <row r="141" spans="1:12" x14ac:dyDescent="0.2">
      <c r="A141" s="3" t="s">
        <v>287</v>
      </c>
      <c r="B141" s="3"/>
      <c r="C141" s="3" t="str">
        <f>IFERROR(VLOOKUP(B141,الخطة!A:O,4,FALSE),"")</f>
        <v/>
      </c>
      <c r="D141" s="3"/>
      <c r="E141" s="3" t="str">
        <f>IFERROR(VLOOKUP(D141,الموظفون!A:L,2,FALSE),"")</f>
        <v/>
      </c>
      <c r="F141" s="3"/>
      <c r="G141" s="3"/>
      <c r="H141" s="3"/>
      <c r="I141" s="3"/>
      <c r="J141" s="3"/>
      <c r="K141" s="3" t="str">
        <f>IF(B141="","",IF(OR(D141="",F141=""),"ناقص بيانات",IF(F141="نعم","مكتمل","غائب")))</f>
        <v/>
      </c>
      <c r="L141" s="3"/>
    </row>
    <row r="142" spans="1:12" x14ac:dyDescent="0.2">
      <c r="A142" s="3" t="s">
        <v>288</v>
      </c>
      <c r="B142" s="3"/>
      <c r="C142" s="3" t="str">
        <f>IFERROR(VLOOKUP(B142,الخطة!A:O,4,FALSE),"")</f>
        <v/>
      </c>
      <c r="D142" s="3"/>
      <c r="E142" s="3" t="str">
        <f>IFERROR(VLOOKUP(D142,الموظفون!A:L,2,FALSE),"")</f>
        <v/>
      </c>
      <c r="F142" s="3"/>
      <c r="G142" s="3"/>
      <c r="H142" s="3"/>
      <c r="I142" s="3"/>
      <c r="J142" s="3"/>
      <c r="K142" s="3" t="str">
        <f>IF(B142="","",IF(OR(D142="",F142=""),"ناقص بيانات",IF(F142="نعم","مكتمل","غائب")))</f>
        <v/>
      </c>
      <c r="L142" s="3"/>
    </row>
    <row r="143" spans="1:12" x14ac:dyDescent="0.2">
      <c r="A143" s="3" t="s">
        <v>289</v>
      </c>
      <c r="B143" s="3"/>
      <c r="C143" s="3" t="str">
        <f>IFERROR(VLOOKUP(B143,الخطة!A:O,4,FALSE),"")</f>
        <v/>
      </c>
      <c r="D143" s="3"/>
      <c r="E143" s="3" t="str">
        <f>IFERROR(VLOOKUP(D143,الموظفون!A:L,2,FALSE),"")</f>
        <v/>
      </c>
      <c r="F143" s="3"/>
      <c r="G143" s="3"/>
      <c r="H143" s="3"/>
      <c r="I143" s="3"/>
      <c r="J143" s="3"/>
      <c r="K143" s="3" t="str">
        <f>IF(B143="","",IF(OR(D143="",F143=""),"ناقص بيانات",IF(F143="نعم","مكتمل","غائب")))</f>
        <v/>
      </c>
      <c r="L143" s="3"/>
    </row>
    <row r="144" spans="1:12" x14ac:dyDescent="0.2">
      <c r="A144" s="3" t="s">
        <v>290</v>
      </c>
      <c r="B144" s="3"/>
      <c r="C144" s="3" t="str">
        <f>IFERROR(VLOOKUP(B144,الخطة!A:O,4,FALSE),"")</f>
        <v/>
      </c>
      <c r="D144" s="3"/>
      <c r="E144" s="3" t="str">
        <f>IFERROR(VLOOKUP(D144,الموظفون!A:L,2,FALSE),"")</f>
        <v/>
      </c>
      <c r="F144" s="3"/>
      <c r="G144" s="3"/>
      <c r="H144" s="3"/>
      <c r="I144" s="3"/>
      <c r="J144" s="3"/>
      <c r="K144" s="3" t="str">
        <f>IF(B144="","",IF(OR(D144="",F144=""),"ناقص بيانات",IF(F144="نعم","مكتمل","غائب")))</f>
        <v/>
      </c>
      <c r="L144" s="3"/>
    </row>
    <row r="145" spans="1:12" x14ac:dyDescent="0.2">
      <c r="A145" s="3" t="s">
        <v>291</v>
      </c>
      <c r="B145" s="3"/>
      <c r="C145" s="3" t="str">
        <f>IFERROR(VLOOKUP(B145,الخطة!A:O,4,FALSE),"")</f>
        <v/>
      </c>
      <c r="D145" s="3"/>
      <c r="E145" s="3" t="str">
        <f>IFERROR(VLOOKUP(D145,الموظفون!A:L,2,FALSE),"")</f>
        <v/>
      </c>
      <c r="F145" s="3"/>
      <c r="G145" s="3"/>
      <c r="H145" s="3"/>
      <c r="I145" s="3"/>
      <c r="J145" s="3"/>
      <c r="K145" s="3" t="str">
        <f>IF(B145="","",IF(OR(D145="",F145=""),"ناقص بيانات",IF(F145="نعم","مكتمل","غائب")))</f>
        <v/>
      </c>
      <c r="L145" s="3"/>
    </row>
    <row r="146" spans="1:12" x14ac:dyDescent="0.2">
      <c r="A146" s="3" t="s">
        <v>292</v>
      </c>
      <c r="B146" s="3"/>
      <c r="C146" s="3" t="str">
        <f>IFERROR(VLOOKUP(B146,الخطة!A:O,4,FALSE),"")</f>
        <v/>
      </c>
      <c r="D146" s="3"/>
      <c r="E146" s="3" t="str">
        <f>IFERROR(VLOOKUP(D146,الموظفون!A:L,2,FALSE),"")</f>
        <v/>
      </c>
      <c r="F146" s="3"/>
      <c r="G146" s="3"/>
      <c r="H146" s="3"/>
      <c r="I146" s="3"/>
      <c r="J146" s="3"/>
      <c r="K146" s="3" t="str">
        <f>IF(B146="","",IF(OR(D146="",F146=""),"ناقص بيانات",IF(F146="نعم","مكتمل","غائب")))</f>
        <v/>
      </c>
      <c r="L146" s="3"/>
    </row>
    <row r="147" spans="1:12" x14ac:dyDescent="0.2">
      <c r="A147" s="3" t="s">
        <v>293</v>
      </c>
      <c r="B147" s="3"/>
      <c r="C147" s="3" t="str">
        <f>IFERROR(VLOOKUP(B147,الخطة!A:O,4,FALSE),"")</f>
        <v/>
      </c>
      <c r="D147" s="3"/>
      <c r="E147" s="3" t="str">
        <f>IFERROR(VLOOKUP(D147,الموظفون!A:L,2,FALSE),"")</f>
        <v/>
      </c>
      <c r="F147" s="3"/>
      <c r="G147" s="3"/>
      <c r="H147" s="3"/>
      <c r="I147" s="3"/>
      <c r="J147" s="3"/>
      <c r="K147" s="3" t="str">
        <f>IF(B147="","",IF(OR(D147="",F147=""),"ناقص بيانات",IF(F147="نعم","مكتمل","غائب")))</f>
        <v/>
      </c>
      <c r="L147" s="3"/>
    </row>
    <row r="148" spans="1:12" x14ac:dyDescent="0.2">
      <c r="A148" s="3" t="s">
        <v>294</v>
      </c>
      <c r="B148" s="3"/>
      <c r="C148" s="3" t="str">
        <f>IFERROR(VLOOKUP(B148,الخطة!A:O,4,FALSE),"")</f>
        <v/>
      </c>
      <c r="D148" s="3"/>
      <c r="E148" s="3" t="str">
        <f>IFERROR(VLOOKUP(D148,الموظفون!A:L,2,FALSE),"")</f>
        <v/>
      </c>
      <c r="F148" s="3"/>
      <c r="G148" s="3"/>
      <c r="H148" s="3"/>
      <c r="I148" s="3"/>
      <c r="J148" s="3"/>
      <c r="K148" s="3" t="str">
        <f>IF(B148="","",IF(OR(D148="",F148=""),"ناقص بيانات",IF(F148="نعم","مكتمل","غائب")))</f>
        <v/>
      </c>
      <c r="L148" s="3"/>
    </row>
    <row r="149" spans="1:12" x14ac:dyDescent="0.2">
      <c r="A149" s="3" t="s">
        <v>295</v>
      </c>
      <c r="B149" s="3"/>
      <c r="C149" s="3" t="str">
        <f>IFERROR(VLOOKUP(B149,الخطة!A:O,4,FALSE),"")</f>
        <v/>
      </c>
      <c r="D149" s="3"/>
      <c r="E149" s="3" t="str">
        <f>IFERROR(VLOOKUP(D149,الموظفون!A:L,2,FALSE),"")</f>
        <v/>
      </c>
      <c r="F149" s="3"/>
      <c r="G149" s="3"/>
      <c r="H149" s="3"/>
      <c r="I149" s="3"/>
      <c r="J149" s="3"/>
      <c r="K149" s="3" t="str">
        <f>IF(B149="","",IF(OR(D149="",F149=""),"ناقص بيانات",IF(F149="نعم","مكتمل","غائب")))</f>
        <v/>
      </c>
      <c r="L149" s="3"/>
    </row>
    <row r="150" spans="1:12" x14ac:dyDescent="0.2">
      <c r="A150" s="3" t="s">
        <v>296</v>
      </c>
      <c r="B150" s="3"/>
      <c r="C150" s="3" t="str">
        <f>IFERROR(VLOOKUP(B150,الخطة!A:O,4,FALSE),"")</f>
        <v/>
      </c>
      <c r="D150" s="3"/>
      <c r="E150" s="3" t="str">
        <f>IFERROR(VLOOKUP(D150,الموظفون!A:L,2,FALSE),"")</f>
        <v/>
      </c>
      <c r="F150" s="3"/>
      <c r="G150" s="3"/>
      <c r="H150" s="3"/>
      <c r="I150" s="3"/>
      <c r="J150" s="3"/>
      <c r="K150" s="3" t="str">
        <f>IF(B150="","",IF(OR(D150="",F150=""),"ناقص بيانات",IF(F150="نعم","مكتمل","غائب")))</f>
        <v/>
      </c>
      <c r="L150" s="3"/>
    </row>
    <row r="151" spans="1:12" x14ac:dyDescent="0.2">
      <c r="A151" s="3" t="s">
        <v>297</v>
      </c>
      <c r="B151" s="3"/>
      <c r="C151" s="3" t="str">
        <f>IFERROR(VLOOKUP(B151,الخطة!A:O,4,FALSE),"")</f>
        <v/>
      </c>
      <c r="D151" s="3"/>
      <c r="E151" s="3" t="str">
        <f>IFERROR(VLOOKUP(D151,الموظفون!A:L,2,FALSE),"")</f>
        <v/>
      </c>
      <c r="F151" s="3"/>
      <c r="G151" s="3"/>
      <c r="H151" s="3"/>
      <c r="I151" s="3"/>
      <c r="J151" s="3"/>
      <c r="K151" s="3" t="str">
        <f>IF(B151="","",IF(OR(D151="",F151=""),"ناقص بيانات",IF(F151="نعم","مكتمل","غائب")))</f>
        <v/>
      </c>
      <c r="L151" s="3"/>
    </row>
    <row r="152" spans="1:12" x14ac:dyDescent="0.2">
      <c r="A152" s="3" t="s">
        <v>298</v>
      </c>
      <c r="B152" s="3"/>
      <c r="C152" s="3" t="str">
        <f>IFERROR(VLOOKUP(B152,الخطة!A:O,4,FALSE),"")</f>
        <v/>
      </c>
      <c r="D152" s="3"/>
      <c r="E152" s="3" t="str">
        <f>IFERROR(VLOOKUP(D152,الموظفون!A:L,2,FALSE),"")</f>
        <v/>
      </c>
      <c r="F152" s="3"/>
      <c r="G152" s="3"/>
      <c r="H152" s="3"/>
      <c r="I152" s="3"/>
      <c r="J152" s="3"/>
      <c r="K152" s="3" t="str">
        <f>IF(B152="","",IF(OR(D152="",F152=""),"ناقص بيانات",IF(F152="نعم","مكتمل","غائب")))</f>
        <v/>
      </c>
      <c r="L152" s="3"/>
    </row>
    <row r="153" spans="1:12" x14ac:dyDescent="0.2">
      <c r="A153" s="3" t="s">
        <v>299</v>
      </c>
      <c r="B153" s="3"/>
      <c r="C153" s="3" t="str">
        <f>IFERROR(VLOOKUP(B153,الخطة!A:O,4,FALSE),"")</f>
        <v/>
      </c>
      <c r="D153" s="3"/>
      <c r="E153" s="3" t="str">
        <f>IFERROR(VLOOKUP(D153,الموظفون!A:L,2,FALSE),"")</f>
        <v/>
      </c>
      <c r="F153" s="3"/>
      <c r="G153" s="3"/>
      <c r="H153" s="3"/>
      <c r="I153" s="3"/>
      <c r="J153" s="3"/>
      <c r="K153" s="3" t="str">
        <f>IF(B153="","",IF(OR(D153="",F153=""),"ناقص بيانات",IF(F153="نعم","مكتمل","غائب")))</f>
        <v/>
      </c>
      <c r="L153" s="3"/>
    </row>
    <row r="154" spans="1:12" x14ac:dyDescent="0.2">
      <c r="A154" s="3" t="s">
        <v>300</v>
      </c>
      <c r="B154" s="3"/>
      <c r="C154" s="3" t="str">
        <f>IFERROR(VLOOKUP(B154,الخطة!A:O,4,FALSE),"")</f>
        <v/>
      </c>
      <c r="D154" s="3"/>
      <c r="E154" s="3" t="str">
        <f>IFERROR(VLOOKUP(D154,الموظفون!A:L,2,FALSE),"")</f>
        <v/>
      </c>
      <c r="F154" s="3"/>
      <c r="G154" s="3"/>
      <c r="H154" s="3"/>
      <c r="I154" s="3"/>
      <c r="J154" s="3"/>
      <c r="K154" s="3" t="str">
        <f>IF(B154="","",IF(OR(D154="",F154=""),"ناقص بيانات",IF(F154="نعم","مكتمل","غائب")))</f>
        <v/>
      </c>
      <c r="L154" s="3"/>
    </row>
    <row r="155" spans="1:12" x14ac:dyDescent="0.2">
      <c r="A155" s="3" t="s">
        <v>301</v>
      </c>
      <c r="B155" s="3"/>
      <c r="C155" s="3" t="str">
        <f>IFERROR(VLOOKUP(B155,الخطة!A:O,4,FALSE),"")</f>
        <v/>
      </c>
      <c r="D155" s="3"/>
      <c r="E155" s="3" t="str">
        <f>IFERROR(VLOOKUP(D155,الموظفون!A:L,2,FALSE),"")</f>
        <v/>
      </c>
      <c r="F155" s="3"/>
      <c r="G155" s="3"/>
      <c r="H155" s="3"/>
      <c r="I155" s="3"/>
      <c r="J155" s="3"/>
      <c r="K155" s="3" t="str">
        <f>IF(B155="","",IF(OR(D155="",F155=""),"ناقص بيانات",IF(F155="نعم","مكتمل","غائب")))</f>
        <v/>
      </c>
      <c r="L155" s="3"/>
    </row>
    <row r="156" spans="1:12" x14ac:dyDescent="0.2">
      <c r="A156" s="3" t="s">
        <v>302</v>
      </c>
      <c r="B156" s="3"/>
      <c r="C156" s="3" t="str">
        <f>IFERROR(VLOOKUP(B156,الخطة!A:O,4,FALSE),"")</f>
        <v/>
      </c>
      <c r="D156" s="3"/>
      <c r="E156" s="3" t="str">
        <f>IFERROR(VLOOKUP(D156,الموظفون!A:L,2,FALSE),"")</f>
        <v/>
      </c>
      <c r="F156" s="3"/>
      <c r="G156" s="3"/>
      <c r="H156" s="3"/>
      <c r="I156" s="3"/>
      <c r="J156" s="3"/>
      <c r="K156" s="3" t="str">
        <f>IF(B156="","",IF(OR(D156="",F156=""),"ناقص بيانات",IF(F156="نعم","مكتمل","غائب")))</f>
        <v/>
      </c>
      <c r="L156" s="3"/>
    </row>
    <row r="157" spans="1:12" x14ac:dyDescent="0.2">
      <c r="A157" s="3" t="s">
        <v>303</v>
      </c>
      <c r="B157" s="3"/>
      <c r="C157" s="3" t="str">
        <f>IFERROR(VLOOKUP(B157,الخطة!A:O,4,FALSE),"")</f>
        <v/>
      </c>
      <c r="D157" s="3"/>
      <c r="E157" s="3" t="str">
        <f>IFERROR(VLOOKUP(D157,الموظفون!A:L,2,FALSE),"")</f>
        <v/>
      </c>
      <c r="F157" s="3"/>
      <c r="G157" s="3"/>
      <c r="H157" s="3"/>
      <c r="I157" s="3"/>
      <c r="J157" s="3"/>
      <c r="K157" s="3" t="str">
        <f>IF(B157="","",IF(OR(D157="",F157=""),"ناقص بيانات",IF(F157="نعم","مكتمل","غائب")))</f>
        <v/>
      </c>
      <c r="L157" s="3"/>
    </row>
    <row r="158" spans="1:12" x14ac:dyDescent="0.2">
      <c r="A158" s="3" t="s">
        <v>304</v>
      </c>
      <c r="B158" s="3"/>
      <c r="C158" s="3" t="str">
        <f>IFERROR(VLOOKUP(B158,الخطة!A:O,4,FALSE),"")</f>
        <v/>
      </c>
      <c r="D158" s="3"/>
      <c r="E158" s="3" t="str">
        <f>IFERROR(VLOOKUP(D158,الموظفون!A:L,2,FALSE),"")</f>
        <v/>
      </c>
      <c r="F158" s="3"/>
      <c r="G158" s="3"/>
      <c r="H158" s="3"/>
      <c r="I158" s="3"/>
      <c r="J158" s="3"/>
      <c r="K158" s="3" t="str">
        <f>IF(B158="","",IF(OR(D158="",F158=""),"ناقص بيانات",IF(F158="نعم","مكتمل","غائب")))</f>
        <v/>
      </c>
      <c r="L158" s="3"/>
    </row>
    <row r="159" spans="1:12" x14ac:dyDescent="0.2">
      <c r="A159" s="3" t="s">
        <v>305</v>
      </c>
      <c r="B159" s="3"/>
      <c r="C159" s="3" t="str">
        <f>IFERROR(VLOOKUP(B159,الخطة!A:O,4,FALSE),"")</f>
        <v/>
      </c>
      <c r="D159" s="3"/>
      <c r="E159" s="3" t="str">
        <f>IFERROR(VLOOKUP(D159,الموظفون!A:L,2,FALSE),"")</f>
        <v/>
      </c>
      <c r="F159" s="3"/>
      <c r="G159" s="3"/>
      <c r="H159" s="3"/>
      <c r="I159" s="3"/>
      <c r="J159" s="3"/>
      <c r="K159" s="3" t="str">
        <f>IF(B159="","",IF(OR(D159="",F159=""),"ناقص بيانات",IF(F159="نعم","مكتمل","غائب")))</f>
        <v/>
      </c>
      <c r="L159" s="3"/>
    </row>
    <row r="160" spans="1:12" x14ac:dyDescent="0.2">
      <c r="A160" s="3" t="s">
        <v>306</v>
      </c>
      <c r="B160" s="3"/>
      <c r="C160" s="3" t="str">
        <f>IFERROR(VLOOKUP(B160,الخطة!A:O,4,FALSE),"")</f>
        <v/>
      </c>
      <c r="D160" s="3"/>
      <c r="E160" s="3" t="str">
        <f>IFERROR(VLOOKUP(D160,الموظفون!A:L,2,FALSE),"")</f>
        <v/>
      </c>
      <c r="F160" s="3"/>
      <c r="G160" s="3"/>
      <c r="H160" s="3"/>
      <c r="I160" s="3"/>
      <c r="J160" s="3"/>
      <c r="K160" s="3" t="str">
        <f>IF(B160="","",IF(OR(D160="",F160=""),"ناقص بيانات",IF(F160="نعم","مكتمل","غائب")))</f>
        <v/>
      </c>
      <c r="L160" s="3"/>
    </row>
    <row r="161" spans="1:12" x14ac:dyDescent="0.2">
      <c r="A161" s="3" t="s">
        <v>307</v>
      </c>
      <c r="B161" s="3"/>
      <c r="C161" s="3" t="str">
        <f>IFERROR(VLOOKUP(B161,الخطة!A:O,4,FALSE),"")</f>
        <v/>
      </c>
      <c r="D161" s="3"/>
      <c r="E161" s="3" t="str">
        <f>IFERROR(VLOOKUP(D161,الموظفون!A:L,2,FALSE),"")</f>
        <v/>
      </c>
      <c r="F161" s="3"/>
      <c r="G161" s="3"/>
      <c r="H161" s="3"/>
      <c r="I161" s="3"/>
      <c r="J161" s="3"/>
      <c r="K161" s="3" t="str">
        <f>IF(B161="","",IF(OR(D161="",F161=""),"ناقص بيانات",IF(F161="نعم","مكتمل","غائب")))</f>
        <v/>
      </c>
      <c r="L161" s="3"/>
    </row>
    <row r="162" spans="1:12" x14ac:dyDescent="0.2">
      <c r="A162" s="3" t="s">
        <v>308</v>
      </c>
      <c r="B162" s="3"/>
      <c r="C162" s="3" t="str">
        <f>IFERROR(VLOOKUP(B162,الخطة!A:O,4,FALSE),"")</f>
        <v/>
      </c>
      <c r="D162" s="3"/>
      <c r="E162" s="3" t="str">
        <f>IFERROR(VLOOKUP(D162,الموظفون!A:L,2,FALSE),"")</f>
        <v/>
      </c>
      <c r="F162" s="3"/>
      <c r="G162" s="3"/>
      <c r="H162" s="3"/>
      <c r="I162" s="3"/>
      <c r="J162" s="3"/>
      <c r="K162" s="3" t="str">
        <f>IF(B162="","",IF(OR(D162="",F162=""),"ناقص بيانات",IF(F162="نعم","مكتمل","غائب")))</f>
        <v/>
      </c>
      <c r="L162" s="3"/>
    </row>
    <row r="163" spans="1:12" x14ac:dyDescent="0.2">
      <c r="A163" s="3" t="s">
        <v>309</v>
      </c>
      <c r="B163" s="3"/>
      <c r="C163" s="3" t="str">
        <f>IFERROR(VLOOKUP(B163,الخطة!A:O,4,FALSE),"")</f>
        <v/>
      </c>
      <c r="D163" s="3"/>
      <c r="E163" s="3" t="str">
        <f>IFERROR(VLOOKUP(D163,الموظفون!A:L,2,FALSE),"")</f>
        <v/>
      </c>
      <c r="F163" s="3"/>
      <c r="G163" s="3"/>
      <c r="H163" s="3"/>
      <c r="I163" s="3"/>
      <c r="J163" s="3"/>
      <c r="K163" s="3" t="str">
        <f>IF(B163="","",IF(OR(D163="",F163=""),"ناقص بيانات",IF(F163="نعم","مكتمل","غائب")))</f>
        <v/>
      </c>
      <c r="L163" s="3"/>
    </row>
    <row r="164" spans="1:12" x14ac:dyDescent="0.2">
      <c r="A164" s="3" t="s">
        <v>310</v>
      </c>
      <c r="B164" s="3"/>
      <c r="C164" s="3" t="str">
        <f>IFERROR(VLOOKUP(B164,الخطة!A:O,4,FALSE),"")</f>
        <v/>
      </c>
      <c r="D164" s="3"/>
      <c r="E164" s="3" t="str">
        <f>IFERROR(VLOOKUP(D164,الموظفون!A:L,2,FALSE),"")</f>
        <v/>
      </c>
      <c r="F164" s="3"/>
      <c r="G164" s="3"/>
      <c r="H164" s="3"/>
      <c r="I164" s="3"/>
      <c r="J164" s="3"/>
      <c r="K164" s="3" t="str">
        <f>IF(B164="","",IF(OR(D164="",F164=""),"ناقص بيانات",IF(F164="نعم","مكتمل","غائب")))</f>
        <v/>
      </c>
      <c r="L164" s="3"/>
    </row>
    <row r="165" spans="1:12" x14ac:dyDescent="0.2">
      <c r="A165" s="3" t="s">
        <v>311</v>
      </c>
      <c r="B165" s="3"/>
      <c r="C165" s="3" t="str">
        <f>IFERROR(VLOOKUP(B165,الخطة!A:O,4,FALSE),"")</f>
        <v/>
      </c>
      <c r="D165" s="3"/>
      <c r="E165" s="3" t="str">
        <f>IFERROR(VLOOKUP(D165,الموظفون!A:L,2,FALSE),"")</f>
        <v/>
      </c>
      <c r="F165" s="3"/>
      <c r="G165" s="3"/>
      <c r="H165" s="3"/>
      <c r="I165" s="3"/>
      <c r="J165" s="3"/>
      <c r="K165" s="3" t="str">
        <f>IF(B165="","",IF(OR(D165="",F165=""),"ناقص بيانات",IF(F165="نعم","مكتمل","غائب")))</f>
        <v/>
      </c>
      <c r="L165" s="3"/>
    </row>
    <row r="166" spans="1:12" x14ac:dyDescent="0.2">
      <c r="A166" s="3" t="s">
        <v>312</v>
      </c>
      <c r="B166" s="3"/>
      <c r="C166" s="3" t="str">
        <f>IFERROR(VLOOKUP(B166,الخطة!A:O,4,FALSE),"")</f>
        <v/>
      </c>
      <c r="D166" s="3"/>
      <c r="E166" s="3" t="str">
        <f>IFERROR(VLOOKUP(D166,الموظفون!A:L,2,FALSE),"")</f>
        <v/>
      </c>
      <c r="F166" s="3"/>
      <c r="G166" s="3"/>
      <c r="H166" s="3"/>
      <c r="I166" s="3"/>
      <c r="J166" s="3"/>
      <c r="K166" s="3" t="str">
        <f>IF(B166="","",IF(OR(D166="",F166=""),"ناقص بيانات",IF(F166="نعم","مكتمل","غائب")))</f>
        <v/>
      </c>
      <c r="L166" s="3"/>
    </row>
    <row r="167" spans="1:12" x14ac:dyDescent="0.2">
      <c r="A167" s="3" t="s">
        <v>313</v>
      </c>
      <c r="B167" s="3"/>
      <c r="C167" s="3" t="str">
        <f>IFERROR(VLOOKUP(B167,الخطة!A:O,4,FALSE),"")</f>
        <v/>
      </c>
      <c r="D167" s="3"/>
      <c r="E167" s="3" t="str">
        <f>IFERROR(VLOOKUP(D167,الموظفون!A:L,2,FALSE),"")</f>
        <v/>
      </c>
      <c r="F167" s="3"/>
      <c r="G167" s="3"/>
      <c r="H167" s="3"/>
      <c r="I167" s="3"/>
      <c r="J167" s="3"/>
      <c r="K167" s="3" t="str">
        <f>IF(B167="","",IF(OR(D167="",F167=""),"ناقص بيانات",IF(F167="نعم","مكتمل","غائب")))</f>
        <v/>
      </c>
      <c r="L167" s="3"/>
    </row>
    <row r="168" spans="1:12" x14ac:dyDescent="0.2">
      <c r="A168" s="3" t="s">
        <v>314</v>
      </c>
      <c r="B168" s="3"/>
      <c r="C168" s="3" t="str">
        <f>IFERROR(VLOOKUP(B168,الخطة!A:O,4,FALSE),"")</f>
        <v/>
      </c>
      <c r="D168" s="3"/>
      <c r="E168" s="3" t="str">
        <f>IFERROR(VLOOKUP(D168,الموظفون!A:L,2,FALSE),"")</f>
        <v/>
      </c>
      <c r="F168" s="3"/>
      <c r="G168" s="3"/>
      <c r="H168" s="3"/>
      <c r="I168" s="3"/>
      <c r="J168" s="3"/>
      <c r="K168" s="3" t="str">
        <f>IF(B168="","",IF(OR(D168="",F168=""),"ناقص بيانات",IF(F168="نعم","مكتمل","غائب")))</f>
        <v/>
      </c>
      <c r="L168" s="3"/>
    </row>
    <row r="169" spans="1:12" x14ac:dyDescent="0.2">
      <c r="A169" s="3" t="s">
        <v>315</v>
      </c>
      <c r="B169" s="3"/>
      <c r="C169" s="3" t="str">
        <f>IFERROR(VLOOKUP(B169,الخطة!A:O,4,FALSE),"")</f>
        <v/>
      </c>
      <c r="D169" s="3"/>
      <c r="E169" s="3" t="str">
        <f>IFERROR(VLOOKUP(D169,الموظفون!A:L,2,FALSE),"")</f>
        <v/>
      </c>
      <c r="F169" s="3"/>
      <c r="G169" s="3"/>
      <c r="H169" s="3"/>
      <c r="I169" s="3"/>
      <c r="J169" s="3"/>
      <c r="K169" s="3" t="str">
        <f>IF(B169="","",IF(OR(D169="",F169=""),"ناقص بيانات",IF(F169="نعم","مكتمل","غائب")))</f>
        <v/>
      </c>
      <c r="L169" s="3"/>
    </row>
    <row r="170" spans="1:12" x14ac:dyDescent="0.2">
      <c r="A170" s="3" t="s">
        <v>316</v>
      </c>
      <c r="B170" s="3"/>
      <c r="C170" s="3" t="str">
        <f>IFERROR(VLOOKUP(B170,الخطة!A:O,4,FALSE),"")</f>
        <v/>
      </c>
      <c r="D170" s="3"/>
      <c r="E170" s="3" t="str">
        <f>IFERROR(VLOOKUP(D170,الموظفون!A:L,2,FALSE),"")</f>
        <v/>
      </c>
      <c r="F170" s="3"/>
      <c r="G170" s="3"/>
      <c r="H170" s="3"/>
      <c r="I170" s="3"/>
      <c r="J170" s="3"/>
      <c r="K170" s="3" t="str">
        <f>IF(B170="","",IF(OR(D170="",F170=""),"ناقص بيانات",IF(F170="نعم","مكتمل","غائب")))</f>
        <v/>
      </c>
      <c r="L170" s="3"/>
    </row>
    <row r="171" spans="1:12" x14ac:dyDescent="0.2">
      <c r="A171" s="3" t="s">
        <v>317</v>
      </c>
      <c r="B171" s="3"/>
      <c r="C171" s="3" t="str">
        <f>IFERROR(VLOOKUP(B171,الخطة!A:O,4,FALSE),"")</f>
        <v/>
      </c>
      <c r="D171" s="3"/>
      <c r="E171" s="3" t="str">
        <f>IFERROR(VLOOKUP(D171,الموظفون!A:L,2,FALSE),"")</f>
        <v/>
      </c>
      <c r="F171" s="3"/>
      <c r="G171" s="3"/>
      <c r="H171" s="3"/>
      <c r="I171" s="3"/>
      <c r="J171" s="3"/>
      <c r="K171" s="3" t="str">
        <f>IF(B171="","",IF(OR(D171="",F171=""),"ناقص بيانات",IF(F171="نعم","مكتمل","غائب")))</f>
        <v/>
      </c>
      <c r="L171" s="3"/>
    </row>
    <row r="172" spans="1:12" x14ac:dyDescent="0.2">
      <c r="A172" s="3" t="s">
        <v>318</v>
      </c>
      <c r="B172" s="3"/>
      <c r="C172" s="3" t="str">
        <f>IFERROR(VLOOKUP(B172,الخطة!A:O,4,FALSE),"")</f>
        <v/>
      </c>
      <c r="D172" s="3"/>
      <c r="E172" s="3" t="str">
        <f>IFERROR(VLOOKUP(D172,الموظفون!A:L,2,FALSE),"")</f>
        <v/>
      </c>
      <c r="F172" s="3"/>
      <c r="G172" s="3"/>
      <c r="H172" s="3"/>
      <c r="I172" s="3"/>
      <c r="J172" s="3"/>
      <c r="K172" s="3" t="str">
        <f>IF(B172="","",IF(OR(D172="",F172=""),"ناقص بيانات",IF(F172="نعم","مكتمل","غائب")))</f>
        <v/>
      </c>
      <c r="L172" s="3"/>
    </row>
    <row r="173" spans="1:12" x14ac:dyDescent="0.2">
      <c r="A173" s="3" t="s">
        <v>319</v>
      </c>
      <c r="B173" s="3"/>
      <c r="C173" s="3" t="str">
        <f>IFERROR(VLOOKUP(B173,الخطة!A:O,4,FALSE),"")</f>
        <v/>
      </c>
      <c r="D173" s="3"/>
      <c r="E173" s="3" t="str">
        <f>IFERROR(VLOOKUP(D173,الموظفون!A:L,2,FALSE),"")</f>
        <v/>
      </c>
      <c r="F173" s="3"/>
      <c r="G173" s="3"/>
      <c r="H173" s="3"/>
      <c r="I173" s="3"/>
      <c r="J173" s="3"/>
      <c r="K173" s="3" t="str">
        <f>IF(B173="","",IF(OR(D173="",F173=""),"ناقص بيانات",IF(F173="نعم","مكتمل","غائب")))</f>
        <v/>
      </c>
      <c r="L173" s="3"/>
    </row>
    <row r="174" spans="1:12" x14ac:dyDescent="0.2">
      <c r="A174" s="3" t="s">
        <v>320</v>
      </c>
      <c r="B174" s="3"/>
      <c r="C174" s="3" t="str">
        <f>IFERROR(VLOOKUP(B174,الخطة!A:O,4,FALSE),"")</f>
        <v/>
      </c>
      <c r="D174" s="3"/>
      <c r="E174" s="3" t="str">
        <f>IFERROR(VLOOKUP(D174,الموظفون!A:L,2,FALSE),"")</f>
        <v/>
      </c>
      <c r="F174" s="3"/>
      <c r="G174" s="3"/>
      <c r="H174" s="3"/>
      <c r="I174" s="3"/>
      <c r="J174" s="3"/>
      <c r="K174" s="3" t="str">
        <f>IF(B174="","",IF(OR(D174="",F174=""),"ناقص بيانات",IF(F174="نعم","مكتمل","غائب")))</f>
        <v/>
      </c>
      <c r="L174" s="3"/>
    </row>
    <row r="175" spans="1:12" x14ac:dyDescent="0.2">
      <c r="A175" s="3" t="s">
        <v>321</v>
      </c>
      <c r="B175" s="3"/>
      <c r="C175" s="3" t="str">
        <f>IFERROR(VLOOKUP(B175,الخطة!A:O,4,FALSE),"")</f>
        <v/>
      </c>
      <c r="D175" s="3"/>
      <c r="E175" s="3" t="str">
        <f>IFERROR(VLOOKUP(D175,الموظفون!A:L,2,FALSE),"")</f>
        <v/>
      </c>
      <c r="F175" s="3"/>
      <c r="G175" s="3"/>
      <c r="H175" s="3"/>
      <c r="I175" s="3"/>
      <c r="J175" s="3"/>
      <c r="K175" s="3" t="str">
        <f>IF(B175="","",IF(OR(D175="",F175=""),"ناقص بيانات",IF(F175="نعم","مكتمل","غائب")))</f>
        <v/>
      </c>
      <c r="L175" s="3"/>
    </row>
    <row r="176" spans="1:12" x14ac:dyDescent="0.2">
      <c r="A176" s="3" t="s">
        <v>322</v>
      </c>
      <c r="B176" s="3"/>
      <c r="C176" s="3" t="str">
        <f>IFERROR(VLOOKUP(B176,الخطة!A:O,4,FALSE),"")</f>
        <v/>
      </c>
      <c r="D176" s="3"/>
      <c r="E176" s="3" t="str">
        <f>IFERROR(VLOOKUP(D176,الموظفون!A:L,2,FALSE),"")</f>
        <v/>
      </c>
      <c r="F176" s="3"/>
      <c r="G176" s="3"/>
      <c r="H176" s="3"/>
      <c r="I176" s="3"/>
      <c r="J176" s="3"/>
      <c r="K176" s="3" t="str">
        <f>IF(B176="","",IF(OR(D176="",F176=""),"ناقص بيانات",IF(F176="نعم","مكتمل","غائب")))</f>
        <v/>
      </c>
      <c r="L176" s="3"/>
    </row>
    <row r="177" spans="1:12" x14ac:dyDescent="0.2">
      <c r="A177" s="3" t="s">
        <v>323</v>
      </c>
      <c r="B177" s="3"/>
      <c r="C177" s="3" t="str">
        <f>IFERROR(VLOOKUP(B177,الخطة!A:O,4,FALSE),"")</f>
        <v/>
      </c>
      <c r="D177" s="3"/>
      <c r="E177" s="3" t="str">
        <f>IFERROR(VLOOKUP(D177,الموظفون!A:L,2,FALSE),"")</f>
        <v/>
      </c>
      <c r="F177" s="3"/>
      <c r="G177" s="3"/>
      <c r="H177" s="3"/>
      <c r="I177" s="3"/>
      <c r="J177" s="3"/>
      <c r="K177" s="3" t="str">
        <f>IF(B177="","",IF(OR(D177="",F177=""),"ناقص بيانات",IF(F177="نعم","مكتمل","غائب")))</f>
        <v/>
      </c>
      <c r="L177" s="3"/>
    </row>
    <row r="178" spans="1:12" x14ac:dyDescent="0.2">
      <c r="A178" s="3" t="s">
        <v>324</v>
      </c>
      <c r="B178" s="3"/>
      <c r="C178" s="3" t="str">
        <f>IFERROR(VLOOKUP(B178,الخطة!A:O,4,FALSE),"")</f>
        <v/>
      </c>
      <c r="D178" s="3"/>
      <c r="E178" s="3" t="str">
        <f>IFERROR(VLOOKUP(D178,الموظفون!A:L,2,FALSE),"")</f>
        <v/>
      </c>
      <c r="F178" s="3"/>
      <c r="G178" s="3"/>
      <c r="H178" s="3"/>
      <c r="I178" s="3"/>
      <c r="J178" s="3"/>
      <c r="K178" s="3" t="str">
        <f>IF(B178="","",IF(OR(D178="",F178=""),"ناقص بيانات",IF(F178="نعم","مكتمل","غائب")))</f>
        <v/>
      </c>
      <c r="L178" s="3"/>
    </row>
    <row r="179" spans="1:12" x14ac:dyDescent="0.2">
      <c r="A179" s="3" t="s">
        <v>325</v>
      </c>
      <c r="B179" s="3"/>
      <c r="C179" s="3" t="str">
        <f>IFERROR(VLOOKUP(B179,الخطة!A:O,4,FALSE),"")</f>
        <v/>
      </c>
      <c r="D179" s="3"/>
      <c r="E179" s="3" t="str">
        <f>IFERROR(VLOOKUP(D179,الموظفون!A:L,2,FALSE),"")</f>
        <v/>
      </c>
      <c r="F179" s="3"/>
      <c r="G179" s="3"/>
      <c r="H179" s="3"/>
      <c r="I179" s="3"/>
      <c r="J179" s="3"/>
      <c r="K179" s="3" t="str">
        <f>IF(B179="","",IF(OR(D179="",F179=""),"ناقص بيانات",IF(F179="نعم","مكتمل","غائب")))</f>
        <v/>
      </c>
      <c r="L179" s="3"/>
    </row>
    <row r="180" spans="1:12" x14ac:dyDescent="0.2">
      <c r="A180" s="3" t="s">
        <v>326</v>
      </c>
      <c r="B180" s="3"/>
      <c r="C180" s="3" t="str">
        <f>IFERROR(VLOOKUP(B180,الخطة!A:O,4,FALSE),"")</f>
        <v/>
      </c>
      <c r="D180" s="3"/>
      <c r="E180" s="3" t="str">
        <f>IFERROR(VLOOKUP(D180,الموظفون!A:L,2,FALSE),"")</f>
        <v/>
      </c>
      <c r="F180" s="3"/>
      <c r="G180" s="3"/>
      <c r="H180" s="3"/>
      <c r="I180" s="3"/>
      <c r="J180" s="3"/>
      <c r="K180" s="3" t="str">
        <f>IF(B180="","",IF(OR(D180="",F180=""),"ناقص بيانات",IF(F180="نعم","مكتمل","غائب")))</f>
        <v/>
      </c>
      <c r="L180" s="3"/>
    </row>
    <row r="181" spans="1:12" x14ac:dyDescent="0.2">
      <c r="A181" s="3" t="s">
        <v>327</v>
      </c>
      <c r="B181" s="3"/>
      <c r="C181" s="3" t="str">
        <f>IFERROR(VLOOKUP(B181,الخطة!A:O,4,FALSE),"")</f>
        <v/>
      </c>
      <c r="D181" s="3"/>
      <c r="E181" s="3" t="str">
        <f>IFERROR(VLOOKUP(D181,الموظفون!A:L,2,FALSE),"")</f>
        <v/>
      </c>
      <c r="F181" s="3"/>
      <c r="G181" s="3"/>
      <c r="H181" s="3"/>
      <c r="I181" s="3"/>
      <c r="J181" s="3"/>
      <c r="K181" s="3" t="str">
        <f>IF(B181="","",IF(OR(D181="",F181=""),"ناقص بيانات",IF(F181="نعم","مكتمل","غائب")))</f>
        <v/>
      </c>
      <c r="L181" s="3"/>
    </row>
    <row r="182" spans="1:12" x14ac:dyDescent="0.2">
      <c r="A182" s="3" t="s">
        <v>328</v>
      </c>
      <c r="B182" s="3"/>
      <c r="C182" s="3" t="str">
        <f>IFERROR(VLOOKUP(B182,الخطة!A:O,4,FALSE),"")</f>
        <v/>
      </c>
      <c r="D182" s="3"/>
      <c r="E182" s="3" t="str">
        <f>IFERROR(VLOOKUP(D182,الموظفون!A:L,2,FALSE),"")</f>
        <v/>
      </c>
      <c r="F182" s="3"/>
      <c r="G182" s="3"/>
      <c r="H182" s="3"/>
      <c r="I182" s="3"/>
      <c r="J182" s="3"/>
      <c r="K182" s="3" t="str">
        <f>IF(B182="","",IF(OR(D182="",F182=""),"ناقص بيانات",IF(F182="نعم","مكتمل","غائب")))</f>
        <v/>
      </c>
      <c r="L182" s="3"/>
    </row>
    <row r="183" spans="1:12" x14ac:dyDescent="0.2">
      <c r="A183" s="3" t="s">
        <v>329</v>
      </c>
      <c r="B183" s="3"/>
      <c r="C183" s="3" t="str">
        <f>IFERROR(VLOOKUP(B183,الخطة!A:O,4,FALSE),"")</f>
        <v/>
      </c>
      <c r="D183" s="3"/>
      <c r="E183" s="3" t="str">
        <f>IFERROR(VLOOKUP(D183,الموظفون!A:L,2,FALSE),"")</f>
        <v/>
      </c>
      <c r="F183" s="3"/>
      <c r="G183" s="3"/>
      <c r="H183" s="3"/>
      <c r="I183" s="3"/>
      <c r="J183" s="3"/>
      <c r="K183" s="3" t="str">
        <f>IF(B183="","",IF(OR(D183="",F183=""),"ناقص بيانات",IF(F183="نعم","مكتمل","غائب")))</f>
        <v/>
      </c>
      <c r="L183" s="3"/>
    </row>
    <row r="184" spans="1:12" x14ac:dyDescent="0.2">
      <c r="A184" s="3" t="s">
        <v>330</v>
      </c>
      <c r="B184" s="3"/>
      <c r="C184" s="3" t="str">
        <f>IFERROR(VLOOKUP(B184,الخطة!A:O,4,FALSE),"")</f>
        <v/>
      </c>
      <c r="D184" s="3"/>
      <c r="E184" s="3" t="str">
        <f>IFERROR(VLOOKUP(D184,الموظفون!A:L,2,FALSE),"")</f>
        <v/>
      </c>
      <c r="F184" s="3"/>
      <c r="G184" s="3"/>
      <c r="H184" s="3"/>
      <c r="I184" s="3"/>
      <c r="J184" s="3"/>
      <c r="K184" s="3" t="str">
        <f>IF(B184="","",IF(OR(D184="",F184=""),"ناقص بيانات",IF(F184="نعم","مكتمل","غائب")))</f>
        <v/>
      </c>
      <c r="L184" s="3"/>
    </row>
    <row r="185" spans="1:12" x14ac:dyDescent="0.2">
      <c r="A185" s="3" t="s">
        <v>331</v>
      </c>
      <c r="B185" s="3"/>
      <c r="C185" s="3" t="str">
        <f>IFERROR(VLOOKUP(B185,الخطة!A:O,4,FALSE),"")</f>
        <v/>
      </c>
      <c r="D185" s="3"/>
      <c r="E185" s="3" t="str">
        <f>IFERROR(VLOOKUP(D185,الموظفون!A:L,2,FALSE),"")</f>
        <v/>
      </c>
      <c r="F185" s="3"/>
      <c r="G185" s="3"/>
      <c r="H185" s="3"/>
      <c r="I185" s="3"/>
      <c r="J185" s="3"/>
      <c r="K185" s="3" t="str">
        <f>IF(B185="","",IF(OR(D185="",F185=""),"ناقص بيانات",IF(F185="نعم","مكتمل","غائب")))</f>
        <v/>
      </c>
      <c r="L185" s="3"/>
    </row>
    <row r="186" spans="1:12" x14ac:dyDescent="0.2">
      <c r="A186" s="3" t="s">
        <v>332</v>
      </c>
      <c r="B186" s="3"/>
      <c r="C186" s="3" t="str">
        <f>IFERROR(VLOOKUP(B186,الخطة!A:O,4,FALSE),"")</f>
        <v/>
      </c>
      <c r="D186" s="3"/>
      <c r="E186" s="3" t="str">
        <f>IFERROR(VLOOKUP(D186,الموظفون!A:L,2,FALSE),"")</f>
        <v/>
      </c>
      <c r="F186" s="3"/>
      <c r="G186" s="3"/>
      <c r="H186" s="3"/>
      <c r="I186" s="3"/>
      <c r="J186" s="3"/>
      <c r="K186" s="3" t="str">
        <f>IF(B186="","",IF(OR(D186="",F186=""),"ناقص بيانات",IF(F186="نعم","مكتمل","غائب")))</f>
        <v/>
      </c>
      <c r="L186" s="3"/>
    </row>
    <row r="187" spans="1:12" x14ac:dyDescent="0.2">
      <c r="A187" s="3" t="s">
        <v>333</v>
      </c>
      <c r="B187" s="3"/>
      <c r="C187" s="3" t="str">
        <f>IFERROR(VLOOKUP(B187,الخطة!A:O,4,FALSE),"")</f>
        <v/>
      </c>
      <c r="D187" s="3"/>
      <c r="E187" s="3" t="str">
        <f>IFERROR(VLOOKUP(D187,الموظفون!A:L,2,FALSE),"")</f>
        <v/>
      </c>
      <c r="F187" s="3"/>
      <c r="G187" s="3"/>
      <c r="H187" s="3"/>
      <c r="I187" s="3"/>
      <c r="J187" s="3"/>
      <c r="K187" s="3" t="str">
        <f>IF(B187="","",IF(OR(D187="",F187=""),"ناقص بيانات",IF(F187="نعم","مكتمل","غائب")))</f>
        <v/>
      </c>
      <c r="L187" s="3"/>
    </row>
    <row r="188" spans="1:12" x14ac:dyDescent="0.2">
      <c r="A188" s="3" t="s">
        <v>334</v>
      </c>
      <c r="B188" s="3"/>
      <c r="C188" s="3" t="str">
        <f>IFERROR(VLOOKUP(B188,الخطة!A:O,4,FALSE),"")</f>
        <v/>
      </c>
      <c r="D188" s="3"/>
      <c r="E188" s="3" t="str">
        <f>IFERROR(VLOOKUP(D188,الموظفون!A:L,2,FALSE),"")</f>
        <v/>
      </c>
      <c r="F188" s="3"/>
      <c r="G188" s="3"/>
      <c r="H188" s="3"/>
      <c r="I188" s="3"/>
      <c r="J188" s="3"/>
      <c r="K188" s="3" t="str">
        <f>IF(B188="","",IF(OR(D188="",F188=""),"ناقص بيانات",IF(F188="نعم","مكتمل","غائب")))</f>
        <v/>
      </c>
      <c r="L188" s="3"/>
    </row>
    <row r="189" spans="1:12" x14ac:dyDescent="0.2">
      <c r="A189" s="3" t="s">
        <v>335</v>
      </c>
      <c r="B189" s="3"/>
      <c r="C189" s="3" t="str">
        <f>IFERROR(VLOOKUP(B189,الخطة!A:O,4,FALSE),"")</f>
        <v/>
      </c>
      <c r="D189" s="3"/>
      <c r="E189" s="3" t="str">
        <f>IFERROR(VLOOKUP(D189,الموظفون!A:L,2,FALSE),"")</f>
        <v/>
      </c>
      <c r="F189" s="3"/>
      <c r="G189" s="3"/>
      <c r="H189" s="3"/>
      <c r="I189" s="3"/>
      <c r="J189" s="3"/>
      <c r="K189" s="3" t="str">
        <f>IF(B189="","",IF(OR(D189="",F189=""),"ناقص بيانات",IF(F189="نعم","مكتمل","غائب")))</f>
        <v/>
      </c>
      <c r="L189" s="3"/>
    </row>
    <row r="190" spans="1:12" x14ac:dyDescent="0.2">
      <c r="A190" s="3" t="s">
        <v>336</v>
      </c>
      <c r="B190" s="3"/>
      <c r="C190" s="3" t="str">
        <f>IFERROR(VLOOKUP(B190,الخطة!A:O,4,FALSE),"")</f>
        <v/>
      </c>
      <c r="D190" s="3"/>
      <c r="E190" s="3" t="str">
        <f>IFERROR(VLOOKUP(D190,الموظفون!A:L,2,FALSE),"")</f>
        <v/>
      </c>
      <c r="F190" s="3"/>
      <c r="G190" s="3"/>
      <c r="H190" s="3"/>
      <c r="I190" s="3"/>
      <c r="J190" s="3"/>
      <c r="K190" s="3" t="str">
        <f>IF(B190="","",IF(OR(D190="",F190=""),"ناقص بيانات",IF(F190="نعم","مكتمل","غائب")))</f>
        <v/>
      </c>
      <c r="L190" s="3"/>
    </row>
    <row r="191" spans="1:12" x14ac:dyDescent="0.2">
      <c r="A191" s="3" t="s">
        <v>337</v>
      </c>
      <c r="B191" s="3"/>
      <c r="C191" s="3" t="str">
        <f>IFERROR(VLOOKUP(B191,الخطة!A:O,4,FALSE),"")</f>
        <v/>
      </c>
      <c r="D191" s="3"/>
      <c r="E191" s="3" t="str">
        <f>IFERROR(VLOOKUP(D191,الموظفون!A:L,2,FALSE),"")</f>
        <v/>
      </c>
      <c r="F191" s="3"/>
      <c r="G191" s="3"/>
      <c r="H191" s="3"/>
      <c r="I191" s="3"/>
      <c r="J191" s="3"/>
      <c r="K191" s="3" t="str">
        <f>IF(B191="","",IF(OR(D191="",F191=""),"ناقص بيانات",IF(F191="نعم","مكتمل","غائب")))</f>
        <v/>
      </c>
      <c r="L191" s="3"/>
    </row>
    <row r="192" spans="1:12" x14ac:dyDescent="0.2">
      <c r="A192" s="3" t="s">
        <v>338</v>
      </c>
      <c r="B192" s="3"/>
      <c r="C192" s="3" t="str">
        <f>IFERROR(VLOOKUP(B192,الخطة!A:O,4,FALSE),"")</f>
        <v/>
      </c>
      <c r="D192" s="3"/>
      <c r="E192" s="3" t="str">
        <f>IFERROR(VLOOKUP(D192,الموظفون!A:L,2,FALSE),"")</f>
        <v/>
      </c>
      <c r="F192" s="3"/>
      <c r="G192" s="3"/>
      <c r="H192" s="3"/>
      <c r="I192" s="3"/>
      <c r="J192" s="3"/>
      <c r="K192" s="3" t="str">
        <f>IF(B192="","",IF(OR(D192="",F192=""),"ناقص بيانات",IF(F192="نعم","مكتمل","غائب")))</f>
        <v/>
      </c>
      <c r="L192" s="3"/>
    </row>
    <row r="193" spans="1:12" x14ac:dyDescent="0.2">
      <c r="A193" s="3" t="s">
        <v>339</v>
      </c>
      <c r="B193" s="3"/>
      <c r="C193" s="3" t="str">
        <f>IFERROR(VLOOKUP(B193,الخطة!A:O,4,FALSE),"")</f>
        <v/>
      </c>
      <c r="D193" s="3"/>
      <c r="E193" s="3" t="str">
        <f>IFERROR(VLOOKUP(D193,الموظفون!A:L,2,FALSE),"")</f>
        <v/>
      </c>
      <c r="F193" s="3"/>
      <c r="G193" s="3"/>
      <c r="H193" s="3"/>
      <c r="I193" s="3"/>
      <c r="J193" s="3"/>
      <c r="K193" s="3" t="str">
        <f>IF(B193="","",IF(OR(D193="",F193=""),"ناقص بيانات",IF(F193="نعم","مكتمل","غائب")))</f>
        <v/>
      </c>
      <c r="L193" s="3"/>
    </row>
    <row r="194" spans="1:12" x14ac:dyDescent="0.2">
      <c r="A194" s="3" t="s">
        <v>340</v>
      </c>
      <c r="B194" s="3"/>
      <c r="C194" s="3" t="str">
        <f>IFERROR(VLOOKUP(B194,الخطة!A:O,4,FALSE),"")</f>
        <v/>
      </c>
      <c r="D194" s="3"/>
      <c r="E194" s="3" t="str">
        <f>IFERROR(VLOOKUP(D194,الموظفون!A:L,2,FALSE),"")</f>
        <v/>
      </c>
      <c r="F194" s="3"/>
      <c r="G194" s="3"/>
      <c r="H194" s="3"/>
      <c r="I194" s="3"/>
      <c r="J194" s="3"/>
      <c r="K194" s="3" t="str">
        <f>IF(B194="","",IF(OR(D194="",F194=""),"ناقص بيانات",IF(F194="نعم","مكتمل","غائب")))</f>
        <v/>
      </c>
      <c r="L194" s="3"/>
    </row>
    <row r="195" spans="1:12" x14ac:dyDescent="0.2">
      <c r="A195" s="3" t="s">
        <v>341</v>
      </c>
      <c r="B195" s="3"/>
      <c r="C195" s="3" t="str">
        <f>IFERROR(VLOOKUP(B195,الخطة!A:O,4,FALSE),"")</f>
        <v/>
      </c>
      <c r="D195" s="3"/>
      <c r="E195" s="3" t="str">
        <f>IFERROR(VLOOKUP(D195,الموظفون!A:L,2,FALSE),"")</f>
        <v/>
      </c>
      <c r="F195" s="3"/>
      <c r="G195" s="3"/>
      <c r="H195" s="3"/>
      <c r="I195" s="3"/>
      <c r="J195" s="3"/>
      <c r="K195" s="3" t="str">
        <f>IF(B195="","",IF(OR(D195="",F195=""),"ناقص بيانات",IF(F195="نعم","مكتمل","غائب")))</f>
        <v/>
      </c>
      <c r="L195" s="3"/>
    </row>
    <row r="196" spans="1:12" x14ac:dyDescent="0.2">
      <c r="A196" s="3" t="s">
        <v>342</v>
      </c>
      <c r="B196" s="3"/>
      <c r="C196" s="3" t="str">
        <f>IFERROR(VLOOKUP(B196,الخطة!A:O,4,FALSE),"")</f>
        <v/>
      </c>
      <c r="D196" s="3"/>
      <c r="E196" s="3" t="str">
        <f>IFERROR(VLOOKUP(D196,الموظفون!A:L,2,FALSE),"")</f>
        <v/>
      </c>
      <c r="F196" s="3"/>
      <c r="G196" s="3"/>
      <c r="H196" s="3"/>
      <c r="I196" s="3"/>
      <c r="J196" s="3"/>
      <c r="K196" s="3" t="str">
        <f>IF(B196="","",IF(OR(D196="",F196=""),"ناقص بيانات",IF(F196="نعم","مكتمل","غائب")))</f>
        <v/>
      </c>
      <c r="L196" s="3"/>
    </row>
    <row r="197" spans="1:12" x14ac:dyDescent="0.2">
      <c r="A197" s="3" t="s">
        <v>343</v>
      </c>
      <c r="B197" s="3"/>
      <c r="C197" s="3" t="str">
        <f>IFERROR(VLOOKUP(B197,الخطة!A:O,4,FALSE),"")</f>
        <v/>
      </c>
      <c r="D197" s="3"/>
      <c r="E197" s="3" t="str">
        <f>IFERROR(VLOOKUP(D197,الموظفون!A:L,2,FALSE),"")</f>
        <v/>
      </c>
      <c r="F197" s="3"/>
      <c r="G197" s="3"/>
      <c r="H197" s="3"/>
      <c r="I197" s="3"/>
      <c r="J197" s="3"/>
      <c r="K197" s="3" t="str">
        <f>IF(B197="","",IF(OR(D197="",F197=""),"ناقص بيانات",IF(F197="نعم","مكتمل","غائب")))</f>
        <v/>
      </c>
      <c r="L197" s="3"/>
    </row>
    <row r="198" spans="1:12" x14ac:dyDescent="0.2">
      <c r="A198" s="3" t="s">
        <v>344</v>
      </c>
      <c r="B198" s="3"/>
      <c r="C198" s="3" t="str">
        <f>IFERROR(VLOOKUP(B198,الخطة!A:O,4,FALSE),"")</f>
        <v/>
      </c>
      <c r="D198" s="3"/>
      <c r="E198" s="3" t="str">
        <f>IFERROR(VLOOKUP(D198,الموظفون!A:L,2,FALSE),"")</f>
        <v/>
      </c>
      <c r="F198" s="3"/>
      <c r="G198" s="3"/>
      <c r="H198" s="3"/>
      <c r="I198" s="3"/>
      <c r="J198" s="3"/>
      <c r="K198" s="3" t="str">
        <f>IF(B198="","",IF(OR(D198="",F198=""),"ناقص بيانات",IF(F198="نعم","مكتمل","غائب")))</f>
        <v/>
      </c>
      <c r="L198" s="3"/>
    </row>
    <row r="199" spans="1:12" x14ac:dyDescent="0.2">
      <c r="A199" s="3" t="s">
        <v>345</v>
      </c>
      <c r="B199" s="3"/>
      <c r="C199" s="3" t="str">
        <f>IFERROR(VLOOKUP(B199,الخطة!A:O,4,FALSE),"")</f>
        <v/>
      </c>
      <c r="D199" s="3"/>
      <c r="E199" s="3" t="str">
        <f>IFERROR(VLOOKUP(D199,الموظفون!A:L,2,FALSE),"")</f>
        <v/>
      </c>
      <c r="F199" s="3"/>
      <c r="G199" s="3"/>
      <c r="H199" s="3"/>
      <c r="I199" s="3"/>
      <c r="J199" s="3"/>
      <c r="K199" s="3" t="str">
        <f>IF(B199="","",IF(OR(D199="",F199=""),"ناقص بيانات",IF(F199="نعم","مكتمل","غائب")))</f>
        <v/>
      </c>
      <c r="L199" s="3"/>
    </row>
    <row r="200" spans="1:12" x14ac:dyDescent="0.2">
      <c r="A200" s="3" t="s">
        <v>346</v>
      </c>
      <c r="B200" s="3"/>
      <c r="C200" s="3" t="str">
        <f>IFERROR(VLOOKUP(B200,الخطة!A:O,4,FALSE),"")</f>
        <v/>
      </c>
      <c r="D200" s="3"/>
      <c r="E200" s="3" t="str">
        <f>IFERROR(VLOOKUP(D200,الموظفون!A:L,2,FALSE),"")</f>
        <v/>
      </c>
      <c r="F200" s="3"/>
      <c r="G200" s="3"/>
      <c r="H200" s="3"/>
      <c r="I200" s="3"/>
      <c r="J200" s="3"/>
      <c r="K200" s="3" t="str">
        <f>IF(B200="","",IF(OR(D200="",F200=""),"ناقص بيانات",IF(F200="نعم","مكتمل","غائب")))</f>
        <v/>
      </c>
      <c r="L200" s="3"/>
    </row>
    <row r="201" spans="1:12" x14ac:dyDescent="0.2">
      <c r="A201" s="3" t="s">
        <v>347</v>
      </c>
      <c r="B201" s="3"/>
      <c r="C201" s="3" t="str">
        <f>IFERROR(VLOOKUP(B201,الخطة!A:O,4,FALSE),"")</f>
        <v/>
      </c>
      <c r="D201" s="3"/>
      <c r="E201" s="3" t="str">
        <f>IFERROR(VLOOKUP(D201,الموظفون!A:L,2,FALSE),"")</f>
        <v/>
      </c>
      <c r="F201" s="3"/>
      <c r="G201" s="3"/>
      <c r="H201" s="3"/>
      <c r="I201" s="3"/>
      <c r="J201" s="3"/>
      <c r="K201" s="3" t="str">
        <f>IF(B201="","",IF(OR(D201="",F201=""),"ناقص بيانات",IF(F201="نعم","مكتمل","غائب")))</f>
        <v/>
      </c>
      <c r="L201" s="3"/>
    </row>
    <row r="202" spans="1:12" x14ac:dyDescent="0.2">
      <c r="A202" s="3" t="s">
        <v>348</v>
      </c>
      <c r="B202" s="3"/>
      <c r="C202" s="3" t="str">
        <f>IFERROR(VLOOKUP(B202,الخطة!A:O,4,FALSE),"")</f>
        <v/>
      </c>
      <c r="D202" s="3"/>
      <c r="E202" s="3" t="str">
        <f>IFERROR(VLOOKUP(D202,الموظفون!A:L,2,FALSE),"")</f>
        <v/>
      </c>
      <c r="F202" s="3"/>
      <c r="G202" s="3"/>
      <c r="H202" s="3"/>
      <c r="I202" s="3"/>
      <c r="J202" s="3"/>
      <c r="K202" s="3" t="str">
        <f>IF(B202="","",IF(OR(D202="",F202=""),"ناقص بيانات",IF(F202="نعم","مكتمل","غائب")))</f>
        <v/>
      </c>
      <c r="L202" s="3"/>
    </row>
    <row r="203" spans="1:12" x14ac:dyDescent="0.2">
      <c r="A203" s="3" t="s">
        <v>349</v>
      </c>
      <c r="B203" s="3"/>
      <c r="C203" s="3" t="str">
        <f>IFERROR(VLOOKUP(B203,الخطة!A:O,4,FALSE),"")</f>
        <v/>
      </c>
      <c r="D203" s="3"/>
      <c r="E203" s="3" t="str">
        <f>IFERROR(VLOOKUP(D203,الموظفون!A:L,2,FALSE),"")</f>
        <v/>
      </c>
      <c r="F203" s="3"/>
      <c r="G203" s="3"/>
      <c r="H203" s="3"/>
      <c r="I203" s="3"/>
      <c r="J203" s="3"/>
      <c r="K203" s="3" t="str">
        <f>IF(B203="","",IF(OR(D203="",F203=""),"ناقص بيانات",IF(F203="نعم","مكتمل","غائب")))</f>
        <v/>
      </c>
      <c r="L203" s="3"/>
    </row>
    <row r="204" spans="1:12" x14ac:dyDescent="0.2">
      <c r="A204" s="3" t="s">
        <v>350</v>
      </c>
      <c r="B204" s="3"/>
      <c r="C204" s="3" t="str">
        <f>IFERROR(VLOOKUP(B204,الخطة!A:O,4,FALSE),"")</f>
        <v/>
      </c>
      <c r="D204" s="3"/>
      <c r="E204" s="3" t="str">
        <f>IFERROR(VLOOKUP(D204,الموظفون!A:L,2,FALSE),"")</f>
        <v/>
      </c>
      <c r="F204" s="3"/>
      <c r="G204" s="3"/>
      <c r="H204" s="3"/>
      <c r="I204" s="3"/>
      <c r="J204" s="3"/>
      <c r="K204" s="3" t="str">
        <f>IF(B204="","",IF(OR(D204="",F204=""),"ناقص بيانات",IF(F204="نعم","مكتمل","غائب")))</f>
        <v/>
      </c>
      <c r="L204" s="3"/>
    </row>
    <row r="205" spans="1:12" x14ac:dyDescent="0.2">
      <c r="A205" s="3" t="s">
        <v>351</v>
      </c>
      <c r="B205" s="3"/>
      <c r="C205" s="3" t="str">
        <f>IFERROR(VLOOKUP(B205,الخطة!A:O,4,FALSE),"")</f>
        <v/>
      </c>
      <c r="D205" s="3"/>
      <c r="E205" s="3" t="str">
        <f>IFERROR(VLOOKUP(D205,الموظفون!A:L,2,FALSE),"")</f>
        <v/>
      </c>
      <c r="F205" s="3"/>
      <c r="G205" s="3"/>
      <c r="H205" s="3"/>
      <c r="I205" s="3"/>
      <c r="J205" s="3"/>
      <c r="K205" s="3" t="str">
        <f>IF(B205="","",IF(OR(D205="",F205=""),"ناقص بيانات",IF(F205="نعم","مكتمل","غائب")))</f>
        <v/>
      </c>
      <c r="L205" s="3"/>
    </row>
    <row r="206" spans="1:12" x14ac:dyDescent="0.2">
      <c r="A206" s="3" t="s">
        <v>352</v>
      </c>
      <c r="B206" s="3"/>
      <c r="C206" s="3" t="str">
        <f>IFERROR(VLOOKUP(B206,الخطة!A:O,4,FALSE),"")</f>
        <v/>
      </c>
      <c r="D206" s="3"/>
      <c r="E206" s="3" t="str">
        <f>IFERROR(VLOOKUP(D206,الموظفون!A:L,2,FALSE),"")</f>
        <v/>
      </c>
      <c r="F206" s="3"/>
      <c r="G206" s="3"/>
      <c r="H206" s="3"/>
      <c r="I206" s="3"/>
      <c r="J206" s="3"/>
      <c r="K206" s="3" t="str">
        <f>IF(B206="","",IF(OR(D206="",F206=""),"ناقص بيانات",IF(F206="نعم","مكتمل","غائب")))</f>
        <v/>
      </c>
      <c r="L206" s="3"/>
    </row>
    <row r="207" spans="1:12" x14ac:dyDescent="0.2">
      <c r="A207" s="3" t="s">
        <v>353</v>
      </c>
      <c r="B207" s="3"/>
      <c r="C207" s="3" t="str">
        <f>IFERROR(VLOOKUP(B207,الخطة!A:O,4,FALSE),"")</f>
        <v/>
      </c>
      <c r="D207" s="3"/>
      <c r="E207" s="3" t="str">
        <f>IFERROR(VLOOKUP(D207,الموظفون!A:L,2,FALSE),"")</f>
        <v/>
      </c>
      <c r="F207" s="3"/>
      <c r="G207" s="3"/>
      <c r="H207" s="3"/>
      <c r="I207" s="3"/>
      <c r="J207" s="3"/>
      <c r="K207" s="3" t="str">
        <f>IF(B207="","",IF(OR(D207="",F207=""),"ناقص بيانات",IF(F207="نعم","مكتمل","غائب")))</f>
        <v/>
      </c>
      <c r="L207" s="3"/>
    </row>
    <row r="208" spans="1:12" x14ac:dyDescent="0.2">
      <c r="A208" s="3" t="s">
        <v>354</v>
      </c>
      <c r="B208" s="3"/>
      <c r="C208" s="3" t="str">
        <f>IFERROR(VLOOKUP(B208,الخطة!A:O,4,FALSE),"")</f>
        <v/>
      </c>
      <c r="D208" s="3"/>
      <c r="E208" s="3" t="str">
        <f>IFERROR(VLOOKUP(D208,الموظفون!A:L,2,FALSE),"")</f>
        <v/>
      </c>
      <c r="F208" s="3"/>
      <c r="G208" s="3"/>
      <c r="H208" s="3"/>
      <c r="I208" s="3"/>
      <c r="J208" s="3"/>
      <c r="K208" s="3" t="str">
        <f>IF(B208="","",IF(OR(D208="",F208=""),"ناقص بيانات",IF(F208="نعم","مكتمل","غائب")))</f>
        <v/>
      </c>
      <c r="L208" s="3"/>
    </row>
    <row r="209" spans="1:12" x14ac:dyDescent="0.2">
      <c r="A209" s="3" t="s">
        <v>355</v>
      </c>
      <c r="B209" s="3"/>
      <c r="C209" s="3" t="str">
        <f>IFERROR(VLOOKUP(B209,الخطة!A:O,4,FALSE),"")</f>
        <v/>
      </c>
      <c r="D209" s="3"/>
      <c r="E209" s="3" t="str">
        <f>IFERROR(VLOOKUP(D209,الموظفون!A:L,2,FALSE),"")</f>
        <v/>
      </c>
      <c r="F209" s="3"/>
      <c r="G209" s="3"/>
      <c r="H209" s="3"/>
      <c r="I209" s="3"/>
      <c r="J209" s="3"/>
      <c r="K209" s="3" t="str">
        <f>IF(B209="","",IF(OR(D209="",F209=""),"ناقص بيانات",IF(F209="نعم","مكتمل","غائب")))</f>
        <v/>
      </c>
      <c r="L209" s="3"/>
    </row>
    <row r="210" spans="1:12" x14ac:dyDescent="0.2">
      <c r="A210" s="3" t="s">
        <v>356</v>
      </c>
      <c r="B210" s="3"/>
      <c r="C210" s="3" t="str">
        <f>IFERROR(VLOOKUP(B210,الخطة!A:O,4,FALSE),"")</f>
        <v/>
      </c>
      <c r="D210" s="3"/>
      <c r="E210" s="3" t="str">
        <f>IFERROR(VLOOKUP(D210,الموظفون!A:L,2,FALSE),"")</f>
        <v/>
      </c>
      <c r="F210" s="3"/>
      <c r="G210" s="3"/>
      <c r="H210" s="3"/>
      <c r="I210" s="3"/>
      <c r="J210" s="3"/>
      <c r="K210" s="3" t="str">
        <f>IF(B210="","",IF(OR(D210="",F210=""),"ناقص بيانات",IF(F210="نعم","مكتمل","غائب")))</f>
        <v/>
      </c>
      <c r="L210" s="3"/>
    </row>
    <row r="211" spans="1:12" x14ac:dyDescent="0.2">
      <c r="A211" s="3" t="s">
        <v>357</v>
      </c>
      <c r="B211" s="3"/>
      <c r="C211" s="3" t="str">
        <f>IFERROR(VLOOKUP(B211,الخطة!A:O,4,FALSE),"")</f>
        <v/>
      </c>
      <c r="D211" s="3"/>
      <c r="E211" s="3" t="str">
        <f>IFERROR(VLOOKUP(D211,الموظفون!A:L,2,FALSE),"")</f>
        <v/>
      </c>
      <c r="F211" s="3"/>
      <c r="G211" s="3"/>
      <c r="H211" s="3"/>
      <c r="I211" s="3"/>
      <c r="J211" s="3"/>
      <c r="K211" s="3" t="str">
        <f>IF(B211="","",IF(OR(D211="",F211=""),"ناقص بيانات",IF(F211="نعم","مكتمل","غائب")))</f>
        <v/>
      </c>
      <c r="L211" s="3"/>
    </row>
    <row r="212" spans="1:12" x14ac:dyDescent="0.2">
      <c r="A212" s="3" t="s">
        <v>358</v>
      </c>
      <c r="B212" s="3"/>
      <c r="C212" s="3" t="str">
        <f>IFERROR(VLOOKUP(B212,الخطة!A:O,4,FALSE),"")</f>
        <v/>
      </c>
      <c r="D212" s="3"/>
      <c r="E212" s="3" t="str">
        <f>IFERROR(VLOOKUP(D212,الموظفون!A:L,2,FALSE),"")</f>
        <v/>
      </c>
      <c r="F212" s="3"/>
      <c r="G212" s="3"/>
      <c r="H212" s="3"/>
      <c r="I212" s="3"/>
      <c r="J212" s="3"/>
      <c r="K212" s="3" t="str">
        <f>IF(B212="","",IF(OR(D212="",F212=""),"ناقص بيانات",IF(F212="نعم","مكتمل","غائب")))</f>
        <v/>
      </c>
      <c r="L212" s="3"/>
    </row>
    <row r="213" spans="1:12" x14ac:dyDescent="0.2">
      <c r="A213" s="3" t="s">
        <v>359</v>
      </c>
      <c r="B213" s="3"/>
      <c r="C213" s="3" t="str">
        <f>IFERROR(VLOOKUP(B213,الخطة!A:O,4,FALSE),"")</f>
        <v/>
      </c>
      <c r="D213" s="3"/>
      <c r="E213" s="3" t="str">
        <f>IFERROR(VLOOKUP(D213,الموظفون!A:L,2,FALSE),"")</f>
        <v/>
      </c>
      <c r="F213" s="3"/>
      <c r="G213" s="3"/>
      <c r="H213" s="3"/>
      <c r="I213" s="3"/>
      <c r="J213" s="3"/>
      <c r="K213" s="3" t="str">
        <f>IF(B213="","",IF(OR(D213="",F213=""),"ناقص بيانات",IF(F213="نعم","مكتمل","غائب")))</f>
        <v/>
      </c>
      <c r="L213" s="3"/>
    </row>
    <row r="214" spans="1:12" x14ac:dyDescent="0.2">
      <c r="A214" s="3" t="s">
        <v>360</v>
      </c>
      <c r="B214" s="3"/>
      <c r="C214" s="3" t="str">
        <f>IFERROR(VLOOKUP(B214,الخطة!A:O,4,FALSE),"")</f>
        <v/>
      </c>
      <c r="D214" s="3"/>
      <c r="E214" s="3" t="str">
        <f>IFERROR(VLOOKUP(D214,الموظفون!A:L,2,FALSE),"")</f>
        <v/>
      </c>
      <c r="F214" s="3"/>
      <c r="G214" s="3"/>
      <c r="H214" s="3"/>
      <c r="I214" s="3"/>
      <c r="J214" s="3"/>
      <c r="K214" s="3" t="str">
        <f>IF(B214="","",IF(OR(D214="",F214=""),"ناقص بيانات",IF(F214="نعم","مكتمل","غائب")))</f>
        <v/>
      </c>
      <c r="L214" s="3"/>
    </row>
    <row r="215" spans="1:12" x14ac:dyDescent="0.2">
      <c r="A215" s="3" t="s">
        <v>361</v>
      </c>
      <c r="B215" s="3"/>
      <c r="C215" s="3" t="str">
        <f>IFERROR(VLOOKUP(B215,الخطة!A:O,4,FALSE),"")</f>
        <v/>
      </c>
      <c r="D215" s="3"/>
      <c r="E215" s="3" t="str">
        <f>IFERROR(VLOOKUP(D215,الموظفون!A:L,2,FALSE),"")</f>
        <v/>
      </c>
      <c r="F215" s="3"/>
      <c r="G215" s="3"/>
      <c r="H215" s="3"/>
      <c r="I215" s="3"/>
      <c r="J215" s="3"/>
      <c r="K215" s="3" t="str">
        <f>IF(B215="","",IF(OR(D215="",F215=""),"ناقص بيانات",IF(F215="نعم","مكتمل","غائب")))</f>
        <v/>
      </c>
      <c r="L215" s="3"/>
    </row>
    <row r="216" spans="1:12" x14ac:dyDescent="0.2">
      <c r="A216" s="3" t="s">
        <v>362</v>
      </c>
      <c r="B216" s="3"/>
      <c r="C216" s="3" t="str">
        <f>IFERROR(VLOOKUP(B216,الخطة!A:O,4,FALSE),"")</f>
        <v/>
      </c>
      <c r="D216" s="3"/>
      <c r="E216" s="3" t="str">
        <f>IFERROR(VLOOKUP(D216,الموظفون!A:L,2,FALSE),"")</f>
        <v/>
      </c>
      <c r="F216" s="3"/>
      <c r="G216" s="3"/>
      <c r="H216" s="3"/>
      <c r="I216" s="3"/>
      <c r="J216" s="3"/>
      <c r="K216" s="3" t="str">
        <f>IF(B216="","",IF(OR(D216="",F216=""),"ناقص بيانات",IF(F216="نعم","مكتمل","غائب")))</f>
        <v/>
      </c>
      <c r="L216" s="3"/>
    </row>
    <row r="217" spans="1:12" x14ac:dyDescent="0.2">
      <c r="A217" s="3" t="s">
        <v>363</v>
      </c>
      <c r="B217" s="3"/>
      <c r="C217" s="3" t="str">
        <f>IFERROR(VLOOKUP(B217,الخطة!A:O,4,FALSE),"")</f>
        <v/>
      </c>
      <c r="D217" s="3"/>
      <c r="E217" s="3" t="str">
        <f>IFERROR(VLOOKUP(D217,الموظفون!A:L,2,FALSE),"")</f>
        <v/>
      </c>
      <c r="F217" s="3"/>
      <c r="G217" s="3"/>
      <c r="H217" s="3"/>
      <c r="I217" s="3"/>
      <c r="J217" s="3"/>
      <c r="K217" s="3" t="str">
        <f>IF(B217="","",IF(OR(D217="",F217=""),"ناقص بيانات",IF(F217="نعم","مكتمل","غائب")))</f>
        <v/>
      </c>
      <c r="L217" s="3"/>
    </row>
    <row r="218" spans="1:12" x14ac:dyDescent="0.2">
      <c r="A218" s="3" t="s">
        <v>364</v>
      </c>
      <c r="B218" s="3"/>
      <c r="C218" s="3" t="str">
        <f>IFERROR(VLOOKUP(B218,الخطة!A:O,4,FALSE),"")</f>
        <v/>
      </c>
      <c r="D218" s="3"/>
      <c r="E218" s="3" t="str">
        <f>IFERROR(VLOOKUP(D218,الموظفون!A:L,2,FALSE),"")</f>
        <v/>
      </c>
      <c r="F218" s="3"/>
      <c r="G218" s="3"/>
      <c r="H218" s="3"/>
      <c r="I218" s="3"/>
      <c r="J218" s="3"/>
      <c r="K218" s="3" t="str">
        <f>IF(B218="","",IF(OR(D218="",F218=""),"ناقص بيانات",IF(F218="نعم","مكتمل","غائب")))</f>
        <v/>
      </c>
      <c r="L218" s="3"/>
    </row>
    <row r="219" spans="1:12" x14ac:dyDescent="0.2">
      <c r="A219" s="3" t="s">
        <v>365</v>
      </c>
      <c r="B219" s="3"/>
      <c r="C219" s="3" t="str">
        <f>IFERROR(VLOOKUP(B219,الخطة!A:O,4,FALSE),"")</f>
        <v/>
      </c>
      <c r="D219" s="3"/>
      <c r="E219" s="3" t="str">
        <f>IFERROR(VLOOKUP(D219,الموظفون!A:L,2,FALSE),"")</f>
        <v/>
      </c>
      <c r="F219" s="3"/>
      <c r="G219" s="3"/>
      <c r="H219" s="3"/>
      <c r="I219" s="3"/>
      <c r="J219" s="3"/>
      <c r="K219" s="3" t="str">
        <f>IF(B219="","",IF(OR(D219="",F219=""),"ناقص بيانات",IF(F219="نعم","مكتمل","غائب")))</f>
        <v/>
      </c>
      <c r="L219" s="3"/>
    </row>
    <row r="220" spans="1:12" x14ac:dyDescent="0.2">
      <c r="A220" s="3" t="s">
        <v>366</v>
      </c>
      <c r="B220" s="3"/>
      <c r="C220" s="3" t="str">
        <f>IFERROR(VLOOKUP(B220,الخطة!A:O,4,FALSE),"")</f>
        <v/>
      </c>
      <c r="D220" s="3"/>
      <c r="E220" s="3" t="str">
        <f>IFERROR(VLOOKUP(D220,الموظفون!A:L,2,FALSE),"")</f>
        <v/>
      </c>
      <c r="F220" s="3"/>
      <c r="G220" s="3"/>
      <c r="H220" s="3"/>
      <c r="I220" s="3"/>
      <c r="J220" s="3"/>
      <c r="K220" s="3" t="str">
        <f>IF(B220="","",IF(OR(D220="",F220=""),"ناقص بيانات",IF(F220="نعم","مكتمل","غائب")))</f>
        <v/>
      </c>
      <c r="L220" s="3"/>
    </row>
    <row r="221" spans="1:12" x14ac:dyDescent="0.2">
      <c r="A221" s="3" t="s">
        <v>367</v>
      </c>
      <c r="B221" s="3"/>
      <c r="C221" s="3" t="str">
        <f>IFERROR(VLOOKUP(B221,الخطة!A:O,4,FALSE),"")</f>
        <v/>
      </c>
      <c r="D221" s="3"/>
      <c r="E221" s="3" t="str">
        <f>IFERROR(VLOOKUP(D221,الموظفون!A:L,2,FALSE),"")</f>
        <v/>
      </c>
      <c r="F221" s="3"/>
      <c r="G221" s="3"/>
      <c r="H221" s="3"/>
      <c r="I221" s="3"/>
      <c r="J221" s="3"/>
      <c r="K221" s="3" t="str">
        <f>IF(B221="","",IF(OR(D221="",F221=""),"ناقص بيانات",IF(F221="نعم","مكتمل","غائب")))</f>
        <v/>
      </c>
      <c r="L221" s="3"/>
    </row>
    <row r="222" spans="1:12" x14ac:dyDescent="0.2">
      <c r="A222" s="3" t="s">
        <v>368</v>
      </c>
      <c r="B222" s="3"/>
      <c r="C222" s="3" t="str">
        <f>IFERROR(VLOOKUP(B222,الخطة!A:O,4,FALSE),"")</f>
        <v/>
      </c>
      <c r="D222" s="3"/>
      <c r="E222" s="3" t="str">
        <f>IFERROR(VLOOKUP(D222,الموظفون!A:L,2,FALSE),"")</f>
        <v/>
      </c>
      <c r="F222" s="3"/>
      <c r="G222" s="3"/>
      <c r="H222" s="3"/>
      <c r="I222" s="3"/>
      <c r="J222" s="3"/>
      <c r="K222" s="3" t="str">
        <f>IF(B222="","",IF(OR(D222="",F222=""),"ناقص بيانات",IF(F222="نعم","مكتمل","غائب")))</f>
        <v/>
      </c>
      <c r="L222" s="3"/>
    </row>
    <row r="223" spans="1:12" x14ac:dyDescent="0.2">
      <c r="A223" s="3" t="s">
        <v>369</v>
      </c>
      <c r="B223" s="3"/>
      <c r="C223" s="3" t="str">
        <f>IFERROR(VLOOKUP(B223,الخطة!A:O,4,FALSE),"")</f>
        <v/>
      </c>
      <c r="D223" s="3"/>
      <c r="E223" s="3" t="str">
        <f>IFERROR(VLOOKUP(D223,الموظفون!A:L,2,FALSE),"")</f>
        <v/>
      </c>
      <c r="F223" s="3"/>
      <c r="G223" s="3"/>
      <c r="H223" s="3"/>
      <c r="I223" s="3"/>
      <c r="J223" s="3"/>
      <c r="K223" s="3" t="str">
        <f>IF(B223="","",IF(OR(D223="",F223=""),"ناقص بيانات",IF(F223="نعم","مكتمل","غائب")))</f>
        <v/>
      </c>
      <c r="L223" s="3"/>
    </row>
    <row r="224" spans="1:12" x14ac:dyDescent="0.2">
      <c r="A224" s="3" t="s">
        <v>370</v>
      </c>
      <c r="B224" s="3"/>
      <c r="C224" s="3" t="str">
        <f>IFERROR(VLOOKUP(B224,الخطة!A:O,4,FALSE),"")</f>
        <v/>
      </c>
      <c r="D224" s="3"/>
      <c r="E224" s="3" t="str">
        <f>IFERROR(VLOOKUP(D224,الموظفون!A:L,2,FALSE),"")</f>
        <v/>
      </c>
      <c r="F224" s="3"/>
      <c r="G224" s="3"/>
      <c r="H224" s="3"/>
      <c r="I224" s="3"/>
      <c r="J224" s="3"/>
      <c r="K224" s="3" t="str">
        <f>IF(B224="","",IF(OR(D224="",F224=""),"ناقص بيانات",IF(F224="نعم","مكتمل","غائب")))</f>
        <v/>
      </c>
      <c r="L224" s="3"/>
    </row>
    <row r="225" spans="1:12" x14ac:dyDescent="0.2">
      <c r="A225" s="3" t="s">
        <v>371</v>
      </c>
      <c r="B225" s="3"/>
      <c r="C225" s="3" t="str">
        <f>IFERROR(VLOOKUP(B225,الخطة!A:O,4,FALSE),"")</f>
        <v/>
      </c>
      <c r="D225" s="3"/>
      <c r="E225" s="3" t="str">
        <f>IFERROR(VLOOKUP(D225,الموظفون!A:L,2,FALSE),"")</f>
        <v/>
      </c>
      <c r="F225" s="3"/>
      <c r="G225" s="3"/>
      <c r="H225" s="3"/>
      <c r="I225" s="3"/>
      <c r="J225" s="3"/>
      <c r="K225" s="3" t="str">
        <f>IF(B225="","",IF(OR(D225="",F225=""),"ناقص بيانات",IF(F225="نعم","مكتمل","غائب")))</f>
        <v/>
      </c>
      <c r="L225" s="3"/>
    </row>
    <row r="226" spans="1:12" x14ac:dyDescent="0.2">
      <c r="A226" s="3" t="s">
        <v>372</v>
      </c>
      <c r="B226" s="3"/>
      <c r="C226" s="3" t="str">
        <f>IFERROR(VLOOKUP(B226,الخطة!A:O,4,FALSE),"")</f>
        <v/>
      </c>
      <c r="D226" s="3"/>
      <c r="E226" s="3" t="str">
        <f>IFERROR(VLOOKUP(D226,الموظفون!A:L,2,FALSE),"")</f>
        <v/>
      </c>
      <c r="F226" s="3"/>
      <c r="G226" s="3"/>
      <c r="H226" s="3"/>
      <c r="I226" s="3"/>
      <c r="J226" s="3"/>
      <c r="K226" s="3" t="str">
        <f>IF(B226="","",IF(OR(D226="",F226=""),"ناقص بيانات",IF(F226="نعم","مكتمل","غائب")))</f>
        <v/>
      </c>
      <c r="L226" s="3"/>
    </row>
    <row r="227" spans="1:12" x14ac:dyDescent="0.2">
      <c r="A227" s="3" t="s">
        <v>373</v>
      </c>
      <c r="B227" s="3"/>
      <c r="C227" s="3" t="str">
        <f>IFERROR(VLOOKUP(B227,الخطة!A:O,4,FALSE),"")</f>
        <v/>
      </c>
      <c r="D227" s="3"/>
      <c r="E227" s="3" t="str">
        <f>IFERROR(VLOOKUP(D227,الموظفون!A:L,2,FALSE),"")</f>
        <v/>
      </c>
      <c r="F227" s="3"/>
      <c r="G227" s="3"/>
      <c r="H227" s="3"/>
      <c r="I227" s="3"/>
      <c r="J227" s="3"/>
      <c r="K227" s="3" t="str">
        <f>IF(B227="","",IF(OR(D227="",F227=""),"ناقص بيانات",IF(F227="نعم","مكتمل","غائب")))</f>
        <v/>
      </c>
      <c r="L227" s="3"/>
    </row>
    <row r="228" spans="1:12" x14ac:dyDescent="0.2">
      <c r="A228" s="3" t="s">
        <v>374</v>
      </c>
      <c r="B228" s="3"/>
      <c r="C228" s="3" t="str">
        <f>IFERROR(VLOOKUP(B228,الخطة!A:O,4,FALSE),"")</f>
        <v/>
      </c>
      <c r="D228" s="3"/>
      <c r="E228" s="3" t="str">
        <f>IFERROR(VLOOKUP(D228,الموظفون!A:L,2,FALSE),"")</f>
        <v/>
      </c>
      <c r="F228" s="3"/>
      <c r="G228" s="3"/>
      <c r="H228" s="3"/>
      <c r="I228" s="3"/>
      <c r="J228" s="3"/>
      <c r="K228" s="3" t="str">
        <f>IF(B228="","",IF(OR(D228="",F228=""),"ناقص بيانات",IF(F228="نعم","مكتمل","غائب")))</f>
        <v/>
      </c>
      <c r="L228" s="3"/>
    </row>
    <row r="229" spans="1:12" x14ac:dyDescent="0.2">
      <c r="A229" s="3" t="s">
        <v>375</v>
      </c>
      <c r="B229" s="3"/>
      <c r="C229" s="3" t="str">
        <f>IFERROR(VLOOKUP(B229,الخطة!A:O,4,FALSE),"")</f>
        <v/>
      </c>
      <c r="D229" s="3"/>
      <c r="E229" s="3" t="str">
        <f>IFERROR(VLOOKUP(D229,الموظفون!A:L,2,FALSE),"")</f>
        <v/>
      </c>
      <c r="F229" s="3"/>
      <c r="G229" s="3"/>
      <c r="H229" s="3"/>
      <c r="I229" s="3"/>
      <c r="J229" s="3"/>
      <c r="K229" s="3" t="str">
        <f>IF(B229="","",IF(OR(D229="",F229=""),"ناقص بيانات",IF(F229="نعم","مكتمل","غائب")))</f>
        <v/>
      </c>
      <c r="L229" s="3"/>
    </row>
    <row r="230" spans="1:12" x14ac:dyDescent="0.2">
      <c r="A230" s="3" t="s">
        <v>376</v>
      </c>
      <c r="B230" s="3"/>
      <c r="C230" s="3" t="str">
        <f>IFERROR(VLOOKUP(B230,الخطة!A:O,4,FALSE),"")</f>
        <v/>
      </c>
      <c r="D230" s="3"/>
      <c r="E230" s="3" t="str">
        <f>IFERROR(VLOOKUP(D230,الموظفون!A:L,2,FALSE),"")</f>
        <v/>
      </c>
      <c r="F230" s="3"/>
      <c r="G230" s="3"/>
      <c r="H230" s="3"/>
      <c r="I230" s="3"/>
      <c r="J230" s="3"/>
      <c r="K230" s="3" t="str">
        <f>IF(B230="","",IF(OR(D230="",F230=""),"ناقص بيانات",IF(F230="نعم","مكتمل","غائب")))</f>
        <v/>
      </c>
      <c r="L230" s="3"/>
    </row>
    <row r="231" spans="1:12" x14ac:dyDescent="0.2">
      <c r="A231" s="3" t="s">
        <v>377</v>
      </c>
      <c r="B231" s="3"/>
      <c r="C231" s="3" t="str">
        <f>IFERROR(VLOOKUP(B231,الخطة!A:O,4,FALSE),"")</f>
        <v/>
      </c>
      <c r="D231" s="3"/>
      <c r="E231" s="3" t="str">
        <f>IFERROR(VLOOKUP(D231,الموظفون!A:L,2,FALSE),"")</f>
        <v/>
      </c>
      <c r="F231" s="3"/>
      <c r="G231" s="3"/>
      <c r="H231" s="3"/>
      <c r="I231" s="3"/>
      <c r="J231" s="3"/>
      <c r="K231" s="3" t="str">
        <f>IF(B231="","",IF(OR(D231="",F231=""),"ناقص بيانات",IF(F231="نعم","مكتمل","غائب")))</f>
        <v/>
      </c>
      <c r="L231" s="3"/>
    </row>
    <row r="232" spans="1:12" x14ac:dyDescent="0.2">
      <c r="A232" s="3" t="s">
        <v>378</v>
      </c>
      <c r="B232" s="3"/>
      <c r="C232" s="3" t="str">
        <f>IFERROR(VLOOKUP(B232,الخطة!A:O,4,FALSE),"")</f>
        <v/>
      </c>
      <c r="D232" s="3"/>
      <c r="E232" s="3" t="str">
        <f>IFERROR(VLOOKUP(D232,الموظفون!A:L,2,FALSE),"")</f>
        <v/>
      </c>
      <c r="F232" s="3"/>
      <c r="G232" s="3"/>
      <c r="H232" s="3"/>
      <c r="I232" s="3"/>
      <c r="J232" s="3"/>
      <c r="K232" s="3" t="str">
        <f>IF(B232="","",IF(OR(D232="",F232=""),"ناقص بيانات",IF(F232="نعم","مكتمل","غائب")))</f>
        <v/>
      </c>
      <c r="L232" s="3"/>
    </row>
    <row r="233" spans="1:12" x14ac:dyDescent="0.2">
      <c r="A233" s="3" t="s">
        <v>379</v>
      </c>
      <c r="B233" s="3"/>
      <c r="C233" s="3" t="str">
        <f>IFERROR(VLOOKUP(B233,الخطة!A:O,4,FALSE),"")</f>
        <v/>
      </c>
      <c r="D233" s="3"/>
      <c r="E233" s="3" t="str">
        <f>IFERROR(VLOOKUP(D233,الموظفون!A:L,2,FALSE),"")</f>
        <v/>
      </c>
      <c r="F233" s="3"/>
      <c r="G233" s="3"/>
      <c r="H233" s="3"/>
      <c r="I233" s="3"/>
      <c r="J233" s="3"/>
      <c r="K233" s="3" t="str">
        <f>IF(B233="","",IF(OR(D233="",F233=""),"ناقص بيانات",IF(F233="نعم","مكتمل","غائب")))</f>
        <v/>
      </c>
      <c r="L233" s="3"/>
    </row>
    <row r="234" spans="1:12" x14ac:dyDescent="0.2">
      <c r="A234" s="3" t="s">
        <v>380</v>
      </c>
      <c r="B234" s="3"/>
      <c r="C234" s="3" t="str">
        <f>IFERROR(VLOOKUP(B234,الخطة!A:O,4,FALSE),"")</f>
        <v/>
      </c>
      <c r="D234" s="3"/>
      <c r="E234" s="3" t="str">
        <f>IFERROR(VLOOKUP(D234,الموظفون!A:L,2,FALSE),"")</f>
        <v/>
      </c>
      <c r="F234" s="3"/>
      <c r="G234" s="3"/>
      <c r="H234" s="3"/>
      <c r="I234" s="3"/>
      <c r="J234" s="3"/>
      <c r="K234" s="3" t="str">
        <f>IF(B234="","",IF(OR(D234="",F234=""),"ناقص بيانات",IF(F234="نعم","مكتمل","غائب")))</f>
        <v/>
      </c>
      <c r="L234" s="3"/>
    </row>
    <row r="235" spans="1:12" x14ac:dyDescent="0.2">
      <c r="A235" s="3" t="s">
        <v>381</v>
      </c>
      <c r="B235" s="3"/>
      <c r="C235" s="3" t="str">
        <f>IFERROR(VLOOKUP(B235,الخطة!A:O,4,FALSE),"")</f>
        <v/>
      </c>
      <c r="D235" s="3"/>
      <c r="E235" s="3" t="str">
        <f>IFERROR(VLOOKUP(D235,الموظفون!A:L,2,FALSE),"")</f>
        <v/>
      </c>
      <c r="F235" s="3"/>
      <c r="G235" s="3"/>
      <c r="H235" s="3"/>
      <c r="I235" s="3"/>
      <c r="J235" s="3"/>
      <c r="K235" s="3" t="str">
        <f>IF(B235="","",IF(OR(D235="",F235=""),"ناقص بيانات",IF(F235="نعم","مكتمل","غائب")))</f>
        <v/>
      </c>
      <c r="L235" s="3"/>
    </row>
    <row r="236" spans="1:12" x14ac:dyDescent="0.2">
      <c r="A236" s="3" t="s">
        <v>382</v>
      </c>
      <c r="B236" s="3"/>
      <c r="C236" s="3" t="str">
        <f>IFERROR(VLOOKUP(B236,الخطة!A:O,4,FALSE),"")</f>
        <v/>
      </c>
      <c r="D236" s="3"/>
      <c r="E236" s="3" t="str">
        <f>IFERROR(VLOOKUP(D236,الموظفون!A:L,2,FALSE),"")</f>
        <v/>
      </c>
      <c r="F236" s="3"/>
      <c r="G236" s="3"/>
      <c r="H236" s="3"/>
      <c r="I236" s="3"/>
      <c r="J236" s="3"/>
      <c r="K236" s="3" t="str">
        <f>IF(B236="","",IF(OR(D236="",F236=""),"ناقص بيانات",IF(F236="نعم","مكتمل","غائب")))</f>
        <v/>
      </c>
      <c r="L236" s="3"/>
    </row>
    <row r="237" spans="1:12" x14ac:dyDescent="0.2">
      <c r="A237" s="3" t="s">
        <v>383</v>
      </c>
      <c r="B237" s="3"/>
      <c r="C237" s="3" t="str">
        <f>IFERROR(VLOOKUP(B237,الخطة!A:O,4,FALSE),"")</f>
        <v/>
      </c>
      <c r="D237" s="3"/>
      <c r="E237" s="3" t="str">
        <f>IFERROR(VLOOKUP(D237,الموظفون!A:L,2,FALSE),"")</f>
        <v/>
      </c>
      <c r="F237" s="3"/>
      <c r="G237" s="3"/>
      <c r="H237" s="3"/>
      <c r="I237" s="3"/>
      <c r="J237" s="3"/>
      <c r="K237" s="3" t="str">
        <f>IF(B237="","",IF(OR(D237="",F237=""),"ناقص بيانات",IF(F237="نعم","مكتمل","غائب")))</f>
        <v/>
      </c>
      <c r="L237" s="3"/>
    </row>
    <row r="238" spans="1:12" x14ac:dyDescent="0.2">
      <c r="A238" s="3" t="s">
        <v>384</v>
      </c>
      <c r="B238" s="3"/>
      <c r="C238" s="3" t="str">
        <f>IFERROR(VLOOKUP(B238,الخطة!A:O,4,FALSE),"")</f>
        <v/>
      </c>
      <c r="D238" s="3"/>
      <c r="E238" s="3" t="str">
        <f>IFERROR(VLOOKUP(D238,الموظفون!A:L,2,FALSE),"")</f>
        <v/>
      </c>
      <c r="F238" s="3"/>
      <c r="G238" s="3"/>
      <c r="H238" s="3"/>
      <c r="I238" s="3"/>
      <c r="J238" s="3"/>
      <c r="K238" s="3" t="str">
        <f>IF(B238="","",IF(OR(D238="",F238=""),"ناقص بيانات",IF(F238="نعم","مكتمل","غائب")))</f>
        <v/>
      </c>
      <c r="L238" s="3"/>
    </row>
    <row r="239" spans="1:12" x14ac:dyDescent="0.2">
      <c r="A239" s="3" t="s">
        <v>385</v>
      </c>
      <c r="B239" s="3"/>
      <c r="C239" s="3" t="str">
        <f>IFERROR(VLOOKUP(B239,الخطة!A:O,4,FALSE),"")</f>
        <v/>
      </c>
      <c r="D239" s="3"/>
      <c r="E239" s="3" t="str">
        <f>IFERROR(VLOOKUP(D239,الموظفون!A:L,2,FALSE),"")</f>
        <v/>
      </c>
      <c r="F239" s="3"/>
      <c r="G239" s="3"/>
      <c r="H239" s="3"/>
      <c r="I239" s="3"/>
      <c r="J239" s="3"/>
      <c r="K239" s="3" t="str">
        <f>IF(B239="","",IF(OR(D239="",F239=""),"ناقص بيانات",IF(F239="نعم","مكتمل","غائب")))</f>
        <v/>
      </c>
      <c r="L239" s="3"/>
    </row>
    <row r="240" spans="1:12" x14ac:dyDescent="0.2">
      <c r="A240" s="3" t="s">
        <v>386</v>
      </c>
      <c r="B240" s="3"/>
      <c r="C240" s="3" t="str">
        <f>IFERROR(VLOOKUP(B240,الخطة!A:O,4,FALSE),"")</f>
        <v/>
      </c>
      <c r="D240" s="3"/>
      <c r="E240" s="3" t="str">
        <f>IFERROR(VLOOKUP(D240,الموظفون!A:L,2,FALSE),"")</f>
        <v/>
      </c>
      <c r="F240" s="3"/>
      <c r="G240" s="3"/>
      <c r="H240" s="3"/>
      <c r="I240" s="3"/>
      <c r="J240" s="3"/>
      <c r="K240" s="3" t="str">
        <f>IF(B240="","",IF(OR(D240="",F240=""),"ناقص بيانات",IF(F240="نعم","مكتمل","غائب")))</f>
        <v/>
      </c>
      <c r="L240" s="3"/>
    </row>
    <row r="241" spans="1:12" x14ac:dyDescent="0.2">
      <c r="A241" s="3" t="s">
        <v>387</v>
      </c>
      <c r="B241" s="3"/>
      <c r="C241" s="3" t="str">
        <f>IFERROR(VLOOKUP(B241,الخطة!A:O,4,FALSE),"")</f>
        <v/>
      </c>
      <c r="D241" s="3"/>
      <c r="E241" s="3" t="str">
        <f>IFERROR(VLOOKUP(D241,الموظفون!A:L,2,FALSE),"")</f>
        <v/>
      </c>
      <c r="F241" s="3"/>
      <c r="G241" s="3"/>
      <c r="H241" s="3"/>
      <c r="I241" s="3"/>
      <c r="J241" s="3"/>
      <c r="K241" s="3" t="str">
        <f>IF(B241="","",IF(OR(D241="",F241=""),"ناقص بيانات",IF(F241="نعم","مكتمل","غائب")))</f>
        <v/>
      </c>
      <c r="L241" s="3"/>
    </row>
    <row r="242" spans="1:12" x14ac:dyDescent="0.2">
      <c r="A242" s="3" t="s">
        <v>388</v>
      </c>
      <c r="B242" s="3"/>
      <c r="C242" s="3" t="str">
        <f>IFERROR(VLOOKUP(B242,الخطة!A:O,4,FALSE),"")</f>
        <v/>
      </c>
      <c r="D242" s="3"/>
      <c r="E242" s="3" t="str">
        <f>IFERROR(VLOOKUP(D242,الموظفون!A:L,2,FALSE),"")</f>
        <v/>
      </c>
      <c r="F242" s="3"/>
      <c r="G242" s="3"/>
      <c r="H242" s="3"/>
      <c r="I242" s="3"/>
      <c r="J242" s="3"/>
      <c r="K242" s="3" t="str">
        <f>IF(B242="","",IF(OR(D242="",F242=""),"ناقص بيانات",IF(F242="نعم","مكتمل","غائب")))</f>
        <v/>
      </c>
      <c r="L242" s="3"/>
    </row>
    <row r="243" spans="1:12" x14ac:dyDescent="0.2">
      <c r="A243" s="3" t="s">
        <v>389</v>
      </c>
      <c r="B243" s="3"/>
      <c r="C243" s="3" t="str">
        <f>IFERROR(VLOOKUP(B243,الخطة!A:O,4,FALSE),"")</f>
        <v/>
      </c>
      <c r="D243" s="3"/>
      <c r="E243" s="3" t="str">
        <f>IFERROR(VLOOKUP(D243,الموظفون!A:L,2,FALSE),"")</f>
        <v/>
      </c>
      <c r="F243" s="3"/>
      <c r="G243" s="3"/>
      <c r="H243" s="3"/>
      <c r="I243" s="3"/>
      <c r="J243" s="3"/>
      <c r="K243" s="3" t="str">
        <f>IF(B243="","",IF(OR(D243="",F243=""),"ناقص بيانات",IF(F243="نعم","مكتمل","غائب")))</f>
        <v/>
      </c>
      <c r="L243" s="3"/>
    </row>
    <row r="244" spans="1:12" x14ac:dyDescent="0.2">
      <c r="A244" s="3" t="s">
        <v>390</v>
      </c>
      <c r="B244" s="3"/>
      <c r="C244" s="3" t="str">
        <f>IFERROR(VLOOKUP(B244,الخطة!A:O,4,FALSE),"")</f>
        <v/>
      </c>
      <c r="D244" s="3"/>
      <c r="E244" s="3" t="str">
        <f>IFERROR(VLOOKUP(D244,الموظفون!A:L,2,FALSE),"")</f>
        <v/>
      </c>
      <c r="F244" s="3"/>
      <c r="G244" s="3"/>
      <c r="H244" s="3"/>
      <c r="I244" s="3"/>
      <c r="J244" s="3"/>
      <c r="K244" s="3" t="str">
        <f>IF(B244="","",IF(OR(D244="",F244=""),"ناقص بيانات",IF(F244="نعم","مكتمل","غائب")))</f>
        <v/>
      </c>
      <c r="L244" s="3"/>
    </row>
    <row r="245" spans="1:12" x14ac:dyDescent="0.2">
      <c r="A245" s="3" t="s">
        <v>391</v>
      </c>
      <c r="B245" s="3"/>
      <c r="C245" s="3" t="str">
        <f>IFERROR(VLOOKUP(B245,الخطة!A:O,4,FALSE),"")</f>
        <v/>
      </c>
      <c r="D245" s="3"/>
      <c r="E245" s="3" t="str">
        <f>IFERROR(VLOOKUP(D245,الموظفون!A:L,2,FALSE),"")</f>
        <v/>
      </c>
      <c r="F245" s="3"/>
      <c r="G245" s="3"/>
      <c r="H245" s="3"/>
      <c r="I245" s="3"/>
      <c r="J245" s="3"/>
      <c r="K245" s="3" t="str">
        <f>IF(B245="","",IF(OR(D245="",F245=""),"ناقص بيانات",IF(F245="نعم","مكتمل","غائب")))</f>
        <v/>
      </c>
      <c r="L245" s="3"/>
    </row>
    <row r="246" spans="1:12" x14ac:dyDescent="0.2">
      <c r="A246" s="3" t="s">
        <v>392</v>
      </c>
      <c r="B246" s="3"/>
      <c r="C246" s="3" t="str">
        <f>IFERROR(VLOOKUP(B246,الخطة!A:O,4,FALSE),"")</f>
        <v/>
      </c>
      <c r="D246" s="3"/>
      <c r="E246" s="3" t="str">
        <f>IFERROR(VLOOKUP(D246,الموظفون!A:L,2,FALSE),"")</f>
        <v/>
      </c>
      <c r="F246" s="3"/>
      <c r="G246" s="3"/>
      <c r="H246" s="3"/>
      <c r="I246" s="3"/>
      <c r="J246" s="3"/>
      <c r="K246" s="3" t="str">
        <f>IF(B246="","",IF(OR(D246="",F246=""),"ناقص بيانات",IF(F246="نعم","مكتمل","غائب")))</f>
        <v/>
      </c>
      <c r="L246" s="3"/>
    </row>
    <row r="247" spans="1:12" x14ac:dyDescent="0.2">
      <c r="A247" s="3" t="s">
        <v>393</v>
      </c>
      <c r="B247" s="3"/>
      <c r="C247" s="3" t="str">
        <f>IFERROR(VLOOKUP(B247,الخطة!A:O,4,FALSE),"")</f>
        <v/>
      </c>
      <c r="D247" s="3"/>
      <c r="E247" s="3" t="str">
        <f>IFERROR(VLOOKUP(D247,الموظفون!A:L,2,FALSE),"")</f>
        <v/>
      </c>
      <c r="F247" s="3"/>
      <c r="G247" s="3"/>
      <c r="H247" s="3"/>
      <c r="I247" s="3"/>
      <c r="J247" s="3"/>
      <c r="K247" s="3" t="str">
        <f>IF(B247="","",IF(OR(D247="",F247=""),"ناقص بيانات",IF(F247="نعم","مكتمل","غائب")))</f>
        <v/>
      </c>
      <c r="L247" s="3"/>
    </row>
    <row r="248" spans="1:12" x14ac:dyDescent="0.2">
      <c r="A248" s="3" t="s">
        <v>394</v>
      </c>
      <c r="B248" s="3"/>
      <c r="C248" s="3" t="str">
        <f>IFERROR(VLOOKUP(B248,الخطة!A:O,4,FALSE),"")</f>
        <v/>
      </c>
      <c r="D248" s="3"/>
      <c r="E248" s="3" t="str">
        <f>IFERROR(VLOOKUP(D248,الموظفون!A:L,2,FALSE),"")</f>
        <v/>
      </c>
      <c r="F248" s="3"/>
      <c r="G248" s="3"/>
      <c r="H248" s="3"/>
      <c r="I248" s="3"/>
      <c r="J248" s="3"/>
      <c r="K248" s="3" t="str">
        <f>IF(B248="","",IF(OR(D248="",F248=""),"ناقص بيانات",IF(F248="نعم","مكتمل","غائب")))</f>
        <v/>
      </c>
      <c r="L248" s="3"/>
    </row>
    <row r="249" spans="1:12" x14ac:dyDescent="0.2">
      <c r="A249" s="3" t="s">
        <v>395</v>
      </c>
      <c r="B249" s="3"/>
      <c r="C249" s="3" t="str">
        <f>IFERROR(VLOOKUP(B249,الخطة!A:O,4,FALSE),"")</f>
        <v/>
      </c>
      <c r="D249" s="3"/>
      <c r="E249" s="3" t="str">
        <f>IFERROR(VLOOKUP(D249,الموظفون!A:L,2,FALSE),"")</f>
        <v/>
      </c>
      <c r="F249" s="3"/>
      <c r="G249" s="3"/>
      <c r="H249" s="3"/>
      <c r="I249" s="3"/>
      <c r="J249" s="3"/>
      <c r="K249" s="3" t="str">
        <f>IF(B249="","",IF(OR(D249="",F249=""),"ناقص بيانات",IF(F249="نعم","مكتمل","غائب")))</f>
        <v/>
      </c>
      <c r="L249" s="3"/>
    </row>
    <row r="250" spans="1:12" x14ac:dyDescent="0.2">
      <c r="A250" s="3" t="s">
        <v>396</v>
      </c>
      <c r="B250" s="3"/>
      <c r="C250" s="3" t="str">
        <f>IFERROR(VLOOKUP(B250,الخطة!A:O,4,FALSE),"")</f>
        <v/>
      </c>
      <c r="D250" s="3"/>
      <c r="E250" s="3" t="str">
        <f>IFERROR(VLOOKUP(D250,الموظفون!A:L,2,FALSE),"")</f>
        <v/>
      </c>
      <c r="F250" s="3"/>
      <c r="G250" s="3"/>
      <c r="H250" s="3"/>
      <c r="I250" s="3"/>
      <c r="J250" s="3"/>
      <c r="K250" s="3" t="str">
        <f>IF(B250="","",IF(OR(D250="",F250=""),"ناقص بيانات",IF(F250="نعم","مكتمل","غائب")))</f>
        <v/>
      </c>
      <c r="L250" s="3"/>
    </row>
    <row r="251" spans="1:12" x14ac:dyDescent="0.2">
      <c r="A251" s="3" t="s">
        <v>397</v>
      </c>
      <c r="B251" s="3"/>
      <c r="C251" s="3" t="str">
        <f>IFERROR(VLOOKUP(B251,الخطة!A:O,4,FALSE),"")</f>
        <v/>
      </c>
      <c r="D251" s="3"/>
      <c r="E251" s="3" t="str">
        <f>IFERROR(VLOOKUP(D251,الموظفون!A:L,2,FALSE),"")</f>
        <v/>
      </c>
      <c r="F251" s="3"/>
      <c r="G251" s="3"/>
      <c r="H251" s="3"/>
      <c r="I251" s="3"/>
      <c r="J251" s="3"/>
      <c r="K251" s="3" t="str">
        <f>IF(B251="","",IF(OR(D251="",F251=""),"ناقص بيانات",IF(F251="نعم","مكتمل","غائب")))</f>
        <v/>
      </c>
      <c r="L251" s="3"/>
    </row>
    <row r="252" spans="1:12" x14ac:dyDescent="0.2">
      <c r="A252" s="3" t="s">
        <v>398</v>
      </c>
      <c r="B252" s="3"/>
      <c r="C252" s="3" t="str">
        <f>IFERROR(VLOOKUP(B252,الخطة!A:O,4,FALSE),"")</f>
        <v/>
      </c>
      <c r="D252" s="3"/>
      <c r="E252" s="3" t="str">
        <f>IFERROR(VLOOKUP(D252,الموظفون!A:L,2,FALSE),"")</f>
        <v/>
      </c>
      <c r="F252" s="3"/>
      <c r="G252" s="3"/>
      <c r="H252" s="3"/>
      <c r="I252" s="3"/>
      <c r="J252" s="3"/>
      <c r="K252" s="3" t="str">
        <f>IF(B252="","",IF(OR(D252="",F252=""),"ناقص بيانات",IF(F252="نعم","مكتمل","غائب")))</f>
        <v/>
      </c>
      <c r="L252" s="3"/>
    </row>
    <row r="253" spans="1:12" x14ac:dyDescent="0.2">
      <c r="A253" s="3" t="s">
        <v>399</v>
      </c>
      <c r="B253" s="3"/>
      <c r="C253" s="3" t="str">
        <f>IFERROR(VLOOKUP(B253,الخطة!A:O,4,FALSE),"")</f>
        <v/>
      </c>
      <c r="D253" s="3"/>
      <c r="E253" s="3" t="str">
        <f>IFERROR(VLOOKUP(D253,الموظفون!A:L,2,FALSE),"")</f>
        <v/>
      </c>
      <c r="F253" s="3"/>
      <c r="G253" s="3"/>
      <c r="H253" s="3"/>
      <c r="I253" s="3"/>
      <c r="J253" s="3"/>
      <c r="K253" s="3" t="str">
        <f>IF(B253="","",IF(OR(D253="",F253=""),"ناقص بيانات",IF(F253="نعم","مكتمل","غائب")))</f>
        <v/>
      </c>
      <c r="L253" s="3"/>
    </row>
    <row r="254" spans="1:12" x14ac:dyDescent="0.2">
      <c r="A254" s="3" t="s">
        <v>400</v>
      </c>
      <c r="B254" s="3"/>
      <c r="C254" s="3" t="str">
        <f>IFERROR(VLOOKUP(B254,الخطة!A:O,4,FALSE),"")</f>
        <v/>
      </c>
      <c r="D254" s="3"/>
      <c r="E254" s="3" t="str">
        <f>IFERROR(VLOOKUP(D254,الموظفون!A:L,2,FALSE),"")</f>
        <v/>
      </c>
      <c r="F254" s="3"/>
      <c r="G254" s="3"/>
      <c r="H254" s="3"/>
      <c r="I254" s="3"/>
      <c r="J254" s="3"/>
      <c r="K254" s="3" t="str">
        <f>IF(B254="","",IF(OR(D254="",F254=""),"ناقص بيانات",IF(F254="نعم","مكتمل","غائب")))</f>
        <v/>
      </c>
      <c r="L254" s="3"/>
    </row>
    <row r="255" spans="1:12" x14ac:dyDescent="0.2">
      <c r="A255" s="3" t="s">
        <v>401</v>
      </c>
      <c r="B255" s="3"/>
      <c r="C255" s="3" t="str">
        <f>IFERROR(VLOOKUP(B255,الخطة!A:O,4,FALSE),"")</f>
        <v/>
      </c>
      <c r="D255" s="3"/>
      <c r="E255" s="3" t="str">
        <f>IFERROR(VLOOKUP(D255,الموظفون!A:L,2,FALSE),"")</f>
        <v/>
      </c>
      <c r="F255" s="3"/>
      <c r="G255" s="3"/>
      <c r="H255" s="3"/>
      <c r="I255" s="3"/>
      <c r="J255" s="3"/>
      <c r="K255" s="3" t="str">
        <f>IF(B255="","",IF(OR(D255="",F255=""),"ناقص بيانات",IF(F255="نعم","مكتمل","غائب")))</f>
        <v/>
      </c>
      <c r="L255" s="3"/>
    </row>
    <row r="256" spans="1:12" x14ac:dyDescent="0.2">
      <c r="A256" s="3" t="s">
        <v>402</v>
      </c>
      <c r="B256" s="3"/>
      <c r="C256" s="3" t="str">
        <f>IFERROR(VLOOKUP(B256,الخطة!A:O,4,FALSE),"")</f>
        <v/>
      </c>
      <c r="D256" s="3"/>
      <c r="E256" s="3" t="str">
        <f>IFERROR(VLOOKUP(D256,الموظفون!A:L,2,FALSE),"")</f>
        <v/>
      </c>
      <c r="F256" s="3"/>
      <c r="G256" s="3"/>
      <c r="H256" s="3"/>
      <c r="I256" s="3"/>
      <c r="J256" s="3"/>
      <c r="K256" s="3" t="str">
        <f>IF(B256="","",IF(OR(D256="",F256=""),"ناقص بيانات",IF(F256="نعم","مكتمل","غائب")))</f>
        <v/>
      </c>
      <c r="L256" s="3"/>
    </row>
    <row r="257" spans="1:12" x14ac:dyDescent="0.2">
      <c r="A257" s="3" t="s">
        <v>403</v>
      </c>
      <c r="B257" s="3"/>
      <c r="C257" s="3" t="str">
        <f>IFERROR(VLOOKUP(B257,الخطة!A:O,4,FALSE),"")</f>
        <v/>
      </c>
      <c r="D257" s="3"/>
      <c r="E257" s="3" t="str">
        <f>IFERROR(VLOOKUP(D257,الموظفون!A:L,2,FALSE),"")</f>
        <v/>
      </c>
      <c r="F257" s="3"/>
      <c r="G257" s="3"/>
      <c r="H257" s="3"/>
      <c r="I257" s="3"/>
      <c r="J257" s="3"/>
      <c r="K257" s="3" t="str">
        <f>IF(B257="","",IF(OR(D257="",F257=""),"ناقص بيانات",IF(F257="نعم","مكتمل","غائب")))</f>
        <v/>
      </c>
      <c r="L257" s="3"/>
    </row>
    <row r="258" spans="1:12" x14ac:dyDescent="0.2">
      <c r="A258" s="3" t="s">
        <v>404</v>
      </c>
      <c r="B258" s="3"/>
      <c r="C258" s="3" t="str">
        <f>IFERROR(VLOOKUP(B258,الخطة!A:O,4,FALSE),"")</f>
        <v/>
      </c>
      <c r="D258" s="3"/>
      <c r="E258" s="3" t="str">
        <f>IFERROR(VLOOKUP(D258,الموظفون!A:L,2,FALSE),"")</f>
        <v/>
      </c>
      <c r="F258" s="3"/>
      <c r="G258" s="3"/>
      <c r="H258" s="3"/>
      <c r="I258" s="3"/>
      <c r="J258" s="3"/>
      <c r="K258" s="3" t="str">
        <f>IF(B258="","",IF(OR(D258="",F258=""),"ناقص بيانات",IF(F258="نعم","مكتمل","غائب")))</f>
        <v/>
      </c>
      <c r="L258" s="3"/>
    </row>
    <row r="259" spans="1:12" x14ac:dyDescent="0.2">
      <c r="A259" s="3" t="s">
        <v>405</v>
      </c>
      <c r="B259" s="3"/>
      <c r="C259" s="3" t="str">
        <f>IFERROR(VLOOKUP(B259,الخطة!A:O,4,FALSE),"")</f>
        <v/>
      </c>
      <c r="D259" s="3"/>
      <c r="E259" s="3" t="str">
        <f>IFERROR(VLOOKUP(D259,الموظفون!A:L,2,FALSE),"")</f>
        <v/>
      </c>
      <c r="F259" s="3"/>
      <c r="G259" s="3"/>
      <c r="H259" s="3"/>
      <c r="I259" s="3"/>
      <c r="J259" s="3"/>
      <c r="K259" s="3" t="str">
        <f>IF(B259="","",IF(OR(D259="",F259=""),"ناقص بيانات",IF(F259="نعم","مكتمل","غائب")))</f>
        <v/>
      </c>
      <c r="L259" s="3"/>
    </row>
    <row r="260" spans="1:12" x14ac:dyDescent="0.2">
      <c r="A260" s="3" t="s">
        <v>406</v>
      </c>
      <c r="B260" s="3"/>
      <c r="C260" s="3" t="str">
        <f>IFERROR(VLOOKUP(B260,الخطة!A:O,4,FALSE),"")</f>
        <v/>
      </c>
      <c r="D260" s="3"/>
      <c r="E260" s="3" t="str">
        <f>IFERROR(VLOOKUP(D260,الموظفون!A:L,2,FALSE),"")</f>
        <v/>
      </c>
      <c r="F260" s="3"/>
      <c r="G260" s="3"/>
      <c r="H260" s="3"/>
      <c r="I260" s="3"/>
      <c r="J260" s="3"/>
      <c r="K260" s="3" t="str">
        <f>IF(B260="","",IF(OR(D260="",F260=""),"ناقص بيانات",IF(F260="نعم","مكتمل","غائب")))</f>
        <v/>
      </c>
      <c r="L260" s="3"/>
    </row>
    <row r="261" spans="1:12" x14ac:dyDescent="0.2">
      <c r="A261" s="3" t="s">
        <v>407</v>
      </c>
      <c r="B261" s="3"/>
      <c r="C261" s="3" t="str">
        <f>IFERROR(VLOOKUP(B261,الخطة!A:O,4,FALSE),"")</f>
        <v/>
      </c>
      <c r="D261" s="3"/>
      <c r="E261" s="3" t="str">
        <f>IFERROR(VLOOKUP(D261,الموظفون!A:L,2,FALSE),"")</f>
        <v/>
      </c>
      <c r="F261" s="3"/>
      <c r="G261" s="3"/>
      <c r="H261" s="3"/>
      <c r="I261" s="3"/>
      <c r="J261" s="3"/>
      <c r="K261" s="3" t="str">
        <f>IF(B261="","",IF(OR(D261="",F261=""),"ناقص بيانات",IF(F261="نعم","مكتمل","غائب")))</f>
        <v/>
      </c>
      <c r="L261" s="3"/>
    </row>
    <row r="262" spans="1:12" x14ac:dyDescent="0.2">
      <c r="A262" s="3" t="s">
        <v>408</v>
      </c>
      <c r="B262" s="3"/>
      <c r="C262" s="3" t="str">
        <f>IFERROR(VLOOKUP(B262,الخطة!A:O,4,FALSE),"")</f>
        <v/>
      </c>
      <c r="D262" s="3"/>
      <c r="E262" s="3" t="str">
        <f>IFERROR(VLOOKUP(D262,الموظفون!A:L,2,FALSE),"")</f>
        <v/>
      </c>
      <c r="F262" s="3"/>
      <c r="G262" s="3"/>
      <c r="H262" s="3"/>
      <c r="I262" s="3"/>
      <c r="J262" s="3"/>
      <c r="K262" s="3" t="str">
        <f>IF(B262="","",IF(OR(D262="",F262=""),"ناقص بيانات",IF(F262="نعم","مكتمل","غائب")))</f>
        <v/>
      </c>
      <c r="L262" s="3"/>
    </row>
    <row r="263" spans="1:12" x14ac:dyDescent="0.2">
      <c r="A263" s="3" t="s">
        <v>409</v>
      </c>
      <c r="B263" s="3"/>
      <c r="C263" s="3" t="str">
        <f>IFERROR(VLOOKUP(B263,الخطة!A:O,4,FALSE),"")</f>
        <v/>
      </c>
      <c r="D263" s="3"/>
      <c r="E263" s="3" t="str">
        <f>IFERROR(VLOOKUP(D263,الموظفون!A:L,2,FALSE),"")</f>
        <v/>
      </c>
      <c r="F263" s="3"/>
      <c r="G263" s="3"/>
      <c r="H263" s="3"/>
      <c r="I263" s="3"/>
      <c r="J263" s="3"/>
      <c r="K263" s="3" t="str">
        <f>IF(B263="","",IF(OR(D263="",F263=""),"ناقص بيانات",IF(F263="نعم","مكتمل","غائب")))</f>
        <v/>
      </c>
      <c r="L263" s="3"/>
    </row>
    <row r="264" spans="1:12" x14ac:dyDescent="0.2">
      <c r="A264" s="3" t="s">
        <v>410</v>
      </c>
      <c r="B264" s="3"/>
      <c r="C264" s="3" t="str">
        <f>IFERROR(VLOOKUP(B264,الخطة!A:O,4,FALSE),"")</f>
        <v/>
      </c>
      <c r="D264" s="3"/>
      <c r="E264" s="3" t="str">
        <f>IFERROR(VLOOKUP(D264,الموظفون!A:L,2,FALSE),"")</f>
        <v/>
      </c>
      <c r="F264" s="3"/>
      <c r="G264" s="3"/>
      <c r="H264" s="3"/>
      <c r="I264" s="3"/>
      <c r="J264" s="3"/>
      <c r="K264" s="3" t="str">
        <f>IF(B264="","",IF(OR(D264="",F264=""),"ناقص بيانات",IF(F264="نعم","مكتمل","غائب")))</f>
        <v/>
      </c>
      <c r="L264" s="3"/>
    </row>
    <row r="265" spans="1:12" x14ac:dyDescent="0.2">
      <c r="A265" s="3" t="s">
        <v>411</v>
      </c>
      <c r="B265" s="3"/>
      <c r="C265" s="3" t="str">
        <f>IFERROR(VLOOKUP(B265,الخطة!A:O,4,FALSE),"")</f>
        <v/>
      </c>
      <c r="D265" s="3"/>
      <c r="E265" s="3" t="str">
        <f>IFERROR(VLOOKUP(D265,الموظفون!A:L,2,FALSE),"")</f>
        <v/>
      </c>
      <c r="F265" s="3"/>
      <c r="G265" s="3"/>
      <c r="H265" s="3"/>
      <c r="I265" s="3"/>
      <c r="J265" s="3"/>
      <c r="K265" s="3" t="str">
        <f>IF(B265="","",IF(OR(D265="",F265=""),"ناقص بيانات",IF(F265="نعم","مكتمل","غائب")))</f>
        <v/>
      </c>
      <c r="L265" s="3"/>
    </row>
    <row r="266" spans="1:12" x14ac:dyDescent="0.2">
      <c r="A266" s="3" t="s">
        <v>412</v>
      </c>
      <c r="B266" s="3"/>
      <c r="C266" s="3" t="str">
        <f>IFERROR(VLOOKUP(B266,الخطة!A:O,4,FALSE),"")</f>
        <v/>
      </c>
      <c r="D266" s="3"/>
      <c r="E266" s="3" t="str">
        <f>IFERROR(VLOOKUP(D266,الموظفون!A:L,2,FALSE),"")</f>
        <v/>
      </c>
      <c r="F266" s="3"/>
      <c r="G266" s="3"/>
      <c r="H266" s="3"/>
      <c r="I266" s="3"/>
      <c r="J266" s="3"/>
      <c r="K266" s="3" t="str">
        <f>IF(B266="","",IF(OR(D266="",F266=""),"ناقص بيانات",IF(F266="نعم","مكتمل","غائب")))</f>
        <v/>
      </c>
      <c r="L266" s="3"/>
    </row>
    <row r="267" spans="1:12" x14ac:dyDescent="0.2">
      <c r="A267" s="3" t="s">
        <v>413</v>
      </c>
      <c r="B267" s="3"/>
      <c r="C267" s="3" t="str">
        <f>IFERROR(VLOOKUP(B267,الخطة!A:O,4,FALSE),"")</f>
        <v/>
      </c>
      <c r="D267" s="3"/>
      <c r="E267" s="3" t="str">
        <f>IFERROR(VLOOKUP(D267,الموظفون!A:L,2,FALSE),"")</f>
        <v/>
      </c>
      <c r="F267" s="3"/>
      <c r="G267" s="3"/>
      <c r="H267" s="3"/>
      <c r="I267" s="3"/>
      <c r="J267" s="3"/>
      <c r="K267" s="3" t="str">
        <f>IF(B267="","",IF(OR(D267="",F267=""),"ناقص بيانات",IF(F267="نعم","مكتمل","غائب")))</f>
        <v/>
      </c>
      <c r="L267" s="3"/>
    </row>
    <row r="268" spans="1:12" x14ac:dyDescent="0.2">
      <c r="A268" s="3" t="s">
        <v>414</v>
      </c>
      <c r="B268" s="3"/>
      <c r="C268" s="3" t="str">
        <f>IFERROR(VLOOKUP(B268,الخطة!A:O,4,FALSE),"")</f>
        <v/>
      </c>
      <c r="D268" s="3"/>
      <c r="E268" s="3" t="str">
        <f>IFERROR(VLOOKUP(D268,الموظفون!A:L,2,FALSE),"")</f>
        <v/>
      </c>
      <c r="F268" s="3"/>
      <c r="G268" s="3"/>
      <c r="H268" s="3"/>
      <c r="I268" s="3"/>
      <c r="J268" s="3"/>
      <c r="K268" s="3" t="str">
        <f>IF(B268="","",IF(OR(D268="",F268=""),"ناقص بيانات",IF(F268="نعم","مكتمل","غائب")))</f>
        <v/>
      </c>
      <c r="L268" s="3"/>
    </row>
    <row r="269" spans="1:12" x14ac:dyDescent="0.2">
      <c r="A269" s="3" t="s">
        <v>415</v>
      </c>
      <c r="B269" s="3"/>
      <c r="C269" s="3" t="str">
        <f>IFERROR(VLOOKUP(B269,الخطة!A:O,4,FALSE),"")</f>
        <v/>
      </c>
      <c r="D269" s="3"/>
      <c r="E269" s="3" t="str">
        <f>IFERROR(VLOOKUP(D269,الموظفون!A:L,2,FALSE),"")</f>
        <v/>
      </c>
      <c r="F269" s="3"/>
      <c r="G269" s="3"/>
      <c r="H269" s="3"/>
      <c r="I269" s="3"/>
      <c r="J269" s="3"/>
      <c r="K269" s="3" t="str">
        <f>IF(B269="","",IF(OR(D269="",F269=""),"ناقص بيانات",IF(F269="نعم","مكتمل","غائب")))</f>
        <v/>
      </c>
      <c r="L269" s="3"/>
    </row>
    <row r="270" spans="1:12" x14ac:dyDescent="0.2">
      <c r="A270" s="3" t="s">
        <v>416</v>
      </c>
      <c r="B270" s="3"/>
      <c r="C270" s="3" t="str">
        <f>IFERROR(VLOOKUP(B270,الخطة!A:O,4,FALSE),"")</f>
        <v/>
      </c>
      <c r="D270" s="3"/>
      <c r="E270" s="3" t="str">
        <f>IFERROR(VLOOKUP(D270,الموظفون!A:L,2,FALSE),"")</f>
        <v/>
      </c>
      <c r="F270" s="3"/>
      <c r="G270" s="3"/>
      <c r="H270" s="3"/>
      <c r="I270" s="3"/>
      <c r="J270" s="3"/>
      <c r="K270" s="3" t="str">
        <f>IF(B270="","",IF(OR(D270="",F270=""),"ناقص بيانات",IF(F270="نعم","مكتمل","غائب")))</f>
        <v/>
      </c>
      <c r="L270" s="3"/>
    </row>
    <row r="271" spans="1:12" x14ac:dyDescent="0.2">
      <c r="A271" s="3" t="s">
        <v>417</v>
      </c>
      <c r="B271" s="3"/>
      <c r="C271" s="3" t="str">
        <f>IFERROR(VLOOKUP(B271,الخطة!A:O,4,FALSE),"")</f>
        <v/>
      </c>
      <c r="D271" s="3"/>
      <c r="E271" s="3" t="str">
        <f>IFERROR(VLOOKUP(D271,الموظفون!A:L,2,FALSE),"")</f>
        <v/>
      </c>
      <c r="F271" s="3"/>
      <c r="G271" s="3"/>
      <c r="H271" s="3"/>
      <c r="I271" s="3"/>
      <c r="J271" s="3"/>
      <c r="K271" s="3" t="str">
        <f>IF(B271="","",IF(OR(D271="",F271=""),"ناقص بيانات",IF(F271="نعم","مكتمل","غائب")))</f>
        <v/>
      </c>
      <c r="L271" s="3"/>
    </row>
    <row r="272" spans="1:12" x14ac:dyDescent="0.2">
      <c r="A272" s="3" t="s">
        <v>418</v>
      </c>
      <c r="B272" s="3"/>
      <c r="C272" s="3" t="str">
        <f>IFERROR(VLOOKUP(B272,الخطة!A:O,4,FALSE),"")</f>
        <v/>
      </c>
      <c r="D272" s="3"/>
      <c r="E272" s="3" t="str">
        <f>IFERROR(VLOOKUP(D272,الموظفون!A:L,2,FALSE),"")</f>
        <v/>
      </c>
      <c r="F272" s="3"/>
      <c r="G272" s="3"/>
      <c r="H272" s="3"/>
      <c r="I272" s="3"/>
      <c r="J272" s="3"/>
      <c r="K272" s="3" t="str">
        <f>IF(B272="","",IF(OR(D272="",F272=""),"ناقص بيانات",IF(F272="نعم","مكتمل","غائب")))</f>
        <v/>
      </c>
      <c r="L272" s="3"/>
    </row>
    <row r="273" spans="1:12" x14ac:dyDescent="0.2">
      <c r="A273" s="3" t="s">
        <v>419</v>
      </c>
      <c r="B273" s="3"/>
      <c r="C273" s="3" t="str">
        <f>IFERROR(VLOOKUP(B273,الخطة!A:O,4,FALSE),"")</f>
        <v/>
      </c>
      <c r="D273" s="3"/>
      <c r="E273" s="3" t="str">
        <f>IFERROR(VLOOKUP(D273,الموظفون!A:L,2,FALSE),"")</f>
        <v/>
      </c>
      <c r="F273" s="3"/>
      <c r="G273" s="3"/>
      <c r="H273" s="3"/>
      <c r="I273" s="3"/>
      <c r="J273" s="3"/>
      <c r="K273" s="3" t="str">
        <f>IF(B273="","",IF(OR(D273="",F273=""),"ناقص بيانات",IF(F273="نعم","مكتمل","غائب")))</f>
        <v/>
      </c>
      <c r="L273" s="3"/>
    </row>
    <row r="274" spans="1:12" x14ac:dyDescent="0.2">
      <c r="A274" s="3" t="s">
        <v>420</v>
      </c>
      <c r="B274" s="3"/>
      <c r="C274" s="3" t="str">
        <f>IFERROR(VLOOKUP(B274,الخطة!A:O,4,FALSE),"")</f>
        <v/>
      </c>
      <c r="D274" s="3"/>
      <c r="E274" s="3" t="str">
        <f>IFERROR(VLOOKUP(D274,الموظفون!A:L,2,FALSE),"")</f>
        <v/>
      </c>
      <c r="F274" s="3"/>
      <c r="G274" s="3"/>
      <c r="H274" s="3"/>
      <c r="I274" s="3"/>
      <c r="J274" s="3"/>
      <c r="K274" s="3" t="str">
        <f>IF(B274="","",IF(OR(D274="",F274=""),"ناقص بيانات",IF(F274="نعم","مكتمل","غائب")))</f>
        <v/>
      </c>
      <c r="L274" s="3"/>
    </row>
    <row r="275" spans="1:12" x14ac:dyDescent="0.2">
      <c r="A275" s="3" t="s">
        <v>421</v>
      </c>
      <c r="B275" s="3"/>
      <c r="C275" s="3" t="str">
        <f>IFERROR(VLOOKUP(B275,الخطة!A:O,4,FALSE),"")</f>
        <v/>
      </c>
      <c r="D275" s="3"/>
      <c r="E275" s="3" t="str">
        <f>IFERROR(VLOOKUP(D275,الموظفون!A:L,2,FALSE),"")</f>
        <v/>
      </c>
      <c r="F275" s="3"/>
      <c r="G275" s="3"/>
      <c r="H275" s="3"/>
      <c r="I275" s="3"/>
      <c r="J275" s="3"/>
      <c r="K275" s="3" t="str">
        <f>IF(B275="","",IF(OR(D275="",F275=""),"ناقص بيانات",IF(F275="نعم","مكتمل","غائب")))</f>
        <v/>
      </c>
      <c r="L275" s="3"/>
    </row>
    <row r="276" spans="1:12" x14ac:dyDescent="0.2">
      <c r="A276" s="3" t="s">
        <v>422</v>
      </c>
      <c r="B276" s="3"/>
      <c r="C276" s="3" t="str">
        <f>IFERROR(VLOOKUP(B276,الخطة!A:O,4,FALSE),"")</f>
        <v/>
      </c>
      <c r="D276" s="3"/>
      <c r="E276" s="3" t="str">
        <f>IFERROR(VLOOKUP(D276,الموظفون!A:L,2,FALSE),"")</f>
        <v/>
      </c>
      <c r="F276" s="3"/>
      <c r="G276" s="3"/>
      <c r="H276" s="3"/>
      <c r="I276" s="3"/>
      <c r="J276" s="3"/>
      <c r="K276" s="3" t="str">
        <f>IF(B276="","",IF(OR(D276="",F276=""),"ناقص بيانات",IF(F276="نعم","مكتمل","غائب")))</f>
        <v/>
      </c>
      <c r="L276" s="3"/>
    </row>
    <row r="277" spans="1:12" x14ac:dyDescent="0.2">
      <c r="A277" s="3" t="s">
        <v>423</v>
      </c>
      <c r="B277" s="3"/>
      <c r="C277" s="3" t="str">
        <f>IFERROR(VLOOKUP(B277,الخطة!A:O,4,FALSE),"")</f>
        <v/>
      </c>
      <c r="D277" s="3"/>
      <c r="E277" s="3" t="str">
        <f>IFERROR(VLOOKUP(D277,الموظفون!A:L,2,FALSE),"")</f>
        <v/>
      </c>
      <c r="F277" s="3"/>
      <c r="G277" s="3"/>
      <c r="H277" s="3"/>
      <c r="I277" s="3"/>
      <c r="J277" s="3"/>
      <c r="K277" s="3" t="str">
        <f>IF(B277="","",IF(OR(D277="",F277=""),"ناقص بيانات",IF(F277="نعم","مكتمل","غائب")))</f>
        <v/>
      </c>
      <c r="L277" s="3"/>
    </row>
    <row r="278" spans="1:12" x14ac:dyDescent="0.2">
      <c r="A278" s="3" t="s">
        <v>424</v>
      </c>
      <c r="B278" s="3"/>
      <c r="C278" s="3" t="str">
        <f>IFERROR(VLOOKUP(B278,الخطة!A:O,4,FALSE),"")</f>
        <v/>
      </c>
      <c r="D278" s="3"/>
      <c r="E278" s="3" t="str">
        <f>IFERROR(VLOOKUP(D278,الموظفون!A:L,2,FALSE),"")</f>
        <v/>
      </c>
      <c r="F278" s="3"/>
      <c r="G278" s="3"/>
      <c r="H278" s="3"/>
      <c r="I278" s="3"/>
      <c r="J278" s="3"/>
      <c r="K278" s="3" t="str">
        <f>IF(B278="","",IF(OR(D278="",F278=""),"ناقص بيانات",IF(F278="نعم","مكتمل","غائب")))</f>
        <v/>
      </c>
      <c r="L278" s="3"/>
    </row>
    <row r="279" spans="1:12" x14ac:dyDescent="0.2">
      <c r="A279" s="3" t="s">
        <v>425</v>
      </c>
      <c r="B279" s="3"/>
      <c r="C279" s="3" t="str">
        <f>IFERROR(VLOOKUP(B279,الخطة!A:O,4,FALSE),"")</f>
        <v/>
      </c>
      <c r="D279" s="3"/>
      <c r="E279" s="3" t="str">
        <f>IFERROR(VLOOKUP(D279,الموظفون!A:L,2,FALSE),"")</f>
        <v/>
      </c>
      <c r="F279" s="3"/>
      <c r="G279" s="3"/>
      <c r="H279" s="3"/>
      <c r="I279" s="3"/>
      <c r="J279" s="3"/>
      <c r="K279" s="3" t="str">
        <f>IF(B279="","",IF(OR(D279="",F279=""),"ناقص بيانات",IF(F279="نعم","مكتمل","غائب")))</f>
        <v/>
      </c>
      <c r="L279" s="3"/>
    </row>
    <row r="280" spans="1:12" x14ac:dyDescent="0.2">
      <c r="A280" s="3" t="s">
        <v>426</v>
      </c>
      <c r="B280" s="3"/>
      <c r="C280" s="3" t="str">
        <f>IFERROR(VLOOKUP(B280,الخطة!A:O,4,FALSE),"")</f>
        <v/>
      </c>
      <c r="D280" s="3"/>
      <c r="E280" s="3" t="str">
        <f>IFERROR(VLOOKUP(D280,الموظفون!A:L,2,FALSE),"")</f>
        <v/>
      </c>
      <c r="F280" s="3"/>
      <c r="G280" s="3"/>
      <c r="H280" s="3"/>
      <c r="I280" s="3"/>
      <c r="J280" s="3"/>
      <c r="K280" s="3" t="str">
        <f>IF(B280="","",IF(OR(D280="",F280=""),"ناقص بيانات",IF(F280="نعم","مكتمل","غائب")))</f>
        <v/>
      </c>
      <c r="L280" s="3"/>
    </row>
    <row r="281" spans="1:12" x14ac:dyDescent="0.2">
      <c r="A281" s="3" t="s">
        <v>427</v>
      </c>
      <c r="B281" s="3"/>
      <c r="C281" s="3" t="str">
        <f>IFERROR(VLOOKUP(B281,الخطة!A:O,4,FALSE),"")</f>
        <v/>
      </c>
      <c r="D281" s="3"/>
      <c r="E281" s="3" t="str">
        <f>IFERROR(VLOOKUP(D281,الموظفون!A:L,2,FALSE),"")</f>
        <v/>
      </c>
      <c r="F281" s="3"/>
      <c r="G281" s="3"/>
      <c r="H281" s="3"/>
      <c r="I281" s="3"/>
      <c r="J281" s="3"/>
      <c r="K281" s="3" t="str">
        <f>IF(B281="","",IF(OR(D281="",F281=""),"ناقص بيانات",IF(F281="نعم","مكتمل","غائب")))</f>
        <v/>
      </c>
      <c r="L281" s="3"/>
    </row>
    <row r="282" spans="1:12" x14ac:dyDescent="0.2">
      <c r="A282" s="3" t="s">
        <v>428</v>
      </c>
      <c r="B282" s="3"/>
      <c r="C282" s="3" t="str">
        <f>IFERROR(VLOOKUP(B282,الخطة!A:O,4,FALSE),"")</f>
        <v/>
      </c>
      <c r="D282" s="3"/>
      <c r="E282" s="3" t="str">
        <f>IFERROR(VLOOKUP(D282,الموظفون!A:L,2,FALSE),"")</f>
        <v/>
      </c>
      <c r="F282" s="3"/>
      <c r="G282" s="3"/>
      <c r="H282" s="3"/>
      <c r="I282" s="3"/>
      <c r="J282" s="3"/>
      <c r="K282" s="3" t="str">
        <f>IF(B282="","",IF(OR(D282="",F282=""),"ناقص بيانات",IF(F282="نعم","مكتمل","غائب")))</f>
        <v/>
      </c>
      <c r="L282" s="3"/>
    </row>
    <row r="283" spans="1:12" x14ac:dyDescent="0.2">
      <c r="A283" s="3" t="s">
        <v>429</v>
      </c>
      <c r="B283" s="3"/>
      <c r="C283" s="3" t="str">
        <f>IFERROR(VLOOKUP(B283,الخطة!A:O,4,FALSE),"")</f>
        <v/>
      </c>
      <c r="D283" s="3"/>
      <c r="E283" s="3" t="str">
        <f>IFERROR(VLOOKUP(D283,الموظفون!A:L,2,FALSE),"")</f>
        <v/>
      </c>
      <c r="F283" s="3"/>
      <c r="G283" s="3"/>
      <c r="H283" s="3"/>
      <c r="I283" s="3"/>
      <c r="J283" s="3"/>
      <c r="K283" s="3" t="str">
        <f>IF(B283="","",IF(OR(D283="",F283=""),"ناقص بيانات",IF(F283="نعم","مكتمل","غائب")))</f>
        <v/>
      </c>
      <c r="L283" s="3"/>
    </row>
    <row r="284" spans="1:12" x14ac:dyDescent="0.2">
      <c r="A284" s="3" t="s">
        <v>430</v>
      </c>
      <c r="B284" s="3"/>
      <c r="C284" s="3" t="str">
        <f>IFERROR(VLOOKUP(B284,الخطة!A:O,4,FALSE),"")</f>
        <v/>
      </c>
      <c r="D284" s="3"/>
      <c r="E284" s="3" t="str">
        <f>IFERROR(VLOOKUP(D284,الموظفون!A:L,2,FALSE),"")</f>
        <v/>
      </c>
      <c r="F284" s="3"/>
      <c r="G284" s="3"/>
      <c r="H284" s="3"/>
      <c r="I284" s="3"/>
      <c r="J284" s="3"/>
      <c r="K284" s="3" t="str">
        <f>IF(B284="","",IF(OR(D284="",F284=""),"ناقص بيانات",IF(F284="نعم","مكتمل","غائب")))</f>
        <v/>
      </c>
      <c r="L284" s="3"/>
    </row>
    <row r="285" spans="1:12" x14ac:dyDescent="0.2">
      <c r="A285" s="3" t="s">
        <v>431</v>
      </c>
      <c r="B285" s="3"/>
      <c r="C285" s="3" t="str">
        <f>IFERROR(VLOOKUP(B285,الخطة!A:O,4,FALSE),"")</f>
        <v/>
      </c>
      <c r="D285" s="3"/>
      <c r="E285" s="3" t="str">
        <f>IFERROR(VLOOKUP(D285,الموظفون!A:L,2,FALSE),"")</f>
        <v/>
      </c>
      <c r="F285" s="3"/>
      <c r="G285" s="3"/>
      <c r="H285" s="3"/>
      <c r="I285" s="3"/>
      <c r="J285" s="3"/>
      <c r="K285" s="3" t="str">
        <f>IF(B285="","",IF(OR(D285="",F285=""),"ناقص بيانات",IF(F285="نعم","مكتمل","غائب")))</f>
        <v/>
      </c>
      <c r="L285" s="3"/>
    </row>
    <row r="286" spans="1:12" x14ac:dyDescent="0.2">
      <c r="A286" s="3" t="s">
        <v>432</v>
      </c>
      <c r="B286" s="3"/>
      <c r="C286" s="3" t="str">
        <f>IFERROR(VLOOKUP(B286,الخطة!A:O,4,FALSE),"")</f>
        <v/>
      </c>
      <c r="D286" s="3"/>
      <c r="E286" s="3" t="str">
        <f>IFERROR(VLOOKUP(D286,الموظفون!A:L,2,FALSE),"")</f>
        <v/>
      </c>
      <c r="F286" s="3"/>
      <c r="G286" s="3"/>
      <c r="H286" s="3"/>
      <c r="I286" s="3"/>
      <c r="J286" s="3"/>
      <c r="K286" s="3" t="str">
        <f>IF(B286="","",IF(OR(D286="",F286=""),"ناقص بيانات",IF(F286="نعم","مكتمل","غائب")))</f>
        <v/>
      </c>
      <c r="L286" s="3"/>
    </row>
    <row r="287" spans="1:12" x14ac:dyDescent="0.2">
      <c r="A287" s="3" t="s">
        <v>433</v>
      </c>
      <c r="B287" s="3"/>
      <c r="C287" s="3" t="str">
        <f>IFERROR(VLOOKUP(B287,الخطة!A:O,4,FALSE),"")</f>
        <v/>
      </c>
      <c r="D287" s="3"/>
      <c r="E287" s="3" t="str">
        <f>IFERROR(VLOOKUP(D287,الموظفون!A:L,2,FALSE),"")</f>
        <v/>
      </c>
      <c r="F287" s="3"/>
      <c r="G287" s="3"/>
      <c r="H287" s="3"/>
      <c r="I287" s="3"/>
      <c r="J287" s="3"/>
      <c r="K287" s="3" t="str">
        <f>IF(B287="","",IF(OR(D287="",F287=""),"ناقص بيانات",IF(F287="نعم","مكتمل","غائب")))</f>
        <v/>
      </c>
      <c r="L287" s="3"/>
    </row>
    <row r="288" spans="1:12" x14ac:dyDescent="0.2">
      <c r="A288" s="3" t="s">
        <v>434</v>
      </c>
      <c r="B288" s="3"/>
      <c r="C288" s="3" t="str">
        <f>IFERROR(VLOOKUP(B288,الخطة!A:O,4,FALSE),"")</f>
        <v/>
      </c>
      <c r="D288" s="3"/>
      <c r="E288" s="3" t="str">
        <f>IFERROR(VLOOKUP(D288,الموظفون!A:L,2,FALSE),"")</f>
        <v/>
      </c>
      <c r="F288" s="3"/>
      <c r="G288" s="3"/>
      <c r="H288" s="3"/>
      <c r="I288" s="3"/>
      <c r="J288" s="3"/>
      <c r="K288" s="3" t="str">
        <f>IF(B288="","",IF(OR(D288="",F288=""),"ناقص بيانات",IF(F288="نعم","مكتمل","غائب")))</f>
        <v/>
      </c>
      <c r="L288" s="3"/>
    </row>
    <row r="289" spans="1:12" x14ac:dyDescent="0.2">
      <c r="A289" s="3" t="s">
        <v>435</v>
      </c>
      <c r="B289" s="3"/>
      <c r="C289" s="3" t="str">
        <f>IFERROR(VLOOKUP(B289,الخطة!A:O,4,FALSE),"")</f>
        <v/>
      </c>
      <c r="D289" s="3"/>
      <c r="E289" s="3" t="str">
        <f>IFERROR(VLOOKUP(D289,الموظفون!A:L,2,FALSE),"")</f>
        <v/>
      </c>
      <c r="F289" s="3"/>
      <c r="G289" s="3"/>
      <c r="H289" s="3"/>
      <c r="I289" s="3"/>
      <c r="J289" s="3"/>
      <c r="K289" s="3" t="str">
        <f>IF(B289="","",IF(OR(D289="",F289=""),"ناقص بيانات",IF(F289="نعم","مكتمل","غائب")))</f>
        <v/>
      </c>
      <c r="L289" s="3"/>
    </row>
    <row r="290" spans="1:12" x14ac:dyDescent="0.2">
      <c r="A290" s="3" t="s">
        <v>436</v>
      </c>
      <c r="B290" s="3"/>
      <c r="C290" s="3" t="str">
        <f>IFERROR(VLOOKUP(B290,الخطة!A:O,4,FALSE),"")</f>
        <v/>
      </c>
      <c r="D290" s="3"/>
      <c r="E290" s="3" t="str">
        <f>IFERROR(VLOOKUP(D290,الموظفون!A:L,2,FALSE),"")</f>
        <v/>
      </c>
      <c r="F290" s="3"/>
      <c r="G290" s="3"/>
      <c r="H290" s="3"/>
      <c r="I290" s="3"/>
      <c r="J290" s="3"/>
      <c r="K290" s="3" t="str">
        <f>IF(B290="","",IF(OR(D290="",F290=""),"ناقص بيانات",IF(F290="نعم","مكتمل","غائب")))</f>
        <v/>
      </c>
      <c r="L290" s="3"/>
    </row>
    <row r="291" spans="1:12" x14ac:dyDescent="0.2">
      <c r="A291" s="3" t="s">
        <v>437</v>
      </c>
      <c r="B291" s="3"/>
      <c r="C291" s="3" t="str">
        <f>IFERROR(VLOOKUP(B291,الخطة!A:O,4,FALSE),"")</f>
        <v/>
      </c>
      <c r="D291" s="3"/>
      <c r="E291" s="3" t="str">
        <f>IFERROR(VLOOKUP(D291,الموظفون!A:L,2,FALSE),"")</f>
        <v/>
      </c>
      <c r="F291" s="3"/>
      <c r="G291" s="3"/>
      <c r="H291" s="3"/>
      <c r="I291" s="3"/>
      <c r="J291" s="3"/>
      <c r="K291" s="3" t="str">
        <f>IF(B291="","",IF(OR(D291="",F291=""),"ناقص بيانات",IF(F291="نعم","مكتمل","غائب")))</f>
        <v/>
      </c>
      <c r="L291" s="3"/>
    </row>
    <row r="292" spans="1:12" x14ac:dyDescent="0.2">
      <c r="A292" s="3" t="s">
        <v>438</v>
      </c>
      <c r="B292" s="3"/>
      <c r="C292" s="3" t="str">
        <f>IFERROR(VLOOKUP(B292,الخطة!A:O,4,FALSE),"")</f>
        <v/>
      </c>
      <c r="D292" s="3"/>
      <c r="E292" s="3" t="str">
        <f>IFERROR(VLOOKUP(D292,الموظفون!A:L,2,FALSE),"")</f>
        <v/>
      </c>
      <c r="F292" s="3"/>
      <c r="G292" s="3"/>
      <c r="H292" s="3"/>
      <c r="I292" s="3"/>
      <c r="J292" s="3"/>
      <c r="K292" s="3" t="str">
        <f>IF(B292="","",IF(OR(D292="",F292=""),"ناقص بيانات",IF(F292="نعم","مكتمل","غائب")))</f>
        <v/>
      </c>
      <c r="L292" s="3"/>
    </row>
    <row r="293" spans="1:12" x14ac:dyDescent="0.2">
      <c r="A293" s="3" t="s">
        <v>439</v>
      </c>
      <c r="B293" s="3"/>
      <c r="C293" s="3" t="str">
        <f>IFERROR(VLOOKUP(B293,الخطة!A:O,4,FALSE),"")</f>
        <v/>
      </c>
      <c r="D293" s="3"/>
      <c r="E293" s="3" t="str">
        <f>IFERROR(VLOOKUP(D293,الموظفون!A:L,2,FALSE),"")</f>
        <v/>
      </c>
      <c r="F293" s="3"/>
      <c r="G293" s="3"/>
      <c r="H293" s="3"/>
      <c r="I293" s="3"/>
      <c r="J293" s="3"/>
      <c r="K293" s="3" t="str">
        <f>IF(B293="","",IF(OR(D293="",F293=""),"ناقص بيانات",IF(F293="نعم","مكتمل","غائب")))</f>
        <v/>
      </c>
      <c r="L293" s="3"/>
    </row>
    <row r="294" spans="1:12" x14ac:dyDescent="0.2">
      <c r="A294" s="3" t="s">
        <v>440</v>
      </c>
      <c r="B294" s="3"/>
      <c r="C294" s="3" t="str">
        <f>IFERROR(VLOOKUP(B294,الخطة!A:O,4,FALSE),"")</f>
        <v/>
      </c>
      <c r="D294" s="3"/>
      <c r="E294" s="3" t="str">
        <f>IFERROR(VLOOKUP(D294,الموظفون!A:L,2,FALSE),"")</f>
        <v/>
      </c>
      <c r="F294" s="3"/>
      <c r="G294" s="3"/>
      <c r="H294" s="3"/>
      <c r="I294" s="3"/>
      <c r="J294" s="3"/>
      <c r="K294" s="3" t="str">
        <f>IF(B294="","",IF(OR(D294="",F294=""),"ناقص بيانات",IF(F294="نعم","مكتمل","غائب")))</f>
        <v/>
      </c>
      <c r="L294" s="3"/>
    </row>
    <row r="295" spans="1:12" x14ac:dyDescent="0.2">
      <c r="A295" s="3" t="s">
        <v>441</v>
      </c>
      <c r="B295" s="3"/>
      <c r="C295" s="3" t="str">
        <f>IFERROR(VLOOKUP(B295,الخطة!A:O,4,FALSE),"")</f>
        <v/>
      </c>
      <c r="D295" s="3"/>
      <c r="E295" s="3" t="str">
        <f>IFERROR(VLOOKUP(D295,الموظفون!A:L,2,FALSE),"")</f>
        <v/>
      </c>
      <c r="F295" s="3"/>
      <c r="G295" s="3"/>
      <c r="H295" s="3"/>
      <c r="I295" s="3"/>
      <c r="J295" s="3"/>
      <c r="K295" s="3" t="str">
        <f>IF(B295="","",IF(OR(D295="",F295=""),"ناقص بيانات",IF(F295="نعم","مكتمل","غائب")))</f>
        <v/>
      </c>
      <c r="L295" s="3"/>
    </row>
    <row r="296" spans="1:12" x14ac:dyDescent="0.2">
      <c r="A296" s="3" t="s">
        <v>442</v>
      </c>
      <c r="B296" s="3"/>
      <c r="C296" s="3" t="str">
        <f>IFERROR(VLOOKUP(B296,الخطة!A:O,4,FALSE),"")</f>
        <v/>
      </c>
      <c r="D296" s="3"/>
      <c r="E296" s="3" t="str">
        <f>IFERROR(VLOOKUP(D296,الموظفون!A:L,2,FALSE),"")</f>
        <v/>
      </c>
      <c r="F296" s="3"/>
      <c r="G296" s="3"/>
      <c r="H296" s="3"/>
      <c r="I296" s="3"/>
      <c r="J296" s="3"/>
      <c r="K296" s="3" t="str">
        <f>IF(B296="","",IF(OR(D296="",F296=""),"ناقص بيانات",IF(F296="نعم","مكتمل","غائب")))</f>
        <v/>
      </c>
      <c r="L296" s="3"/>
    </row>
    <row r="297" spans="1:12" x14ac:dyDescent="0.2">
      <c r="A297" s="3" t="s">
        <v>443</v>
      </c>
      <c r="B297" s="3"/>
      <c r="C297" s="3" t="str">
        <f>IFERROR(VLOOKUP(B297,الخطة!A:O,4,FALSE),"")</f>
        <v/>
      </c>
      <c r="D297" s="3"/>
      <c r="E297" s="3" t="str">
        <f>IFERROR(VLOOKUP(D297,الموظفون!A:L,2,FALSE),"")</f>
        <v/>
      </c>
      <c r="F297" s="3"/>
      <c r="G297" s="3"/>
      <c r="H297" s="3"/>
      <c r="I297" s="3"/>
      <c r="J297" s="3"/>
      <c r="K297" s="3" t="str">
        <f>IF(B297="","",IF(OR(D297="",F297=""),"ناقص بيانات",IF(F297="نعم","مكتمل","غائب")))</f>
        <v/>
      </c>
      <c r="L297" s="3"/>
    </row>
    <row r="298" spans="1:12" x14ac:dyDescent="0.2">
      <c r="A298" s="3" t="s">
        <v>444</v>
      </c>
      <c r="B298" s="3"/>
      <c r="C298" s="3" t="str">
        <f>IFERROR(VLOOKUP(B298,الخطة!A:O,4,FALSE),"")</f>
        <v/>
      </c>
      <c r="D298" s="3"/>
      <c r="E298" s="3" t="str">
        <f>IFERROR(VLOOKUP(D298,الموظفون!A:L,2,FALSE),"")</f>
        <v/>
      </c>
      <c r="F298" s="3"/>
      <c r="G298" s="3"/>
      <c r="H298" s="3"/>
      <c r="I298" s="3"/>
      <c r="J298" s="3"/>
      <c r="K298" s="3" t="str">
        <f>IF(B298="","",IF(OR(D298="",F298=""),"ناقص بيانات",IF(F298="نعم","مكتمل","غائب")))</f>
        <v/>
      </c>
      <c r="L298" s="3"/>
    </row>
    <row r="299" spans="1:12" x14ac:dyDescent="0.2">
      <c r="A299" s="3" t="s">
        <v>445</v>
      </c>
      <c r="B299" s="3"/>
      <c r="C299" s="3" t="str">
        <f>IFERROR(VLOOKUP(B299,الخطة!A:O,4,FALSE),"")</f>
        <v/>
      </c>
      <c r="D299" s="3"/>
      <c r="E299" s="3" t="str">
        <f>IFERROR(VLOOKUP(D299,الموظفون!A:L,2,FALSE),"")</f>
        <v/>
      </c>
      <c r="F299" s="3"/>
      <c r="G299" s="3"/>
      <c r="H299" s="3"/>
      <c r="I299" s="3"/>
      <c r="J299" s="3"/>
      <c r="K299" s="3" t="str">
        <f>IF(B299="","",IF(OR(D299="",F299=""),"ناقص بيانات",IF(F299="نعم","مكتمل","غائب")))</f>
        <v/>
      </c>
      <c r="L299" s="3"/>
    </row>
    <row r="300" spans="1:12" x14ac:dyDescent="0.2">
      <c r="A300" s="3" t="s">
        <v>446</v>
      </c>
      <c r="B300" s="3"/>
      <c r="C300" s="3" t="str">
        <f>IFERROR(VLOOKUP(B300,الخطة!A:O,4,FALSE),"")</f>
        <v/>
      </c>
      <c r="D300" s="3"/>
      <c r="E300" s="3" t="str">
        <f>IFERROR(VLOOKUP(D300,الموظفون!A:L,2,FALSE),"")</f>
        <v/>
      </c>
      <c r="F300" s="3"/>
      <c r="G300" s="3"/>
      <c r="H300" s="3"/>
      <c r="I300" s="3"/>
      <c r="J300" s="3"/>
      <c r="K300" s="3" t="str">
        <f>IF(B300="","",IF(OR(D300="",F300=""),"ناقص بيانات",IF(F300="نعم","مكتمل","غائب")))</f>
        <v/>
      </c>
      <c r="L300" s="3"/>
    </row>
    <row r="301" spans="1:12" x14ac:dyDescent="0.2">
      <c r="A301" s="3" t="s">
        <v>447</v>
      </c>
      <c r="B301" s="3"/>
      <c r="C301" s="3" t="str">
        <f>IFERROR(VLOOKUP(B301,الخطة!A:O,4,FALSE),"")</f>
        <v/>
      </c>
      <c r="D301" s="3"/>
      <c r="E301" s="3" t="str">
        <f>IFERROR(VLOOKUP(D301,الموظفون!A:L,2,FALSE),"")</f>
        <v/>
      </c>
      <c r="F301" s="3"/>
      <c r="G301" s="3"/>
      <c r="H301" s="3"/>
      <c r="I301" s="3"/>
      <c r="J301" s="3"/>
      <c r="K301" s="3" t="str">
        <f>IF(B301="","",IF(OR(D301="",F301=""),"ناقص بيانات",IF(F301="نعم","مكتمل","غائب")))</f>
        <v/>
      </c>
      <c r="L301" s="3"/>
    </row>
    <row r="302" spans="1:12" x14ac:dyDescent="0.2">
      <c r="A302" s="3" t="s">
        <v>448</v>
      </c>
      <c r="B302" s="3"/>
      <c r="C302" s="3" t="str">
        <f>IFERROR(VLOOKUP(B302,الخطة!A:O,4,FALSE),"")</f>
        <v/>
      </c>
      <c r="D302" s="3"/>
      <c r="E302" s="3" t="str">
        <f>IFERROR(VLOOKUP(D302,الموظفون!A:L,2,FALSE),"")</f>
        <v/>
      </c>
      <c r="F302" s="3"/>
      <c r="G302" s="3"/>
      <c r="H302" s="3"/>
      <c r="I302" s="3"/>
      <c r="J302" s="3"/>
      <c r="K302" s="3" t="str">
        <f>IF(B302="","",IF(OR(D302="",F302=""),"ناقص بيانات",IF(F302="نعم","مكتمل","غائب")))</f>
        <v/>
      </c>
      <c r="L302" s="3"/>
    </row>
    <row r="303" spans="1:12" x14ac:dyDescent="0.2">
      <c r="A303" s="3" t="s">
        <v>449</v>
      </c>
      <c r="B303" s="3"/>
      <c r="C303" s="3" t="str">
        <f>IFERROR(VLOOKUP(B303,الخطة!A:O,4,FALSE),"")</f>
        <v/>
      </c>
      <c r="D303" s="3"/>
      <c r="E303" s="3" t="str">
        <f>IFERROR(VLOOKUP(D303,الموظفون!A:L,2,FALSE),"")</f>
        <v/>
      </c>
      <c r="F303" s="3"/>
      <c r="G303" s="3"/>
      <c r="H303" s="3"/>
      <c r="I303" s="3"/>
      <c r="J303" s="3"/>
      <c r="K303" s="3" t="str">
        <f>IF(B303="","",IF(OR(D303="",F303=""),"ناقص بيانات",IF(F303="نعم","مكتمل","غائب")))</f>
        <v/>
      </c>
      <c r="L303" s="3"/>
    </row>
    <row r="304" spans="1:12" x14ac:dyDescent="0.2">
      <c r="A304" s="3" t="s">
        <v>450</v>
      </c>
      <c r="B304" s="3"/>
      <c r="C304" s="3" t="str">
        <f>IFERROR(VLOOKUP(B304,الخطة!A:O,4,FALSE),"")</f>
        <v/>
      </c>
      <c r="D304" s="3"/>
      <c r="E304" s="3" t="str">
        <f>IFERROR(VLOOKUP(D304,الموظفون!A:L,2,FALSE),"")</f>
        <v/>
      </c>
      <c r="F304" s="3"/>
      <c r="G304" s="3"/>
      <c r="H304" s="3"/>
      <c r="I304" s="3"/>
      <c r="J304" s="3"/>
      <c r="K304" s="3" t="str">
        <f>IF(B304="","",IF(OR(D304="",F304=""),"ناقص بيانات",IF(F304="نعم","مكتمل","غائب")))</f>
        <v/>
      </c>
      <c r="L304" s="3"/>
    </row>
    <row r="305" spans="1:12" x14ac:dyDescent="0.2">
      <c r="A305" s="3" t="s">
        <v>451</v>
      </c>
      <c r="B305" s="3"/>
      <c r="C305" s="3" t="str">
        <f>IFERROR(VLOOKUP(B305,الخطة!A:O,4,FALSE),"")</f>
        <v/>
      </c>
      <c r="D305" s="3"/>
      <c r="E305" s="3" t="str">
        <f>IFERROR(VLOOKUP(D305,الموظفون!A:L,2,FALSE),"")</f>
        <v/>
      </c>
      <c r="F305" s="3"/>
      <c r="G305" s="3"/>
      <c r="H305" s="3"/>
      <c r="I305" s="3"/>
      <c r="J305" s="3"/>
      <c r="K305" s="3" t="str">
        <f>IF(B305="","",IF(OR(D305="",F305=""),"ناقص بيانات",IF(F305="نعم","مكتمل","غائب")))</f>
        <v/>
      </c>
      <c r="L305" s="3"/>
    </row>
    <row r="306" spans="1:12" x14ac:dyDescent="0.2">
      <c r="A306" s="3" t="s">
        <v>452</v>
      </c>
      <c r="B306" s="3"/>
      <c r="C306" s="3" t="str">
        <f>IFERROR(VLOOKUP(B306,الخطة!A:O,4,FALSE),"")</f>
        <v/>
      </c>
      <c r="D306" s="3"/>
      <c r="E306" s="3" t="str">
        <f>IFERROR(VLOOKUP(D306,الموظفون!A:L,2,FALSE),"")</f>
        <v/>
      </c>
      <c r="F306" s="3"/>
      <c r="G306" s="3"/>
      <c r="H306" s="3"/>
      <c r="I306" s="3"/>
      <c r="J306" s="3"/>
      <c r="K306" s="3" t="str">
        <f>IF(B306="","",IF(OR(D306="",F306=""),"ناقص بيانات",IF(F306="نعم","مكتمل","غائب")))</f>
        <v/>
      </c>
      <c r="L306" s="3"/>
    </row>
    <row r="307" spans="1:12" x14ac:dyDescent="0.2">
      <c r="A307" s="3" t="s">
        <v>453</v>
      </c>
      <c r="B307" s="3"/>
      <c r="C307" s="3" t="str">
        <f>IFERROR(VLOOKUP(B307,الخطة!A:O,4,FALSE),"")</f>
        <v/>
      </c>
      <c r="D307" s="3"/>
      <c r="E307" s="3" t="str">
        <f>IFERROR(VLOOKUP(D307,الموظفون!A:L,2,FALSE),"")</f>
        <v/>
      </c>
      <c r="F307" s="3"/>
      <c r="G307" s="3"/>
      <c r="H307" s="3"/>
      <c r="I307" s="3"/>
      <c r="J307" s="3"/>
      <c r="K307" s="3" t="str">
        <f>IF(B307="","",IF(OR(D307="",F307=""),"ناقص بيانات",IF(F307="نعم","مكتمل","غائب")))</f>
        <v/>
      </c>
      <c r="L307" s="3"/>
    </row>
    <row r="308" spans="1:12" x14ac:dyDescent="0.2">
      <c r="A308" s="3" t="s">
        <v>454</v>
      </c>
      <c r="B308" s="3"/>
      <c r="C308" s="3" t="str">
        <f>IFERROR(VLOOKUP(B308,الخطة!A:O,4,FALSE),"")</f>
        <v/>
      </c>
      <c r="D308" s="3"/>
      <c r="E308" s="3" t="str">
        <f>IFERROR(VLOOKUP(D308,الموظفون!A:L,2,FALSE),"")</f>
        <v/>
      </c>
      <c r="F308" s="3"/>
      <c r="G308" s="3"/>
      <c r="H308" s="3"/>
      <c r="I308" s="3"/>
      <c r="J308" s="3"/>
      <c r="K308" s="3" t="str">
        <f>IF(B308="","",IF(OR(D308="",F308=""),"ناقص بيانات",IF(F308="نعم","مكتمل","غائب")))</f>
        <v/>
      </c>
      <c r="L308" s="3"/>
    </row>
    <row r="309" spans="1:12" x14ac:dyDescent="0.2">
      <c r="A309" s="3" t="s">
        <v>455</v>
      </c>
      <c r="B309" s="3"/>
      <c r="C309" s="3" t="str">
        <f>IFERROR(VLOOKUP(B309,الخطة!A:O,4,FALSE),"")</f>
        <v/>
      </c>
      <c r="D309" s="3"/>
      <c r="E309" s="3" t="str">
        <f>IFERROR(VLOOKUP(D309,الموظفون!A:L,2,FALSE),"")</f>
        <v/>
      </c>
      <c r="F309" s="3"/>
      <c r="G309" s="3"/>
      <c r="H309" s="3"/>
      <c r="I309" s="3"/>
      <c r="J309" s="3"/>
      <c r="K309" s="3" t="str">
        <f>IF(B309="","",IF(OR(D309="",F309=""),"ناقص بيانات",IF(F309="نعم","مكتمل","غائب")))</f>
        <v/>
      </c>
      <c r="L309" s="3"/>
    </row>
    <row r="310" spans="1:12" x14ac:dyDescent="0.2">
      <c r="A310" s="3" t="s">
        <v>456</v>
      </c>
      <c r="B310" s="3"/>
      <c r="C310" s="3" t="str">
        <f>IFERROR(VLOOKUP(B310,الخطة!A:O,4,FALSE),"")</f>
        <v/>
      </c>
      <c r="D310" s="3"/>
      <c r="E310" s="3" t="str">
        <f>IFERROR(VLOOKUP(D310,الموظفون!A:L,2,FALSE),"")</f>
        <v/>
      </c>
      <c r="F310" s="3"/>
      <c r="G310" s="3"/>
      <c r="H310" s="3"/>
      <c r="I310" s="3"/>
      <c r="J310" s="3"/>
      <c r="K310" s="3" t="str">
        <f>IF(B310="","",IF(OR(D310="",F310=""),"ناقص بيانات",IF(F310="نعم","مكتمل","غائب")))</f>
        <v/>
      </c>
      <c r="L310" s="3"/>
    </row>
    <row r="311" spans="1:12" x14ac:dyDescent="0.2">
      <c r="A311" s="3" t="s">
        <v>457</v>
      </c>
      <c r="B311" s="3"/>
      <c r="C311" s="3" t="str">
        <f>IFERROR(VLOOKUP(B311,الخطة!A:O,4,FALSE),"")</f>
        <v/>
      </c>
      <c r="D311" s="3"/>
      <c r="E311" s="3" t="str">
        <f>IFERROR(VLOOKUP(D311,الموظفون!A:L,2,FALSE),"")</f>
        <v/>
      </c>
      <c r="F311" s="3"/>
      <c r="G311" s="3"/>
      <c r="H311" s="3"/>
      <c r="I311" s="3"/>
      <c r="J311" s="3"/>
      <c r="K311" s="3" t="str">
        <f>IF(B311="","",IF(OR(D311="",F311=""),"ناقص بيانات",IF(F311="نعم","مكتمل","غائب")))</f>
        <v/>
      </c>
      <c r="L311" s="3"/>
    </row>
    <row r="312" spans="1:12" x14ac:dyDescent="0.2">
      <c r="A312" s="3" t="s">
        <v>458</v>
      </c>
      <c r="B312" s="3"/>
      <c r="C312" s="3" t="str">
        <f>IFERROR(VLOOKUP(B312,الخطة!A:O,4,FALSE),"")</f>
        <v/>
      </c>
      <c r="D312" s="3"/>
      <c r="E312" s="3" t="str">
        <f>IFERROR(VLOOKUP(D312,الموظفون!A:L,2,FALSE),"")</f>
        <v/>
      </c>
      <c r="F312" s="3"/>
      <c r="G312" s="3"/>
      <c r="H312" s="3"/>
      <c r="I312" s="3"/>
      <c r="J312" s="3"/>
      <c r="K312" s="3" t="str">
        <f>IF(B312="","",IF(OR(D312="",F312=""),"ناقص بيانات",IF(F312="نعم","مكتمل","غائب")))</f>
        <v/>
      </c>
      <c r="L312" s="3"/>
    </row>
    <row r="313" spans="1:12" x14ac:dyDescent="0.2">
      <c r="A313" s="3" t="s">
        <v>459</v>
      </c>
      <c r="B313" s="3"/>
      <c r="C313" s="3" t="str">
        <f>IFERROR(VLOOKUP(B313,الخطة!A:O,4,FALSE),"")</f>
        <v/>
      </c>
      <c r="D313" s="3"/>
      <c r="E313" s="3" t="str">
        <f>IFERROR(VLOOKUP(D313,الموظفون!A:L,2,FALSE),"")</f>
        <v/>
      </c>
      <c r="F313" s="3"/>
      <c r="G313" s="3"/>
      <c r="H313" s="3"/>
      <c r="I313" s="3"/>
      <c r="J313" s="3"/>
      <c r="K313" s="3" t="str">
        <f>IF(B313="","",IF(OR(D313="",F313=""),"ناقص بيانات",IF(F313="نعم","مكتمل","غائب")))</f>
        <v/>
      </c>
      <c r="L313" s="3"/>
    </row>
    <row r="314" spans="1:12" x14ac:dyDescent="0.2">
      <c r="A314" s="3" t="s">
        <v>460</v>
      </c>
      <c r="B314" s="3"/>
      <c r="C314" s="3" t="str">
        <f>IFERROR(VLOOKUP(B314,الخطة!A:O,4,FALSE),"")</f>
        <v/>
      </c>
      <c r="D314" s="3"/>
      <c r="E314" s="3" t="str">
        <f>IFERROR(VLOOKUP(D314,الموظفون!A:L,2,FALSE),"")</f>
        <v/>
      </c>
      <c r="F314" s="3"/>
      <c r="G314" s="3"/>
      <c r="H314" s="3"/>
      <c r="I314" s="3"/>
      <c r="J314" s="3"/>
      <c r="K314" s="3" t="str">
        <f>IF(B314="","",IF(OR(D314="",F314=""),"ناقص بيانات",IF(F314="نعم","مكتمل","غائب")))</f>
        <v/>
      </c>
      <c r="L314" s="3"/>
    </row>
    <row r="315" spans="1:12" x14ac:dyDescent="0.2">
      <c r="A315" s="3" t="s">
        <v>461</v>
      </c>
      <c r="B315" s="3"/>
      <c r="C315" s="3" t="str">
        <f>IFERROR(VLOOKUP(B315,الخطة!A:O,4,FALSE),"")</f>
        <v/>
      </c>
      <c r="D315" s="3"/>
      <c r="E315" s="3" t="str">
        <f>IFERROR(VLOOKUP(D315,الموظفون!A:L,2,FALSE),"")</f>
        <v/>
      </c>
      <c r="F315" s="3"/>
      <c r="G315" s="3"/>
      <c r="H315" s="3"/>
      <c r="I315" s="3"/>
      <c r="J315" s="3"/>
      <c r="K315" s="3" t="str">
        <f>IF(B315="","",IF(OR(D315="",F315=""),"ناقص بيانات",IF(F315="نعم","مكتمل","غائب")))</f>
        <v/>
      </c>
      <c r="L315" s="3"/>
    </row>
    <row r="316" spans="1:12" x14ac:dyDescent="0.2">
      <c r="A316" s="3" t="s">
        <v>462</v>
      </c>
      <c r="B316" s="3"/>
      <c r="C316" s="3" t="str">
        <f>IFERROR(VLOOKUP(B316,الخطة!A:O,4,FALSE),"")</f>
        <v/>
      </c>
      <c r="D316" s="3"/>
      <c r="E316" s="3" t="str">
        <f>IFERROR(VLOOKUP(D316,الموظفون!A:L,2,FALSE),"")</f>
        <v/>
      </c>
      <c r="F316" s="3"/>
      <c r="G316" s="3"/>
      <c r="H316" s="3"/>
      <c r="I316" s="3"/>
      <c r="J316" s="3"/>
      <c r="K316" s="3" t="str">
        <f>IF(B316="","",IF(OR(D316="",F316=""),"ناقص بيانات",IF(F316="نعم","مكتمل","غائب")))</f>
        <v/>
      </c>
      <c r="L316" s="3"/>
    </row>
    <row r="317" spans="1:12" x14ac:dyDescent="0.2">
      <c r="A317" s="3" t="s">
        <v>463</v>
      </c>
      <c r="B317" s="3"/>
      <c r="C317" s="3" t="str">
        <f>IFERROR(VLOOKUP(B317,الخطة!A:O,4,FALSE),"")</f>
        <v/>
      </c>
      <c r="D317" s="3"/>
      <c r="E317" s="3" t="str">
        <f>IFERROR(VLOOKUP(D317,الموظفون!A:L,2,FALSE),"")</f>
        <v/>
      </c>
      <c r="F317" s="3"/>
      <c r="G317" s="3"/>
      <c r="H317" s="3"/>
      <c r="I317" s="3"/>
      <c r="J317" s="3"/>
      <c r="K317" s="3" t="str">
        <f>IF(B317="","",IF(OR(D317="",F317=""),"ناقص بيانات",IF(F317="نعم","مكتمل","غائب")))</f>
        <v/>
      </c>
      <c r="L317" s="3"/>
    </row>
    <row r="318" spans="1:12" x14ac:dyDescent="0.2">
      <c r="A318" s="3" t="s">
        <v>464</v>
      </c>
      <c r="B318" s="3"/>
      <c r="C318" s="3" t="str">
        <f>IFERROR(VLOOKUP(B318,الخطة!A:O,4,FALSE),"")</f>
        <v/>
      </c>
      <c r="D318" s="3"/>
      <c r="E318" s="3" t="str">
        <f>IFERROR(VLOOKUP(D318,الموظفون!A:L,2,FALSE),"")</f>
        <v/>
      </c>
      <c r="F318" s="3"/>
      <c r="G318" s="3"/>
      <c r="H318" s="3"/>
      <c r="I318" s="3"/>
      <c r="J318" s="3"/>
      <c r="K318" s="3" t="str">
        <f>IF(B318="","",IF(OR(D318="",F318=""),"ناقص بيانات",IF(F318="نعم","مكتمل","غائب")))</f>
        <v/>
      </c>
      <c r="L318" s="3"/>
    </row>
    <row r="319" spans="1:12" x14ac:dyDescent="0.2">
      <c r="A319" s="3" t="s">
        <v>465</v>
      </c>
      <c r="B319" s="3"/>
      <c r="C319" s="3" t="str">
        <f>IFERROR(VLOOKUP(B319,الخطة!A:O,4,FALSE),"")</f>
        <v/>
      </c>
      <c r="D319" s="3"/>
      <c r="E319" s="3" t="str">
        <f>IFERROR(VLOOKUP(D319,الموظفون!A:L,2,FALSE),"")</f>
        <v/>
      </c>
      <c r="F319" s="3"/>
      <c r="G319" s="3"/>
      <c r="H319" s="3"/>
      <c r="I319" s="3"/>
      <c r="J319" s="3"/>
      <c r="K319" s="3" t="str">
        <f>IF(B319="","",IF(OR(D319="",F319=""),"ناقص بيانات",IF(F319="نعم","مكتمل","غائب")))</f>
        <v/>
      </c>
      <c r="L319" s="3"/>
    </row>
    <row r="320" spans="1:12" x14ac:dyDescent="0.2">
      <c r="A320" s="3" t="s">
        <v>466</v>
      </c>
      <c r="B320" s="3"/>
      <c r="C320" s="3" t="str">
        <f>IFERROR(VLOOKUP(B320,الخطة!A:O,4,FALSE),"")</f>
        <v/>
      </c>
      <c r="D320" s="3"/>
      <c r="E320" s="3" t="str">
        <f>IFERROR(VLOOKUP(D320,الموظفون!A:L,2,FALSE),"")</f>
        <v/>
      </c>
      <c r="F320" s="3"/>
      <c r="G320" s="3"/>
      <c r="H320" s="3"/>
      <c r="I320" s="3"/>
      <c r="J320" s="3"/>
      <c r="K320" s="3" t="str">
        <f>IF(B320="","",IF(OR(D320="",F320=""),"ناقص بيانات",IF(F320="نعم","مكتمل","غائب")))</f>
        <v/>
      </c>
      <c r="L320" s="3"/>
    </row>
    <row r="321" spans="1:12" x14ac:dyDescent="0.2">
      <c r="A321" s="3" t="s">
        <v>467</v>
      </c>
      <c r="B321" s="3"/>
      <c r="C321" s="3" t="str">
        <f>IFERROR(VLOOKUP(B321,الخطة!A:O,4,FALSE),"")</f>
        <v/>
      </c>
      <c r="D321" s="3"/>
      <c r="E321" s="3" t="str">
        <f>IFERROR(VLOOKUP(D321,الموظفون!A:L,2,FALSE),"")</f>
        <v/>
      </c>
      <c r="F321" s="3"/>
      <c r="G321" s="3"/>
      <c r="H321" s="3"/>
      <c r="I321" s="3"/>
      <c r="J321" s="3"/>
      <c r="K321" s="3" t="str">
        <f>IF(B321="","",IF(OR(D321="",F321=""),"ناقص بيانات",IF(F321="نعم","مكتمل","غائب")))</f>
        <v/>
      </c>
      <c r="L321" s="3"/>
    </row>
    <row r="322" spans="1:12" x14ac:dyDescent="0.2">
      <c r="A322" s="3" t="s">
        <v>468</v>
      </c>
      <c r="B322" s="3"/>
      <c r="C322" s="3" t="str">
        <f>IFERROR(VLOOKUP(B322,الخطة!A:O,4,FALSE),"")</f>
        <v/>
      </c>
      <c r="D322" s="3"/>
      <c r="E322" s="3" t="str">
        <f>IFERROR(VLOOKUP(D322,الموظفون!A:L,2,FALSE),"")</f>
        <v/>
      </c>
      <c r="F322" s="3"/>
      <c r="G322" s="3"/>
      <c r="H322" s="3"/>
      <c r="I322" s="3"/>
      <c r="J322" s="3"/>
      <c r="K322" s="3" t="str">
        <f>IF(B322="","",IF(OR(D322="",F322=""),"ناقص بيانات",IF(F322="نعم","مكتمل","غائب")))</f>
        <v/>
      </c>
      <c r="L322" s="3"/>
    </row>
    <row r="323" spans="1:12" x14ac:dyDescent="0.2">
      <c r="A323" s="3" t="s">
        <v>469</v>
      </c>
      <c r="B323" s="3"/>
      <c r="C323" s="3" t="str">
        <f>IFERROR(VLOOKUP(B323,الخطة!A:O,4,FALSE),"")</f>
        <v/>
      </c>
      <c r="D323" s="3"/>
      <c r="E323" s="3" t="str">
        <f>IFERROR(VLOOKUP(D323,الموظفون!A:L,2,FALSE),"")</f>
        <v/>
      </c>
      <c r="F323" s="3"/>
      <c r="G323" s="3"/>
      <c r="H323" s="3"/>
      <c r="I323" s="3"/>
      <c r="J323" s="3"/>
      <c r="K323" s="3" t="str">
        <f>IF(B323="","",IF(OR(D323="",F323=""),"ناقص بيانات",IF(F323="نعم","مكتمل","غائب")))</f>
        <v/>
      </c>
      <c r="L323" s="3"/>
    </row>
    <row r="324" spans="1:12" x14ac:dyDescent="0.2">
      <c r="A324" s="3" t="s">
        <v>470</v>
      </c>
      <c r="B324" s="3"/>
      <c r="C324" s="3" t="str">
        <f>IFERROR(VLOOKUP(B324,الخطة!A:O,4,FALSE),"")</f>
        <v/>
      </c>
      <c r="D324" s="3"/>
      <c r="E324" s="3" t="str">
        <f>IFERROR(VLOOKUP(D324,الموظفون!A:L,2,FALSE),"")</f>
        <v/>
      </c>
      <c r="F324" s="3"/>
      <c r="G324" s="3"/>
      <c r="H324" s="3"/>
      <c r="I324" s="3"/>
      <c r="J324" s="3"/>
      <c r="K324" s="3" t="str">
        <f>IF(B324="","",IF(OR(D324="",F324=""),"ناقص بيانات",IF(F324="نعم","مكتمل","غائب")))</f>
        <v/>
      </c>
      <c r="L324" s="3"/>
    </row>
    <row r="325" spans="1:12" x14ac:dyDescent="0.2">
      <c r="A325" s="3" t="s">
        <v>471</v>
      </c>
      <c r="B325" s="3"/>
      <c r="C325" s="3" t="str">
        <f>IFERROR(VLOOKUP(B325,الخطة!A:O,4,FALSE),"")</f>
        <v/>
      </c>
      <c r="D325" s="3"/>
      <c r="E325" s="3" t="str">
        <f>IFERROR(VLOOKUP(D325,الموظفون!A:L,2,FALSE),"")</f>
        <v/>
      </c>
      <c r="F325" s="3"/>
      <c r="G325" s="3"/>
      <c r="H325" s="3"/>
      <c r="I325" s="3"/>
      <c r="J325" s="3"/>
      <c r="K325" s="3" t="str">
        <f>IF(B325="","",IF(OR(D325="",F325=""),"ناقص بيانات",IF(F325="نعم","مكتمل","غائب")))</f>
        <v/>
      </c>
      <c r="L325" s="3"/>
    </row>
    <row r="326" spans="1:12" x14ac:dyDescent="0.2">
      <c r="A326" s="3" t="s">
        <v>472</v>
      </c>
      <c r="B326" s="3"/>
      <c r="C326" s="3" t="str">
        <f>IFERROR(VLOOKUP(B326,الخطة!A:O,4,FALSE),"")</f>
        <v/>
      </c>
      <c r="D326" s="3"/>
      <c r="E326" s="3" t="str">
        <f>IFERROR(VLOOKUP(D326,الموظفون!A:L,2,FALSE),"")</f>
        <v/>
      </c>
      <c r="F326" s="3"/>
      <c r="G326" s="3"/>
      <c r="H326" s="3"/>
      <c r="I326" s="3"/>
      <c r="J326" s="3"/>
      <c r="K326" s="3" t="str">
        <f>IF(B326="","",IF(OR(D326="",F326=""),"ناقص بيانات",IF(F326="نعم","مكتمل","غائب")))</f>
        <v/>
      </c>
      <c r="L326" s="3"/>
    </row>
    <row r="327" spans="1:12" x14ac:dyDescent="0.2">
      <c r="A327" s="3" t="s">
        <v>473</v>
      </c>
      <c r="B327" s="3"/>
      <c r="C327" s="3" t="str">
        <f>IFERROR(VLOOKUP(B327,الخطة!A:O,4,FALSE),"")</f>
        <v/>
      </c>
      <c r="D327" s="3"/>
      <c r="E327" s="3" t="str">
        <f>IFERROR(VLOOKUP(D327,الموظفون!A:L,2,FALSE),"")</f>
        <v/>
      </c>
      <c r="F327" s="3"/>
      <c r="G327" s="3"/>
      <c r="H327" s="3"/>
      <c r="I327" s="3"/>
      <c r="J327" s="3"/>
      <c r="K327" s="3" t="str">
        <f>IF(B327="","",IF(OR(D327="",F327=""),"ناقص بيانات",IF(F327="نعم","مكتمل","غائب")))</f>
        <v/>
      </c>
      <c r="L327" s="3"/>
    </row>
    <row r="328" spans="1:12" x14ac:dyDescent="0.2">
      <c r="A328" s="3" t="s">
        <v>474</v>
      </c>
      <c r="B328" s="3"/>
      <c r="C328" s="3" t="str">
        <f>IFERROR(VLOOKUP(B328,الخطة!A:O,4,FALSE),"")</f>
        <v/>
      </c>
      <c r="D328" s="3"/>
      <c r="E328" s="3" t="str">
        <f>IFERROR(VLOOKUP(D328,الموظفون!A:L,2,FALSE),"")</f>
        <v/>
      </c>
      <c r="F328" s="3"/>
      <c r="G328" s="3"/>
      <c r="H328" s="3"/>
      <c r="I328" s="3"/>
      <c r="J328" s="3"/>
      <c r="K328" s="3" t="str">
        <f>IF(B328="","",IF(OR(D328="",F328=""),"ناقص بيانات",IF(F328="نعم","مكتمل","غائب")))</f>
        <v/>
      </c>
      <c r="L328" s="3"/>
    </row>
    <row r="329" spans="1:12" x14ac:dyDescent="0.2">
      <c r="A329" s="3" t="s">
        <v>475</v>
      </c>
      <c r="B329" s="3"/>
      <c r="C329" s="3" t="str">
        <f>IFERROR(VLOOKUP(B329,الخطة!A:O,4,FALSE),"")</f>
        <v/>
      </c>
      <c r="D329" s="3"/>
      <c r="E329" s="3" t="str">
        <f>IFERROR(VLOOKUP(D329,الموظفون!A:L,2,FALSE),"")</f>
        <v/>
      </c>
      <c r="F329" s="3"/>
      <c r="G329" s="3"/>
      <c r="H329" s="3"/>
      <c r="I329" s="3"/>
      <c r="J329" s="3"/>
      <c r="K329" s="3" t="str">
        <f>IF(B329="","",IF(OR(D329="",F329=""),"ناقص بيانات",IF(F329="نعم","مكتمل","غائب")))</f>
        <v/>
      </c>
      <c r="L329" s="3"/>
    </row>
    <row r="330" spans="1:12" x14ac:dyDescent="0.2">
      <c r="A330" s="3" t="s">
        <v>476</v>
      </c>
      <c r="B330" s="3"/>
      <c r="C330" s="3" t="str">
        <f>IFERROR(VLOOKUP(B330,الخطة!A:O,4,FALSE),"")</f>
        <v/>
      </c>
      <c r="D330" s="3"/>
      <c r="E330" s="3" t="str">
        <f>IFERROR(VLOOKUP(D330,الموظفون!A:L,2,FALSE),"")</f>
        <v/>
      </c>
      <c r="F330" s="3"/>
      <c r="G330" s="3"/>
      <c r="H330" s="3"/>
      <c r="I330" s="3"/>
      <c r="J330" s="3"/>
      <c r="K330" s="3" t="str">
        <f>IF(B330="","",IF(OR(D330="",F330=""),"ناقص بيانات",IF(F330="نعم","مكتمل","غائب")))</f>
        <v/>
      </c>
      <c r="L330" s="3"/>
    </row>
    <row r="331" spans="1:12" x14ac:dyDescent="0.2">
      <c r="A331" s="3" t="s">
        <v>477</v>
      </c>
      <c r="B331" s="3"/>
      <c r="C331" s="3" t="str">
        <f>IFERROR(VLOOKUP(B331,الخطة!A:O,4,FALSE),"")</f>
        <v/>
      </c>
      <c r="D331" s="3"/>
      <c r="E331" s="3" t="str">
        <f>IFERROR(VLOOKUP(D331,الموظفون!A:L,2,FALSE),"")</f>
        <v/>
      </c>
      <c r="F331" s="3"/>
      <c r="G331" s="3"/>
      <c r="H331" s="3"/>
      <c r="I331" s="3"/>
      <c r="J331" s="3"/>
      <c r="K331" s="3" t="str">
        <f>IF(B331="","",IF(OR(D331="",F331=""),"ناقص بيانات",IF(F331="نعم","مكتمل","غائب")))</f>
        <v/>
      </c>
      <c r="L331" s="3"/>
    </row>
    <row r="332" spans="1:12" x14ac:dyDescent="0.2">
      <c r="A332" s="3" t="s">
        <v>478</v>
      </c>
      <c r="B332" s="3"/>
      <c r="C332" s="3" t="str">
        <f>IFERROR(VLOOKUP(B332,الخطة!A:O,4,FALSE),"")</f>
        <v/>
      </c>
      <c r="D332" s="3"/>
      <c r="E332" s="3" t="str">
        <f>IFERROR(VLOOKUP(D332,الموظفون!A:L,2,FALSE),"")</f>
        <v/>
      </c>
      <c r="F332" s="3"/>
      <c r="G332" s="3"/>
      <c r="H332" s="3"/>
      <c r="I332" s="3"/>
      <c r="J332" s="3"/>
      <c r="K332" s="3" t="str">
        <f>IF(B332="","",IF(OR(D332="",F332=""),"ناقص بيانات",IF(F332="نعم","مكتمل","غائب")))</f>
        <v/>
      </c>
      <c r="L332" s="3"/>
    </row>
    <row r="333" spans="1:12" x14ac:dyDescent="0.2">
      <c r="A333" s="3" t="s">
        <v>479</v>
      </c>
      <c r="B333" s="3"/>
      <c r="C333" s="3" t="str">
        <f>IFERROR(VLOOKUP(B333,الخطة!A:O,4,FALSE),"")</f>
        <v/>
      </c>
      <c r="D333" s="3"/>
      <c r="E333" s="3" t="str">
        <f>IFERROR(VLOOKUP(D333,الموظفون!A:L,2,FALSE),"")</f>
        <v/>
      </c>
      <c r="F333" s="3"/>
      <c r="G333" s="3"/>
      <c r="H333" s="3"/>
      <c r="I333" s="3"/>
      <c r="J333" s="3"/>
      <c r="K333" s="3" t="str">
        <f>IF(B333="","",IF(OR(D333="",F333=""),"ناقص بيانات",IF(F333="نعم","مكتمل","غائب")))</f>
        <v/>
      </c>
      <c r="L333" s="3"/>
    </row>
    <row r="334" spans="1:12" x14ac:dyDescent="0.2">
      <c r="A334" s="3" t="s">
        <v>480</v>
      </c>
      <c r="B334" s="3"/>
      <c r="C334" s="3" t="str">
        <f>IFERROR(VLOOKUP(B334,الخطة!A:O,4,FALSE),"")</f>
        <v/>
      </c>
      <c r="D334" s="3"/>
      <c r="E334" s="3" t="str">
        <f>IFERROR(VLOOKUP(D334,الموظفون!A:L,2,FALSE),"")</f>
        <v/>
      </c>
      <c r="F334" s="3"/>
      <c r="G334" s="3"/>
      <c r="H334" s="3"/>
      <c r="I334" s="3"/>
      <c r="J334" s="3"/>
      <c r="K334" s="3" t="str">
        <f>IF(B334="","",IF(OR(D334="",F334=""),"ناقص بيانات",IF(F334="نعم","مكتمل","غائب")))</f>
        <v/>
      </c>
      <c r="L334" s="3"/>
    </row>
    <row r="335" spans="1:12" x14ac:dyDescent="0.2">
      <c r="A335" s="3" t="s">
        <v>481</v>
      </c>
      <c r="B335" s="3"/>
      <c r="C335" s="3" t="str">
        <f>IFERROR(VLOOKUP(B335,الخطة!A:O,4,FALSE),"")</f>
        <v/>
      </c>
      <c r="D335" s="3"/>
      <c r="E335" s="3" t="str">
        <f>IFERROR(VLOOKUP(D335,الموظفون!A:L,2,FALSE),"")</f>
        <v/>
      </c>
      <c r="F335" s="3"/>
      <c r="G335" s="3"/>
      <c r="H335" s="3"/>
      <c r="I335" s="3"/>
      <c r="J335" s="3"/>
      <c r="K335" s="3" t="str">
        <f>IF(B335="","",IF(OR(D335="",F335=""),"ناقص بيانات",IF(F335="نعم","مكتمل","غائب")))</f>
        <v/>
      </c>
      <c r="L335" s="3"/>
    </row>
    <row r="336" spans="1:12" x14ac:dyDescent="0.2">
      <c r="A336" s="3" t="s">
        <v>482</v>
      </c>
      <c r="B336" s="3"/>
      <c r="C336" s="3" t="str">
        <f>IFERROR(VLOOKUP(B336,الخطة!A:O,4,FALSE),"")</f>
        <v/>
      </c>
      <c r="D336" s="3"/>
      <c r="E336" s="3" t="str">
        <f>IFERROR(VLOOKUP(D336,الموظفون!A:L,2,FALSE),"")</f>
        <v/>
      </c>
      <c r="F336" s="3"/>
      <c r="G336" s="3"/>
      <c r="H336" s="3"/>
      <c r="I336" s="3"/>
      <c r="J336" s="3"/>
      <c r="K336" s="3" t="str">
        <f>IF(B336="","",IF(OR(D336="",F336=""),"ناقص بيانات",IF(F336="نعم","مكتمل","غائب")))</f>
        <v/>
      </c>
      <c r="L336" s="3"/>
    </row>
    <row r="337" spans="1:12" x14ac:dyDescent="0.2">
      <c r="A337" s="3" t="s">
        <v>483</v>
      </c>
      <c r="B337" s="3"/>
      <c r="C337" s="3" t="str">
        <f>IFERROR(VLOOKUP(B337,الخطة!A:O,4,FALSE),"")</f>
        <v/>
      </c>
      <c r="D337" s="3"/>
      <c r="E337" s="3" t="str">
        <f>IFERROR(VLOOKUP(D337,الموظفون!A:L,2,FALSE),"")</f>
        <v/>
      </c>
      <c r="F337" s="3"/>
      <c r="G337" s="3"/>
      <c r="H337" s="3"/>
      <c r="I337" s="3"/>
      <c r="J337" s="3"/>
      <c r="K337" s="3" t="str">
        <f>IF(B337="","",IF(OR(D337="",F337=""),"ناقص بيانات",IF(F337="نعم","مكتمل","غائب")))</f>
        <v/>
      </c>
      <c r="L337" s="3"/>
    </row>
    <row r="338" spans="1:12" x14ac:dyDescent="0.2">
      <c r="A338" s="3" t="s">
        <v>484</v>
      </c>
      <c r="B338" s="3"/>
      <c r="C338" s="3" t="str">
        <f>IFERROR(VLOOKUP(B338,الخطة!A:O,4,FALSE),"")</f>
        <v/>
      </c>
      <c r="D338" s="3"/>
      <c r="E338" s="3" t="str">
        <f>IFERROR(VLOOKUP(D338,الموظفون!A:L,2,FALSE),"")</f>
        <v/>
      </c>
      <c r="F338" s="3"/>
      <c r="G338" s="3"/>
      <c r="H338" s="3"/>
      <c r="I338" s="3"/>
      <c r="J338" s="3"/>
      <c r="K338" s="3" t="str">
        <f>IF(B338="","",IF(OR(D338="",F338=""),"ناقص بيانات",IF(F338="نعم","مكتمل","غائب")))</f>
        <v/>
      </c>
      <c r="L338" s="3"/>
    </row>
    <row r="339" spans="1:12" x14ac:dyDescent="0.2">
      <c r="A339" s="3" t="s">
        <v>485</v>
      </c>
      <c r="B339" s="3"/>
      <c r="C339" s="3" t="str">
        <f>IFERROR(VLOOKUP(B339,الخطة!A:O,4,FALSE),"")</f>
        <v/>
      </c>
      <c r="D339" s="3"/>
      <c r="E339" s="3" t="str">
        <f>IFERROR(VLOOKUP(D339,الموظفون!A:L,2,FALSE),"")</f>
        <v/>
      </c>
      <c r="F339" s="3"/>
      <c r="G339" s="3"/>
      <c r="H339" s="3"/>
      <c r="I339" s="3"/>
      <c r="J339" s="3"/>
      <c r="K339" s="3" t="str">
        <f>IF(B339="","",IF(OR(D339="",F339=""),"ناقص بيانات",IF(F339="نعم","مكتمل","غائب")))</f>
        <v/>
      </c>
      <c r="L339" s="3"/>
    </row>
    <row r="340" spans="1:12" x14ac:dyDescent="0.2">
      <c r="A340" s="3" t="s">
        <v>486</v>
      </c>
      <c r="B340" s="3"/>
      <c r="C340" s="3" t="str">
        <f>IFERROR(VLOOKUP(B340,الخطة!A:O,4,FALSE),"")</f>
        <v/>
      </c>
      <c r="D340" s="3"/>
      <c r="E340" s="3" t="str">
        <f>IFERROR(VLOOKUP(D340,الموظفون!A:L,2,FALSE),"")</f>
        <v/>
      </c>
      <c r="F340" s="3"/>
      <c r="G340" s="3"/>
      <c r="H340" s="3"/>
      <c r="I340" s="3"/>
      <c r="J340" s="3"/>
      <c r="K340" s="3" t="str">
        <f>IF(B340="","",IF(OR(D340="",F340=""),"ناقص بيانات",IF(F340="نعم","مكتمل","غائب")))</f>
        <v/>
      </c>
      <c r="L340" s="3"/>
    </row>
    <row r="341" spans="1:12" x14ac:dyDescent="0.2">
      <c r="A341" s="3" t="s">
        <v>487</v>
      </c>
      <c r="B341" s="3"/>
      <c r="C341" s="3" t="str">
        <f>IFERROR(VLOOKUP(B341,الخطة!A:O,4,FALSE),"")</f>
        <v/>
      </c>
      <c r="D341" s="3"/>
      <c r="E341" s="3" t="str">
        <f>IFERROR(VLOOKUP(D341,الموظفون!A:L,2,FALSE),"")</f>
        <v/>
      </c>
      <c r="F341" s="3"/>
      <c r="G341" s="3"/>
      <c r="H341" s="3"/>
      <c r="I341" s="3"/>
      <c r="J341" s="3"/>
      <c r="K341" s="3" t="str">
        <f>IF(B341="","",IF(OR(D341="",F341=""),"ناقص بيانات",IF(F341="نعم","مكتمل","غائب")))</f>
        <v/>
      </c>
      <c r="L341" s="3"/>
    </row>
    <row r="342" spans="1:12" x14ac:dyDescent="0.2">
      <c r="A342" s="3" t="s">
        <v>488</v>
      </c>
      <c r="B342" s="3"/>
      <c r="C342" s="3" t="str">
        <f>IFERROR(VLOOKUP(B342,الخطة!A:O,4,FALSE),"")</f>
        <v/>
      </c>
      <c r="D342" s="3"/>
      <c r="E342" s="3" t="str">
        <f>IFERROR(VLOOKUP(D342,الموظفون!A:L,2,FALSE),"")</f>
        <v/>
      </c>
      <c r="F342" s="3"/>
      <c r="G342" s="3"/>
      <c r="H342" s="3"/>
      <c r="I342" s="3"/>
      <c r="J342" s="3"/>
      <c r="K342" s="3" t="str">
        <f>IF(B342="","",IF(OR(D342="",F342=""),"ناقص بيانات",IF(F342="نعم","مكتمل","غائب")))</f>
        <v/>
      </c>
      <c r="L342" s="3"/>
    </row>
    <row r="343" spans="1:12" x14ac:dyDescent="0.2">
      <c r="A343" s="3" t="s">
        <v>489</v>
      </c>
      <c r="B343" s="3"/>
      <c r="C343" s="3" t="str">
        <f>IFERROR(VLOOKUP(B343,الخطة!A:O,4,FALSE),"")</f>
        <v/>
      </c>
      <c r="D343" s="3"/>
      <c r="E343" s="3" t="str">
        <f>IFERROR(VLOOKUP(D343,الموظفون!A:L,2,FALSE),"")</f>
        <v/>
      </c>
      <c r="F343" s="3"/>
      <c r="G343" s="3"/>
      <c r="H343" s="3"/>
      <c r="I343" s="3"/>
      <c r="J343" s="3"/>
      <c r="K343" s="3" t="str">
        <f>IF(B343="","",IF(OR(D343="",F343=""),"ناقص بيانات",IF(F343="نعم","مكتمل","غائب")))</f>
        <v/>
      </c>
      <c r="L343" s="3"/>
    </row>
    <row r="344" spans="1:12" x14ac:dyDescent="0.2">
      <c r="A344" s="3" t="s">
        <v>490</v>
      </c>
      <c r="B344" s="3"/>
      <c r="C344" s="3" t="str">
        <f>IFERROR(VLOOKUP(B344,الخطة!A:O,4,FALSE),"")</f>
        <v/>
      </c>
      <c r="D344" s="3"/>
      <c r="E344" s="3" t="str">
        <f>IFERROR(VLOOKUP(D344,الموظفون!A:L,2,FALSE),"")</f>
        <v/>
      </c>
      <c r="F344" s="3"/>
      <c r="G344" s="3"/>
      <c r="H344" s="3"/>
      <c r="I344" s="3"/>
      <c r="J344" s="3"/>
      <c r="K344" s="3" t="str">
        <f>IF(B344="","",IF(OR(D344="",F344=""),"ناقص بيانات",IF(F344="نعم","مكتمل","غائب")))</f>
        <v/>
      </c>
      <c r="L344" s="3"/>
    </row>
    <row r="345" spans="1:12" x14ac:dyDescent="0.2">
      <c r="A345" s="3" t="s">
        <v>491</v>
      </c>
      <c r="B345" s="3"/>
      <c r="C345" s="3" t="str">
        <f>IFERROR(VLOOKUP(B345,الخطة!A:O,4,FALSE),"")</f>
        <v/>
      </c>
      <c r="D345" s="3"/>
      <c r="E345" s="3" t="str">
        <f>IFERROR(VLOOKUP(D345,الموظفون!A:L,2,FALSE),"")</f>
        <v/>
      </c>
      <c r="F345" s="3"/>
      <c r="G345" s="3"/>
      <c r="H345" s="3"/>
      <c r="I345" s="3"/>
      <c r="J345" s="3"/>
      <c r="K345" s="3" t="str">
        <f>IF(B345="","",IF(OR(D345="",F345=""),"ناقص بيانات",IF(F345="نعم","مكتمل","غائب")))</f>
        <v/>
      </c>
      <c r="L345" s="3"/>
    </row>
    <row r="346" spans="1:12" x14ac:dyDescent="0.2">
      <c r="A346" s="3" t="s">
        <v>492</v>
      </c>
      <c r="B346" s="3"/>
      <c r="C346" s="3" t="str">
        <f>IFERROR(VLOOKUP(B346,الخطة!A:O,4,FALSE),"")</f>
        <v/>
      </c>
      <c r="D346" s="3"/>
      <c r="E346" s="3" t="str">
        <f>IFERROR(VLOOKUP(D346,الموظفون!A:L,2,FALSE),"")</f>
        <v/>
      </c>
      <c r="F346" s="3"/>
      <c r="G346" s="3"/>
      <c r="H346" s="3"/>
      <c r="I346" s="3"/>
      <c r="J346" s="3"/>
      <c r="K346" s="3" t="str">
        <f>IF(B346="","",IF(OR(D346="",F346=""),"ناقص بيانات",IF(F346="نعم","مكتمل","غائب")))</f>
        <v/>
      </c>
      <c r="L346" s="3"/>
    </row>
    <row r="347" spans="1:12" x14ac:dyDescent="0.2">
      <c r="A347" s="3" t="s">
        <v>493</v>
      </c>
      <c r="B347" s="3"/>
      <c r="C347" s="3" t="str">
        <f>IFERROR(VLOOKUP(B347,الخطة!A:O,4,FALSE),"")</f>
        <v/>
      </c>
      <c r="D347" s="3"/>
      <c r="E347" s="3" t="str">
        <f>IFERROR(VLOOKUP(D347,الموظفون!A:L,2,FALSE),"")</f>
        <v/>
      </c>
      <c r="F347" s="3"/>
      <c r="G347" s="3"/>
      <c r="H347" s="3"/>
      <c r="I347" s="3"/>
      <c r="J347" s="3"/>
      <c r="K347" s="3" t="str">
        <f>IF(B347="","",IF(OR(D347="",F347=""),"ناقص بيانات",IF(F347="نعم","مكتمل","غائب")))</f>
        <v/>
      </c>
      <c r="L347" s="3"/>
    </row>
    <row r="348" spans="1:12" x14ac:dyDescent="0.2">
      <c r="A348" s="3" t="s">
        <v>494</v>
      </c>
      <c r="B348" s="3"/>
      <c r="C348" s="3" t="str">
        <f>IFERROR(VLOOKUP(B348,الخطة!A:O,4,FALSE),"")</f>
        <v/>
      </c>
      <c r="D348" s="3"/>
      <c r="E348" s="3" t="str">
        <f>IFERROR(VLOOKUP(D348,الموظفون!A:L,2,FALSE),"")</f>
        <v/>
      </c>
      <c r="F348" s="3"/>
      <c r="G348" s="3"/>
      <c r="H348" s="3"/>
      <c r="I348" s="3"/>
      <c r="J348" s="3"/>
      <c r="K348" s="3" t="str">
        <f>IF(B348="","",IF(OR(D348="",F348=""),"ناقص بيانات",IF(F348="نعم","مكتمل","غائب")))</f>
        <v/>
      </c>
      <c r="L348" s="3"/>
    </row>
    <row r="349" spans="1:12" x14ac:dyDescent="0.2">
      <c r="A349" s="3" t="s">
        <v>495</v>
      </c>
      <c r="B349" s="3"/>
      <c r="C349" s="3" t="str">
        <f>IFERROR(VLOOKUP(B349,الخطة!A:O,4,FALSE),"")</f>
        <v/>
      </c>
      <c r="D349" s="3"/>
      <c r="E349" s="3" t="str">
        <f>IFERROR(VLOOKUP(D349,الموظفون!A:L,2,FALSE),"")</f>
        <v/>
      </c>
      <c r="F349" s="3"/>
      <c r="G349" s="3"/>
      <c r="H349" s="3"/>
      <c r="I349" s="3"/>
      <c r="J349" s="3"/>
      <c r="K349" s="3" t="str">
        <f>IF(B349="","",IF(OR(D349="",F349=""),"ناقص بيانات",IF(F349="نعم","مكتمل","غائب")))</f>
        <v/>
      </c>
      <c r="L349" s="3"/>
    </row>
    <row r="350" spans="1:12" x14ac:dyDescent="0.2">
      <c r="A350" s="3" t="s">
        <v>496</v>
      </c>
      <c r="B350" s="3"/>
      <c r="C350" s="3" t="str">
        <f>IFERROR(VLOOKUP(B350,الخطة!A:O,4,FALSE),"")</f>
        <v/>
      </c>
      <c r="D350" s="3"/>
      <c r="E350" s="3" t="str">
        <f>IFERROR(VLOOKUP(D350,الموظفون!A:L,2,FALSE),"")</f>
        <v/>
      </c>
      <c r="F350" s="3"/>
      <c r="G350" s="3"/>
      <c r="H350" s="3"/>
      <c r="I350" s="3"/>
      <c r="J350" s="3"/>
      <c r="K350" s="3" t="str">
        <f>IF(B350="","",IF(OR(D350="",F350=""),"ناقص بيانات",IF(F350="نعم","مكتمل","غائب")))</f>
        <v/>
      </c>
      <c r="L350" s="3"/>
    </row>
    <row r="351" spans="1:12" x14ac:dyDescent="0.2">
      <c r="A351" s="3" t="s">
        <v>497</v>
      </c>
      <c r="B351" s="3"/>
      <c r="C351" s="3" t="str">
        <f>IFERROR(VLOOKUP(B351,الخطة!A:O,4,FALSE),"")</f>
        <v/>
      </c>
      <c r="D351" s="3"/>
      <c r="E351" s="3" t="str">
        <f>IFERROR(VLOOKUP(D351,الموظفون!A:L,2,FALSE),"")</f>
        <v/>
      </c>
      <c r="F351" s="3"/>
      <c r="G351" s="3"/>
      <c r="H351" s="3"/>
      <c r="I351" s="3"/>
      <c r="J351" s="3"/>
      <c r="K351" s="3" t="str">
        <f>IF(B351="","",IF(OR(D351="",F351=""),"ناقص بيانات",IF(F351="نعم","مكتمل","غائب")))</f>
        <v/>
      </c>
      <c r="L351" s="3"/>
    </row>
    <row r="352" spans="1:12" x14ac:dyDescent="0.2">
      <c r="A352" s="3" t="s">
        <v>498</v>
      </c>
      <c r="B352" s="3"/>
      <c r="C352" s="3" t="str">
        <f>IFERROR(VLOOKUP(B352,الخطة!A:O,4,FALSE),"")</f>
        <v/>
      </c>
      <c r="D352" s="3"/>
      <c r="E352" s="3" t="str">
        <f>IFERROR(VLOOKUP(D352,الموظفون!A:L,2,FALSE),"")</f>
        <v/>
      </c>
      <c r="F352" s="3"/>
      <c r="G352" s="3"/>
      <c r="H352" s="3"/>
      <c r="I352" s="3"/>
      <c r="J352" s="3"/>
      <c r="K352" s="3" t="str">
        <f>IF(B352="","",IF(OR(D352="",F352=""),"ناقص بيانات",IF(F352="نعم","مكتمل","غائب")))</f>
        <v/>
      </c>
      <c r="L352" s="3"/>
    </row>
    <row r="353" spans="1:12" x14ac:dyDescent="0.2">
      <c r="A353" s="3" t="s">
        <v>499</v>
      </c>
      <c r="B353" s="3"/>
      <c r="C353" s="3" t="str">
        <f>IFERROR(VLOOKUP(B353,الخطة!A:O,4,FALSE),"")</f>
        <v/>
      </c>
      <c r="D353" s="3"/>
      <c r="E353" s="3" t="str">
        <f>IFERROR(VLOOKUP(D353,الموظفون!A:L,2,FALSE),"")</f>
        <v/>
      </c>
      <c r="F353" s="3"/>
      <c r="G353" s="3"/>
      <c r="H353" s="3"/>
      <c r="I353" s="3"/>
      <c r="J353" s="3"/>
      <c r="K353" s="3" t="str">
        <f>IF(B353="","",IF(OR(D353="",F353=""),"ناقص بيانات",IF(F353="نعم","مكتمل","غائب")))</f>
        <v/>
      </c>
      <c r="L353" s="3"/>
    </row>
    <row r="354" spans="1:12" x14ac:dyDescent="0.2">
      <c r="A354" s="3" t="s">
        <v>500</v>
      </c>
      <c r="B354" s="3"/>
      <c r="C354" s="3" t="str">
        <f>IFERROR(VLOOKUP(B354,الخطة!A:O,4,FALSE),"")</f>
        <v/>
      </c>
      <c r="D354" s="3"/>
      <c r="E354" s="3" t="str">
        <f>IFERROR(VLOOKUP(D354,الموظفون!A:L,2,FALSE),"")</f>
        <v/>
      </c>
      <c r="F354" s="3"/>
      <c r="G354" s="3"/>
      <c r="H354" s="3"/>
      <c r="I354" s="3"/>
      <c r="J354" s="3"/>
      <c r="K354" s="3" t="str">
        <f>IF(B354="","",IF(OR(D354="",F354=""),"ناقص بيانات",IF(F354="نعم","مكتمل","غائب")))</f>
        <v/>
      </c>
      <c r="L354" s="3"/>
    </row>
    <row r="355" spans="1:12" x14ac:dyDescent="0.2">
      <c r="A355" s="3" t="s">
        <v>501</v>
      </c>
      <c r="B355" s="3"/>
      <c r="C355" s="3" t="str">
        <f>IFERROR(VLOOKUP(B355,الخطة!A:O,4,FALSE),"")</f>
        <v/>
      </c>
      <c r="D355" s="3"/>
      <c r="E355" s="3" t="str">
        <f>IFERROR(VLOOKUP(D355,الموظفون!A:L,2,FALSE),"")</f>
        <v/>
      </c>
      <c r="F355" s="3"/>
      <c r="G355" s="3"/>
      <c r="H355" s="3"/>
      <c r="I355" s="3"/>
      <c r="J355" s="3"/>
      <c r="K355" s="3" t="str">
        <f>IF(B355="","",IF(OR(D355="",F355=""),"ناقص بيانات",IF(F355="نعم","مكتمل","غائب")))</f>
        <v/>
      </c>
      <c r="L355" s="3"/>
    </row>
    <row r="356" spans="1:12" x14ac:dyDescent="0.2">
      <c r="A356" s="3" t="s">
        <v>502</v>
      </c>
      <c r="B356" s="3"/>
      <c r="C356" s="3" t="str">
        <f>IFERROR(VLOOKUP(B356,الخطة!A:O,4,FALSE),"")</f>
        <v/>
      </c>
      <c r="D356" s="3"/>
      <c r="E356" s="3" t="str">
        <f>IFERROR(VLOOKUP(D356,الموظفون!A:L,2,FALSE),"")</f>
        <v/>
      </c>
      <c r="F356" s="3"/>
      <c r="G356" s="3"/>
      <c r="H356" s="3"/>
      <c r="I356" s="3"/>
      <c r="J356" s="3"/>
      <c r="K356" s="3" t="str">
        <f>IF(B356="","",IF(OR(D356="",F356=""),"ناقص بيانات",IF(F356="نعم","مكتمل","غائب")))</f>
        <v/>
      </c>
      <c r="L356" s="3"/>
    </row>
    <row r="357" spans="1:12" x14ac:dyDescent="0.2">
      <c r="A357" s="3" t="s">
        <v>503</v>
      </c>
      <c r="B357" s="3"/>
      <c r="C357" s="3" t="str">
        <f>IFERROR(VLOOKUP(B357,الخطة!A:O,4,FALSE),"")</f>
        <v/>
      </c>
      <c r="D357" s="3"/>
      <c r="E357" s="3" t="str">
        <f>IFERROR(VLOOKUP(D357,الموظفون!A:L,2,FALSE),"")</f>
        <v/>
      </c>
      <c r="F357" s="3"/>
      <c r="G357" s="3"/>
      <c r="H357" s="3"/>
      <c r="I357" s="3"/>
      <c r="J357" s="3"/>
      <c r="K357" s="3" t="str">
        <f>IF(B357="","",IF(OR(D357="",F357=""),"ناقص بيانات",IF(F357="نعم","مكتمل","غائب")))</f>
        <v/>
      </c>
      <c r="L357" s="3"/>
    </row>
    <row r="358" spans="1:12" x14ac:dyDescent="0.2">
      <c r="A358" s="3" t="s">
        <v>504</v>
      </c>
      <c r="B358" s="3"/>
      <c r="C358" s="3" t="str">
        <f>IFERROR(VLOOKUP(B358,الخطة!A:O,4,FALSE),"")</f>
        <v/>
      </c>
      <c r="D358" s="3"/>
      <c r="E358" s="3" t="str">
        <f>IFERROR(VLOOKUP(D358,الموظفون!A:L,2,FALSE),"")</f>
        <v/>
      </c>
      <c r="F358" s="3"/>
      <c r="G358" s="3"/>
      <c r="H358" s="3"/>
      <c r="I358" s="3"/>
      <c r="J358" s="3"/>
      <c r="K358" s="3" t="str">
        <f>IF(B358="","",IF(OR(D358="",F358=""),"ناقص بيانات",IF(F358="نعم","مكتمل","غائب")))</f>
        <v/>
      </c>
      <c r="L358" s="3"/>
    </row>
    <row r="359" spans="1:12" x14ac:dyDescent="0.2">
      <c r="A359" s="3" t="s">
        <v>505</v>
      </c>
      <c r="B359" s="3"/>
      <c r="C359" s="3" t="str">
        <f>IFERROR(VLOOKUP(B359,الخطة!A:O,4,FALSE),"")</f>
        <v/>
      </c>
      <c r="D359" s="3"/>
      <c r="E359" s="3" t="str">
        <f>IFERROR(VLOOKUP(D359,الموظفون!A:L,2,FALSE),"")</f>
        <v/>
      </c>
      <c r="F359" s="3"/>
      <c r="G359" s="3"/>
      <c r="H359" s="3"/>
      <c r="I359" s="3"/>
      <c r="J359" s="3"/>
      <c r="K359" s="3" t="str">
        <f>IF(B359="","",IF(OR(D359="",F359=""),"ناقص بيانات",IF(F359="نعم","مكتمل","غائب")))</f>
        <v/>
      </c>
      <c r="L359" s="3"/>
    </row>
    <row r="360" spans="1:12" x14ac:dyDescent="0.2">
      <c r="A360" s="3" t="s">
        <v>506</v>
      </c>
      <c r="B360" s="3"/>
      <c r="C360" s="3" t="str">
        <f>IFERROR(VLOOKUP(B360,الخطة!A:O,4,FALSE),"")</f>
        <v/>
      </c>
      <c r="D360" s="3"/>
      <c r="E360" s="3" t="str">
        <f>IFERROR(VLOOKUP(D360,الموظفون!A:L,2,FALSE),"")</f>
        <v/>
      </c>
      <c r="F360" s="3"/>
      <c r="G360" s="3"/>
      <c r="H360" s="3"/>
      <c r="I360" s="3"/>
      <c r="J360" s="3"/>
      <c r="K360" s="3" t="str">
        <f>IF(B360="","",IF(OR(D360="",F360=""),"ناقص بيانات",IF(F360="نعم","مكتمل","غائب")))</f>
        <v/>
      </c>
      <c r="L360" s="3"/>
    </row>
    <row r="361" spans="1:12" x14ac:dyDescent="0.2">
      <c r="A361" s="3" t="s">
        <v>507</v>
      </c>
      <c r="B361" s="3"/>
      <c r="C361" s="3" t="str">
        <f>IFERROR(VLOOKUP(B361,الخطة!A:O,4,FALSE),"")</f>
        <v/>
      </c>
      <c r="D361" s="3"/>
      <c r="E361" s="3" t="str">
        <f>IFERROR(VLOOKUP(D361,الموظفون!A:L,2,FALSE),"")</f>
        <v/>
      </c>
      <c r="F361" s="3"/>
      <c r="G361" s="3"/>
      <c r="H361" s="3"/>
      <c r="I361" s="3"/>
      <c r="J361" s="3"/>
      <c r="K361" s="3" t="str">
        <f>IF(B361="","",IF(OR(D361="",F361=""),"ناقص بيانات",IF(F361="نعم","مكتمل","غائب")))</f>
        <v/>
      </c>
      <c r="L361" s="3"/>
    </row>
    <row r="362" spans="1:12" x14ac:dyDescent="0.2">
      <c r="A362" s="3" t="s">
        <v>508</v>
      </c>
      <c r="B362" s="3"/>
      <c r="C362" s="3" t="str">
        <f>IFERROR(VLOOKUP(B362,الخطة!A:O,4,FALSE),"")</f>
        <v/>
      </c>
      <c r="D362" s="3"/>
      <c r="E362" s="3" t="str">
        <f>IFERROR(VLOOKUP(D362,الموظفون!A:L,2,FALSE),"")</f>
        <v/>
      </c>
      <c r="F362" s="3"/>
      <c r="G362" s="3"/>
      <c r="H362" s="3"/>
      <c r="I362" s="3"/>
      <c r="J362" s="3"/>
      <c r="K362" s="3" t="str">
        <f>IF(B362="","",IF(OR(D362="",F362=""),"ناقص بيانات",IF(F362="نعم","مكتمل","غائب")))</f>
        <v/>
      </c>
      <c r="L362" s="3"/>
    </row>
    <row r="363" spans="1:12" x14ac:dyDescent="0.2">
      <c r="A363" s="3" t="s">
        <v>509</v>
      </c>
      <c r="B363" s="3"/>
      <c r="C363" s="3" t="str">
        <f>IFERROR(VLOOKUP(B363,الخطة!A:O,4,FALSE),"")</f>
        <v/>
      </c>
      <c r="D363" s="3"/>
      <c r="E363" s="3" t="str">
        <f>IFERROR(VLOOKUP(D363,الموظفون!A:L,2,FALSE),"")</f>
        <v/>
      </c>
      <c r="F363" s="3"/>
      <c r="G363" s="3"/>
      <c r="H363" s="3"/>
      <c r="I363" s="3"/>
      <c r="J363" s="3"/>
      <c r="K363" s="3" t="str">
        <f>IF(B363="","",IF(OR(D363="",F363=""),"ناقص بيانات",IF(F363="نعم","مكتمل","غائب")))</f>
        <v/>
      </c>
      <c r="L363" s="3"/>
    </row>
    <row r="364" spans="1:12" x14ac:dyDescent="0.2">
      <c r="A364" s="3" t="s">
        <v>510</v>
      </c>
      <c r="B364" s="3"/>
      <c r="C364" s="3" t="str">
        <f>IFERROR(VLOOKUP(B364,الخطة!A:O,4,FALSE),"")</f>
        <v/>
      </c>
      <c r="D364" s="3"/>
      <c r="E364" s="3" t="str">
        <f>IFERROR(VLOOKUP(D364,الموظفون!A:L,2,FALSE),"")</f>
        <v/>
      </c>
      <c r="F364" s="3"/>
      <c r="G364" s="3"/>
      <c r="H364" s="3"/>
      <c r="I364" s="3"/>
      <c r="J364" s="3"/>
      <c r="K364" s="3" t="str">
        <f>IF(B364="","",IF(OR(D364="",F364=""),"ناقص بيانات",IF(F364="نعم","مكتمل","غائب")))</f>
        <v/>
      </c>
      <c r="L364" s="3"/>
    </row>
    <row r="365" spans="1:12" x14ac:dyDescent="0.2">
      <c r="A365" s="3" t="s">
        <v>511</v>
      </c>
      <c r="B365" s="3"/>
      <c r="C365" s="3" t="str">
        <f>IFERROR(VLOOKUP(B365,الخطة!A:O,4,FALSE),"")</f>
        <v/>
      </c>
      <c r="D365" s="3"/>
      <c r="E365" s="3" t="str">
        <f>IFERROR(VLOOKUP(D365,الموظفون!A:L,2,FALSE),"")</f>
        <v/>
      </c>
      <c r="F365" s="3"/>
      <c r="G365" s="3"/>
      <c r="H365" s="3"/>
      <c r="I365" s="3"/>
      <c r="J365" s="3"/>
      <c r="K365" s="3" t="str">
        <f>IF(B365="","",IF(OR(D365="",F365=""),"ناقص بيانات",IF(F365="نعم","مكتمل","غائب")))</f>
        <v/>
      </c>
      <c r="L365" s="3"/>
    </row>
    <row r="366" spans="1:12" x14ac:dyDescent="0.2">
      <c r="A366" s="3" t="s">
        <v>512</v>
      </c>
      <c r="B366" s="3"/>
      <c r="C366" s="3" t="str">
        <f>IFERROR(VLOOKUP(B366,الخطة!A:O,4,FALSE),"")</f>
        <v/>
      </c>
      <c r="D366" s="3"/>
      <c r="E366" s="3" t="str">
        <f>IFERROR(VLOOKUP(D366,الموظفون!A:L,2,FALSE),"")</f>
        <v/>
      </c>
      <c r="F366" s="3"/>
      <c r="G366" s="3"/>
      <c r="H366" s="3"/>
      <c r="I366" s="3"/>
      <c r="J366" s="3"/>
      <c r="K366" s="3" t="str">
        <f>IF(B366="","",IF(OR(D366="",F366=""),"ناقص بيانات",IF(F366="نعم","مكتمل","غائب")))</f>
        <v/>
      </c>
      <c r="L366" s="3"/>
    </row>
    <row r="367" spans="1:12" x14ac:dyDescent="0.2">
      <c r="A367" s="3" t="s">
        <v>513</v>
      </c>
      <c r="B367" s="3"/>
      <c r="C367" s="3" t="str">
        <f>IFERROR(VLOOKUP(B367,الخطة!A:O,4,FALSE),"")</f>
        <v/>
      </c>
      <c r="D367" s="3"/>
      <c r="E367" s="3" t="str">
        <f>IFERROR(VLOOKUP(D367,الموظفون!A:L,2,FALSE),"")</f>
        <v/>
      </c>
      <c r="F367" s="3"/>
      <c r="G367" s="3"/>
      <c r="H367" s="3"/>
      <c r="I367" s="3"/>
      <c r="J367" s="3"/>
      <c r="K367" s="3" t="str">
        <f>IF(B367="","",IF(OR(D367="",F367=""),"ناقص بيانات",IF(F367="نعم","مكتمل","غائب")))</f>
        <v/>
      </c>
      <c r="L367" s="3"/>
    </row>
    <row r="368" spans="1:12" x14ac:dyDescent="0.2">
      <c r="A368" s="3" t="s">
        <v>514</v>
      </c>
      <c r="B368" s="3"/>
      <c r="C368" s="3" t="str">
        <f>IFERROR(VLOOKUP(B368,الخطة!A:O,4,FALSE),"")</f>
        <v/>
      </c>
      <c r="D368" s="3"/>
      <c r="E368" s="3" t="str">
        <f>IFERROR(VLOOKUP(D368,الموظفون!A:L,2,FALSE),"")</f>
        <v/>
      </c>
      <c r="F368" s="3"/>
      <c r="G368" s="3"/>
      <c r="H368" s="3"/>
      <c r="I368" s="3"/>
      <c r="J368" s="3"/>
      <c r="K368" s="3" t="str">
        <f>IF(B368="","",IF(OR(D368="",F368=""),"ناقص بيانات",IF(F368="نعم","مكتمل","غائب")))</f>
        <v/>
      </c>
      <c r="L368" s="3"/>
    </row>
    <row r="369" spans="1:12" x14ac:dyDescent="0.2">
      <c r="A369" s="3" t="s">
        <v>515</v>
      </c>
      <c r="B369" s="3"/>
      <c r="C369" s="3" t="str">
        <f>IFERROR(VLOOKUP(B369,الخطة!A:O,4,FALSE),"")</f>
        <v/>
      </c>
      <c r="D369" s="3"/>
      <c r="E369" s="3" t="str">
        <f>IFERROR(VLOOKUP(D369,الموظفون!A:L,2,FALSE),"")</f>
        <v/>
      </c>
      <c r="F369" s="3"/>
      <c r="G369" s="3"/>
      <c r="H369" s="3"/>
      <c r="I369" s="3"/>
      <c r="J369" s="3"/>
      <c r="K369" s="3" t="str">
        <f>IF(B369="","",IF(OR(D369="",F369=""),"ناقص بيانات",IF(F369="نعم","مكتمل","غائب")))</f>
        <v/>
      </c>
      <c r="L369" s="3"/>
    </row>
    <row r="370" spans="1:12" x14ac:dyDescent="0.2">
      <c r="A370" s="3" t="s">
        <v>516</v>
      </c>
      <c r="B370" s="3"/>
      <c r="C370" s="3" t="str">
        <f>IFERROR(VLOOKUP(B370,الخطة!A:O,4,FALSE),"")</f>
        <v/>
      </c>
      <c r="D370" s="3"/>
      <c r="E370" s="3" t="str">
        <f>IFERROR(VLOOKUP(D370,الموظفون!A:L,2,FALSE),"")</f>
        <v/>
      </c>
      <c r="F370" s="3"/>
      <c r="G370" s="3"/>
      <c r="H370" s="3"/>
      <c r="I370" s="3"/>
      <c r="J370" s="3"/>
      <c r="K370" s="3" t="str">
        <f>IF(B370="","",IF(OR(D370="",F370=""),"ناقص بيانات",IF(F370="نعم","مكتمل","غائب")))</f>
        <v/>
      </c>
      <c r="L370" s="3"/>
    </row>
    <row r="371" spans="1:12" x14ac:dyDescent="0.2">
      <c r="A371" s="3" t="s">
        <v>517</v>
      </c>
      <c r="B371" s="3"/>
      <c r="C371" s="3" t="str">
        <f>IFERROR(VLOOKUP(B371,الخطة!A:O,4,FALSE),"")</f>
        <v/>
      </c>
      <c r="D371" s="3"/>
      <c r="E371" s="3" t="str">
        <f>IFERROR(VLOOKUP(D371,الموظفون!A:L,2,FALSE),"")</f>
        <v/>
      </c>
      <c r="F371" s="3"/>
      <c r="G371" s="3"/>
      <c r="H371" s="3"/>
      <c r="I371" s="3"/>
      <c r="J371" s="3"/>
      <c r="K371" s="3" t="str">
        <f>IF(B371="","",IF(OR(D371="",F371=""),"ناقص بيانات",IF(F371="نعم","مكتمل","غائب")))</f>
        <v/>
      </c>
      <c r="L371" s="3"/>
    </row>
    <row r="372" spans="1:12" x14ac:dyDescent="0.2">
      <c r="A372" s="3" t="s">
        <v>518</v>
      </c>
      <c r="B372" s="3"/>
      <c r="C372" s="3" t="str">
        <f>IFERROR(VLOOKUP(B372,الخطة!A:O,4,FALSE),"")</f>
        <v/>
      </c>
      <c r="D372" s="3"/>
      <c r="E372" s="3" t="str">
        <f>IFERROR(VLOOKUP(D372,الموظفون!A:L,2,FALSE),"")</f>
        <v/>
      </c>
      <c r="F372" s="3"/>
      <c r="G372" s="3"/>
      <c r="H372" s="3"/>
      <c r="I372" s="3"/>
      <c r="J372" s="3"/>
      <c r="K372" s="3" t="str">
        <f>IF(B372="","",IF(OR(D372="",F372=""),"ناقص بيانات",IF(F372="نعم","مكتمل","غائب")))</f>
        <v/>
      </c>
      <c r="L372" s="3"/>
    </row>
    <row r="373" spans="1:12" x14ac:dyDescent="0.2">
      <c r="A373" s="3" t="s">
        <v>519</v>
      </c>
      <c r="B373" s="3"/>
      <c r="C373" s="3" t="str">
        <f>IFERROR(VLOOKUP(B373,الخطة!A:O,4,FALSE),"")</f>
        <v/>
      </c>
      <c r="D373" s="3"/>
      <c r="E373" s="3" t="str">
        <f>IFERROR(VLOOKUP(D373,الموظفون!A:L,2,FALSE),"")</f>
        <v/>
      </c>
      <c r="F373" s="3"/>
      <c r="G373" s="3"/>
      <c r="H373" s="3"/>
      <c r="I373" s="3"/>
      <c r="J373" s="3"/>
      <c r="K373" s="3" t="str">
        <f>IF(B373="","",IF(OR(D373="",F373=""),"ناقص بيانات",IF(F373="نعم","مكتمل","غائب")))</f>
        <v/>
      </c>
      <c r="L373" s="3"/>
    </row>
    <row r="374" spans="1:12" x14ac:dyDescent="0.2">
      <c r="A374" s="3" t="s">
        <v>520</v>
      </c>
      <c r="B374" s="3"/>
      <c r="C374" s="3" t="str">
        <f>IFERROR(VLOOKUP(B374,الخطة!A:O,4,FALSE),"")</f>
        <v/>
      </c>
      <c r="D374" s="3"/>
      <c r="E374" s="3" t="str">
        <f>IFERROR(VLOOKUP(D374,الموظفون!A:L,2,FALSE),"")</f>
        <v/>
      </c>
      <c r="F374" s="3"/>
      <c r="G374" s="3"/>
      <c r="H374" s="3"/>
      <c r="I374" s="3"/>
      <c r="J374" s="3"/>
      <c r="K374" s="3" t="str">
        <f>IF(B374="","",IF(OR(D374="",F374=""),"ناقص بيانات",IF(F374="نعم","مكتمل","غائب")))</f>
        <v/>
      </c>
      <c r="L374" s="3"/>
    </row>
    <row r="375" spans="1:12" x14ac:dyDescent="0.2">
      <c r="A375" s="3" t="s">
        <v>521</v>
      </c>
      <c r="B375" s="3"/>
      <c r="C375" s="3" t="str">
        <f>IFERROR(VLOOKUP(B375,الخطة!A:O,4,FALSE),"")</f>
        <v/>
      </c>
      <c r="D375" s="3"/>
      <c r="E375" s="3" t="str">
        <f>IFERROR(VLOOKUP(D375,الموظفون!A:L,2,FALSE),"")</f>
        <v/>
      </c>
      <c r="F375" s="3"/>
      <c r="G375" s="3"/>
      <c r="H375" s="3"/>
      <c r="I375" s="3"/>
      <c r="J375" s="3"/>
      <c r="K375" s="3" t="str">
        <f>IF(B375="","",IF(OR(D375="",F375=""),"ناقص بيانات",IF(F375="نعم","مكتمل","غائب")))</f>
        <v/>
      </c>
      <c r="L375" s="3"/>
    </row>
    <row r="376" spans="1:12" x14ac:dyDescent="0.2">
      <c r="A376" s="3" t="s">
        <v>522</v>
      </c>
      <c r="B376" s="3"/>
      <c r="C376" s="3" t="str">
        <f>IFERROR(VLOOKUP(B376,الخطة!A:O,4,FALSE),"")</f>
        <v/>
      </c>
      <c r="D376" s="3"/>
      <c r="E376" s="3" t="str">
        <f>IFERROR(VLOOKUP(D376,الموظفون!A:L,2,FALSE),"")</f>
        <v/>
      </c>
      <c r="F376" s="3"/>
      <c r="G376" s="3"/>
      <c r="H376" s="3"/>
      <c r="I376" s="3"/>
      <c r="J376" s="3"/>
      <c r="K376" s="3" t="str">
        <f>IF(B376="","",IF(OR(D376="",F376=""),"ناقص بيانات",IF(F376="نعم","مكتمل","غائب")))</f>
        <v/>
      </c>
      <c r="L376" s="3"/>
    </row>
    <row r="377" spans="1:12" x14ac:dyDescent="0.2">
      <c r="A377" s="3" t="s">
        <v>523</v>
      </c>
      <c r="B377" s="3"/>
      <c r="C377" s="3" t="str">
        <f>IFERROR(VLOOKUP(B377,الخطة!A:O,4,FALSE),"")</f>
        <v/>
      </c>
      <c r="D377" s="3"/>
      <c r="E377" s="3" t="str">
        <f>IFERROR(VLOOKUP(D377,الموظفون!A:L,2,FALSE),"")</f>
        <v/>
      </c>
      <c r="F377" s="3"/>
      <c r="G377" s="3"/>
      <c r="H377" s="3"/>
      <c r="I377" s="3"/>
      <c r="J377" s="3"/>
      <c r="K377" s="3" t="str">
        <f>IF(B377="","",IF(OR(D377="",F377=""),"ناقص بيانات",IF(F377="نعم","مكتمل","غائب")))</f>
        <v/>
      </c>
      <c r="L377" s="3"/>
    </row>
    <row r="378" spans="1:12" x14ac:dyDescent="0.2">
      <c r="A378" s="3" t="s">
        <v>524</v>
      </c>
      <c r="B378" s="3"/>
      <c r="C378" s="3" t="str">
        <f>IFERROR(VLOOKUP(B378,الخطة!A:O,4,FALSE),"")</f>
        <v/>
      </c>
      <c r="D378" s="3"/>
      <c r="E378" s="3" t="str">
        <f>IFERROR(VLOOKUP(D378,الموظفون!A:L,2,FALSE),"")</f>
        <v/>
      </c>
      <c r="F378" s="3"/>
      <c r="G378" s="3"/>
      <c r="H378" s="3"/>
      <c r="I378" s="3"/>
      <c r="J378" s="3"/>
      <c r="K378" s="3" t="str">
        <f>IF(B378="","",IF(OR(D378="",F378=""),"ناقص بيانات",IF(F378="نعم","مكتمل","غائب")))</f>
        <v/>
      </c>
      <c r="L378" s="3"/>
    </row>
    <row r="379" spans="1:12" x14ac:dyDescent="0.2">
      <c r="A379" s="3" t="s">
        <v>525</v>
      </c>
      <c r="B379" s="3"/>
      <c r="C379" s="3" t="str">
        <f>IFERROR(VLOOKUP(B379,الخطة!A:O,4,FALSE),"")</f>
        <v/>
      </c>
      <c r="D379" s="3"/>
      <c r="E379" s="3" t="str">
        <f>IFERROR(VLOOKUP(D379,الموظفون!A:L,2,FALSE),"")</f>
        <v/>
      </c>
      <c r="F379" s="3"/>
      <c r="G379" s="3"/>
      <c r="H379" s="3"/>
      <c r="I379" s="3"/>
      <c r="J379" s="3"/>
      <c r="K379" s="3" t="str">
        <f>IF(B379="","",IF(OR(D379="",F379=""),"ناقص بيانات",IF(F379="نعم","مكتمل","غائب")))</f>
        <v/>
      </c>
      <c r="L379" s="3"/>
    </row>
    <row r="380" spans="1:12" x14ac:dyDescent="0.2">
      <c r="A380" s="3" t="s">
        <v>526</v>
      </c>
      <c r="B380" s="3"/>
      <c r="C380" s="3" t="str">
        <f>IFERROR(VLOOKUP(B380,الخطة!A:O,4,FALSE),"")</f>
        <v/>
      </c>
      <c r="D380" s="3"/>
      <c r="E380" s="3" t="str">
        <f>IFERROR(VLOOKUP(D380,الموظفون!A:L,2,FALSE),"")</f>
        <v/>
      </c>
      <c r="F380" s="3"/>
      <c r="G380" s="3"/>
      <c r="H380" s="3"/>
      <c r="I380" s="3"/>
      <c r="J380" s="3"/>
      <c r="K380" s="3" t="str">
        <f>IF(B380="","",IF(OR(D380="",F380=""),"ناقص بيانات",IF(F380="نعم","مكتمل","غائب")))</f>
        <v/>
      </c>
      <c r="L380" s="3"/>
    </row>
    <row r="381" spans="1:12" x14ac:dyDescent="0.2">
      <c r="A381" s="3" t="s">
        <v>527</v>
      </c>
      <c r="B381" s="3"/>
      <c r="C381" s="3" t="str">
        <f>IFERROR(VLOOKUP(B381,الخطة!A:O,4,FALSE),"")</f>
        <v/>
      </c>
      <c r="D381" s="3"/>
      <c r="E381" s="3" t="str">
        <f>IFERROR(VLOOKUP(D381,الموظفون!A:L,2,FALSE),"")</f>
        <v/>
      </c>
      <c r="F381" s="3"/>
      <c r="G381" s="3"/>
      <c r="H381" s="3"/>
      <c r="I381" s="3"/>
      <c r="J381" s="3"/>
      <c r="K381" s="3" t="str">
        <f>IF(B381="","",IF(OR(D381="",F381=""),"ناقص بيانات",IF(F381="نعم","مكتمل","غائب")))</f>
        <v/>
      </c>
      <c r="L381" s="3"/>
    </row>
    <row r="382" spans="1:12" x14ac:dyDescent="0.2">
      <c r="A382" s="3" t="s">
        <v>528</v>
      </c>
      <c r="B382" s="3"/>
      <c r="C382" s="3" t="str">
        <f>IFERROR(VLOOKUP(B382,الخطة!A:O,4,FALSE),"")</f>
        <v/>
      </c>
      <c r="D382" s="3"/>
      <c r="E382" s="3" t="str">
        <f>IFERROR(VLOOKUP(D382,الموظفون!A:L,2,FALSE),"")</f>
        <v/>
      </c>
      <c r="F382" s="3"/>
      <c r="G382" s="3"/>
      <c r="H382" s="3"/>
      <c r="I382" s="3"/>
      <c r="J382" s="3"/>
      <c r="K382" s="3" t="str">
        <f>IF(B382="","",IF(OR(D382="",F382=""),"ناقص بيانات",IF(F382="نعم","مكتمل","غائب")))</f>
        <v/>
      </c>
      <c r="L382" s="3"/>
    </row>
    <row r="383" spans="1:12" x14ac:dyDescent="0.2">
      <c r="A383" s="3" t="s">
        <v>529</v>
      </c>
      <c r="B383" s="3"/>
      <c r="C383" s="3" t="str">
        <f>IFERROR(VLOOKUP(B383,الخطة!A:O,4,FALSE),"")</f>
        <v/>
      </c>
      <c r="D383" s="3"/>
      <c r="E383" s="3" t="str">
        <f>IFERROR(VLOOKUP(D383,الموظفون!A:L,2,FALSE),"")</f>
        <v/>
      </c>
      <c r="F383" s="3"/>
      <c r="G383" s="3"/>
      <c r="H383" s="3"/>
      <c r="I383" s="3"/>
      <c r="J383" s="3"/>
      <c r="K383" s="3" t="str">
        <f>IF(B383="","",IF(OR(D383="",F383=""),"ناقص بيانات",IF(F383="نعم","مكتمل","غائب")))</f>
        <v/>
      </c>
      <c r="L383" s="3"/>
    </row>
    <row r="384" spans="1:12" x14ac:dyDescent="0.2">
      <c r="A384" s="3" t="s">
        <v>530</v>
      </c>
      <c r="B384" s="3"/>
      <c r="C384" s="3" t="str">
        <f>IFERROR(VLOOKUP(B384,الخطة!A:O,4,FALSE),"")</f>
        <v/>
      </c>
      <c r="D384" s="3"/>
      <c r="E384" s="3" t="str">
        <f>IFERROR(VLOOKUP(D384,الموظفون!A:L,2,FALSE),"")</f>
        <v/>
      </c>
      <c r="F384" s="3"/>
      <c r="G384" s="3"/>
      <c r="H384" s="3"/>
      <c r="I384" s="3"/>
      <c r="J384" s="3"/>
      <c r="K384" s="3" t="str">
        <f>IF(B384="","",IF(OR(D384="",F384=""),"ناقص بيانات",IF(F384="نعم","مكتمل","غائب")))</f>
        <v/>
      </c>
      <c r="L384" s="3"/>
    </row>
    <row r="385" spans="1:12" x14ac:dyDescent="0.2">
      <c r="A385" s="3" t="s">
        <v>531</v>
      </c>
      <c r="B385" s="3"/>
      <c r="C385" s="3" t="str">
        <f>IFERROR(VLOOKUP(B385,الخطة!A:O,4,FALSE),"")</f>
        <v/>
      </c>
      <c r="D385" s="3"/>
      <c r="E385" s="3" t="str">
        <f>IFERROR(VLOOKUP(D385,الموظفون!A:L,2,FALSE),"")</f>
        <v/>
      </c>
      <c r="F385" s="3"/>
      <c r="G385" s="3"/>
      <c r="H385" s="3"/>
      <c r="I385" s="3"/>
      <c r="J385" s="3"/>
      <c r="K385" s="3" t="str">
        <f>IF(B385="","",IF(OR(D385="",F385=""),"ناقص بيانات",IF(F385="نعم","مكتمل","غائب")))</f>
        <v/>
      </c>
      <c r="L385" s="3"/>
    </row>
    <row r="386" spans="1:12" x14ac:dyDescent="0.2">
      <c r="A386" s="3" t="s">
        <v>532</v>
      </c>
      <c r="B386" s="3"/>
      <c r="C386" s="3" t="str">
        <f>IFERROR(VLOOKUP(B386,الخطة!A:O,4,FALSE),"")</f>
        <v/>
      </c>
      <c r="D386" s="3"/>
      <c r="E386" s="3" t="str">
        <f>IFERROR(VLOOKUP(D386,الموظفون!A:L,2,FALSE),"")</f>
        <v/>
      </c>
      <c r="F386" s="3"/>
      <c r="G386" s="3"/>
      <c r="H386" s="3"/>
      <c r="I386" s="3"/>
      <c r="J386" s="3"/>
      <c r="K386" s="3" t="str">
        <f>IF(B386="","",IF(OR(D386="",F386=""),"ناقص بيانات",IF(F386="نعم","مكتمل","غائب")))</f>
        <v/>
      </c>
      <c r="L386" s="3"/>
    </row>
    <row r="387" spans="1:12" x14ac:dyDescent="0.2">
      <c r="A387" s="3" t="s">
        <v>533</v>
      </c>
      <c r="B387" s="3"/>
      <c r="C387" s="3" t="str">
        <f>IFERROR(VLOOKUP(B387,الخطة!A:O,4,FALSE),"")</f>
        <v/>
      </c>
      <c r="D387" s="3"/>
      <c r="E387" s="3" t="str">
        <f>IFERROR(VLOOKUP(D387,الموظفون!A:L,2,FALSE),"")</f>
        <v/>
      </c>
      <c r="F387" s="3"/>
      <c r="G387" s="3"/>
      <c r="H387" s="3"/>
      <c r="I387" s="3"/>
      <c r="J387" s="3"/>
      <c r="K387" s="3" t="str">
        <f>IF(B387="","",IF(OR(D387="",F387=""),"ناقص بيانات",IF(F387="نعم","مكتمل","غائب")))</f>
        <v/>
      </c>
      <c r="L387" s="3"/>
    </row>
    <row r="388" spans="1:12" x14ac:dyDescent="0.2">
      <c r="A388" s="3" t="s">
        <v>534</v>
      </c>
      <c r="B388" s="3"/>
      <c r="C388" s="3" t="str">
        <f>IFERROR(VLOOKUP(B388,الخطة!A:O,4,FALSE),"")</f>
        <v/>
      </c>
      <c r="D388" s="3"/>
      <c r="E388" s="3" t="str">
        <f>IFERROR(VLOOKUP(D388,الموظفون!A:L,2,FALSE),"")</f>
        <v/>
      </c>
      <c r="F388" s="3"/>
      <c r="G388" s="3"/>
      <c r="H388" s="3"/>
      <c r="I388" s="3"/>
      <c r="J388" s="3"/>
      <c r="K388" s="3" t="str">
        <f>IF(B388="","",IF(OR(D388="",F388=""),"ناقص بيانات",IF(F388="نعم","مكتمل","غائب")))</f>
        <v/>
      </c>
      <c r="L388" s="3"/>
    </row>
    <row r="389" spans="1:12" x14ac:dyDescent="0.2">
      <c r="A389" s="3" t="s">
        <v>535</v>
      </c>
      <c r="B389" s="3"/>
      <c r="C389" s="3" t="str">
        <f>IFERROR(VLOOKUP(B389,الخطة!A:O,4,FALSE),"")</f>
        <v/>
      </c>
      <c r="D389" s="3"/>
      <c r="E389" s="3" t="str">
        <f>IFERROR(VLOOKUP(D389,الموظفون!A:L,2,FALSE),"")</f>
        <v/>
      </c>
      <c r="F389" s="3"/>
      <c r="G389" s="3"/>
      <c r="H389" s="3"/>
      <c r="I389" s="3"/>
      <c r="J389" s="3"/>
      <c r="K389" s="3" t="str">
        <f>IF(B389="","",IF(OR(D389="",F389=""),"ناقص بيانات",IF(F389="نعم","مكتمل","غائب")))</f>
        <v/>
      </c>
      <c r="L389" s="3"/>
    </row>
    <row r="390" spans="1:12" x14ac:dyDescent="0.2">
      <c r="A390" s="3" t="s">
        <v>536</v>
      </c>
      <c r="B390" s="3"/>
      <c r="C390" s="3" t="str">
        <f>IFERROR(VLOOKUP(B390,الخطة!A:O,4,FALSE),"")</f>
        <v/>
      </c>
      <c r="D390" s="3"/>
      <c r="E390" s="3" t="str">
        <f>IFERROR(VLOOKUP(D390,الموظفون!A:L,2,FALSE),"")</f>
        <v/>
      </c>
      <c r="F390" s="3"/>
      <c r="G390" s="3"/>
      <c r="H390" s="3"/>
      <c r="I390" s="3"/>
      <c r="J390" s="3"/>
      <c r="K390" s="3" t="str">
        <f>IF(B390="","",IF(OR(D390="",F390=""),"ناقص بيانات",IF(F390="نعم","مكتمل","غائب")))</f>
        <v/>
      </c>
      <c r="L390" s="3"/>
    </row>
    <row r="391" spans="1:12" x14ac:dyDescent="0.2">
      <c r="A391" s="3" t="s">
        <v>537</v>
      </c>
      <c r="B391" s="3"/>
      <c r="C391" s="3" t="str">
        <f>IFERROR(VLOOKUP(B391,الخطة!A:O,4,FALSE),"")</f>
        <v/>
      </c>
      <c r="D391" s="3"/>
      <c r="E391" s="3" t="str">
        <f>IFERROR(VLOOKUP(D391,الموظفون!A:L,2,FALSE),"")</f>
        <v/>
      </c>
      <c r="F391" s="3"/>
      <c r="G391" s="3"/>
      <c r="H391" s="3"/>
      <c r="I391" s="3"/>
      <c r="J391" s="3"/>
      <c r="K391" s="3" t="str">
        <f>IF(B391="","",IF(OR(D391="",F391=""),"ناقص بيانات",IF(F391="نعم","مكتمل","غائب")))</f>
        <v/>
      </c>
      <c r="L391" s="3"/>
    </row>
    <row r="392" spans="1:12" x14ac:dyDescent="0.2">
      <c r="A392" s="3" t="s">
        <v>538</v>
      </c>
      <c r="B392" s="3"/>
      <c r="C392" s="3" t="str">
        <f>IFERROR(VLOOKUP(B392,الخطة!A:O,4,FALSE),"")</f>
        <v/>
      </c>
      <c r="D392" s="3"/>
      <c r="E392" s="3" t="str">
        <f>IFERROR(VLOOKUP(D392,الموظفون!A:L,2,FALSE),"")</f>
        <v/>
      </c>
      <c r="F392" s="3"/>
      <c r="G392" s="3"/>
      <c r="H392" s="3"/>
      <c r="I392" s="3"/>
      <c r="J392" s="3"/>
      <c r="K392" s="3" t="str">
        <f>IF(B392="","",IF(OR(D392="",F392=""),"ناقص بيانات",IF(F392="نعم","مكتمل","غائب")))</f>
        <v/>
      </c>
      <c r="L392" s="3"/>
    </row>
    <row r="393" spans="1:12" x14ac:dyDescent="0.2">
      <c r="A393" s="3" t="s">
        <v>539</v>
      </c>
      <c r="B393" s="3"/>
      <c r="C393" s="3" t="str">
        <f>IFERROR(VLOOKUP(B393,الخطة!A:O,4,FALSE),"")</f>
        <v/>
      </c>
      <c r="D393" s="3"/>
      <c r="E393" s="3" t="str">
        <f>IFERROR(VLOOKUP(D393,الموظفون!A:L,2,FALSE),"")</f>
        <v/>
      </c>
      <c r="F393" s="3"/>
      <c r="G393" s="3"/>
      <c r="H393" s="3"/>
      <c r="I393" s="3"/>
      <c r="J393" s="3"/>
      <c r="K393" s="3" t="str">
        <f>IF(B393="","",IF(OR(D393="",F393=""),"ناقص بيانات",IF(F393="نعم","مكتمل","غائب")))</f>
        <v/>
      </c>
      <c r="L393" s="3"/>
    </row>
    <row r="394" spans="1:12" x14ac:dyDescent="0.2">
      <c r="A394" s="3" t="s">
        <v>540</v>
      </c>
      <c r="B394" s="3"/>
      <c r="C394" s="3" t="str">
        <f>IFERROR(VLOOKUP(B394,الخطة!A:O,4,FALSE),"")</f>
        <v/>
      </c>
      <c r="D394" s="3"/>
      <c r="E394" s="3" t="str">
        <f>IFERROR(VLOOKUP(D394,الموظفون!A:L,2,FALSE),"")</f>
        <v/>
      </c>
      <c r="F394" s="3"/>
      <c r="G394" s="3"/>
      <c r="H394" s="3"/>
      <c r="I394" s="3"/>
      <c r="J394" s="3"/>
      <c r="K394" s="3" t="str">
        <f>IF(B394="","",IF(OR(D394="",F394=""),"ناقص بيانات",IF(F394="نعم","مكتمل","غائب")))</f>
        <v/>
      </c>
      <c r="L394" s="3"/>
    </row>
    <row r="395" spans="1:12" x14ac:dyDescent="0.2">
      <c r="A395" s="3" t="s">
        <v>541</v>
      </c>
      <c r="B395" s="3"/>
      <c r="C395" s="3" t="str">
        <f>IFERROR(VLOOKUP(B395,الخطة!A:O,4,FALSE),"")</f>
        <v/>
      </c>
      <c r="D395" s="3"/>
      <c r="E395" s="3" t="str">
        <f>IFERROR(VLOOKUP(D395,الموظفون!A:L,2,FALSE),"")</f>
        <v/>
      </c>
      <c r="F395" s="3"/>
      <c r="G395" s="3"/>
      <c r="H395" s="3"/>
      <c r="I395" s="3"/>
      <c r="J395" s="3"/>
      <c r="K395" s="3" t="str">
        <f>IF(B395="","",IF(OR(D395="",F395=""),"ناقص بيانات",IF(F395="نعم","مكتمل","غائب")))</f>
        <v/>
      </c>
      <c r="L395" s="3"/>
    </row>
    <row r="396" spans="1:12" x14ac:dyDescent="0.2">
      <c r="A396" s="3" t="s">
        <v>542</v>
      </c>
      <c r="B396" s="3"/>
      <c r="C396" s="3" t="str">
        <f>IFERROR(VLOOKUP(B396,الخطة!A:O,4,FALSE),"")</f>
        <v/>
      </c>
      <c r="D396" s="3"/>
      <c r="E396" s="3" t="str">
        <f>IFERROR(VLOOKUP(D396,الموظفون!A:L,2,FALSE),"")</f>
        <v/>
      </c>
      <c r="F396" s="3"/>
      <c r="G396" s="3"/>
      <c r="H396" s="3"/>
      <c r="I396" s="3"/>
      <c r="J396" s="3"/>
      <c r="K396" s="3" t="str">
        <f>IF(B396="","",IF(OR(D396="",F396=""),"ناقص بيانات",IF(F396="نعم","مكتمل","غائب")))</f>
        <v/>
      </c>
      <c r="L396" s="3"/>
    </row>
    <row r="397" spans="1:12" x14ac:dyDescent="0.2">
      <c r="A397" s="3" t="s">
        <v>543</v>
      </c>
      <c r="B397" s="3"/>
      <c r="C397" s="3" t="str">
        <f>IFERROR(VLOOKUP(B397,الخطة!A:O,4,FALSE),"")</f>
        <v/>
      </c>
      <c r="D397" s="3"/>
      <c r="E397" s="3" t="str">
        <f>IFERROR(VLOOKUP(D397,الموظفون!A:L,2,FALSE),"")</f>
        <v/>
      </c>
      <c r="F397" s="3"/>
      <c r="G397" s="3"/>
      <c r="H397" s="3"/>
      <c r="I397" s="3"/>
      <c r="J397" s="3"/>
      <c r="K397" s="3" t="str">
        <f>IF(B397="","",IF(OR(D397="",F397=""),"ناقص بيانات",IF(F397="نعم","مكتمل","غائب")))</f>
        <v/>
      </c>
      <c r="L397" s="3"/>
    </row>
    <row r="398" spans="1:12" x14ac:dyDescent="0.2">
      <c r="A398" s="3" t="s">
        <v>544</v>
      </c>
      <c r="B398" s="3"/>
      <c r="C398" s="3" t="str">
        <f>IFERROR(VLOOKUP(B398,الخطة!A:O,4,FALSE),"")</f>
        <v/>
      </c>
      <c r="D398" s="3"/>
      <c r="E398" s="3" t="str">
        <f>IFERROR(VLOOKUP(D398,الموظفون!A:L,2,FALSE),"")</f>
        <v/>
      </c>
      <c r="F398" s="3"/>
      <c r="G398" s="3"/>
      <c r="H398" s="3"/>
      <c r="I398" s="3"/>
      <c r="J398" s="3"/>
      <c r="K398" s="3" t="str">
        <f>IF(B398="","",IF(OR(D398="",F398=""),"ناقص بيانات",IF(F398="نعم","مكتمل","غائب")))</f>
        <v/>
      </c>
      <c r="L398" s="3"/>
    </row>
    <row r="399" spans="1:12" x14ac:dyDescent="0.2">
      <c r="A399" s="3" t="s">
        <v>545</v>
      </c>
      <c r="B399" s="3"/>
      <c r="C399" s="3" t="str">
        <f>IFERROR(VLOOKUP(B399,الخطة!A:O,4,FALSE),"")</f>
        <v/>
      </c>
      <c r="D399" s="3"/>
      <c r="E399" s="3" t="str">
        <f>IFERROR(VLOOKUP(D399,الموظفون!A:L,2,FALSE),"")</f>
        <v/>
      </c>
      <c r="F399" s="3"/>
      <c r="G399" s="3"/>
      <c r="H399" s="3"/>
      <c r="I399" s="3"/>
      <c r="J399" s="3"/>
      <c r="K399" s="3" t="str">
        <f>IF(B399="","",IF(OR(D399="",F399=""),"ناقص بيانات",IF(F399="نعم","مكتمل","غائب")))</f>
        <v/>
      </c>
      <c r="L399" s="3"/>
    </row>
    <row r="400" spans="1:12" x14ac:dyDescent="0.2">
      <c r="A400" s="3" t="s">
        <v>546</v>
      </c>
      <c r="B400" s="3"/>
      <c r="C400" s="3" t="str">
        <f>IFERROR(VLOOKUP(B400,الخطة!A:O,4,FALSE),"")</f>
        <v/>
      </c>
      <c r="D400" s="3"/>
      <c r="E400" s="3" t="str">
        <f>IFERROR(VLOOKUP(D400,الموظفون!A:L,2,FALSE),"")</f>
        <v/>
      </c>
      <c r="F400" s="3"/>
      <c r="G400" s="3"/>
      <c r="H400" s="3"/>
      <c r="I400" s="3"/>
      <c r="J400" s="3"/>
      <c r="K400" s="3" t="str">
        <f>IF(B400="","",IF(OR(D400="",F400=""),"ناقص بيانات",IF(F400="نعم","مكتمل","غائب")))</f>
        <v/>
      </c>
      <c r="L400" s="3"/>
    </row>
    <row r="401" spans="1:12" x14ac:dyDescent="0.2">
      <c r="A401" s="3" t="s">
        <v>547</v>
      </c>
      <c r="B401" s="3"/>
      <c r="C401" s="3" t="str">
        <f>IFERROR(VLOOKUP(B401,الخطة!A:O,4,FALSE),"")</f>
        <v/>
      </c>
      <c r="D401" s="3"/>
      <c r="E401" s="3" t="str">
        <f>IFERROR(VLOOKUP(D401,الموظفون!A:L,2,FALSE),"")</f>
        <v/>
      </c>
      <c r="F401" s="3"/>
      <c r="G401" s="3"/>
      <c r="H401" s="3"/>
      <c r="I401" s="3"/>
      <c r="J401" s="3"/>
      <c r="K401" s="3" t="str">
        <f>IF(B401="","",IF(OR(D401="",F401=""),"ناقص بيانات",IF(F401="نعم","مكتمل","غائب")))</f>
        <v/>
      </c>
      <c r="L401" s="3"/>
    </row>
    <row r="402" spans="1:12" x14ac:dyDescent="0.2">
      <c r="A402" s="3" t="s">
        <v>548</v>
      </c>
      <c r="B402" s="3"/>
      <c r="C402" s="3" t="str">
        <f>IFERROR(VLOOKUP(B402,الخطة!A:O,4,FALSE),"")</f>
        <v/>
      </c>
      <c r="D402" s="3"/>
      <c r="E402" s="3" t="str">
        <f>IFERROR(VLOOKUP(D402,الموظفون!A:L,2,FALSE),"")</f>
        <v/>
      </c>
      <c r="F402" s="3"/>
      <c r="G402" s="3"/>
      <c r="H402" s="3"/>
      <c r="I402" s="3"/>
      <c r="J402" s="3"/>
      <c r="K402" s="3" t="str">
        <f>IF(B402="","",IF(OR(D402="",F402=""),"ناقص بيانات",IF(F402="نعم","مكتمل","غائب")))</f>
        <v/>
      </c>
      <c r="L402" s="3"/>
    </row>
    <row r="403" spans="1:12" x14ac:dyDescent="0.2">
      <c r="A403" s="3" t="s">
        <v>549</v>
      </c>
      <c r="B403" s="3"/>
      <c r="C403" s="3" t="str">
        <f>IFERROR(VLOOKUP(B403,الخطة!A:O,4,FALSE),"")</f>
        <v/>
      </c>
      <c r="D403" s="3"/>
      <c r="E403" s="3" t="str">
        <f>IFERROR(VLOOKUP(D403,الموظفون!A:L,2,FALSE),"")</f>
        <v/>
      </c>
      <c r="F403" s="3"/>
      <c r="G403" s="3"/>
      <c r="H403" s="3"/>
      <c r="I403" s="3"/>
      <c r="J403" s="3"/>
      <c r="K403" s="3" t="str">
        <f>IF(B403="","",IF(OR(D403="",F403=""),"ناقص بيانات",IF(F403="نعم","مكتمل","غائب")))</f>
        <v/>
      </c>
      <c r="L403" s="3"/>
    </row>
    <row r="404" spans="1:12" x14ac:dyDescent="0.2">
      <c r="A404" s="3" t="s">
        <v>550</v>
      </c>
      <c r="B404" s="3"/>
      <c r="C404" s="3" t="str">
        <f>IFERROR(VLOOKUP(B404,الخطة!A:O,4,FALSE),"")</f>
        <v/>
      </c>
      <c r="D404" s="3"/>
      <c r="E404" s="3" t="str">
        <f>IFERROR(VLOOKUP(D404,الموظفون!A:L,2,FALSE),"")</f>
        <v/>
      </c>
      <c r="F404" s="3"/>
      <c r="G404" s="3"/>
      <c r="H404" s="3"/>
      <c r="I404" s="3"/>
      <c r="J404" s="3"/>
      <c r="K404" s="3" t="str">
        <f>IF(B404="","",IF(OR(D404="",F404=""),"ناقص بيانات",IF(F404="نعم","مكتمل","غائب")))</f>
        <v/>
      </c>
      <c r="L404" s="3"/>
    </row>
    <row r="405" spans="1:12" x14ac:dyDescent="0.2">
      <c r="A405" s="3" t="s">
        <v>551</v>
      </c>
      <c r="B405" s="3"/>
      <c r="C405" s="3" t="str">
        <f>IFERROR(VLOOKUP(B405,الخطة!A:O,4,FALSE),"")</f>
        <v/>
      </c>
      <c r="D405" s="3"/>
      <c r="E405" s="3" t="str">
        <f>IFERROR(VLOOKUP(D405,الموظفون!A:L,2,FALSE),"")</f>
        <v/>
      </c>
      <c r="F405" s="3"/>
      <c r="G405" s="3"/>
      <c r="H405" s="3"/>
      <c r="I405" s="3"/>
      <c r="J405" s="3"/>
      <c r="K405" s="3" t="str">
        <f>IF(B405="","",IF(OR(D405="",F405=""),"ناقص بيانات",IF(F405="نعم","مكتمل","غائب")))</f>
        <v/>
      </c>
      <c r="L405" s="3"/>
    </row>
    <row r="406" spans="1:12" x14ac:dyDescent="0.2">
      <c r="A406" s="3" t="s">
        <v>552</v>
      </c>
      <c r="B406" s="3"/>
      <c r="C406" s="3" t="str">
        <f>IFERROR(VLOOKUP(B406,الخطة!A:O,4,FALSE),"")</f>
        <v/>
      </c>
      <c r="D406" s="3"/>
      <c r="E406" s="3" t="str">
        <f>IFERROR(VLOOKUP(D406,الموظفون!A:L,2,FALSE),"")</f>
        <v/>
      </c>
      <c r="F406" s="3"/>
      <c r="G406" s="3"/>
      <c r="H406" s="3"/>
      <c r="I406" s="3"/>
      <c r="J406" s="3"/>
      <c r="K406" s="3" t="str">
        <f>IF(B406="","",IF(OR(D406="",F406=""),"ناقص بيانات",IF(F406="نعم","مكتمل","غائب")))</f>
        <v/>
      </c>
      <c r="L406" s="3"/>
    </row>
    <row r="407" spans="1:12" x14ac:dyDescent="0.2">
      <c r="A407" s="3" t="s">
        <v>553</v>
      </c>
      <c r="B407" s="3"/>
      <c r="C407" s="3" t="str">
        <f>IFERROR(VLOOKUP(B407,الخطة!A:O,4,FALSE),"")</f>
        <v/>
      </c>
      <c r="D407" s="3"/>
      <c r="E407" s="3" t="str">
        <f>IFERROR(VLOOKUP(D407,الموظفون!A:L,2,FALSE),"")</f>
        <v/>
      </c>
      <c r="F407" s="3"/>
      <c r="G407" s="3"/>
      <c r="H407" s="3"/>
      <c r="I407" s="3"/>
      <c r="J407" s="3"/>
      <c r="K407" s="3" t="str">
        <f>IF(B407="","",IF(OR(D407="",F407=""),"ناقص بيانات",IF(F407="نعم","مكتمل","غائب")))</f>
        <v/>
      </c>
      <c r="L407" s="3"/>
    </row>
    <row r="408" spans="1:12" x14ac:dyDescent="0.2">
      <c r="A408" s="3" t="s">
        <v>554</v>
      </c>
      <c r="B408" s="3"/>
      <c r="C408" s="3" t="str">
        <f>IFERROR(VLOOKUP(B408,الخطة!A:O,4,FALSE),"")</f>
        <v/>
      </c>
      <c r="D408" s="3"/>
      <c r="E408" s="3" t="str">
        <f>IFERROR(VLOOKUP(D408,الموظفون!A:L,2,FALSE),"")</f>
        <v/>
      </c>
      <c r="F408" s="3"/>
      <c r="G408" s="3"/>
      <c r="H408" s="3"/>
      <c r="I408" s="3"/>
      <c r="J408" s="3"/>
      <c r="K408" s="3" t="str">
        <f>IF(B408="","",IF(OR(D408="",F408=""),"ناقص بيانات",IF(F408="نعم","مكتمل","غائب")))</f>
        <v/>
      </c>
      <c r="L408" s="3"/>
    </row>
    <row r="409" spans="1:12" x14ac:dyDescent="0.2">
      <c r="A409" s="3" t="s">
        <v>555</v>
      </c>
      <c r="B409" s="3"/>
      <c r="C409" s="3" t="str">
        <f>IFERROR(VLOOKUP(B409,الخطة!A:O,4,FALSE),"")</f>
        <v/>
      </c>
      <c r="D409" s="3"/>
      <c r="E409" s="3" t="str">
        <f>IFERROR(VLOOKUP(D409,الموظفون!A:L,2,FALSE),"")</f>
        <v/>
      </c>
      <c r="F409" s="3"/>
      <c r="G409" s="3"/>
      <c r="H409" s="3"/>
      <c r="I409" s="3"/>
      <c r="J409" s="3"/>
      <c r="K409" s="3" t="str">
        <f>IF(B409="","",IF(OR(D409="",F409=""),"ناقص بيانات",IF(F409="نعم","مكتمل","غائب")))</f>
        <v/>
      </c>
      <c r="L409" s="3"/>
    </row>
    <row r="410" spans="1:12" x14ac:dyDescent="0.2">
      <c r="A410" s="3" t="s">
        <v>556</v>
      </c>
      <c r="B410" s="3"/>
      <c r="C410" s="3" t="str">
        <f>IFERROR(VLOOKUP(B410,الخطة!A:O,4,FALSE),"")</f>
        <v/>
      </c>
      <c r="D410" s="3"/>
      <c r="E410" s="3" t="str">
        <f>IFERROR(VLOOKUP(D410,الموظفون!A:L,2,FALSE),"")</f>
        <v/>
      </c>
      <c r="F410" s="3"/>
      <c r="G410" s="3"/>
      <c r="H410" s="3"/>
      <c r="I410" s="3"/>
      <c r="J410" s="3"/>
      <c r="K410" s="3" t="str">
        <f>IF(B410="","",IF(OR(D410="",F410=""),"ناقص بيانات",IF(F410="نعم","مكتمل","غائب")))</f>
        <v/>
      </c>
      <c r="L410" s="3"/>
    </row>
    <row r="411" spans="1:12" x14ac:dyDescent="0.2">
      <c r="A411" s="3" t="s">
        <v>557</v>
      </c>
      <c r="B411" s="3"/>
      <c r="C411" s="3" t="str">
        <f>IFERROR(VLOOKUP(B411,الخطة!A:O,4,FALSE),"")</f>
        <v/>
      </c>
      <c r="D411" s="3"/>
      <c r="E411" s="3" t="str">
        <f>IFERROR(VLOOKUP(D411,الموظفون!A:L,2,FALSE),"")</f>
        <v/>
      </c>
      <c r="F411" s="3"/>
      <c r="G411" s="3"/>
      <c r="H411" s="3"/>
      <c r="I411" s="3"/>
      <c r="J411" s="3"/>
      <c r="K411" s="3" t="str">
        <f>IF(B411="","",IF(OR(D411="",F411=""),"ناقص بيانات",IF(F411="نعم","مكتمل","غائب")))</f>
        <v/>
      </c>
      <c r="L411" s="3"/>
    </row>
    <row r="412" spans="1:12" x14ac:dyDescent="0.2">
      <c r="A412" s="3" t="s">
        <v>558</v>
      </c>
      <c r="B412" s="3"/>
      <c r="C412" s="3" t="str">
        <f>IFERROR(VLOOKUP(B412,الخطة!A:O,4,FALSE),"")</f>
        <v/>
      </c>
      <c r="D412" s="3"/>
      <c r="E412" s="3" t="str">
        <f>IFERROR(VLOOKUP(D412,الموظفون!A:L,2,FALSE),"")</f>
        <v/>
      </c>
      <c r="F412" s="3"/>
      <c r="G412" s="3"/>
      <c r="H412" s="3"/>
      <c r="I412" s="3"/>
      <c r="J412" s="3"/>
      <c r="K412" s="3" t="str">
        <f>IF(B412="","",IF(OR(D412="",F412=""),"ناقص بيانات",IF(F412="نعم","مكتمل","غائب")))</f>
        <v/>
      </c>
      <c r="L412" s="3"/>
    </row>
    <row r="413" spans="1:12" x14ac:dyDescent="0.2">
      <c r="A413" s="3" t="s">
        <v>559</v>
      </c>
      <c r="B413" s="3"/>
      <c r="C413" s="3" t="str">
        <f>IFERROR(VLOOKUP(B413,الخطة!A:O,4,FALSE),"")</f>
        <v/>
      </c>
      <c r="D413" s="3"/>
      <c r="E413" s="3" t="str">
        <f>IFERROR(VLOOKUP(D413,الموظفون!A:L,2,FALSE),"")</f>
        <v/>
      </c>
      <c r="F413" s="3"/>
      <c r="G413" s="3"/>
      <c r="H413" s="3"/>
      <c r="I413" s="3"/>
      <c r="J413" s="3"/>
      <c r="K413" s="3" t="str">
        <f>IF(B413="","",IF(OR(D413="",F413=""),"ناقص بيانات",IF(F413="نعم","مكتمل","غائب")))</f>
        <v/>
      </c>
      <c r="L413" s="3"/>
    </row>
    <row r="414" spans="1:12" x14ac:dyDescent="0.2">
      <c r="A414" s="3" t="s">
        <v>560</v>
      </c>
      <c r="B414" s="3"/>
      <c r="C414" s="3" t="str">
        <f>IFERROR(VLOOKUP(B414,الخطة!A:O,4,FALSE),"")</f>
        <v/>
      </c>
      <c r="D414" s="3"/>
      <c r="E414" s="3" t="str">
        <f>IFERROR(VLOOKUP(D414,الموظفون!A:L,2,FALSE),"")</f>
        <v/>
      </c>
      <c r="F414" s="3"/>
      <c r="G414" s="3"/>
      <c r="H414" s="3"/>
      <c r="I414" s="3"/>
      <c r="J414" s="3"/>
      <c r="K414" s="3" t="str">
        <f>IF(B414="","",IF(OR(D414="",F414=""),"ناقص بيانات",IF(F414="نعم","مكتمل","غائب")))</f>
        <v/>
      </c>
      <c r="L414" s="3"/>
    </row>
    <row r="415" spans="1:12" x14ac:dyDescent="0.2">
      <c r="A415" s="3" t="s">
        <v>561</v>
      </c>
      <c r="B415" s="3"/>
      <c r="C415" s="3" t="str">
        <f>IFERROR(VLOOKUP(B415,الخطة!A:O,4,FALSE),"")</f>
        <v/>
      </c>
      <c r="D415" s="3"/>
      <c r="E415" s="3" t="str">
        <f>IFERROR(VLOOKUP(D415,الموظفون!A:L,2,FALSE),"")</f>
        <v/>
      </c>
      <c r="F415" s="3"/>
      <c r="G415" s="3"/>
      <c r="H415" s="3"/>
      <c r="I415" s="3"/>
      <c r="J415" s="3"/>
      <c r="K415" s="3" t="str">
        <f>IF(B415="","",IF(OR(D415="",F415=""),"ناقص بيانات",IF(F415="نعم","مكتمل","غائب")))</f>
        <v/>
      </c>
      <c r="L415" s="3"/>
    </row>
    <row r="416" spans="1:12" x14ac:dyDescent="0.2">
      <c r="A416" s="3" t="s">
        <v>562</v>
      </c>
      <c r="B416" s="3"/>
      <c r="C416" s="3" t="str">
        <f>IFERROR(VLOOKUP(B416,الخطة!A:O,4,FALSE),"")</f>
        <v/>
      </c>
      <c r="D416" s="3"/>
      <c r="E416" s="3" t="str">
        <f>IFERROR(VLOOKUP(D416,الموظفون!A:L,2,FALSE),"")</f>
        <v/>
      </c>
      <c r="F416" s="3"/>
      <c r="G416" s="3"/>
      <c r="H416" s="3"/>
      <c r="I416" s="3"/>
      <c r="J416" s="3"/>
      <c r="K416" s="3" t="str">
        <f>IF(B416="","",IF(OR(D416="",F416=""),"ناقص بيانات",IF(F416="نعم","مكتمل","غائب")))</f>
        <v/>
      </c>
      <c r="L416" s="3"/>
    </row>
    <row r="417" spans="1:12" x14ac:dyDescent="0.2">
      <c r="A417" s="3" t="s">
        <v>563</v>
      </c>
      <c r="B417" s="3"/>
      <c r="C417" s="3" t="str">
        <f>IFERROR(VLOOKUP(B417,الخطة!A:O,4,FALSE),"")</f>
        <v/>
      </c>
      <c r="D417" s="3"/>
      <c r="E417" s="3" t="str">
        <f>IFERROR(VLOOKUP(D417,الموظفون!A:L,2,FALSE),"")</f>
        <v/>
      </c>
      <c r="F417" s="3"/>
      <c r="G417" s="3"/>
      <c r="H417" s="3"/>
      <c r="I417" s="3"/>
      <c r="J417" s="3"/>
      <c r="K417" s="3" t="str">
        <f>IF(B417="","",IF(OR(D417="",F417=""),"ناقص بيانات",IF(F417="نعم","مكتمل","غائب")))</f>
        <v/>
      </c>
      <c r="L417" s="3"/>
    </row>
    <row r="418" spans="1:12" x14ac:dyDescent="0.2">
      <c r="A418" s="3" t="s">
        <v>564</v>
      </c>
      <c r="B418" s="3"/>
      <c r="C418" s="3" t="str">
        <f>IFERROR(VLOOKUP(B418,الخطة!A:O,4,FALSE),"")</f>
        <v/>
      </c>
      <c r="D418" s="3"/>
      <c r="E418" s="3" t="str">
        <f>IFERROR(VLOOKUP(D418,الموظفون!A:L,2,FALSE),"")</f>
        <v/>
      </c>
      <c r="F418" s="3"/>
      <c r="G418" s="3"/>
      <c r="H418" s="3"/>
      <c r="I418" s="3"/>
      <c r="J418" s="3"/>
      <c r="K418" s="3" t="str">
        <f>IF(B418="","",IF(OR(D418="",F418=""),"ناقص بيانات",IF(F418="نعم","مكتمل","غائب")))</f>
        <v/>
      </c>
      <c r="L418" s="3"/>
    </row>
    <row r="419" spans="1:12" x14ac:dyDescent="0.2">
      <c r="A419" s="3" t="s">
        <v>565</v>
      </c>
      <c r="B419" s="3"/>
      <c r="C419" s="3" t="str">
        <f>IFERROR(VLOOKUP(B419,الخطة!A:O,4,FALSE),"")</f>
        <v/>
      </c>
      <c r="D419" s="3"/>
      <c r="E419" s="3" t="str">
        <f>IFERROR(VLOOKUP(D419,الموظفون!A:L,2,FALSE),"")</f>
        <v/>
      </c>
      <c r="F419" s="3"/>
      <c r="G419" s="3"/>
      <c r="H419" s="3"/>
      <c r="I419" s="3"/>
      <c r="J419" s="3"/>
      <c r="K419" s="3" t="str">
        <f>IF(B419="","",IF(OR(D419="",F419=""),"ناقص بيانات",IF(F419="نعم","مكتمل","غائب")))</f>
        <v/>
      </c>
      <c r="L419" s="3"/>
    </row>
    <row r="420" spans="1:12" x14ac:dyDescent="0.2">
      <c r="A420" s="3" t="s">
        <v>566</v>
      </c>
      <c r="B420" s="3"/>
      <c r="C420" s="3" t="str">
        <f>IFERROR(VLOOKUP(B420,الخطة!A:O,4,FALSE),"")</f>
        <v/>
      </c>
      <c r="D420" s="3"/>
      <c r="E420" s="3" t="str">
        <f>IFERROR(VLOOKUP(D420,الموظفون!A:L,2,FALSE),"")</f>
        <v/>
      </c>
      <c r="F420" s="3"/>
      <c r="G420" s="3"/>
      <c r="H420" s="3"/>
      <c r="I420" s="3"/>
      <c r="J420" s="3"/>
      <c r="K420" s="3" t="str">
        <f>IF(B420="","",IF(OR(D420="",F420=""),"ناقص بيانات",IF(F420="نعم","مكتمل","غائب")))</f>
        <v/>
      </c>
      <c r="L420" s="3"/>
    </row>
    <row r="421" spans="1:12" x14ac:dyDescent="0.2">
      <c r="A421" s="3" t="s">
        <v>567</v>
      </c>
      <c r="B421" s="3"/>
      <c r="C421" s="3" t="str">
        <f>IFERROR(VLOOKUP(B421,الخطة!A:O,4,FALSE),"")</f>
        <v/>
      </c>
      <c r="D421" s="3"/>
      <c r="E421" s="3" t="str">
        <f>IFERROR(VLOOKUP(D421,الموظفون!A:L,2,FALSE),"")</f>
        <v/>
      </c>
      <c r="F421" s="3"/>
      <c r="G421" s="3"/>
      <c r="H421" s="3"/>
      <c r="I421" s="3"/>
      <c r="J421" s="3"/>
      <c r="K421" s="3" t="str">
        <f>IF(B421="","",IF(OR(D421="",F421=""),"ناقص بيانات",IF(F421="نعم","مكتمل","غائب")))</f>
        <v/>
      </c>
      <c r="L421" s="3"/>
    </row>
    <row r="422" spans="1:12" x14ac:dyDescent="0.2">
      <c r="A422" s="3" t="s">
        <v>568</v>
      </c>
      <c r="B422" s="3"/>
      <c r="C422" s="3" t="str">
        <f>IFERROR(VLOOKUP(B422,الخطة!A:O,4,FALSE),"")</f>
        <v/>
      </c>
      <c r="D422" s="3"/>
      <c r="E422" s="3" t="str">
        <f>IFERROR(VLOOKUP(D422,الموظفون!A:L,2,FALSE),"")</f>
        <v/>
      </c>
      <c r="F422" s="3"/>
      <c r="G422" s="3"/>
      <c r="H422" s="3"/>
      <c r="I422" s="3"/>
      <c r="J422" s="3"/>
      <c r="K422" s="3" t="str">
        <f>IF(B422="","",IF(OR(D422="",F422=""),"ناقص بيانات",IF(F422="نعم","مكتمل","غائب")))</f>
        <v/>
      </c>
      <c r="L422" s="3"/>
    </row>
    <row r="423" spans="1:12" x14ac:dyDescent="0.2">
      <c r="A423" s="3" t="s">
        <v>569</v>
      </c>
      <c r="B423" s="3"/>
      <c r="C423" s="3" t="str">
        <f>IFERROR(VLOOKUP(B423,الخطة!A:O,4,FALSE),"")</f>
        <v/>
      </c>
      <c r="D423" s="3"/>
      <c r="E423" s="3" t="str">
        <f>IFERROR(VLOOKUP(D423,الموظفون!A:L,2,FALSE),"")</f>
        <v/>
      </c>
      <c r="F423" s="3"/>
      <c r="G423" s="3"/>
      <c r="H423" s="3"/>
      <c r="I423" s="3"/>
      <c r="J423" s="3"/>
      <c r="K423" s="3" t="str">
        <f>IF(B423="","",IF(OR(D423="",F423=""),"ناقص بيانات",IF(F423="نعم","مكتمل","غائب")))</f>
        <v/>
      </c>
      <c r="L423" s="3"/>
    </row>
    <row r="424" spans="1:12" x14ac:dyDescent="0.2">
      <c r="A424" s="3" t="s">
        <v>570</v>
      </c>
      <c r="B424" s="3"/>
      <c r="C424" s="3" t="str">
        <f>IFERROR(VLOOKUP(B424,الخطة!A:O,4,FALSE),"")</f>
        <v/>
      </c>
      <c r="D424" s="3"/>
      <c r="E424" s="3" t="str">
        <f>IFERROR(VLOOKUP(D424,الموظفون!A:L,2,FALSE),"")</f>
        <v/>
      </c>
      <c r="F424" s="3"/>
      <c r="G424" s="3"/>
      <c r="H424" s="3"/>
      <c r="I424" s="3"/>
      <c r="J424" s="3"/>
      <c r="K424" s="3" t="str">
        <f>IF(B424="","",IF(OR(D424="",F424=""),"ناقص بيانات",IF(F424="نعم","مكتمل","غائب")))</f>
        <v/>
      </c>
      <c r="L424" s="3"/>
    </row>
    <row r="425" spans="1:12" x14ac:dyDescent="0.2">
      <c r="A425" s="3" t="s">
        <v>571</v>
      </c>
      <c r="B425" s="3"/>
      <c r="C425" s="3" t="str">
        <f>IFERROR(VLOOKUP(B425,الخطة!A:O,4,FALSE),"")</f>
        <v/>
      </c>
      <c r="D425" s="3"/>
      <c r="E425" s="3" t="str">
        <f>IFERROR(VLOOKUP(D425,الموظفون!A:L,2,FALSE),"")</f>
        <v/>
      </c>
      <c r="F425" s="3"/>
      <c r="G425" s="3"/>
      <c r="H425" s="3"/>
      <c r="I425" s="3"/>
      <c r="J425" s="3"/>
      <c r="K425" s="3" t="str">
        <f>IF(B425="","",IF(OR(D425="",F425=""),"ناقص بيانات",IF(F425="نعم","مكتمل","غائب")))</f>
        <v/>
      </c>
      <c r="L425" s="3"/>
    </row>
    <row r="426" spans="1:12" x14ac:dyDescent="0.2">
      <c r="A426" s="3" t="s">
        <v>572</v>
      </c>
      <c r="B426" s="3"/>
      <c r="C426" s="3" t="str">
        <f>IFERROR(VLOOKUP(B426,الخطة!A:O,4,FALSE),"")</f>
        <v/>
      </c>
      <c r="D426" s="3"/>
      <c r="E426" s="3" t="str">
        <f>IFERROR(VLOOKUP(D426,الموظفون!A:L,2,FALSE),"")</f>
        <v/>
      </c>
      <c r="F426" s="3"/>
      <c r="G426" s="3"/>
      <c r="H426" s="3"/>
      <c r="I426" s="3"/>
      <c r="J426" s="3"/>
      <c r="K426" s="3" t="str">
        <f>IF(B426="","",IF(OR(D426="",F426=""),"ناقص بيانات",IF(F426="نعم","مكتمل","غائب")))</f>
        <v/>
      </c>
      <c r="L426" s="3"/>
    </row>
    <row r="427" spans="1:12" x14ac:dyDescent="0.2">
      <c r="A427" s="3" t="s">
        <v>573</v>
      </c>
      <c r="B427" s="3"/>
      <c r="C427" s="3" t="str">
        <f>IFERROR(VLOOKUP(B427,الخطة!A:O,4,FALSE),"")</f>
        <v/>
      </c>
      <c r="D427" s="3"/>
      <c r="E427" s="3" t="str">
        <f>IFERROR(VLOOKUP(D427,الموظفون!A:L,2,FALSE),"")</f>
        <v/>
      </c>
      <c r="F427" s="3"/>
      <c r="G427" s="3"/>
      <c r="H427" s="3"/>
      <c r="I427" s="3"/>
      <c r="J427" s="3"/>
      <c r="K427" s="3" t="str">
        <f>IF(B427="","",IF(OR(D427="",F427=""),"ناقص بيانات",IF(F427="نعم","مكتمل","غائب")))</f>
        <v/>
      </c>
      <c r="L427" s="3"/>
    </row>
    <row r="428" spans="1:12" x14ac:dyDescent="0.2">
      <c r="A428" s="3" t="s">
        <v>574</v>
      </c>
      <c r="B428" s="3"/>
      <c r="C428" s="3" t="str">
        <f>IFERROR(VLOOKUP(B428,الخطة!A:O,4,FALSE),"")</f>
        <v/>
      </c>
      <c r="D428" s="3"/>
      <c r="E428" s="3" t="str">
        <f>IFERROR(VLOOKUP(D428,الموظفون!A:L,2,FALSE),"")</f>
        <v/>
      </c>
      <c r="F428" s="3"/>
      <c r="G428" s="3"/>
      <c r="H428" s="3"/>
      <c r="I428" s="3"/>
      <c r="J428" s="3"/>
      <c r="K428" s="3" t="str">
        <f>IF(B428="","",IF(OR(D428="",F428=""),"ناقص بيانات",IF(F428="نعم","مكتمل","غائب")))</f>
        <v/>
      </c>
      <c r="L428" s="3"/>
    </row>
    <row r="429" spans="1:12" x14ac:dyDescent="0.2">
      <c r="A429" s="3" t="s">
        <v>575</v>
      </c>
      <c r="B429" s="3"/>
      <c r="C429" s="3" t="str">
        <f>IFERROR(VLOOKUP(B429,الخطة!A:O,4,FALSE),"")</f>
        <v/>
      </c>
      <c r="D429" s="3"/>
      <c r="E429" s="3" t="str">
        <f>IFERROR(VLOOKUP(D429,الموظفون!A:L,2,FALSE),"")</f>
        <v/>
      </c>
      <c r="F429" s="3"/>
      <c r="G429" s="3"/>
      <c r="H429" s="3"/>
      <c r="I429" s="3"/>
      <c r="J429" s="3"/>
      <c r="K429" s="3" t="str">
        <f>IF(B429="","",IF(OR(D429="",F429=""),"ناقص بيانات",IF(F429="نعم","مكتمل","غائب")))</f>
        <v/>
      </c>
      <c r="L429" s="3"/>
    </row>
    <row r="430" spans="1:12" x14ac:dyDescent="0.2">
      <c r="A430" s="3" t="s">
        <v>576</v>
      </c>
      <c r="B430" s="3"/>
      <c r="C430" s="3" t="str">
        <f>IFERROR(VLOOKUP(B430,الخطة!A:O,4,FALSE),"")</f>
        <v/>
      </c>
      <c r="D430" s="3"/>
      <c r="E430" s="3" t="str">
        <f>IFERROR(VLOOKUP(D430,الموظفون!A:L,2,FALSE),"")</f>
        <v/>
      </c>
      <c r="F430" s="3"/>
      <c r="G430" s="3"/>
      <c r="H430" s="3"/>
      <c r="I430" s="3"/>
      <c r="J430" s="3"/>
      <c r="K430" s="3" t="str">
        <f>IF(B430="","",IF(OR(D430="",F430=""),"ناقص بيانات",IF(F430="نعم","مكتمل","غائب")))</f>
        <v/>
      </c>
      <c r="L430" s="3"/>
    </row>
    <row r="431" spans="1:12" x14ac:dyDescent="0.2">
      <c r="A431" s="3" t="s">
        <v>577</v>
      </c>
      <c r="B431" s="3"/>
      <c r="C431" s="3" t="str">
        <f>IFERROR(VLOOKUP(B431,الخطة!A:O,4,FALSE),"")</f>
        <v/>
      </c>
      <c r="D431" s="3"/>
      <c r="E431" s="3" t="str">
        <f>IFERROR(VLOOKUP(D431,الموظفون!A:L,2,FALSE),"")</f>
        <v/>
      </c>
      <c r="F431" s="3"/>
      <c r="G431" s="3"/>
      <c r="H431" s="3"/>
      <c r="I431" s="3"/>
      <c r="J431" s="3"/>
      <c r="K431" s="3" t="str">
        <f>IF(B431="","",IF(OR(D431="",F431=""),"ناقص بيانات",IF(F431="نعم","مكتمل","غائب")))</f>
        <v/>
      </c>
      <c r="L431" s="3"/>
    </row>
    <row r="432" spans="1:12" x14ac:dyDescent="0.2">
      <c r="A432" s="3" t="s">
        <v>578</v>
      </c>
      <c r="B432" s="3"/>
      <c r="C432" s="3" t="str">
        <f>IFERROR(VLOOKUP(B432,الخطة!A:O,4,FALSE),"")</f>
        <v/>
      </c>
      <c r="D432" s="3"/>
      <c r="E432" s="3" t="str">
        <f>IFERROR(VLOOKUP(D432,الموظفون!A:L,2,FALSE),"")</f>
        <v/>
      </c>
      <c r="F432" s="3"/>
      <c r="G432" s="3"/>
      <c r="H432" s="3"/>
      <c r="I432" s="3"/>
      <c r="J432" s="3"/>
      <c r="K432" s="3" t="str">
        <f>IF(B432="","",IF(OR(D432="",F432=""),"ناقص بيانات",IF(F432="نعم","مكتمل","غائب")))</f>
        <v/>
      </c>
      <c r="L432" s="3"/>
    </row>
    <row r="433" spans="1:12" x14ac:dyDescent="0.2">
      <c r="A433" s="3" t="s">
        <v>579</v>
      </c>
      <c r="B433" s="3"/>
      <c r="C433" s="3" t="str">
        <f>IFERROR(VLOOKUP(B433,الخطة!A:O,4,FALSE),"")</f>
        <v/>
      </c>
      <c r="D433" s="3"/>
      <c r="E433" s="3" t="str">
        <f>IFERROR(VLOOKUP(D433,الموظفون!A:L,2,FALSE),"")</f>
        <v/>
      </c>
      <c r="F433" s="3"/>
      <c r="G433" s="3"/>
      <c r="H433" s="3"/>
      <c r="I433" s="3"/>
      <c r="J433" s="3"/>
      <c r="K433" s="3" t="str">
        <f>IF(B433="","",IF(OR(D433="",F433=""),"ناقص بيانات",IF(F433="نعم","مكتمل","غائب")))</f>
        <v/>
      </c>
      <c r="L433" s="3"/>
    </row>
    <row r="434" spans="1:12" x14ac:dyDescent="0.2">
      <c r="A434" s="3" t="s">
        <v>580</v>
      </c>
      <c r="B434" s="3"/>
      <c r="C434" s="3" t="str">
        <f>IFERROR(VLOOKUP(B434,الخطة!A:O,4,FALSE),"")</f>
        <v/>
      </c>
      <c r="D434" s="3"/>
      <c r="E434" s="3" t="str">
        <f>IFERROR(VLOOKUP(D434,الموظفون!A:L,2,FALSE),"")</f>
        <v/>
      </c>
      <c r="F434" s="3"/>
      <c r="G434" s="3"/>
      <c r="H434" s="3"/>
      <c r="I434" s="3"/>
      <c r="J434" s="3"/>
      <c r="K434" s="3" t="str">
        <f>IF(B434="","",IF(OR(D434="",F434=""),"ناقص بيانات",IF(F434="نعم","مكتمل","غائب")))</f>
        <v/>
      </c>
      <c r="L434" s="3"/>
    </row>
    <row r="435" spans="1:12" x14ac:dyDescent="0.2">
      <c r="A435" s="3" t="s">
        <v>581</v>
      </c>
      <c r="B435" s="3"/>
      <c r="C435" s="3" t="str">
        <f>IFERROR(VLOOKUP(B435,الخطة!A:O,4,FALSE),"")</f>
        <v/>
      </c>
      <c r="D435" s="3"/>
      <c r="E435" s="3" t="str">
        <f>IFERROR(VLOOKUP(D435,الموظفون!A:L,2,FALSE),"")</f>
        <v/>
      </c>
      <c r="F435" s="3"/>
      <c r="G435" s="3"/>
      <c r="H435" s="3"/>
      <c r="I435" s="3"/>
      <c r="J435" s="3"/>
      <c r="K435" s="3" t="str">
        <f>IF(B435="","",IF(OR(D435="",F435=""),"ناقص بيانات",IF(F435="نعم","مكتمل","غائب")))</f>
        <v/>
      </c>
      <c r="L435" s="3"/>
    </row>
    <row r="436" spans="1:12" x14ac:dyDescent="0.2">
      <c r="A436" s="3" t="s">
        <v>582</v>
      </c>
      <c r="B436" s="3"/>
      <c r="C436" s="3" t="str">
        <f>IFERROR(VLOOKUP(B436,الخطة!A:O,4,FALSE),"")</f>
        <v/>
      </c>
      <c r="D436" s="3"/>
      <c r="E436" s="3" t="str">
        <f>IFERROR(VLOOKUP(D436,الموظفون!A:L,2,FALSE),"")</f>
        <v/>
      </c>
      <c r="F436" s="3"/>
      <c r="G436" s="3"/>
      <c r="H436" s="3"/>
      <c r="I436" s="3"/>
      <c r="J436" s="3"/>
      <c r="K436" s="3" t="str">
        <f>IF(B436="","",IF(OR(D436="",F436=""),"ناقص بيانات",IF(F436="نعم","مكتمل","غائب")))</f>
        <v/>
      </c>
      <c r="L436" s="3"/>
    </row>
    <row r="437" spans="1:12" x14ac:dyDescent="0.2">
      <c r="A437" s="3" t="s">
        <v>583</v>
      </c>
      <c r="B437" s="3"/>
      <c r="C437" s="3" t="str">
        <f>IFERROR(VLOOKUP(B437,الخطة!A:O,4,FALSE),"")</f>
        <v/>
      </c>
      <c r="D437" s="3"/>
      <c r="E437" s="3" t="str">
        <f>IFERROR(VLOOKUP(D437,الموظفون!A:L,2,FALSE),"")</f>
        <v/>
      </c>
      <c r="F437" s="3"/>
      <c r="G437" s="3"/>
      <c r="H437" s="3"/>
      <c r="I437" s="3"/>
      <c r="J437" s="3"/>
      <c r="K437" s="3" t="str">
        <f>IF(B437="","",IF(OR(D437="",F437=""),"ناقص بيانات",IF(F437="نعم","مكتمل","غائب")))</f>
        <v/>
      </c>
      <c r="L437" s="3"/>
    </row>
    <row r="438" spans="1:12" x14ac:dyDescent="0.2">
      <c r="A438" s="3" t="s">
        <v>584</v>
      </c>
      <c r="B438" s="3"/>
      <c r="C438" s="3" t="str">
        <f>IFERROR(VLOOKUP(B438,الخطة!A:O,4,FALSE),"")</f>
        <v/>
      </c>
      <c r="D438" s="3"/>
      <c r="E438" s="3" t="str">
        <f>IFERROR(VLOOKUP(D438,الموظفون!A:L,2,FALSE),"")</f>
        <v/>
      </c>
      <c r="F438" s="3"/>
      <c r="G438" s="3"/>
      <c r="H438" s="3"/>
      <c r="I438" s="3"/>
      <c r="J438" s="3"/>
      <c r="K438" s="3" t="str">
        <f>IF(B438="","",IF(OR(D438="",F438=""),"ناقص بيانات",IF(F438="نعم","مكتمل","غائب")))</f>
        <v/>
      </c>
      <c r="L438" s="3"/>
    </row>
    <row r="439" spans="1:12" x14ac:dyDescent="0.2">
      <c r="A439" s="3" t="s">
        <v>585</v>
      </c>
      <c r="B439" s="3"/>
      <c r="C439" s="3" t="str">
        <f>IFERROR(VLOOKUP(B439,الخطة!A:O,4,FALSE),"")</f>
        <v/>
      </c>
      <c r="D439" s="3"/>
      <c r="E439" s="3" t="str">
        <f>IFERROR(VLOOKUP(D439,الموظفون!A:L,2,FALSE),"")</f>
        <v/>
      </c>
      <c r="F439" s="3"/>
      <c r="G439" s="3"/>
      <c r="H439" s="3"/>
      <c r="I439" s="3"/>
      <c r="J439" s="3"/>
      <c r="K439" s="3" t="str">
        <f>IF(B439="","",IF(OR(D439="",F439=""),"ناقص بيانات",IF(F439="نعم","مكتمل","غائب")))</f>
        <v/>
      </c>
      <c r="L439" s="3"/>
    </row>
    <row r="440" spans="1:12" x14ac:dyDescent="0.2">
      <c r="A440" s="3" t="s">
        <v>586</v>
      </c>
      <c r="B440" s="3"/>
      <c r="C440" s="3" t="str">
        <f>IFERROR(VLOOKUP(B440,الخطة!A:O,4,FALSE),"")</f>
        <v/>
      </c>
      <c r="D440" s="3"/>
      <c r="E440" s="3" t="str">
        <f>IFERROR(VLOOKUP(D440,الموظفون!A:L,2,FALSE),"")</f>
        <v/>
      </c>
      <c r="F440" s="3"/>
      <c r="G440" s="3"/>
      <c r="H440" s="3"/>
      <c r="I440" s="3"/>
      <c r="J440" s="3"/>
      <c r="K440" s="3" t="str">
        <f>IF(B440="","",IF(OR(D440="",F440=""),"ناقص بيانات",IF(F440="نعم","مكتمل","غائب")))</f>
        <v/>
      </c>
      <c r="L440" s="3"/>
    </row>
    <row r="441" spans="1:12" x14ac:dyDescent="0.2">
      <c r="A441" s="3" t="s">
        <v>587</v>
      </c>
      <c r="B441" s="3"/>
      <c r="C441" s="3" t="str">
        <f>IFERROR(VLOOKUP(B441,الخطة!A:O,4,FALSE),"")</f>
        <v/>
      </c>
      <c r="D441" s="3"/>
      <c r="E441" s="3" t="str">
        <f>IFERROR(VLOOKUP(D441,الموظفون!A:L,2,FALSE),"")</f>
        <v/>
      </c>
      <c r="F441" s="3"/>
      <c r="G441" s="3"/>
      <c r="H441" s="3"/>
      <c r="I441" s="3"/>
      <c r="J441" s="3"/>
      <c r="K441" s="3" t="str">
        <f>IF(B441="","",IF(OR(D441="",F441=""),"ناقص بيانات",IF(F441="نعم","مكتمل","غائب")))</f>
        <v/>
      </c>
      <c r="L441" s="3"/>
    </row>
    <row r="442" spans="1:12" x14ac:dyDescent="0.2">
      <c r="A442" s="3" t="s">
        <v>588</v>
      </c>
      <c r="B442" s="3"/>
      <c r="C442" s="3" t="str">
        <f>IFERROR(VLOOKUP(B442,الخطة!A:O,4,FALSE),"")</f>
        <v/>
      </c>
      <c r="D442" s="3"/>
      <c r="E442" s="3" t="str">
        <f>IFERROR(VLOOKUP(D442,الموظفون!A:L,2,FALSE),"")</f>
        <v/>
      </c>
      <c r="F442" s="3"/>
      <c r="G442" s="3"/>
      <c r="H442" s="3"/>
      <c r="I442" s="3"/>
      <c r="J442" s="3"/>
      <c r="K442" s="3" t="str">
        <f>IF(B442="","",IF(OR(D442="",F442=""),"ناقص بيانات",IF(F442="نعم","مكتمل","غائب")))</f>
        <v/>
      </c>
      <c r="L442" s="3"/>
    </row>
    <row r="443" spans="1:12" x14ac:dyDescent="0.2">
      <c r="A443" s="3" t="s">
        <v>589</v>
      </c>
      <c r="B443" s="3"/>
      <c r="C443" s="3" t="str">
        <f>IFERROR(VLOOKUP(B443,الخطة!A:O,4,FALSE),"")</f>
        <v/>
      </c>
      <c r="D443" s="3"/>
      <c r="E443" s="3" t="str">
        <f>IFERROR(VLOOKUP(D443,الموظفون!A:L,2,FALSE),"")</f>
        <v/>
      </c>
      <c r="F443" s="3"/>
      <c r="G443" s="3"/>
      <c r="H443" s="3"/>
      <c r="I443" s="3"/>
      <c r="J443" s="3"/>
      <c r="K443" s="3" t="str">
        <f>IF(B443="","",IF(OR(D443="",F443=""),"ناقص بيانات",IF(F443="نعم","مكتمل","غائب")))</f>
        <v/>
      </c>
      <c r="L443" s="3"/>
    </row>
    <row r="444" spans="1:12" x14ac:dyDescent="0.2">
      <c r="A444" s="3" t="s">
        <v>590</v>
      </c>
      <c r="B444" s="3"/>
      <c r="C444" s="3" t="str">
        <f>IFERROR(VLOOKUP(B444,الخطة!A:O,4,FALSE),"")</f>
        <v/>
      </c>
      <c r="D444" s="3"/>
      <c r="E444" s="3" t="str">
        <f>IFERROR(VLOOKUP(D444,الموظفون!A:L,2,FALSE),"")</f>
        <v/>
      </c>
      <c r="F444" s="3"/>
      <c r="G444" s="3"/>
      <c r="H444" s="3"/>
      <c r="I444" s="3"/>
      <c r="J444" s="3"/>
      <c r="K444" s="3" t="str">
        <f>IF(B444="","",IF(OR(D444="",F444=""),"ناقص بيانات",IF(F444="نعم","مكتمل","غائب")))</f>
        <v/>
      </c>
      <c r="L444" s="3"/>
    </row>
    <row r="445" spans="1:12" x14ac:dyDescent="0.2">
      <c r="A445" s="3" t="s">
        <v>591</v>
      </c>
      <c r="B445" s="3"/>
      <c r="C445" s="3" t="str">
        <f>IFERROR(VLOOKUP(B445,الخطة!A:O,4,FALSE),"")</f>
        <v/>
      </c>
      <c r="D445" s="3"/>
      <c r="E445" s="3" t="str">
        <f>IFERROR(VLOOKUP(D445,الموظفون!A:L,2,FALSE),"")</f>
        <v/>
      </c>
      <c r="F445" s="3"/>
      <c r="G445" s="3"/>
      <c r="H445" s="3"/>
      <c r="I445" s="3"/>
      <c r="J445" s="3"/>
      <c r="K445" s="3" t="str">
        <f>IF(B445="","",IF(OR(D445="",F445=""),"ناقص بيانات",IF(F445="نعم","مكتمل","غائب")))</f>
        <v/>
      </c>
      <c r="L445" s="3"/>
    </row>
    <row r="446" spans="1:12" x14ac:dyDescent="0.2">
      <c r="A446" s="3" t="s">
        <v>592</v>
      </c>
      <c r="B446" s="3"/>
      <c r="C446" s="3" t="str">
        <f>IFERROR(VLOOKUP(B446,الخطة!A:O,4,FALSE),"")</f>
        <v/>
      </c>
      <c r="D446" s="3"/>
      <c r="E446" s="3" t="str">
        <f>IFERROR(VLOOKUP(D446,الموظفون!A:L,2,FALSE),"")</f>
        <v/>
      </c>
      <c r="F446" s="3"/>
      <c r="G446" s="3"/>
      <c r="H446" s="3"/>
      <c r="I446" s="3"/>
      <c r="J446" s="3"/>
      <c r="K446" s="3" t="str">
        <f>IF(B446="","",IF(OR(D446="",F446=""),"ناقص بيانات",IF(F446="نعم","مكتمل","غائب")))</f>
        <v/>
      </c>
      <c r="L446" s="3"/>
    </row>
    <row r="447" spans="1:12" x14ac:dyDescent="0.2">
      <c r="A447" s="3" t="s">
        <v>593</v>
      </c>
      <c r="B447" s="3"/>
      <c r="C447" s="3" t="str">
        <f>IFERROR(VLOOKUP(B447,الخطة!A:O,4,FALSE),"")</f>
        <v/>
      </c>
      <c r="D447" s="3"/>
      <c r="E447" s="3" t="str">
        <f>IFERROR(VLOOKUP(D447,الموظفون!A:L,2,FALSE),"")</f>
        <v/>
      </c>
      <c r="F447" s="3"/>
      <c r="G447" s="3"/>
      <c r="H447" s="3"/>
      <c r="I447" s="3"/>
      <c r="J447" s="3"/>
      <c r="K447" s="3" t="str">
        <f>IF(B447="","",IF(OR(D447="",F447=""),"ناقص بيانات",IF(F447="نعم","مكتمل","غائب")))</f>
        <v/>
      </c>
      <c r="L447" s="3"/>
    </row>
    <row r="448" spans="1:12" x14ac:dyDescent="0.2">
      <c r="A448" s="3" t="s">
        <v>594</v>
      </c>
      <c r="B448" s="3"/>
      <c r="C448" s="3" t="str">
        <f>IFERROR(VLOOKUP(B448,الخطة!A:O,4,FALSE),"")</f>
        <v/>
      </c>
      <c r="D448" s="3"/>
      <c r="E448" s="3" t="str">
        <f>IFERROR(VLOOKUP(D448,الموظفون!A:L,2,FALSE),"")</f>
        <v/>
      </c>
      <c r="F448" s="3"/>
      <c r="G448" s="3"/>
      <c r="H448" s="3"/>
      <c r="I448" s="3"/>
      <c r="J448" s="3"/>
      <c r="K448" s="3" t="str">
        <f>IF(B448="","",IF(OR(D448="",F448=""),"ناقص بيانات",IF(F448="نعم","مكتمل","غائب")))</f>
        <v/>
      </c>
      <c r="L448" s="3"/>
    </row>
    <row r="449" spans="1:12" x14ac:dyDescent="0.2">
      <c r="A449" s="3" t="s">
        <v>595</v>
      </c>
      <c r="B449" s="3"/>
      <c r="C449" s="3" t="str">
        <f>IFERROR(VLOOKUP(B449,الخطة!A:O,4,FALSE),"")</f>
        <v/>
      </c>
      <c r="D449" s="3"/>
      <c r="E449" s="3" t="str">
        <f>IFERROR(VLOOKUP(D449,الموظفون!A:L,2,FALSE),"")</f>
        <v/>
      </c>
      <c r="F449" s="3"/>
      <c r="G449" s="3"/>
      <c r="H449" s="3"/>
      <c r="I449" s="3"/>
      <c r="J449" s="3"/>
      <c r="K449" s="3" t="str">
        <f>IF(B449="","",IF(OR(D449="",F449=""),"ناقص بيانات",IF(F449="نعم","مكتمل","غائب")))</f>
        <v/>
      </c>
      <c r="L449" s="3"/>
    </row>
    <row r="450" spans="1:12" x14ac:dyDescent="0.2">
      <c r="A450" s="3" t="s">
        <v>596</v>
      </c>
      <c r="B450" s="3"/>
      <c r="C450" s="3" t="str">
        <f>IFERROR(VLOOKUP(B450,الخطة!A:O,4,FALSE),"")</f>
        <v/>
      </c>
      <c r="D450" s="3"/>
      <c r="E450" s="3" t="str">
        <f>IFERROR(VLOOKUP(D450,الموظفون!A:L,2,FALSE),"")</f>
        <v/>
      </c>
      <c r="F450" s="3"/>
      <c r="G450" s="3"/>
      <c r="H450" s="3"/>
      <c r="I450" s="3"/>
      <c r="J450" s="3"/>
      <c r="K450" s="3" t="str">
        <f>IF(B450="","",IF(OR(D450="",F450=""),"ناقص بيانات",IF(F450="نعم","مكتمل","غائب")))</f>
        <v/>
      </c>
      <c r="L450" s="3"/>
    </row>
    <row r="451" spans="1:12" x14ac:dyDescent="0.2">
      <c r="A451" s="3" t="s">
        <v>597</v>
      </c>
      <c r="B451" s="3"/>
      <c r="C451" s="3" t="str">
        <f>IFERROR(VLOOKUP(B451,الخطة!A:O,4,FALSE),"")</f>
        <v/>
      </c>
      <c r="D451" s="3"/>
      <c r="E451" s="3" t="str">
        <f>IFERROR(VLOOKUP(D451,الموظفون!A:L,2,FALSE),"")</f>
        <v/>
      </c>
      <c r="F451" s="3"/>
      <c r="G451" s="3"/>
      <c r="H451" s="3"/>
      <c r="I451" s="3"/>
      <c r="J451" s="3"/>
      <c r="K451" s="3" t="str">
        <f>IF(B451="","",IF(OR(D451="",F451=""),"ناقص بيانات",IF(F451="نعم","مكتمل","غائب")))</f>
        <v/>
      </c>
      <c r="L451" s="3"/>
    </row>
    <row r="452" spans="1:12" x14ac:dyDescent="0.2">
      <c r="A452" s="3" t="s">
        <v>598</v>
      </c>
      <c r="B452" s="3"/>
      <c r="C452" s="3" t="str">
        <f>IFERROR(VLOOKUP(B452,الخطة!A:O,4,FALSE),"")</f>
        <v/>
      </c>
      <c r="D452" s="3"/>
      <c r="E452" s="3" t="str">
        <f>IFERROR(VLOOKUP(D452,الموظفون!A:L,2,FALSE),"")</f>
        <v/>
      </c>
      <c r="F452" s="3"/>
      <c r="G452" s="3"/>
      <c r="H452" s="3"/>
      <c r="I452" s="3"/>
      <c r="J452" s="3"/>
      <c r="K452" s="3" t="str">
        <f>IF(B452="","",IF(OR(D452="",F452=""),"ناقص بيانات",IF(F452="نعم","مكتمل","غائب")))</f>
        <v/>
      </c>
      <c r="L452" s="3"/>
    </row>
    <row r="453" spans="1:12" x14ac:dyDescent="0.2">
      <c r="A453" s="3" t="s">
        <v>599</v>
      </c>
      <c r="B453" s="3"/>
      <c r="C453" s="3" t="str">
        <f>IFERROR(VLOOKUP(B453,الخطة!A:O,4,FALSE),"")</f>
        <v/>
      </c>
      <c r="D453" s="3"/>
      <c r="E453" s="3" t="str">
        <f>IFERROR(VLOOKUP(D453,الموظفون!A:L,2,FALSE),"")</f>
        <v/>
      </c>
      <c r="F453" s="3"/>
      <c r="G453" s="3"/>
      <c r="H453" s="3"/>
      <c r="I453" s="3"/>
      <c r="J453" s="3"/>
      <c r="K453" s="3" t="str">
        <f>IF(B453="","",IF(OR(D453="",F453=""),"ناقص بيانات",IF(F453="نعم","مكتمل","غائب")))</f>
        <v/>
      </c>
      <c r="L453" s="3"/>
    </row>
    <row r="454" spans="1:12" x14ac:dyDescent="0.2">
      <c r="A454" s="3" t="s">
        <v>600</v>
      </c>
      <c r="B454" s="3"/>
      <c r="C454" s="3" t="str">
        <f>IFERROR(VLOOKUP(B454,الخطة!A:O,4,FALSE),"")</f>
        <v/>
      </c>
      <c r="D454" s="3"/>
      <c r="E454" s="3" t="str">
        <f>IFERROR(VLOOKUP(D454,الموظفون!A:L,2,FALSE),"")</f>
        <v/>
      </c>
      <c r="F454" s="3"/>
      <c r="G454" s="3"/>
      <c r="H454" s="3"/>
      <c r="I454" s="3"/>
      <c r="J454" s="3"/>
      <c r="K454" s="3" t="str">
        <f>IF(B454="","",IF(OR(D454="",F454=""),"ناقص بيانات",IF(F454="نعم","مكتمل","غائب")))</f>
        <v/>
      </c>
      <c r="L454" s="3"/>
    </row>
    <row r="455" spans="1:12" x14ac:dyDescent="0.2">
      <c r="A455" s="3" t="s">
        <v>601</v>
      </c>
      <c r="B455" s="3"/>
      <c r="C455" s="3" t="str">
        <f>IFERROR(VLOOKUP(B455,الخطة!A:O,4,FALSE),"")</f>
        <v/>
      </c>
      <c r="D455" s="3"/>
      <c r="E455" s="3" t="str">
        <f>IFERROR(VLOOKUP(D455,الموظفون!A:L,2,FALSE),"")</f>
        <v/>
      </c>
      <c r="F455" s="3"/>
      <c r="G455" s="3"/>
      <c r="H455" s="3"/>
      <c r="I455" s="3"/>
      <c r="J455" s="3"/>
      <c r="K455" s="3" t="str">
        <f>IF(B455="","",IF(OR(D455="",F455=""),"ناقص بيانات",IF(F455="نعم","مكتمل","غائب")))</f>
        <v/>
      </c>
      <c r="L455" s="3"/>
    </row>
    <row r="456" spans="1:12" x14ac:dyDescent="0.2">
      <c r="A456" s="3" t="s">
        <v>602</v>
      </c>
      <c r="B456" s="3"/>
      <c r="C456" s="3" t="str">
        <f>IFERROR(VLOOKUP(B456,الخطة!A:O,4,FALSE),"")</f>
        <v/>
      </c>
      <c r="D456" s="3"/>
      <c r="E456" s="3" t="str">
        <f>IFERROR(VLOOKUP(D456,الموظفون!A:L,2,FALSE),"")</f>
        <v/>
      </c>
      <c r="F456" s="3"/>
      <c r="G456" s="3"/>
      <c r="H456" s="3"/>
      <c r="I456" s="3"/>
      <c r="J456" s="3"/>
      <c r="K456" s="3" t="str">
        <f>IF(B456="","",IF(OR(D456="",F456=""),"ناقص بيانات",IF(F456="نعم","مكتمل","غائب")))</f>
        <v/>
      </c>
      <c r="L456" s="3"/>
    </row>
    <row r="457" spans="1:12" x14ac:dyDescent="0.2">
      <c r="A457" s="3" t="s">
        <v>603</v>
      </c>
      <c r="B457" s="3"/>
      <c r="C457" s="3" t="str">
        <f>IFERROR(VLOOKUP(B457,الخطة!A:O,4,FALSE),"")</f>
        <v/>
      </c>
      <c r="D457" s="3"/>
      <c r="E457" s="3" t="str">
        <f>IFERROR(VLOOKUP(D457,الموظفون!A:L,2,FALSE),"")</f>
        <v/>
      </c>
      <c r="F457" s="3"/>
      <c r="G457" s="3"/>
      <c r="H457" s="3"/>
      <c r="I457" s="3"/>
      <c r="J457" s="3"/>
      <c r="K457" s="3" t="str">
        <f>IF(B457="","",IF(OR(D457="",F457=""),"ناقص بيانات",IF(F457="نعم","مكتمل","غائب")))</f>
        <v/>
      </c>
      <c r="L457" s="3"/>
    </row>
    <row r="458" spans="1:12" x14ac:dyDescent="0.2">
      <c r="A458" s="3" t="s">
        <v>604</v>
      </c>
      <c r="B458" s="3"/>
      <c r="C458" s="3" t="str">
        <f>IFERROR(VLOOKUP(B458,الخطة!A:O,4,FALSE),"")</f>
        <v/>
      </c>
      <c r="D458" s="3"/>
      <c r="E458" s="3" t="str">
        <f>IFERROR(VLOOKUP(D458,الموظفون!A:L,2,FALSE),"")</f>
        <v/>
      </c>
      <c r="F458" s="3"/>
      <c r="G458" s="3"/>
      <c r="H458" s="3"/>
      <c r="I458" s="3"/>
      <c r="J458" s="3"/>
      <c r="K458" s="3" t="str">
        <f>IF(B458="","",IF(OR(D458="",F458=""),"ناقص بيانات",IF(F458="نعم","مكتمل","غائب")))</f>
        <v/>
      </c>
      <c r="L458" s="3"/>
    </row>
    <row r="459" spans="1:12" x14ac:dyDescent="0.2">
      <c r="A459" s="3" t="s">
        <v>605</v>
      </c>
      <c r="B459" s="3"/>
      <c r="C459" s="3" t="str">
        <f>IFERROR(VLOOKUP(B459,الخطة!A:O,4,FALSE),"")</f>
        <v/>
      </c>
      <c r="D459" s="3"/>
      <c r="E459" s="3" t="str">
        <f>IFERROR(VLOOKUP(D459,الموظفون!A:L,2,FALSE),"")</f>
        <v/>
      </c>
      <c r="F459" s="3"/>
      <c r="G459" s="3"/>
      <c r="H459" s="3"/>
      <c r="I459" s="3"/>
      <c r="J459" s="3"/>
      <c r="K459" s="3" t="str">
        <f>IF(B459="","",IF(OR(D459="",F459=""),"ناقص بيانات",IF(F459="نعم","مكتمل","غائب")))</f>
        <v/>
      </c>
      <c r="L459" s="3"/>
    </row>
    <row r="460" spans="1:12" x14ac:dyDescent="0.2">
      <c r="A460" s="3" t="s">
        <v>606</v>
      </c>
      <c r="B460" s="3"/>
      <c r="C460" s="3" t="str">
        <f>IFERROR(VLOOKUP(B460,الخطة!A:O,4,FALSE),"")</f>
        <v/>
      </c>
      <c r="D460" s="3"/>
      <c r="E460" s="3" t="str">
        <f>IFERROR(VLOOKUP(D460,الموظفون!A:L,2,FALSE),"")</f>
        <v/>
      </c>
      <c r="F460" s="3"/>
      <c r="G460" s="3"/>
      <c r="H460" s="3"/>
      <c r="I460" s="3"/>
      <c r="J460" s="3"/>
      <c r="K460" s="3" t="str">
        <f>IF(B460="","",IF(OR(D460="",F460=""),"ناقص بيانات",IF(F460="نعم","مكتمل","غائب")))</f>
        <v/>
      </c>
      <c r="L460" s="3"/>
    </row>
    <row r="461" spans="1:12" x14ac:dyDescent="0.2">
      <c r="A461" s="3" t="s">
        <v>607</v>
      </c>
      <c r="B461" s="3"/>
      <c r="C461" s="3" t="str">
        <f>IFERROR(VLOOKUP(B461,الخطة!A:O,4,FALSE),"")</f>
        <v/>
      </c>
      <c r="D461" s="3"/>
      <c r="E461" s="3" t="str">
        <f>IFERROR(VLOOKUP(D461,الموظفون!A:L,2,FALSE),"")</f>
        <v/>
      </c>
      <c r="F461" s="3"/>
      <c r="G461" s="3"/>
      <c r="H461" s="3"/>
      <c r="I461" s="3"/>
      <c r="J461" s="3"/>
      <c r="K461" s="3" t="str">
        <f>IF(B461="","",IF(OR(D461="",F461=""),"ناقص بيانات",IF(F461="نعم","مكتمل","غائب")))</f>
        <v/>
      </c>
      <c r="L461" s="3"/>
    </row>
    <row r="462" spans="1:12" x14ac:dyDescent="0.2">
      <c r="A462" s="3" t="s">
        <v>608</v>
      </c>
      <c r="B462" s="3"/>
      <c r="C462" s="3" t="str">
        <f>IFERROR(VLOOKUP(B462,الخطة!A:O,4,FALSE),"")</f>
        <v/>
      </c>
      <c r="D462" s="3"/>
      <c r="E462" s="3" t="str">
        <f>IFERROR(VLOOKUP(D462,الموظفون!A:L,2,FALSE),"")</f>
        <v/>
      </c>
      <c r="F462" s="3"/>
      <c r="G462" s="3"/>
      <c r="H462" s="3"/>
      <c r="I462" s="3"/>
      <c r="J462" s="3"/>
      <c r="K462" s="3" t="str">
        <f>IF(B462="","",IF(OR(D462="",F462=""),"ناقص بيانات",IF(F462="نعم","مكتمل","غائب")))</f>
        <v/>
      </c>
      <c r="L462" s="3"/>
    </row>
    <row r="463" spans="1:12" x14ac:dyDescent="0.2">
      <c r="A463" s="3" t="s">
        <v>609</v>
      </c>
      <c r="B463" s="3"/>
      <c r="C463" s="3" t="str">
        <f>IFERROR(VLOOKUP(B463,الخطة!A:O,4,FALSE),"")</f>
        <v/>
      </c>
      <c r="D463" s="3"/>
      <c r="E463" s="3" t="str">
        <f>IFERROR(VLOOKUP(D463,الموظفون!A:L,2,FALSE),"")</f>
        <v/>
      </c>
      <c r="F463" s="3"/>
      <c r="G463" s="3"/>
      <c r="H463" s="3"/>
      <c r="I463" s="3"/>
      <c r="J463" s="3"/>
      <c r="K463" s="3" t="str">
        <f>IF(B463="","",IF(OR(D463="",F463=""),"ناقص بيانات",IF(F463="نعم","مكتمل","غائب")))</f>
        <v/>
      </c>
      <c r="L463" s="3"/>
    </row>
    <row r="464" spans="1:12" x14ac:dyDescent="0.2">
      <c r="A464" s="3" t="s">
        <v>610</v>
      </c>
      <c r="B464" s="3"/>
      <c r="C464" s="3" t="str">
        <f>IFERROR(VLOOKUP(B464,الخطة!A:O,4,FALSE),"")</f>
        <v/>
      </c>
      <c r="D464" s="3"/>
      <c r="E464" s="3" t="str">
        <f>IFERROR(VLOOKUP(D464,الموظفون!A:L,2,FALSE),"")</f>
        <v/>
      </c>
      <c r="F464" s="3"/>
      <c r="G464" s="3"/>
      <c r="H464" s="3"/>
      <c r="I464" s="3"/>
      <c r="J464" s="3"/>
      <c r="K464" s="3" t="str">
        <f>IF(B464="","",IF(OR(D464="",F464=""),"ناقص بيانات",IF(F464="نعم","مكتمل","غائب")))</f>
        <v/>
      </c>
      <c r="L464" s="3"/>
    </row>
    <row r="465" spans="1:12" x14ac:dyDescent="0.2">
      <c r="A465" s="3" t="s">
        <v>611</v>
      </c>
      <c r="B465" s="3"/>
      <c r="C465" s="3" t="str">
        <f>IFERROR(VLOOKUP(B465,الخطة!A:O,4,FALSE),"")</f>
        <v/>
      </c>
      <c r="D465" s="3"/>
      <c r="E465" s="3" t="str">
        <f>IFERROR(VLOOKUP(D465,الموظفون!A:L,2,FALSE),"")</f>
        <v/>
      </c>
      <c r="F465" s="3"/>
      <c r="G465" s="3"/>
      <c r="H465" s="3"/>
      <c r="I465" s="3"/>
      <c r="J465" s="3"/>
      <c r="K465" s="3" t="str">
        <f>IF(B465="","",IF(OR(D465="",F465=""),"ناقص بيانات",IF(F465="نعم","مكتمل","غائب")))</f>
        <v/>
      </c>
      <c r="L465" s="3"/>
    </row>
    <row r="466" spans="1:12" x14ac:dyDescent="0.2">
      <c r="A466" s="3" t="s">
        <v>612</v>
      </c>
      <c r="B466" s="3"/>
      <c r="C466" s="3" t="str">
        <f>IFERROR(VLOOKUP(B466,الخطة!A:O,4,FALSE),"")</f>
        <v/>
      </c>
      <c r="D466" s="3"/>
      <c r="E466" s="3" t="str">
        <f>IFERROR(VLOOKUP(D466,الموظفون!A:L,2,FALSE),"")</f>
        <v/>
      </c>
      <c r="F466" s="3"/>
      <c r="G466" s="3"/>
      <c r="H466" s="3"/>
      <c r="I466" s="3"/>
      <c r="J466" s="3"/>
      <c r="K466" s="3" t="str">
        <f>IF(B466="","",IF(OR(D466="",F466=""),"ناقص بيانات",IF(F466="نعم","مكتمل","غائب")))</f>
        <v/>
      </c>
      <c r="L466" s="3"/>
    </row>
    <row r="467" spans="1:12" x14ac:dyDescent="0.2">
      <c r="A467" s="3" t="s">
        <v>613</v>
      </c>
      <c r="B467" s="3"/>
      <c r="C467" s="3" t="str">
        <f>IFERROR(VLOOKUP(B467,الخطة!A:O,4,FALSE),"")</f>
        <v/>
      </c>
      <c r="D467" s="3"/>
      <c r="E467" s="3" t="str">
        <f>IFERROR(VLOOKUP(D467,الموظفون!A:L,2,FALSE),"")</f>
        <v/>
      </c>
      <c r="F467" s="3"/>
      <c r="G467" s="3"/>
      <c r="H467" s="3"/>
      <c r="I467" s="3"/>
      <c r="J467" s="3"/>
      <c r="K467" s="3" t="str">
        <f>IF(B467="","",IF(OR(D467="",F467=""),"ناقص بيانات",IF(F467="نعم","مكتمل","غائب")))</f>
        <v/>
      </c>
      <c r="L467" s="3"/>
    </row>
    <row r="468" spans="1:12" x14ac:dyDescent="0.2">
      <c r="A468" s="3" t="s">
        <v>614</v>
      </c>
      <c r="B468" s="3"/>
      <c r="C468" s="3" t="str">
        <f>IFERROR(VLOOKUP(B468,الخطة!A:O,4,FALSE),"")</f>
        <v/>
      </c>
      <c r="D468" s="3"/>
      <c r="E468" s="3" t="str">
        <f>IFERROR(VLOOKUP(D468,الموظفون!A:L,2,FALSE),"")</f>
        <v/>
      </c>
      <c r="F468" s="3"/>
      <c r="G468" s="3"/>
      <c r="H468" s="3"/>
      <c r="I468" s="3"/>
      <c r="J468" s="3"/>
      <c r="K468" s="3" t="str">
        <f>IF(B468="","",IF(OR(D468="",F468=""),"ناقص بيانات",IF(F468="نعم","مكتمل","غائب")))</f>
        <v/>
      </c>
      <c r="L468" s="3"/>
    </row>
    <row r="469" spans="1:12" x14ac:dyDescent="0.2">
      <c r="A469" s="3" t="s">
        <v>615</v>
      </c>
      <c r="B469" s="3"/>
      <c r="C469" s="3" t="str">
        <f>IFERROR(VLOOKUP(B469,الخطة!A:O,4,FALSE),"")</f>
        <v/>
      </c>
      <c r="D469" s="3"/>
      <c r="E469" s="3" t="str">
        <f>IFERROR(VLOOKUP(D469,الموظفون!A:L,2,FALSE),"")</f>
        <v/>
      </c>
      <c r="F469" s="3"/>
      <c r="G469" s="3"/>
      <c r="H469" s="3"/>
      <c r="I469" s="3"/>
      <c r="J469" s="3"/>
      <c r="K469" s="3" t="str">
        <f>IF(B469="","",IF(OR(D469="",F469=""),"ناقص بيانات",IF(F469="نعم","مكتمل","غائب")))</f>
        <v/>
      </c>
      <c r="L469" s="3"/>
    </row>
    <row r="470" spans="1:12" x14ac:dyDescent="0.2">
      <c r="A470" s="3" t="s">
        <v>616</v>
      </c>
      <c r="B470" s="3"/>
      <c r="C470" s="3" t="str">
        <f>IFERROR(VLOOKUP(B470,الخطة!A:O,4,FALSE),"")</f>
        <v/>
      </c>
      <c r="D470" s="3"/>
      <c r="E470" s="3" t="str">
        <f>IFERROR(VLOOKUP(D470,الموظفون!A:L,2,FALSE),"")</f>
        <v/>
      </c>
      <c r="F470" s="3"/>
      <c r="G470" s="3"/>
      <c r="H470" s="3"/>
      <c r="I470" s="3"/>
      <c r="J470" s="3"/>
      <c r="K470" s="3" t="str">
        <f>IF(B470="","",IF(OR(D470="",F470=""),"ناقص بيانات",IF(F470="نعم","مكتمل","غائب")))</f>
        <v/>
      </c>
      <c r="L470" s="3"/>
    </row>
    <row r="471" spans="1:12" x14ac:dyDescent="0.2">
      <c r="A471" s="3" t="s">
        <v>617</v>
      </c>
      <c r="B471" s="3"/>
      <c r="C471" s="3" t="str">
        <f>IFERROR(VLOOKUP(B471,الخطة!A:O,4,FALSE),"")</f>
        <v/>
      </c>
      <c r="D471" s="3"/>
      <c r="E471" s="3" t="str">
        <f>IFERROR(VLOOKUP(D471,الموظفون!A:L,2,FALSE),"")</f>
        <v/>
      </c>
      <c r="F471" s="3"/>
      <c r="G471" s="3"/>
      <c r="H471" s="3"/>
      <c r="I471" s="3"/>
      <c r="J471" s="3"/>
      <c r="K471" s="3" t="str">
        <f>IF(B471="","",IF(OR(D471="",F471=""),"ناقص بيانات",IF(F471="نعم","مكتمل","غائب")))</f>
        <v/>
      </c>
      <c r="L471" s="3"/>
    </row>
    <row r="472" spans="1:12" x14ac:dyDescent="0.2">
      <c r="A472" s="3" t="s">
        <v>618</v>
      </c>
      <c r="B472" s="3"/>
      <c r="C472" s="3" t="str">
        <f>IFERROR(VLOOKUP(B472,الخطة!A:O,4,FALSE),"")</f>
        <v/>
      </c>
      <c r="D472" s="3"/>
      <c r="E472" s="3" t="str">
        <f>IFERROR(VLOOKUP(D472,الموظفون!A:L,2,FALSE),"")</f>
        <v/>
      </c>
      <c r="F472" s="3"/>
      <c r="G472" s="3"/>
      <c r="H472" s="3"/>
      <c r="I472" s="3"/>
      <c r="J472" s="3"/>
      <c r="K472" s="3" t="str">
        <f>IF(B472="","",IF(OR(D472="",F472=""),"ناقص بيانات",IF(F472="نعم","مكتمل","غائب")))</f>
        <v/>
      </c>
      <c r="L472" s="3"/>
    </row>
    <row r="473" spans="1:12" x14ac:dyDescent="0.2">
      <c r="A473" s="3" t="s">
        <v>619</v>
      </c>
      <c r="B473" s="3"/>
      <c r="C473" s="3" t="str">
        <f>IFERROR(VLOOKUP(B473,الخطة!A:O,4,FALSE),"")</f>
        <v/>
      </c>
      <c r="D473" s="3"/>
      <c r="E473" s="3" t="str">
        <f>IFERROR(VLOOKUP(D473,الموظفون!A:L,2,FALSE),"")</f>
        <v/>
      </c>
      <c r="F473" s="3"/>
      <c r="G473" s="3"/>
      <c r="H473" s="3"/>
      <c r="I473" s="3"/>
      <c r="J473" s="3"/>
      <c r="K473" s="3" t="str">
        <f>IF(B473="","",IF(OR(D473="",F473=""),"ناقص بيانات",IF(F473="نعم","مكتمل","غائب")))</f>
        <v/>
      </c>
      <c r="L473" s="3"/>
    </row>
    <row r="474" spans="1:12" x14ac:dyDescent="0.2">
      <c r="A474" s="3" t="s">
        <v>620</v>
      </c>
      <c r="B474" s="3"/>
      <c r="C474" s="3" t="str">
        <f>IFERROR(VLOOKUP(B474,الخطة!A:O,4,FALSE),"")</f>
        <v/>
      </c>
      <c r="D474" s="3"/>
      <c r="E474" s="3" t="str">
        <f>IFERROR(VLOOKUP(D474,الموظفون!A:L,2,FALSE),"")</f>
        <v/>
      </c>
      <c r="F474" s="3"/>
      <c r="G474" s="3"/>
      <c r="H474" s="3"/>
      <c r="I474" s="3"/>
      <c r="J474" s="3"/>
      <c r="K474" s="3" t="str">
        <f>IF(B474="","",IF(OR(D474="",F474=""),"ناقص بيانات",IF(F474="نعم","مكتمل","غائب")))</f>
        <v/>
      </c>
      <c r="L474" s="3"/>
    </row>
    <row r="475" spans="1:12" x14ac:dyDescent="0.2">
      <c r="A475" s="3" t="s">
        <v>621</v>
      </c>
      <c r="B475" s="3"/>
      <c r="C475" s="3" t="str">
        <f>IFERROR(VLOOKUP(B475,الخطة!A:O,4,FALSE),"")</f>
        <v/>
      </c>
      <c r="D475" s="3"/>
      <c r="E475" s="3" t="str">
        <f>IFERROR(VLOOKUP(D475,الموظفون!A:L,2,FALSE),"")</f>
        <v/>
      </c>
      <c r="F475" s="3"/>
      <c r="G475" s="3"/>
      <c r="H475" s="3"/>
      <c r="I475" s="3"/>
      <c r="J475" s="3"/>
      <c r="K475" s="3" t="str">
        <f>IF(B475="","",IF(OR(D475="",F475=""),"ناقص بيانات",IF(F475="نعم","مكتمل","غائب")))</f>
        <v/>
      </c>
      <c r="L475" s="3"/>
    </row>
    <row r="476" spans="1:12" x14ac:dyDescent="0.2">
      <c r="A476" s="3" t="s">
        <v>622</v>
      </c>
      <c r="B476" s="3"/>
      <c r="C476" s="3" t="str">
        <f>IFERROR(VLOOKUP(B476,الخطة!A:O,4,FALSE),"")</f>
        <v/>
      </c>
      <c r="D476" s="3"/>
      <c r="E476" s="3" t="str">
        <f>IFERROR(VLOOKUP(D476,الموظفون!A:L,2,FALSE),"")</f>
        <v/>
      </c>
      <c r="F476" s="3"/>
      <c r="G476" s="3"/>
      <c r="H476" s="3"/>
      <c r="I476" s="3"/>
      <c r="J476" s="3"/>
      <c r="K476" s="3" t="str">
        <f>IF(B476="","",IF(OR(D476="",F476=""),"ناقص بيانات",IF(F476="نعم","مكتمل","غائب")))</f>
        <v/>
      </c>
      <c r="L476" s="3"/>
    </row>
    <row r="477" spans="1:12" x14ac:dyDescent="0.2">
      <c r="A477" s="3" t="s">
        <v>623</v>
      </c>
      <c r="B477" s="3"/>
      <c r="C477" s="3" t="str">
        <f>IFERROR(VLOOKUP(B477,الخطة!A:O,4,FALSE),"")</f>
        <v/>
      </c>
      <c r="D477" s="3"/>
      <c r="E477" s="3" t="str">
        <f>IFERROR(VLOOKUP(D477,الموظفون!A:L,2,FALSE),"")</f>
        <v/>
      </c>
      <c r="F477" s="3"/>
      <c r="G477" s="3"/>
      <c r="H477" s="3"/>
      <c r="I477" s="3"/>
      <c r="J477" s="3"/>
      <c r="K477" s="3" t="str">
        <f>IF(B477="","",IF(OR(D477="",F477=""),"ناقص بيانات",IF(F477="نعم","مكتمل","غائب")))</f>
        <v/>
      </c>
      <c r="L477" s="3"/>
    </row>
    <row r="478" spans="1:12" x14ac:dyDescent="0.2">
      <c r="A478" s="3" t="s">
        <v>624</v>
      </c>
      <c r="B478" s="3"/>
      <c r="C478" s="3" t="str">
        <f>IFERROR(VLOOKUP(B478,الخطة!A:O,4,FALSE),"")</f>
        <v/>
      </c>
      <c r="D478" s="3"/>
      <c r="E478" s="3" t="str">
        <f>IFERROR(VLOOKUP(D478,الموظفون!A:L,2,FALSE),"")</f>
        <v/>
      </c>
      <c r="F478" s="3"/>
      <c r="G478" s="3"/>
      <c r="H478" s="3"/>
      <c r="I478" s="3"/>
      <c r="J478" s="3"/>
      <c r="K478" s="3" t="str">
        <f>IF(B478="","",IF(OR(D478="",F478=""),"ناقص بيانات",IF(F478="نعم","مكتمل","غائب")))</f>
        <v/>
      </c>
      <c r="L478" s="3"/>
    </row>
    <row r="479" spans="1:12" x14ac:dyDescent="0.2">
      <c r="A479" s="3" t="s">
        <v>625</v>
      </c>
      <c r="B479" s="3"/>
      <c r="C479" s="3" t="str">
        <f>IFERROR(VLOOKUP(B479,الخطة!A:O,4,FALSE),"")</f>
        <v/>
      </c>
      <c r="D479" s="3"/>
      <c r="E479" s="3" t="str">
        <f>IFERROR(VLOOKUP(D479,الموظفون!A:L,2,FALSE),"")</f>
        <v/>
      </c>
      <c r="F479" s="3"/>
      <c r="G479" s="3"/>
      <c r="H479" s="3"/>
      <c r="I479" s="3"/>
      <c r="J479" s="3"/>
      <c r="K479" s="3" t="str">
        <f>IF(B479="","",IF(OR(D479="",F479=""),"ناقص بيانات",IF(F479="نعم","مكتمل","غائب")))</f>
        <v/>
      </c>
      <c r="L479" s="3"/>
    </row>
    <row r="480" spans="1:12" x14ac:dyDescent="0.2">
      <c r="A480" s="3" t="s">
        <v>626</v>
      </c>
      <c r="B480" s="3"/>
      <c r="C480" s="3" t="str">
        <f>IFERROR(VLOOKUP(B480,الخطة!A:O,4,FALSE),"")</f>
        <v/>
      </c>
      <c r="D480" s="3"/>
      <c r="E480" s="3" t="str">
        <f>IFERROR(VLOOKUP(D480,الموظفون!A:L,2,FALSE),"")</f>
        <v/>
      </c>
      <c r="F480" s="3"/>
      <c r="G480" s="3"/>
      <c r="H480" s="3"/>
      <c r="I480" s="3"/>
      <c r="J480" s="3"/>
      <c r="K480" s="3" t="str">
        <f>IF(B480="","",IF(OR(D480="",F480=""),"ناقص بيانات",IF(F480="نعم","مكتمل","غائب")))</f>
        <v/>
      </c>
      <c r="L480" s="3"/>
    </row>
    <row r="481" spans="1:12" x14ac:dyDescent="0.2">
      <c r="A481" s="3" t="s">
        <v>627</v>
      </c>
      <c r="B481" s="3"/>
      <c r="C481" s="3" t="str">
        <f>IFERROR(VLOOKUP(B481,الخطة!A:O,4,FALSE),"")</f>
        <v/>
      </c>
      <c r="D481" s="3"/>
      <c r="E481" s="3" t="str">
        <f>IFERROR(VLOOKUP(D481,الموظفون!A:L,2,FALSE),"")</f>
        <v/>
      </c>
      <c r="F481" s="3"/>
      <c r="G481" s="3"/>
      <c r="H481" s="3"/>
      <c r="I481" s="3"/>
      <c r="J481" s="3"/>
      <c r="K481" s="3" t="str">
        <f>IF(B481="","",IF(OR(D481="",F481=""),"ناقص بيانات",IF(F481="نعم","مكتمل","غائب")))</f>
        <v/>
      </c>
      <c r="L481" s="3"/>
    </row>
    <row r="482" spans="1:12" x14ac:dyDescent="0.2">
      <c r="A482" s="3" t="s">
        <v>628</v>
      </c>
      <c r="B482" s="3"/>
      <c r="C482" s="3" t="str">
        <f>IFERROR(VLOOKUP(B482,الخطة!A:O,4,FALSE),"")</f>
        <v/>
      </c>
      <c r="D482" s="3"/>
      <c r="E482" s="3" t="str">
        <f>IFERROR(VLOOKUP(D482,الموظفون!A:L,2,FALSE),"")</f>
        <v/>
      </c>
      <c r="F482" s="3"/>
      <c r="G482" s="3"/>
      <c r="H482" s="3"/>
      <c r="I482" s="3"/>
      <c r="J482" s="3"/>
      <c r="K482" s="3" t="str">
        <f>IF(B482="","",IF(OR(D482="",F482=""),"ناقص بيانات",IF(F482="نعم","مكتمل","غائب")))</f>
        <v/>
      </c>
      <c r="L482" s="3"/>
    </row>
    <row r="483" spans="1:12" x14ac:dyDescent="0.2">
      <c r="A483" s="3" t="s">
        <v>629</v>
      </c>
      <c r="B483" s="3"/>
      <c r="C483" s="3" t="str">
        <f>IFERROR(VLOOKUP(B483,الخطة!A:O,4,FALSE),"")</f>
        <v/>
      </c>
      <c r="D483" s="3"/>
      <c r="E483" s="3" t="str">
        <f>IFERROR(VLOOKUP(D483,الموظفون!A:L,2,FALSE),"")</f>
        <v/>
      </c>
      <c r="F483" s="3"/>
      <c r="G483" s="3"/>
      <c r="H483" s="3"/>
      <c r="I483" s="3"/>
      <c r="J483" s="3"/>
      <c r="K483" s="3" t="str">
        <f>IF(B483="","",IF(OR(D483="",F483=""),"ناقص بيانات",IF(F483="نعم","مكتمل","غائب")))</f>
        <v/>
      </c>
      <c r="L483" s="3"/>
    </row>
    <row r="484" spans="1:12" x14ac:dyDescent="0.2">
      <c r="A484" s="3" t="s">
        <v>630</v>
      </c>
      <c r="B484" s="3"/>
      <c r="C484" s="3" t="str">
        <f>IFERROR(VLOOKUP(B484,الخطة!A:O,4,FALSE),"")</f>
        <v/>
      </c>
      <c r="D484" s="3"/>
      <c r="E484" s="3" t="str">
        <f>IFERROR(VLOOKUP(D484,الموظفون!A:L,2,FALSE),"")</f>
        <v/>
      </c>
      <c r="F484" s="3"/>
      <c r="G484" s="3"/>
      <c r="H484" s="3"/>
      <c r="I484" s="3"/>
      <c r="J484" s="3"/>
      <c r="K484" s="3" t="str">
        <f>IF(B484="","",IF(OR(D484="",F484=""),"ناقص بيانات",IF(F484="نعم","مكتمل","غائب")))</f>
        <v/>
      </c>
      <c r="L484" s="3"/>
    </row>
    <row r="485" spans="1:12" x14ac:dyDescent="0.2">
      <c r="A485" s="3" t="s">
        <v>631</v>
      </c>
      <c r="B485" s="3"/>
      <c r="C485" s="3" t="str">
        <f>IFERROR(VLOOKUP(B485,الخطة!A:O,4,FALSE),"")</f>
        <v/>
      </c>
      <c r="D485" s="3"/>
      <c r="E485" s="3" t="str">
        <f>IFERROR(VLOOKUP(D485,الموظفون!A:L,2,FALSE),"")</f>
        <v/>
      </c>
      <c r="F485" s="3"/>
      <c r="G485" s="3"/>
      <c r="H485" s="3"/>
      <c r="I485" s="3"/>
      <c r="J485" s="3"/>
      <c r="K485" s="3" t="str">
        <f>IF(B485="","",IF(OR(D485="",F485=""),"ناقص بيانات",IF(F485="نعم","مكتمل","غائب")))</f>
        <v/>
      </c>
      <c r="L485" s="3"/>
    </row>
    <row r="486" spans="1:12" x14ac:dyDescent="0.2">
      <c r="A486" s="3" t="s">
        <v>632</v>
      </c>
      <c r="B486" s="3"/>
      <c r="C486" s="3" t="str">
        <f>IFERROR(VLOOKUP(B486,الخطة!A:O,4,FALSE),"")</f>
        <v/>
      </c>
      <c r="D486" s="3"/>
      <c r="E486" s="3" t="str">
        <f>IFERROR(VLOOKUP(D486,الموظفون!A:L,2,FALSE),"")</f>
        <v/>
      </c>
      <c r="F486" s="3"/>
      <c r="G486" s="3"/>
      <c r="H486" s="3"/>
      <c r="I486" s="3"/>
      <c r="J486" s="3"/>
      <c r="K486" s="3" t="str">
        <f>IF(B486="","",IF(OR(D486="",F486=""),"ناقص بيانات",IF(F486="نعم","مكتمل","غائب")))</f>
        <v/>
      </c>
      <c r="L486" s="3"/>
    </row>
    <row r="487" spans="1:12" x14ac:dyDescent="0.2">
      <c r="A487" s="3" t="s">
        <v>633</v>
      </c>
      <c r="B487" s="3"/>
      <c r="C487" s="3" t="str">
        <f>IFERROR(VLOOKUP(B487,الخطة!A:O,4,FALSE),"")</f>
        <v/>
      </c>
      <c r="D487" s="3"/>
      <c r="E487" s="3" t="str">
        <f>IFERROR(VLOOKUP(D487,الموظفون!A:L,2,FALSE),"")</f>
        <v/>
      </c>
      <c r="F487" s="3"/>
      <c r="G487" s="3"/>
      <c r="H487" s="3"/>
      <c r="I487" s="3"/>
      <c r="J487" s="3"/>
      <c r="K487" s="3" t="str">
        <f>IF(B487="","",IF(OR(D487="",F487=""),"ناقص بيانات",IF(F487="نعم","مكتمل","غائب")))</f>
        <v/>
      </c>
      <c r="L487" s="3"/>
    </row>
    <row r="488" spans="1:12" x14ac:dyDescent="0.2">
      <c r="A488" s="3" t="s">
        <v>634</v>
      </c>
      <c r="B488" s="3"/>
      <c r="C488" s="3" t="str">
        <f>IFERROR(VLOOKUP(B488,الخطة!A:O,4,FALSE),"")</f>
        <v/>
      </c>
      <c r="D488" s="3"/>
      <c r="E488" s="3" t="str">
        <f>IFERROR(VLOOKUP(D488,الموظفون!A:L,2,FALSE),"")</f>
        <v/>
      </c>
      <c r="F488" s="3"/>
      <c r="G488" s="3"/>
      <c r="H488" s="3"/>
      <c r="I488" s="3"/>
      <c r="J488" s="3"/>
      <c r="K488" s="3" t="str">
        <f>IF(B488="","",IF(OR(D488="",F488=""),"ناقص بيانات",IF(F488="نعم","مكتمل","غائب")))</f>
        <v/>
      </c>
      <c r="L488" s="3"/>
    </row>
    <row r="489" spans="1:12" x14ac:dyDescent="0.2">
      <c r="A489" s="3" t="s">
        <v>635</v>
      </c>
      <c r="B489" s="3"/>
      <c r="C489" s="3" t="str">
        <f>IFERROR(VLOOKUP(B489,الخطة!A:O,4,FALSE),"")</f>
        <v/>
      </c>
      <c r="D489" s="3"/>
      <c r="E489" s="3" t="str">
        <f>IFERROR(VLOOKUP(D489,الموظفون!A:L,2,FALSE),"")</f>
        <v/>
      </c>
      <c r="F489" s="3"/>
      <c r="G489" s="3"/>
      <c r="H489" s="3"/>
      <c r="I489" s="3"/>
      <c r="J489" s="3"/>
      <c r="K489" s="3" t="str">
        <f>IF(B489="","",IF(OR(D489="",F489=""),"ناقص بيانات",IF(F489="نعم","مكتمل","غائب")))</f>
        <v/>
      </c>
      <c r="L489" s="3"/>
    </row>
    <row r="490" spans="1:12" x14ac:dyDescent="0.2">
      <c r="A490" s="3" t="s">
        <v>636</v>
      </c>
      <c r="B490" s="3"/>
      <c r="C490" s="3" t="str">
        <f>IFERROR(VLOOKUP(B490,الخطة!A:O,4,FALSE),"")</f>
        <v/>
      </c>
      <c r="D490" s="3"/>
      <c r="E490" s="3" t="str">
        <f>IFERROR(VLOOKUP(D490,الموظفون!A:L,2,FALSE),"")</f>
        <v/>
      </c>
      <c r="F490" s="3"/>
      <c r="G490" s="3"/>
      <c r="H490" s="3"/>
      <c r="I490" s="3"/>
      <c r="J490" s="3"/>
      <c r="K490" s="3" t="str">
        <f>IF(B490="","",IF(OR(D490="",F490=""),"ناقص بيانات",IF(F490="نعم","مكتمل","غائب")))</f>
        <v/>
      </c>
      <c r="L490" s="3"/>
    </row>
    <row r="491" spans="1:12" x14ac:dyDescent="0.2">
      <c r="A491" s="3" t="s">
        <v>637</v>
      </c>
      <c r="B491" s="3"/>
      <c r="C491" s="3" t="str">
        <f>IFERROR(VLOOKUP(B491,الخطة!A:O,4,FALSE),"")</f>
        <v/>
      </c>
      <c r="D491" s="3"/>
      <c r="E491" s="3" t="str">
        <f>IFERROR(VLOOKUP(D491,الموظفون!A:L,2,FALSE),"")</f>
        <v/>
      </c>
      <c r="F491" s="3"/>
      <c r="G491" s="3"/>
      <c r="H491" s="3"/>
      <c r="I491" s="3"/>
      <c r="J491" s="3"/>
      <c r="K491" s="3" t="str">
        <f>IF(B491="","",IF(OR(D491="",F491=""),"ناقص بيانات",IF(F491="نعم","مكتمل","غائب")))</f>
        <v/>
      </c>
      <c r="L491" s="3"/>
    </row>
    <row r="492" spans="1:12" x14ac:dyDescent="0.2">
      <c r="A492" s="3" t="s">
        <v>638</v>
      </c>
      <c r="B492" s="3"/>
      <c r="C492" s="3" t="str">
        <f>IFERROR(VLOOKUP(B492,الخطة!A:O,4,FALSE),"")</f>
        <v/>
      </c>
      <c r="D492" s="3"/>
      <c r="E492" s="3" t="str">
        <f>IFERROR(VLOOKUP(D492,الموظفون!A:L,2,FALSE),"")</f>
        <v/>
      </c>
      <c r="F492" s="3"/>
      <c r="G492" s="3"/>
      <c r="H492" s="3"/>
      <c r="I492" s="3"/>
      <c r="J492" s="3"/>
      <c r="K492" s="3" t="str">
        <f>IF(B492="","",IF(OR(D492="",F492=""),"ناقص بيانات",IF(F492="نعم","مكتمل","غائب")))</f>
        <v/>
      </c>
      <c r="L492" s="3"/>
    </row>
    <row r="493" spans="1:12" x14ac:dyDescent="0.2">
      <c r="A493" s="3" t="s">
        <v>639</v>
      </c>
      <c r="B493" s="3"/>
      <c r="C493" s="3" t="str">
        <f>IFERROR(VLOOKUP(B493,الخطة!A:O,4,FALSE),"")</f>
        <v/>
      </c>
      <c r="D493" s="3"/>
      <c r="E493" s="3" t="str">
        <f>IFERROR(VLOOKUP(D493,الموظفون!A:L,2,FALSE),"")</f>
        <v/>
      </c>
      <c r="F493" s="3"/>
      <c r="G493" s="3"/>
      <c r="H493" s="3"/>
      <c r="I493" s="3"/>
      <c r="J493" s="3"/>
      <c r="K493" s="3" t="str">
        <f>IF(B493="","",IF(OR(D493="",F493=""),"ناقص بيانات",IF(F493="نعم","مكتمل","غائب")))</f>
        <v/>
      </c>
      <c r="L493" s="3"/>
    </row>
    <row r="494" spans="1:12" x14ac:dyDescent="0.2">
      <c r="A494" s="3" t="s">
        <v>640</v>
      </c>
      <c r="B494" s="3"/>
      <c r="C494" s="3" t="str">
        <f>IFERROR(VLOOKUP(B494,الخطة!A:O,4,FALSE),"")</f>
        <v/>
      </c>
      <c r="D494" s="3"/>
      <c r="E494" s="3" t="str">
        <f>IFERROR(VLOOKUP(D494,الموظفون!A:L,2,FALSE),"")</f>
        <v/>
      </c>
      <c r="F494" s="3"/>
      <c r="G494" s="3"/>
      <c r="H494" s="3"/>
      <c r="I494" s="3"/>
      <c r="J494" s="3"/>
      <c r="K494" s="3" t="str">
        <f>IF(B494="","",IF(OR(D494="",F494=""),"ناقص بيانات",IF(F494="نعم","مكتمل","غائب")))</f>
        <v/>
      </c>
      <c r="L494" s="3"/>
    </row>
    <row r="495" spans="1:12" x14ac:dyDescent="0.2">
      <c r="A495" s="3" t="s">
        <v>641</v>
      </c>
      <c r="B495" s="3"/>
      <c r="C495" s="3" t="str">
        <f>IFERROR(VLOOKUP(B495,الخطة!A:O,4,FALSE),"")</f>
        <v/>
      </c>
      <c r="D495" s="3"/>
      <c r="E495" s="3" t="str">
        <f>IFERROR(VLOOKUP(D495,الموظفون!A:L,2,FALSE),"")</f>
        <v/>
      </c>
      <c r="F495" s="3"/>
      <c r="G495" s="3"/>
      <c r="H495" s="3"/>
      <c r="I495" s="3"/>
      <c r="J495" s="3"/>
      <c r="K495" s="3" t="str">
        <f>IF(B495="","",IF(OR(D495="",F495=""),"ناقص بيانات",IF(F495="نعم","مكتمل","غائب")))</f>
        <v/>
      </c>
      <c r="L495" s="3"/>
    </row>
    <row r="496" spans="1:12" x14ac:dyDescent="0.2">
      <c r="A496" s="3" t="s">
        <v>642</v>
      </c>
      <c r="B496" s="3"/>
      <c r="C496" s="3" t="str">
        <f>IFERROR(VLOOKUP(B496,الخطة!A:O,4,FALSE),"")</f>
        <v/>
      </c>
      <c r="D496" s="3"/>
      <c r="E496" s="3" t="str">
        <f>IFERROR(VLOOKUP(D496,الموظفون!A:L,2,FALSE),"")</f>
        <v/>
      </c>
      <c r="F496" s="3"/>
      <c r="G496" s="3"/>
      <c r="H496" s="3"/>
      <c r="I496" s="3"/>
      <c r="J496" s="3"/>
      <c r="K496" s="3" t="str">
        <f>IF(B496="","",IF(OR(D496="",F496=""),"ناقص بيانات",IF(F496="نعم","مكتمل","غائب")))</f>
        <v/>
      </c>
      <c r="L496" s="3"/>
    </row>
    <row r="497" spans="1:12" x14ac:dyDescent="0.2">
      <c r="A497" s="3" t="s">
        <v>643</v>
      </c>
      <c r="B497" s="3"/>
      <c r="C497" s="3" t="str">
        <f>IFERROR(VLOOKUP(B497,الخطة!A:O,4,FALSE),"")</f>
        <v/>
      </c>
      <c r="D497" s="3"/>
      <c r="E497" s="3" t="str">
        <f>IFERROR(VLOOKUP(D497,الموظفون!A:L,2,FALSE),"")</f>
        <v/>
      </c>
      <c r="F497" s="3"/>
      <c r="G497" s="3"/>
      <c r="H497" s="3"/>
      <c r="I497" s="3"/>
      <c r="J497" s="3"/>
      <c r="K497" s="3" t="str">
        <f>IF(B497="","",IF(OR(D497="",F497=""),"ناقص بيانات",IF(F497="نعم","مكتمل","غائب")))</f>
        <v/>
      </c>
      <c r="L497" s="3"/>
    </row>
    <row r="498" spans="1:12" x14ac:dyDescent="0.2">
      <c r="A498" s="3" t="s">
        <v>644</v>
      </c>
      <c r="B498" s="3"/>
      <c r="C498" s="3" t="str">
        <f>IFERROR(VLOOKUP(B498,الخطة!A:O,4,FALSE),"")</f>
        <v/>
      </c>
      <c r="D498" s="3"/>
      <c r="E498" s="3" t="str">
        <f>IFERROR(VLOOKUP(D498,الموظفون!A:L,2,FALSE),"")</f>
        <v/>
      </c>
      <c r="F498" s="3"/>
      <c r="G498" s="3"/>
      <c r="H498" s="3"/>
      <c r="I498" s="3"/>
      <c r="J498" s="3"/>
      <c r="K498" s="3" t="str">
        <f>IF(B498="","",IF(OR(D498="",F498=""),"ناقص بيانات",IF(F498="نعم","مكتمل","غائب")))</f>
        <v/>
      </c>
      <c r="L498" s="3"/>
    </row>
    <row r="499" spans="1:12" x14ac:dyDescent="0.2">
      <c r="A499" s="3" t="s">
        <v>645</v>
      </c>
      <c r="B499" s="3"/>
      <c r="C499" s="3" t="str">
        <f>IFERROR(VLOOKUP(B499,الخطة!A:O,4,FALSE),"")</f>
        <v/>
      </c>
      <c r="D499" s="3"/>
      <c r="E499" s="3" t="str">
        <f>IFERROR(VLOOKUP(D499,الموظفون!A:L,2,FALSE),"")</f>
        <v/>
      </c>
      <c r="F499" s="3"/>
      <c r="G499" s="3"/>
      <c r="H499" s="3"/>
      <c r="I499" s="3"/>
      <c r="J499" s="3"/>
      <c r="K499" s="3" t="str">
        <f>IF(B499="","",IF(OR(D499="",F499=""),"ناقص بيانات",IF(F499="نعم","مكتمل","غائب")))</f>
        <v/>
      </c>
      <c r="L499" s="3"/>
    </row>
    <row r="500" spans="1:12" x14ac:dyDescent="0.2">
      <c r="A500" s="3" t="s">
        <v>646</v>
      </c>
      <c r="B500" s="3"/>
      <c r="C500" s="3" t="str">
        <f>IFERROR(VLOOKUP(B500,الخطة!A:O,4,FALSE),"")</f>
        <v/>
      </c>
      <c r="D500" s="3"/>
      <c r="E500" s="3" t="str">
        <f>IFERROR(VLOOKUP(D500,الموظفون!A:L,2,FALSE),"")</f>
        <v/>
      </c>
      <c r="F500" s="3"/>
      <c r="G500" s="3"/>
      <c r="H500" s="3"/>
      <c r="I500" s="3"/>
      <c r="J500" s="3"/>
      <c r="K500" s="3" t="str">
        <f>IF(B500="","",IF(OR(D500="",F500=""),"ناقص بيانات",IF(F500="نعم","مكتمل","غائب")))</f>
        <v/>
      </c>
      <c r="L500" s="3"/>
    </row>
    <row r="501" spans="1:12" x14ac:dyDescent="0.2">
      <c r="A501" s="3" t="s">
        <v>647</v>
      </c>
      <c r="B501" s="3"/>
      <c r="C501" s="3" t="str">
        <f>IFERROR(VLOOKUP(B501,الخطة!A:O,4,FALSE),"")</f>
        <v/>
      </c>
      <c r="D501" s="3"/>
      <c r="E501" s="3" t="str">
        <f>IFERROR(VLOOKUP(D501,الموظفون!A:L,2,FALSE),"")</f>
        <v/>
      </c>
      <c r="F501" s="3"/>
      <c r="G501" s="3"/>
      <c r="H501" s="3"/>
      <c r="I501" s="3"/>
      <c r="J501" s="3"/>
      <c r="K501" s="3" t="str">
        <f>IF(B501="","",IF(OR(D501="",F501=""),"ناقص بيانات",IF(F501="نعم","مكتمل","غائب")))</f>
        <v/>
      </c>
      <c r="L501" s="3"/>
    </row>
    <row r="502" spans="1:12" x14ac:dyDescent="0.2">
      <c r="A502" s="3" t="s">
        <v>648</v>
      </c>
      <c r="B502" s="3"/>
      <c r="C502" s="3" t="str">
        <f>IFERROR(VLOOKUP(B502,الخطة!A:O,4,FALSE),"")</f>
        <v/>
      </c>
      <c r="D502" s="3"/>
      <c r="E502" s="3" t="str">
        <f>IFERROR(VLOOKUP(D502,الموظفون!A:L,2,FALSE),"")</f>
        <v/>
      </c>
      <c r="F502" s="3"/>
      <c r="G502" s="3"/>
      <c r="H502" s="3"/>
      <c r="I502" s="3"/>
      <c r="J502" s="3"/>
      <c r="K502" s="3" t="str">
        <f>IF(B502="","",IF(OR(D502="",F502=""),"ناقص بيانات",IF(F502="نعم","مكتمل","غائب")))</f>
        <v/>
      </c>
      <c r="L502" s="3"/>
    </row>
    <row r="503" spans="1:12" x14ac:dyDescent="0.2">
      <c r="A503" s="3" t="s">
        <v>649</v>
      </c>
      <c r="B503" s="3"/>
      <c r="C503" s="3" t="str">
        <f>IFERROR(VLOOKUP(B503,الخطة!A:O,4,FALSE),"")</f>
        <v/>
      </c>
      <c r="D503" s="3"/>
      <c r="E503" s="3" t="str">
        <f>IFERROR(VLOOKUP(D503,الموظفون!A:L,2,FALSE),"")</f>
        <v/>
      </c>
      <c r="F503" s="3"/>
      <c r="G503" s="3"/>
      <c r="H503" s="3"/>
      <c r="I503" s="3"/>
      <c r="J503" s="3"/>
      <c r="K503" s="3" t="str">
        <f>IF(B503="","",IF(OR(D503="",F503=""),"ناقص بيانات",IF(F503="نعم","مكتمل","غائب")))</f>
        <v/>
      </c>
      <c r="L503" s="3"/>
    </row>
  </sheetData>
  <mergeCells count="1">
    <mergeCell ref="A1:L1"/>
  </mergeCells>
  <dataValidations count="3">
    <dataValidation type="list" allowBlank="1" showInputMessage="1" showErrorMessage="1" sqref="F4:F503" xr:uid="{A9045C3C-2C25-4633-899B-668C86194236}">
      <formula1>"نعم,لا"</formula1>
    </dataValidation>
    <dataValidation type="list" allowBlank="1" showInputMessage="1" showErrorMessage="1" sqref="B4:B503" xr:uid="{C8914426-249C-4338-849F-EEFAB5019ED1}">
      <formula1>"TR-001,TR-002,TR-003,TR-004,TR-005,TR-006,TR-007,TR-008,TR-009,TR-010,TR-011"</formula1>
    </dataValidation>
    <dataValidation type="list" allowBlank="1" showInputMessage="1" showErrorMessage="1" sqref="D4:D503" xr:uid="{EAEF7DA6-F1C7-460B-9DFD-FDF24EA59018}">
      <formula1>"EMP-001,EMP-002,EMP-003"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4CF2-9E18-4721-9B64-82F5B0FCF47C}">
  <dimension ref="A1:O103"/>
  <sheetViews>
    <sheetView rightToLeft="1" workbookViewId="0">
      <pane ySplit="3" topLeftCell="A4" activePane="bottomLeft" state="frozenSplit"/>
      <selection pane="bottomLeft" sqref="A1:O1"/>
    </sheetView>
  </sheetViews>
  <sheetFormatPr defaultRowHeight="12.75" x14ac:dyDescent="0.2"/>
  <cols>
    <col min="1" max="1" width="12.28515625" style="1" bestFit="1" customWidth="1"/>
    <col min="2" max="2" width="9.28515625" style="1" bestFit="1" customWidth="1"/>
    <col min="3" max="3" width="16.140625" style="1" bestFit="1" customWidth="1"/>
    <col min="4" max="4" width="15.5703125" style="1" bestFit="1" customWidth="1"/>
    <col min="5" max="5" width="14.85546875" style="1" bestFit="1" customWidth="1"/>
    <col min="6" max="6" width="14.7109375" style="1" bestFit="1" customWidth="1"/>
    <col min="7" max="7" width="13.140625" style="1" bestFit="1" customWidth="1"/>
    <col min="8" max="8" width="10.85546875" style="1" bestFit="1" customWidth="1"/>
    <col min="9" max="9" width="10.5703125" style="1" bestFit="1" customWidth="1"/>
    <col min="10" max="10" width="15" style="1" bestFit="1" customWidth="1"/>
    <col min="11" max="11" width="13.7109375" style="1" bestFit="1" customWidth="1"/>
    <col min="12" max="12" width="9" style="1" bestFit="1" customWidth="1"/>
    <col min="13" max="13" width="13.28515625" style="1" bestFit="1" customWidth="1"/>
    <col min="14" max="14" width="14.28515625" style="1" bestFit="1" customWidth="1"/>
    <col min="15" max="15" width="12.28515625" style="1" bestFit="1" customWidth="1"/>
    <col min="16" max="16384" width="9.140625" style="1"/>
  </cols>
  <sheetData>
    <row r="1" spans="1:15" x14ac:dyDescent="0.2">
      <c r="A1" s="2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">
      <c r="A3" s="4" t="s">
        <v>45</v>
      </c>
      <c r="B3" s="4" t="s">
        <v>46</v>
      </c>
      <c r="C3" s="4" t="s">
        <v>47</v>
      </c>
      <c r="D3" s="4" t="s">
        <v>48</v>
      </c>
      <c r="E3" s="4" t="s">
        <v>49</v>
      </c>
      <c r="F3" s="4" t="s">
        <v>50</v>
      </c>
      <c r="G3" s="4" t="s">
        <v>51</v>
      </c>
      <c r="H3" s="4" t="s">
        <v>52</v>
      </c>
      <c r="I3" s="4" t="s">
        <v>53</v>
      </c>
      <c r="J3" s="4" t="s">
        <v>54</v>
      </c>
      <c r="K3" s="4" t="s">
        <v>55</v>
      </c>
      <c r="L3" s="4" t="s">
        <v>56</v>
      </c>
      <c r="M3" s="4" t="s">
        <v>57</v>
      </c>
      <c r="N3" s="4" t="s">
        <v>58</v>
      </c>
      <c r="O3" s="4" t="s">
        <v>59</v>
      </c>
    </row>
    <row r="4" spans="1:15" ht="38.25" x14ac:dyDescent="0.2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>
        <v>3</v>
      </c>
      <c r="J4" s="3" t="s">
        <v>68</v>
      </c>
      <c r="K4" s="3"/>
      <c r="L4" s="3" t="s">
        <v>69</v>
      </c>
      <c r="M4" s="3" t="e">
        <f>IF(A4="","",COUNTIFS([1]الحضور!B:B,A4,[1]الحضور!F:F,"نعم"))</f>
        <v>#VALUE!</v>
      </c>
      <c r="N4" s="3" t="str">
        <f>IFERROR(AVERAGEIF([2]التقييمات!B:B,A4,[2]التقييمات!H:H),"")</f>
        <v/>
      </c>
      <c r="O4" s="3"/>
    </row>
    <row r="5" spans="1:15" ht="38.25" x14ac:dyDescent="0.2">
      <c r="A5" s="3" t="s">
        <v>70</v>
      </c>
      <c r="B5" s="3" t="s">
        <v>71</v>
      </c>
      <c r="C5" s="3" t="s">
        <v>72</v>
      </c>
      <c r="D5" s="3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3">
        <v>4</v>
      </c>
      <c r="J5" s="7">
        <v>46358</v>
      </c>
      <c r="K5" s="3"/>
      <c r="L5" s="3" t="s">
        <v>69</v>
      </c>
      <c r="M5" s="3" t="e">
        <f>IF(A5="","",COUNTIFS([1]الحضور!B:B,A5,[1]الحضور!F:F,"نعم"))</f>
        <v>#VALUE!</v>
      </c>
      <c r="N5" s="3" t="str">
        <f>IFERROR(AVERAGEIF([2]التقييمات!B:B,A5,[2]التقييمات!H:H),"")</f>
        <v/>
      </c>
      <c r="O5" s="3"/>
    </row>
    <row r="6" spans="1:15" ht="25.5" x14ac:dyDescent="0.2">
      <c r="A6" s="3" t="s">
        <v>78</v>
      </c>
      <c r="B6" s="3" t="s">
        <v>79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3" t="s">
        <v>38</v>
      </c>
      <c r="I6" s="3">
        <v>3</v>
      </c>
      <c r="J6" s="7">
        <v>46298</v>
      </c>
      <c r="K6" s="3"/>
      <c r="L6" s="3" t="s">
        <v>69</v>
      </c>
      <c r="M6" s="3" t="e">
        <f>IF(A6="","",COUNTIFS([1]الحضور!B:B,A6,[1]الحضور!F:F,"نعم"))</f>
        <v>#VALUE!</v>
      </c>
      <c r="N6" s="3" t="str">
        <f>IFERROR(AVERAGEIF([2]التقييمات!B:B,A6,[2]التقييمات!H:H),"")</f>
        <v/>
      </c>
      <c r="O6" s="3"/>
    </row>
    <row r="7" spans="1:15" ht="25.5" x14ac:dyDescent="0.2">
      <c r="A7" s="3" t="s">
        <v>85</v>
      </c>
      <c r="B7" s="3" t="s">
        <v>79</v>
      </c>
      <c r="C7" s="3" t="s">
        <v>86</v>
      </c>
      <c r="D7" s="3" t="s">
        <v>87</v>
      </c>
      <c r="E7" s="3" t="s">
        <v>64</v>
      </c>
      <c r="F7" s="3" t="s">
        <v>88</v>
      </c>
      <c r="G7" s="3" t="s">
        <v>89</v>
      </c>
      <c r="H7" s="3" t="s">
        <v>90</v>
      </c>
      <c r="I7" s="3">
        <v>3</v>
      </c>
      <c r="J7" s="3" t="s">
        <v>91</v>
      </c>
      <c r="K7" s="3"/>
      <c r="L7" s="3" t="s">
        <v>69</v>
      </c>
      <c r="M7" s="3" t="e">
        <f>IF(A7="","",COUNTIFS([1]الحضور!B:B,A7,[1]الحضور!F:F,"نعم"))</f>
        <v>#VALUE!</v>
      </c>
      <c r="N7" s="3" t="str">
        <f>IFERROR(AVERAGEIF([2]التقييمات!B:B,A7,[2]التقييمات!H:H),"")</f>
        <v/>
      </c>
      <c r="O7" s="3"/>
    </row>
    <row r="8" spans="1:15" ht="25.5" x14ac:dyDescent="0.2">
      <c r="A8" s="3" t="s">
        <v>92</v>
      </c>
      <c r="B8" s="3" t="s">
        <v>93</v>
      </c>
      <c r="C8" s="3" t="s">
        <v>94</v>
      </c>
      <c r="D8" s="3" t="s">
        <v>95</v>
      </c>
      <c r="E8" s="3" t="s">
        <v>96</v>
      </c>
      <c r="F8" s="3" t="s">
        <v>97</v>
      </c>
      <c r="G8" s="3" t="s">
        <v>98</v>
      </c>
      <c r="H8" s="3" t="s">
        <v>99</v>
      </c>
      <c r="I8" s="3">
        <v>3</v>
      </c>
      <c r="J8" s="7">
        <v>46361</v>
      </c>
      <c r="K8" s="3"/>
      <c r="L8" s="3" t="s">
        <v>69</v>
      </c>
      <c r="M8" s="3" t="e">
        <f>IF(A8="","",COUNTIFS([1]الحضور!B:B,A8,[1]الحضور!F:F,"نعم"))</f>
        <v>#VALUE!</v>
      </c>
      <c r="N8" s="3" t="str">
        <f>IFERROR(AVERAGEIF([2]التقييمات!B:B,A8,[2]التقييمات!H:H),"")</f>
        <v/>
      </c>
      <c r="O8" s="3"/>
    </row>
    <row r="9" spans="1:15" ht="25.5" x14ac:dyDescent="0.2">
      <c r="A9" s="3" t="s">
        <v>100</v>
      </c>
      <c r="B9" s="3" t="s">
        <v>101</v>
      </c>
      <c r="C9" s="3" t="s">
        <v>102</v>
      </c>
      <c r="D9" s="3" t="s">
        <v>103</v>
      </c>
      <c r="E9" s="3" t="s">
        <v>104</v>
      </c>
      <c r="F9" s="3" t="s">
        <v>105</v>
      </c>
      <c r="G9" s="3" t="s">
        <v>106</v>
      </c>
      <c r="H9" s="3" t="s">
        <v>107</v>
      </c>
      <c r="I9" s="3">
        <v>3</v>
      </c>
      <c r="J9" s="3" t="s">
        <v>108</v>
      </c>
      <c r="K9" s="3"/>
      <c r="L9" s="3" t="s">
        <v>69</v>
      </c>
      <c r="M9" s="3" t="e">
        <f>IF(A9="","",COUNTIFS([1]الحضور!B:B,A9,[1]الحضور!F:F,"نعم"))</f>
        <v>#VALUE!</v>
      </c>
      <c r="N9" s="3" t="str">
        <f>IFERROR(AVERAGEIF([2]التقييمات!B:B,A9,[2]التقييمات!H:H),"")</f>
        <v/>
      </c>
      <c r="O9" s="3"/>
    </row>
    <row r="10" spans="1:15" ht="38.25" x14ac:dyDescent="0.2">
      <c r="A10" s="3" t="s">
        <v>109</v>
      </c>
      <c r="B10" s="3" t="s">
        <v>110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84</v>
      </c>
      <c r="H10" s="3" t="s">
        <v>115</v>
      </c>
      <c r="I10" s="3">
        <v>4</v>
      </c>
      <c r="J10" s="3" t="s">
        <v>116</v>
      </c>
      <c r="K10" s="3"/>
      <c r="L10" s="3" t="s">
        <v>69</v>
      </c>
      <c r="M10" s="3" t="e">
        <f>IF(A10="","",COUNTIFS([1]الحضور!B:B,A10,[1]الحضور!F:F,"نعم"))</f>
        <v>#VALUE!</v>
      </c>
      <c r="N10" s="3" t="str">
        <f>IFERROR(AVERAGEIF([2]التقييمات!B:B,A10,[2]التقييمات!H:H),"")</f>
        <v/>
      </c>
      <c r="O10" s="3"/>
    </row>
    <row r="11" spans="1:15" ht="25.5" x14ac:dyDescent="0.2">
      <c r="A11" s="3" t="s">
        <v>117</v>
      </c>
      <c r="B11" s="3" t="s">
        <v>118</v>
      </c>
      <c r="C11" s="3" t="s">
        <v>119</v>
      </c>
      <c r="D11" s="3" t="s">
        <v>120</v>
      </c>
      <c r="E11" s="3" t="s">
        <v>121</v>
      </c>
      <c r="F11" s="3" t="s">
        <v>122</v>
      </c>
      <c r="G11" s="3" t="s">
        <v>123</v>
      </c>
      <c r="H11" s="3" t="s">
        <v>124</v>
      </c>
      <c r="I11" s="3">
        <v>2</v>
      </c>
      <c r="J11" s="3" t="s">
        <v>125</v>
      </c>
      <c r="K11" s="3"/>
      <c r="L11" s="3" t="s">
        <v>69</v>
      </c>
      <c r="M11" s="3" t="e">
        <f>IF(A11="","",COUNTIFS([1]الحضور!B:B,A11,[1]الحضور!F:F,"نعم"))</f>
        <v>#VALUE!</v>
      </c>
      <c r="N11" s="3" t="str">
        <f>IFERROR(AVERAGEIF([2]التقييمات!B:B,A11,[2]التقييمات!H:H),"")</f>
        <v/>
      </c>
      <c r="O11" s="3"/>
    </row>
    <row r="12" spans="1:15" ht="25.5" x14ac:dyDescent="0.2">
      <c r="A12" s="3" t="s">
        <v>126</v>
      </c>
      <c r="B12" s="3" t="s">
        <v>127</v>
      </c>
      <c r="C12" s="3" t="s">
        <v>128</v>
      </c>
      <c r="D12" s="3" t="s">
        <v>129</v>
      </c>
      <c r="E12" s="3" t="s">
        <v>130</v>
      </c>
      <c r="F12" s="3" t="s">
        <v>131</v>
      </c>
      <c r="G12" s="3" t="s">
        <v>132</v>
      </c>
      <c r="H12" s="3" t="s">
        <v>67</v>
      </c>
      <c r="I12" s="3">
        <v>4</v>
      </c>
      <c r="J12" s="3" t="s">
        <v>133</v>
      </c>
      <c r="K12" s="3"/>
      <c r="L12" s="3" t="s">
        <v>69</v>
      </c>
      <c r="M12" s="3" t="e">
        <f>IF(A12="","",COUNTIFS([1]الحضور!B:B,A12,[1]الحضور!F:F,"نعم"))</f>
        <v>#VALUE!</v>
      </c>
      <c r="N12" s="3" t="str">
        <f>IFERROR(AVERAGEIF([2]التقييمات!B:B,A12,[2]التقييمات!H:H),"")</f>
        <v/>
      </c>
      <c r="O12" s="3"/>
    </row>
    <row r="13" spans="1:15" ht="25.5" x14ac:dyDescent="0.2">
      <c r="A13" s="3" t="s">
        <v>134</v>
      </c>
      <c r="B13" s="3" t="s">
        <v>135</v>
      </c>
      <c r="C13" s="3" t="s">
        <v>136</v>
      </c>
      <c r="D13" s="3" t="s">
        <v>137</v>
      </c>
      <c r="E13" s="3" t="s">
        <v>138</v>
      </c>
      <c r="F13" s="3" t="s">
        <v>139</v>
      </c>
      <c r="G13" s="3" t="s">
        <v>140</v>
      </c>
      <c r="H13" s="3" t="s">
        <v>141</v>
      </c>
      <c r="I13" s="3">
        <v>3</v>
      </c>
      <c r="J13" s="3" t="s">
        <v>142</v>
      </c>
      <c r="K13" s="3"/>
      <c r="L13" s="3" t="s">
        <v>69</v>
      </c>
      <c r="M13" s="3" t="e">
        <f>IF(A13="","",COUNTIFS([1]الحضور!B:B,A13,[1]الحضور!F:F,"نعم"))</f>
        <v>#VALUE!</v>
      </c>
      <c r="N13" s="3" t="str">
        <f>IFERROR(AVERAGEIF([2]التقييمات!B:B,A13,[2]التقييمات!H:H),"")</f>
        <v/>
      </c>
      <c r="O13" s="3"/>
    </row>
    <row r="14" spans="1:15" ht="38.25" x14ac:dyDescent="0.2">
      <c r="A14" s="3" t="s">
        <v>143</v>
      </c>
      <c r="B14" s="3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>
        <v>3</v>
      </c>
      <c r="J14" s="7">
        <v>46246</v>
      </c>
      <c r="K14" s="3"/>
      <c r="L14" s="3" t="s">
        <v>69</v>
      </c>
      <c r="M14" s="3" t="e">
        <f>IF(A14="","",COUNTIFS([1]الحضور!B:B,A14,[1]الحضور!F:F,"نعم"))</f>
        <v>#VALUE!</v>
      </c>
      <c r="N14" s="3" t="str">
        <f>IFERROR(AVERAGEIF([2]التقييمات!B:B,A14,[2]التقييمات!H:H),"")</f>
        <v/>
      </c>
      <c r="O14" s="3"/>
    </row>
    <row r="15" spans="1:1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 t="str">
        <f>IF(A15="","",COUNTIFS([1]الحضور!B:B,A15,[1]الحضور!F:F,"نعم"))</f>
        <v/>
      </c>
      <c r="N15" s="3" t="str">
        <f>IFERROR(AVERAGEIF([2]التقييمات!B:B,A15,[2]التقييمات!H:H),"")</f>
        <v/>
      </c>
      <c r="O15" s="3"/>
    </row>
    <row r="16" spans="1:15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 t="str">
        <f>IF(A16="","",COUNTIFS([1]الحضور!B:B,A16,[1]الحضور!F:F,"نعم"))</f>
        <v/>
      </c>
      <c r="N16" s="3" t="str">
        <f>IFERROR(AVERAGEIF([2]التقييمات!B:B,A16,[2]التقييمات!H:H),"")</f>
        <v/>
      </c>
      <c r="O16" s="3"/>
    </row>
    <row r="17" spans="1:1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 t="str">
        <f>IF(A17="","",COUNTIFS([1]الحضور!B:B,A17,[1]الحضور!F:F,"نعم"))</f>
        <v/>
      </c>
      <c r="N17" s="3" t="str">
        <f>IFERROR(AVERAGEIF([2]التقييمات!B:B,A17,[2]التقييمات!H:H),"")</f>
        <v/>
      </c>
      <c r="O17" s="3"/>
    </row>
    <row r="18" spans="1:15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 t="str">
        <f>IF(A18="","",COUNTIFS([1]الحضور!B:B,A18,[1]الحضور!F:F,"نعم"))</f>
        <v/>
      </c>
      <c r="N18" s="3" t="str">
        <f>IFERROR(AVERAGEIF([2]التقييمات!B:B,A18,[2]التقييمات!H:H),"")</f>
        <v/>
      </c>
      <c r="O18" s="3"/>
    </row>
    <row r="19" spans="1:15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 t="str">
        <f>IF(A19="","",COUNTIFS([1]الحضور!B:B,A19,[1]الحضور!F:F,"نعم"))</f>
        <v/>
      </c>
      <c r="N19" s="3" t="str">
        <f>IFERROR(AVERAGEIF([2]التقييمات!B:B,A19,[2]التقييمات!H:H),"")</f>
        <v/>
      </c>
      <c r="O19" s="3"/>
    </row>
    <row r="20" spans="1:1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 t="str">
        <f>IF(A20="","",COUNTIFS([1]الحضور!B:B,A20,[1]الحضور!F:F,"نعم"))</f>
        <v/>
      </c>
      <c r="N20" s="3" t="str">
        <f>IFERROR(AVERAGEIF([2]التقييمات!B:B,A20,[2]التقييمات!H:H),"")</f>
        <v/>
      </c>
      <c r="O20" s="3"/>
    </row>
    <row r="21" spans="1:15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 t="str">
        <f>IF(A21="","",COUNTIFS([1]الحضور!B:B,A21,[1]الحضور!F:F,"نعم"))</f>
        <v/>
      </c>
      <c r="N21" s="3" t="str">
        <f>IFERROR(AVERAGEIF([2]التقييمات!B:B,A21,[2]التقييمات!H:H),"")</f>
        <v/>
      </c>
      <c r="O21" s="3"/>
    </row>
    <row r="22" spans="1:15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 t="str">
        <f>IF(A22="","",COUNTIFS([1]الحضور!B:B,A22,[1]الحضور!F:F,"نعم"))</f>
        <v/>
      </c>
      <c r="N22" s="3" t="str">
        <f>IFERROR(AVERAGEIF([2]التقييمات!B:B,A22,[2]التقييمات!H:H),"")</f>
        <v/>
      </c>
      <c r="O22" s="3"/>
    </row>
    <row r="23" spans="1:15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 t="str">
        <f>IF(A23="","",COUNTIFS([1]الحضور!B:B,A23,[1]الحضور!F:F,"نعم"))</f>
        <v/>
      </c>
      <c r="N23" s="3" t="str">
        <f>IFERROR(AVERAGEIF([2]التقييمات!B:B,A23,[2]التقييمات!H:H),"")</f>
        <v/>
      </c>
      <c r="O23" s="3"/>
    </row>
    <row r="24" spans="1:1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 t="str">
        <f>IF(A24="","",COUNTIFS([1]الحضور!B:B,A24,[1]الحضور!F:F,"نعم"))</f>
        <v/>
      </c>
      <c r="N24" s="3" t="str">
        <f>IFERROR(AVERAGEIF([2]التقييمات!B:B,A24,[2]التقييمات!H:H),"")</f>
        <v/>
      </c>
      <c r="O24" s="3"/>
    </row>
    <row r="25" spans="1:15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 t="str">
        <f>IF(A25="","",COUNTIFS([1]الحضور!B:B,A25,[1]الحضور!F:F,"نعم"))</f>
        <v/>
      </c>
      <c r="N25" s="3" t="str">
        <f>IFERROR(AVERAGEIF([2]التقييمات!B:B,A25,[2]التقييمات!H:H),"")</f>
        <v/>
      </c>
      <c r="O25" s="3"/>
    </row>
    <row r="26" spans="1:1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 t="str">
        <f>IF(A26="","",COUNTIFS([1]الحضور!B:B,A26,[1]الحضور!F:F,"نعم"))</f>
        <v/>
      </c>
      <c r="N26" s="3" t="str">
        <f>IFERROR(AVERAGEIF([2]التقييمات!B:B,A26,[2]التقييمات!H:H),"")</f>
        <v/>
      </c>
      <c r="O26" s="3"/>
    </row>
    <row r="27" spans="1:1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 t="str">
        <f>IF(A27="","",COUNTIFS([1]الحضور!B:B,A27,[1]الحضور!F:F,"نعم"))</f>
        <v/>
      </c>
      <c r="N27" s="3" t="str">
        <f>IFERROR(AVERAGEIF([2]التقييمات!B:B,A27,[2]التقييمات!H:H),"")</f>
        <v/>
      </c>
      <c r="O27" s="3"/>
    </row>
    <row r="28" spans="1:1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 t="str">
        <f>IF(A28="","",COUNTIFS([1]الحضور!B:B,A28,[1]الحضور!F:F,"نعم"))</f>
        <v/>
      </c>
      <c r="N28" s="3" t="str">
        <f>IFERROR(AVERAGEIF([2]التقييمات!B:B,A28,[2]التقييمات!H:H),"")</f>
        <v/>
      </c>
      <c r="O28" s="3"/>
    </row>
    <row r="29" spans="1:1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 t="str">
        <f>IF(A29="","",COUNTIFS([1]الحضور!B:B,A29,[1]الحضور!F:F,"نعم"))</f>
        <v/>
      </c>
      <c r="N29" s="3" t="str">
        <f>IFERROR(AVERAGEIF([2]التقييمات!B:B,A29,[2]التقييمات!H:H),"")</f>
        <v/>
      </c>
      <c r="O29" s="3"/>
    </row>
    <row r="30" spans="1:1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 t="str">
        <f>IF(A30="","",COUNTIFS([1]الحضور!B:B,A30,[1]الحضور!F:F,"نعم"))</f>
        <v/>
      </c>
      <c r="N30" s="3" t="str">
        <f>IFERROR(AVERAGEIF([2]التقييمات!B:B,A30,[2]التقييمات!H:H),"")</f>
        <v/>
      </c>
      <c r="O30" s="3"/>
    </row>
    <row r="31" spans="1:1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 t="str">
        <f>IF(A31="","",COUNTIFS([1]الحضور!B:B,A31,[1]الحضور!F:F,"نعم"))</f>
        <v/>
      </c>
      <c r="N31" s="3" t="str">
        <f>IFERROR(AVERAGEIF([2]التقييمات!B:B,A31,[2]التقييمات!H:H),"")</f>
        <v/>
      </c>
      <c r="O31" s="3"/>
    </row>
    <row r="32" spans="1:1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 t="str">
        <f>IF(A32="","",COUNTIFS([1]الحضور!B:B,A32,[1]الحضور!F:F,"نعم"))</f>
        <v/>
      </c>
      <c r="N32" s="3" t="str">
        <f>IFERROR(AVERAGEIF([2]التقييمات!B:B,A32,[2]التقييمات!H:H),"")</f>
        <v/>
      </c>
      <c r="O32" s="3"/>
    </row>
    <row r="33" spans="1:1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 t="str">
        <f>IF(A33="","",COUNTIFS([1]الحضور!B:B,A33,[1]الحضور!F:F,"نعم"))</f>
        <v/>
      </c>
      <c r="N33" s="3" t="str">
        <f>IFERROR(AVERAGEIF([2]التقييمات!B:B,A33,[2]التقييمات!H:H),"")</f>
        <v/>
      </c>
      <c r="O33" s="3"/>
    </row>
    <row r="34" spans="1:1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 t="str">
        <f>IF(A34="","",COUNTIFS([1]الحضور!B:B,A34,[1]الحضور!F:F,"نعم"))</f>
        <v/>
      </c>
      <c r="N34" s="3" t="str">
        <f>IFERROR(AVERAGEIF([2]التقييمات!B:B,A34,[2]التقييمات!H:H),"")</f>
        <v/>
      </c>
      <c r="O34" s="3"/>
    </row>
    <row r="35" spans="1:1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 t="str">
        <f>IF(A35="","",COUNTIFS([1]الحضور!B:B,A35,[1]الحضور!F:F,"نعم"))</f>
        <v/>
      </c>
      <c r="N35" s="3" t="str">
        <f>IFERROR(AVERAGEIF([2]التقييمات!B:B,A35,[2]التقييمات!H:H),"")</f>
        <v/>
      </c>
      <c r="O35" s="3"/>
    </row>
    <row r="36" spans="1:1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 t="str">
        <f>IF(A36="","",COUNTIFS([1]الحضور!B:B,A36,[1]الحضور!F:F,"نعم"))</f>
        <v/>
      </c>
      <c r="N36" s="3" t="str">
        <f>IFERROR(AVERAGEIF([2]التقييمات!B:B,A36,[2]التقييمات!H:H),"")</f>
        <v/>
      </c>
      <c r="O36" s="3"/>
    </row>
    <row r="37" spans="1:1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 t="str">
        <f>IF(A37="","",COUNTIFS([1]الحضور!B:B,A37,[1]الحضور!F:F,"نعم"))</f>
        <v/>
      </c>
      <c r="N37" s="3" t="str">
        <f>IFERROR(AVERAGEIF([2]التقييمات!B:B,A37,[2]التقييمات!H:H),"")</f>
        <v/>
      </c>
      <c r="O37" s="3"/>
    </row>
    <row r="38" spans="1:1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 t="str">
        <f>IF(A38="","",COUNTIFS([1]الحضور!B:B,A38,[1]الحضور!F:F,"نعم"))</f>
        <v/>
      </c>
      <c r="N38" s="3" t="str">
        <f>IFERROR(AVERAGEIF([2]التقييمات!B:B,A38,[2]التقييمات!H:H),"")</f>
        <v/>
      </c>
      <c r="O38" s="3"/>
    </row>
    <row r="39" spans="1:1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 t="str">
        <f>IF(A39="","",COUNTIFS([1]الحضور!B:B,A39,[1]الحضور!F:F,"نعم"))</f>
        <v/>
      </c>
      <c r="N39" s="3" t="str">
        <f>IFERROR(AVERAGEIF([2]التقييمات!B:B,A39,[2]التقييمات!H:H),"")</f>
        <v/>
      </c>
      <c r="O39" s="3"/>
    </row>
    <row r="40" spans="1:1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 t="str">
        <f>IF(A40="","",COUNTIFS([1]الحضور!B:B,A40,[1]الحضور!F:F,"نعم"))</f>
        <v/>
      </c>
      <c r="N40" s="3" t="str">
        <f>IFERROR(AVERAGEIF([2]التقييمات!B:B,A40,[2]التقييمات!H:H),"")</f>
        <v/>
      </c>
      <c r="O40" s="3"/>
    </row>
    <row r="41" spans="1:1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 t="str">
        <f>IF(A41="","",COUNTIFS([1]الحضور!B:B,A41,[1]الحضور!F:F,"نعم"))</f>
        <v/>
      </c>
      <c r="N41" s="3" t="str">
        <f>IFERROR(AVERAGEIF([2]التقييمات!B:B,A41,[2]التقييمات!H:H),"")</f>
        <v/>
      </c>
      <c r="O41" s="3"/>
    </row>
    <row r="42" spans="1:1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 t="str">
        <f>IF(A42="","",COUNTIFS([1]الحضور!B:B,A42,[1]الحضور!F:F,"نعم"))</f>
        <v/>
      </c>
      <c r="N42" s="3" t="str">
        <f>IFERROR(AVERAGEIF([2]التقييمات!B:B,A42,[2]التقييمات!H:H),"")</f>
        <v/>
      </c>
      <c r="O42" s="3"/>
    </row>
    <row r="43" spans="1:1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 t="str">
        <f>IF(A43="","",COUNTIFS([1]الحضور!B:B,A43,[1]الحضور!F:F,"نعم"))</f>
        <v/>
      </c>
      <c r="N43" s="3" t="str">
        <f>IFERROR(AVERAGEIF([2]التقييمات!B:B,A43,[2]التقييمات!H:H),"")</f>
        <v/>
      </c>
      <c r="O43" s="3"/>
    </row>
    <row r="44" spans="1:1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 t="str">
        <f>IF(A44="","",COUNTIFS([1]الحضور!B:B,A44,[1]الحضور!F:F,"نعم"))</f>
        <v/>
      </c>
      <c r="N44" s="3" t="str">
        <f>IFERROR(AVERAGEIF([2]التقييمات!B:B,A44,[2]التقييمات!H:H),"")</f>
        <v/>
      </c>
      <c r="O44" s="3"/>
    </row>
    <row r="45" spans="1:1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 t="str">
        <f>IF(A45="","",COUNTIFS([1]الحضور!B:B,A45,[1]الحضور!F:F,"نعم"))</f>
        <v/>
      </c>
      <c r="N45" s="3" t="str">
        <f>IFERROR(AVERAGEIF([2]التقييمات!B:B,A45,[2]التقييمات!H:H),"")</f>
        <v/>
      </c>
      <c r="O45" s="3"/>
    </row>
    <row r="46" spans="1:1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 t="str">
        <f>IF(A46="","",COUNTIFS([1]الحضور!B:B,A46,[1]الحضور!F:F,"نعم"))</f>
        <v/>
      </c>
      <c r="N46" s="3" t="str">
        <f>IFERROR(AVERAGEIF([2]التقييمات!B:B,A46,[2]التقييمات!H:H),"")</f>
        <v/>
      </c>
      <c r="O46" s="3"/>
    </row>
    <row r="47" spans="1:1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 t="str">
        <f>IF(A47="","",COUNTIFS([1]الحضور!B:B,A47,[1]الحضور!F:F,"نعم"))</f>
        <v/>
      </c>
      <c r="N47" s="3" t="str">
        <f>IFERROR(AVERAGEIF([2]التقييمات!B:B,A47,[2]التقييمات!H:H),"")</f>
        <v/>
      </c>
      <c r="O47" s="3"/>
    </row>
    <row r="48" spans="1:1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 t="str">
        <f>IF(A48="","",COUNTIFS([1]الحضور!B:B,A48,[1]الحضور!F:F,"نعم"))</f>
        <v/>
      </c>
      <c r="N48" s="3" t="str">
        <f>IFERROR(AVERAGEIF([2]التقييمات!B:B,A48,[2]التقييمات!H:H),"")</f>
        <v/>
      </c>
      <c r="O48" s="3"/>
    </row>
    <row r="49" spans="1:1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 t="str">
        <f>IF(A49="","",COUNTIFS([1]الحضور!B:B,A49,[1]الحضور!F:F,"نعم"))</f>
        <v/>
      </c>
      <c r="N49" s="3" t="str">
        <f>IFERROR(AVERAGEIF([2]التقييمات!B:B,A49,[2]التقييمات!H:H),"")</f>
        <v/>
      </c>
      <c r="O49" s="3"/>
    </row>
    <row r="50" spans="1:1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 t="str">
        <f>IF(A50="","",COUNTIFS([1]الحضور!B:B,A50,[1]الحضور!F:F,"نعم"))</f>
        <v/>
      </c>
      <c r="N50" s="3" t="str">
        <f>IFERROR(AVERAGEIF([2]التقييمات!B:B,A50,[2]التقييمات!H:H),"")</f>
        <v/>
      </c>
      <c r="O50" s="3"/>
    </row>
    <row r="51" spans="1:1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 t="str">
        <f>IF(A51="","",COUNTIFS([1]الحضور!B:B,A51,[1]الحضور!F:F,"نعم"))</f>
        <v/>
      </c>
      <c r="N51" s="3" t="str">
        <f>IFERROR(AVERAGEIF([2]التقييمات!B:B,A51,[2]التقييمات!H:H),"")</f>
        <v/>
      </c>
      <c r="O51" s="3"/>
    </row>
    <row r="52" spans="1:1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 t="str">
        <f>IF(A52="","",COUNTIFS([1]الحضور!B:B,A52,[1]الحضور!F:F,"نعم"))</f>
        <v/>
      </c>
      <c r="N52" s="3" t="str">
        <f>IFERROR(AVERAGEIF([2]التقييمات!B:B,A52,[2]التقييمات!H:H),"")</f>
        <v/>
      </c>
      <c r="O52" s="3"/>
    </row>
    <row r="53" spans="1:1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 t="str">
        <f>IF(A53="","",COUNTIFS([1]الحضور!B:B,A53,[1]الحضور!F:F,"نعم"))</f>
        <v/>
      </c>
      <c r="N53" s="3" t="str">
        <f>IFERROR(AVERAGEIF([2]التقييمات!B:B,A53,[2]التقييمات!H:H),"")</f>
        <v/>
      </c>
      <c r="O53" s="3"/>
    </row>
    <row r="54" spans="1:1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 t="str">
        <f>IF(A54="","",COUNTIFS([1]الحضور!B:B,A54,[1]الحضور!F:F,"نعم"))</f>
        <v/>
      </c>
      <c r="N54" s="3" t="str">
        <f>IFERROR(AVERAGEIF([2]التقييمات!B:B,A54,[2]التقييمات!H:H),"")</f>
        <v/>
      </c>
      <c r="O54" s="3"/>
    </row>
    <row r="55" spans="1:1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 t="str">
        <f>IF(A55="","",COUNTIFS([1]الحضور!B:B,A55,[1]الحضور!F:F,"نعم"))</f>
        <v/>
      </c>
      <c r="N55" s="3" t="str">
        <f>IFERROR(AVERAGEIF([2]التقييمات!B:B,A55,[2]التقييمات!H:H),"")</f>
        <v/>
      </c>
      <c r="O55" s="3"/>
    </row>
    <row r="56" spans="1:1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 t="str">
        <f>IF(A56="","",COUNTIFS([1]الحضور!B:B,A56,[1]الحضور!F:F,"نعم"))</f>
        <v/>
      </c>
      <c r="N56" s="3" t="str">
        <f>IFERROR(AVERAGEIF([2]التقييمات!B:B,A56,[2]التقييمات!H:H),"")</f>
        <v/>
      </c>
      <c r="O56" s="3"/>
    </row>
    <row r="57" spans="1:1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 t="str">
        <f>IF(A57="","",COUNTIFS([1]الحضور!B:B,A57,[1]الحضور!F:F,"نعم"))</f>
        <v/>
      </c>
      <c r="N57" s="3" t="str">
        <f>IFERROR(AVERAGEIF([2]التقييمات!B:B,A57,[2]التقييمات!H:H),"")</f>
        <v/>
      </c>
      <c r="O57" s="3"/>
    </row>
    <row r="58" spans="1:1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 t="str">
        <f>IF(A58="","",COUNTIFS([1]الحضور!B:B,A58,[1]الحضور!F:F,"نعم"))</f>
        <v/>
      </c>
      <c r="N58" s="3" t="str">
        <f>IFERROR(AVERAGEIF([2]التقييمات!B:B,A58,[2]التقييمات!H:H),"")</f>
        <v/>
      </c>
      <c r="O58" s="3"/>
    </row>
    <row r="59" spans="1:1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 t="str">
        <f>IF(A59="","",COUNTIFS([1]الحضور!B:B,A59,[1]الحضور!F:F,"نعم"))</f>
        <v/>
      </c>
      <c r="N59" s="3" t="str">
        <f>IFERROR(AVERAGEIF([2]التقييمات!B:B,A59,[2]التقييمات!H:H),"")</f>
        <v/>
      </c>
      <c r="O59" s="3"/>
    </row>
    <row r="60" spans="1:1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 t="str">
        <f>IF(A60="","",COUNTIFS([1]الحضور!B:B,A60,[1]الحضور!F:F,"نعم"))</f>
        <v/>
      </c>
      <c r="N60" s="3" t="str">
        <f>IFERROR(AVERAGEIF([2]التقييمات!B:B,A60,[2]التقييمات!H:H),"")</f>
        <v/>
      </c>
      <c r="O60" s="3"/>
    </row>
    <row r="61" spans="1:1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 t="str">
        <f>IF(A61="","",COUNTIFS([1]الحضور!B:B,A61,[1]الحضور!F:F,"نعم"))</f>
        <v/>
      </c>
      <c r="N61" s="3" t="str">
        <f>IFERROR(AVERAGEIF([2]التقييمات!B:B,A61,[2]التقييمات!H:H),"")</f>
        <v/>
      </c>
      <c r="O61" s="3"/>
    </row>
    <row r="62" spans="1:1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 t="str">
        <f>IF(A62="","",COUNTIFS([1]الحضور!B:B,A62,[1]الحضور!F:F,"نعم"))</f>
        <v/>
      </c>
      <c r="N62" s="3" t="str">
        <f>IFERROR(AVERAGEIF([2]التقييمات!B:B,A62,[2]التقييمات!H:H),"")</f>
        <v/>
      </c>
      <c r="O62" s="3"/>
    </row>
    <row r="63" spans="1:1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 t="str">
        <f>IF(A63="","",COUNTIFS([1]الحضور!B:B,A63,[1]الحضور!F:F,"نعم"))</f>
        <v/>
      </c>
      <c r="N63" s="3" t="str">
        <f>IFERROR(AVERAGEIF([2]التقييمات!B:B,A63,[2]التقييمات!H:H),"")</f>
        <v/>
      </c>
      <c r="O63" s="3"/>
    </row>
    <row r="64" spans="1:1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 t="str">
        <f>IF(A64="","",COUNTIFS([1]الحضور!B:B,A64,[1]الحضور!F:F,"نعم"))</f>
        <v/>
      </c>
      <c r="N64" s="3" t="str">
        <f>IFERROR(AVERAGEIF([2]التقييمات!B:B,A64,[2]التقييمات!H:H),"")</f>
        <v/>
      </c>
      <c r="O64" s="3"/>
    </row>
    <row r="65" spans="1:1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 t="str">
        <f>IF(A65="","",COUNTIFS([1]الحضور!B:B,A65,[1]الحضور!F:F,"نعم"))</f>
        <v/>
      </c>
      <c r="N65" s="3" t="str">
        <f>IFERROR(AVERAGEIF([2]التقييمات!B:B,A65,[2]التقييمات!H:H),"")</f>
        <v/>
      </c>
      <c r="O65" s="3"/>
    </row>
    <row r="66" spans="1:1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 t="str">
        <f>IF(A66="","",COUNTIFS([1]الحضور!B:B,A66,[1]الحضور!F:F,"نعم"))</f>
        <v/>
      </c>
      <c r="N66" s="3" t="str">
        <f>IFERROR(AVERAGEIF([2]التقييمات!B:B,A66,[2]التقييمات!H:H),"")</f>
        <v/>
      </c>
      <c r="O66" s="3"/>
    </row>
    <row r="67" spans="1:1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 t="str">
        <f>IF(A67="","",COUNTIFS([1]الحضور!B:B,A67,[1]الحضور!F:F,"نعم"))</f>
        <v/>
      </c>
      <c r="N67" s="3" t="str">
        <f>IFERROR(AVERAGEIF([2]التقييمات!B:B,A67,[2]التقييمات!H:H),"")</f>
        <v/>
      </c>
      <c r="O67" s="3"/>
    </row>
    <row r="68" spans="1:1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 t="str">
        <f>IF(A68="","",COUNTIFS([1]الحضور!B:B,A68,[1]الحضور!F:F,"نعم"))</f>
        <v/>
      </c>
      <c r="N68" s="3" t="str">
        <f>IFERROR(AVERAGEIF([2]التقييمات!B:B,A68,[2]التقييمات!H:H),"")</f>
        <v/>
      </c>
      <c r="O68" s="3"/>
    </row>
    <row r="69" spans="1:1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 t="str">
        <f>IF(A69="","",COUNTIFS([1]الحضور!B:B,A69,[1]الحضور!F:F,"نعم"))</f>
        <v/>
      </c>
      <c r="N69" s="3" t="str">
        <f>IFERROR(AVERAGEIF([2]التقييمات!B:B,A69,[2]التقييمات!H:H),"")</f>
        <v/>
      </c>
      <c r="O69" s="3"/>
    </row>
    <row r="70" spans="1:1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 t="str">
        <f>IF(A70="","",COUNTIFS([1]الحضور!B:B,A70,[1]الحضور!F:F,"نعم"))</f>
        <v/>
      </c>
      <c r="N70" s="3" t="str">
        <f>IFERROR(AVERAGEIF([2]التقييمات!B:B,A70,[2]التقييمات!H:H),"")</f>
        <v/>
      </c>
      <c r="O70" s="3"/>
    </row>
    <row r="71" spans="1:1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 t="str">
        <f>IF(A71="","",COUNTIFS([1]الحضور!B:B,A71,[1]الحضور!F:F,"نعم"))</f>
        <v/>
      </c>
      <c r="N71" s="3" t="str">
        <f>IFERROR(AVERAGEIF([2]التقييمات!B:B,A71,[2]التقييمات!H:H),"")</f>
        <v/>
      </c>
      <c r="O71" s="3"/>
    </row>
    <row r="72" spans="1:1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 t="str">
        <f>IF(A72="","",COUNTIFS([1]الحضور!B:B,A72,[1]الحضور!F:F,"نعم"))</f>
        <v/>
      </c>
      <c r="N72" s="3" t="str">
        <f>IFERROR(AVERAGEIF([2]التقييمات!B:B,A72,[2]التقييمات!H:H),"")</f>
        <v/>
      </c>
      <c r="O72" s="3"/>
    </row>
    <row r="73" spans="1:1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 t="str">
        <f>IF(A73="","",COUNTIFS([1]الحضور!B:B,A73,[1]الحضور!F:F,"نعم"))</f>
        <v/>
      </c>
      <c r="N73" s="3" t="str">
        <f>IFERROR(AVERAGEIF([2]التقييمات!B:B,A73,[2]التقييمات!H:H),"")</f>
        <v/>
      </c>
      <c r="O73" s="3"/>
    </row>
    <row r="74" spans="1:1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 t="str">
        <f>IF(A74="","",COUNTIFS([1]الحضور!B:B,A74,[1]الحضور!F:F,"نعم"))</f>
        <v/>
      </c>
      <c r="N74" s="3" t="str">
        <f>IFERROR(AVERAGEIF([2]التقييمات!B:B,A74,[2]التقييمات!H:H),"")</f>
        <v/>
      </c>
      <c r="O74" s="3"/>
    </row>
    <row r="75" spans="1:1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 t="str">
        <f>IF(A75="","",COUNTIFS([1]الحضور!B:B,A75,[1]الحضور!F:F,"نعم"))</f>
        <v/>
      </c>
      <c r="N75" s="3" t="str">
        <f>IFERROR(AVERAGEIF([2]التقييمات!B:B,A75,[2]التقييمات!H:H),"")</f>
        <v/>
      </c>
      <c r="O75" s="3"/>
    </row>
    <row r="76" spans="1:1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 t="str">
        <f>IF(A76="","",COUNTIFS([1]الحضور!B:B,A76,[1]الحضور!F:F,"نعم"))</f>
        <v/>
      </c>
      <c r="N76" s="3" t="str">
        <f>IFERROR(AVERAGEIF([2]التقييمات!B:B,A76,[2]التقييمات!H:H),"")</f>
        <v/>
      </c>
      <c r="O76" s="3"/>
    </row>
    <row r="77" spans="1:1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 t="str">
        <f>IF(A77="","",COUNTIFS([1]الحضور!B:B,A77,[1]الحضور!F:F,"نعم"))</f>
        <v/>
      </c>
      <c r="N77" s="3" t="str">
        <f>IFERROR(AVERAGEIF([2]التقييمات!B:B,A77,[2]التقييمات!H:H),"")</f>
        <v/>
      </c>
      <c r="O77" s="3"/>
    </row>
    <row r="78" spans="1:1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 t="str">
        <f>IF(A78="","",COUNTIFS([1]الحضور!B:B,A78,[1]الحضور!F:F,"نعم"))</f>
        <v/>
      </c>
      <c r="N78" s="3" t="str">
        <f>IFERROR(AVERAGEIF([2]التقييمات!B:B,A78,[2]التقييمات!H:H),"")</f>
        <v/>
      </c>
      <c r="O78" s="3"/>
    </row>
    <row r="79" spans="1:1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 t="str">
        <f>IF(A79="","",COUNTIFS([1]الحضور!B:B,A79,[1]الحضور!F:F,"نعم"))</f>
        <v/>
      </c>
      <c r="N79" s="3" t="str">
        <f>IFERROR(AVERAGEIF([2]التقييمات!B:B,A79,[2]التقييمات!H:H),"")</f>
        <v/>
      </c>
      <c r="O79" s="3"/>
    </row>
    <row r="80" spans="1:1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 t="str">
        <f>IF(A80="","",COUNTIFS([1]الحضور!B:B,A80,[1]الحضور!F:F,"نعم"))</f>
        <v/>
      </c>
      <c r="N80" s="3" t="str">
        <f>IFERROR(AVERAGEIF([2]التقييمات!B:B,A80,[2]التقييمات!H:H),"")</f>
        <v/>
      </c>
      <c r="O80" s="3"/>
    </row>
    <row r="81" spans="1:1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 t="str">
        <f>IF(A81="","",COUNTIFS([1]الحضور!B:B,A81,[1]الحضور!F:F,"نعم"))</f>
        <v/>
      </c>
      <c r="N81" s="3" t="str">
        <f>IFERROR(AVERAGEIF([2]التقييمات!B:B,A81,[2]التقييمات!H:H),"")</f>
        <v/>
      </c>
      <c r="O81" s="3"/>
    </row>
    <row r="82" spans="1:1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 t="str">
        <f>IF(A82="","",COUNTIFS([1]الحضور!B:B,A82,[1]الحضور!F:F,"نعم"))</f>
        <v/>
      </c>
      <c r="N82" s="3" t="str">
        <f>IFERROR(AVERAGEIF([2]التقييمات!B:B,A82,[2]التقييمات!H:H),"")</f>
        <v/>
      </c>
      <c r="O82" s="3"/>
    </row>
    <row r="83" spans="1:1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 t="str">
        <f>IF(A83="","",COUNTIFS([1]الحضور!B:B,A83,[1]الحضور!F:F,"نعم"))</f>
        <v/>
      </c>
      <c r="N83" s="3" t="str">
        <f>IFERROR(AVERAGEIF([2]التقييمات!B:B,A83,[2]التقييمات!H:H),"")</f>
        <v/>
      </c>
      <c r="O83" s="3"/>
    </row>
    <row r="84" spans="1:1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 t="str">
        <f>IF(A84="","",COUNTIFS([1]الحضور!B:B,A84,[1]الحضور!F:F,"نعم"))</f>
        <v/>
      </c>
      <c r="N84" s="3" t="str">
        <f>IFERROR(AVERAGEIF([2]التقييمات!B:B,A84,[2]التقييمات!H:H),"")</f>
        <v/>
      </c>
      <c r="O84" s="3"/>
    </row>
    <row r="85" spans="1:1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 t="str">
        <f>IF(A85="","",COUNTIFS([1]الحضور!B:B,A85,[1]الحضور!F:F,"نعم"))</f>
        <v/>
      </c>
      <c r="N85" s="3" t="str">
        <f>IFERROR(AVERAGEIF([2]التقييمات!B:B,A85,[2]التقييمات!H:H),"")</f>
        <v/>
      </c>
      <c r="O85" s="3"/>
    </row>
    <row r="86" spans="1:1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 t="str">
        <f>IF(A86="","",COUNTIFS([1]الحضور!B:B,A86,[1]الحضور!F:F,"نعم"))</f>
        <v/>
      </c>
      <c r="N86" s="3" t="str">
        <f>IFERROR(AVERAGEIF([2]التقييمات!B:B,A86,[2]التقييمات!H:H),"")</f>
        <v/>
      </c>
      <c r="O86" s="3"/>
    </row>
    <row r="87" spans="1:1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 t="str">
        <f>IF(A87="","",COUNTIFS([1]الحضور!B:B,A87,[1]الحضور!F:F,"نعم"))</f>
        <v/>
      </c>
      <c r="N87" s="3" t="str">
        <f>IFERROR(AVERAGEIF([2]التقييمات!B:B,A87,[2]التقييمات!H:H),"")</f>
        <v/>
      </c>
      <c r="O87" s="3"/>
    </row>
    <row r="88" spans="1:1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 t="str">
        <f>IF(A88="","",COUNTIFS([1]الحضور!B:B,A88,[1]الحضور!F:F,"نعم"))</f>
        <v/>
      </c>
      <c r="N88" s="3" t="str">
        <f>IFERROR(AVERAGEIF([2]التقييمات!B:B,A88,[2]التقييمات!H:H),"")</f>
        <v/>
      </c>
      <c r="O88" s="3"/>
    </row>
    <row r="89" spans="1:1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 t="str">
        <f>IF(A89="","",COUNTIFS([1]الحضور!B:B,A89,[1]الحضور!F:F,"نعم"))</f>
        <v/>
      </c>
      <c r="N89" s="3" t="str">
        <f>IFERROR(AVERAGEIF([2]التقييمات!B:B,A89,[2]التقييمات!H:H),"")</f>
        <v/>
      </c>
      <c r="O89" s="3"/>
    </row>
    <row r="90" spans="1:1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 t="str">
        <f>IF(A90="","",COUNTIFS([1]الحضور!B:B,A90,[1]الحضور!F:F,"نعم"))</f>
        <v/>
      </c>
      <c r="N90" s="3" t="str">
        <f>IFERROR(AVERAGEIF([2]التقييمات!B:B,A90,[2]التقييمات!H:H),"")</f>
        <v/>
      </c>
      <c r="O90" s="3"/>
    </row>
    <row r="91" spans="1:1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 t="str">
        <f>IF(A91="","",COUNTIFS([1]الحضور!B:B,A91,[1]الحضور!F:F,"نعم"))</f>
        <v/>
      </c>
      <c r="N91" s="3" t="str">
        <f>IFERROR(AVERAGEIF([2]التقييمات!B:B,A91,[2]التقييمات!H:H),"")</f>
        <v/>
      </c>
      <c r="O91" s="3"/>
    </row>
    <row r="92" spans="1:1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 t="str">
        <f>IF(A92="","",COUNTIFS([1]الحضور!B:B,A92,[1]الحضور!F:F,"نعم"))</f>
        <v/>
      </c>
      <c r="N92" s="3" t="str">
        <f>IFERROR(AVERAGEIF([2]التقييمات!B:B,A92,[2]التقييمات!H:H),"")</f>
        <v/>
      </c>
      <c r="O92" s="3"/>
    </row>
    <row r="93" spans="1:1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 t="str">
        <f>IF(A93="","",COUNTIFS([1]الحضور!B:B,A93,[1]الحضور!F:F,"نعم"))</f>
        <v/>
      </c>
      <c r="N93" s="3" t="str">
        <f>IFERROR(AVERAGEIF([2]التقييمات!B:B,A93,[2]التقييمات!H:H),"")</f>
        <v/>
      </c>
      <c r="O93" s="3"/>
    </row>
    <row r="94" spans="1:1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 t="str">
        <f>IF(A94="","",COUNTIFS([1]الحضور!B:B,A94,[1]الحضور!F:F,"نعم"))</f>
        <v/>
      </c>
      <c r="N94" s="3" t="str">
        <f>IFERROR(AVERAGEIF([2]التقييمات!B:B,A94,[2]التقييمات!H:H),"")</f>
        <v/>
      </c>
      <c r="O94" s="3"/>
    </row>
    <row r="95" spans="1:1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 t="str">
        <f>IF(A95="","",COUNTIFS([1]الحضور!B:B,A95,[1]الحضور!F:F,"نعم"))</f>
        <v/>
      </c>
      <c r="N95" s="3" t="str">
        <f>IFERROR(AVERAGEIF([2]التقييمات!B:B,A95,[2]التقييمات!H:H),"")</f>
        <v/>
      </c>
      <c r="O95" s="3"/>
    </row>
    <row r="96" spans="1:1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 t="str">
        <f>IF(A96="","",COUNTIFS([1]الحضور!B:B,A96,[1]الحضور!F:F,"نعم"))</f>
        <v/>
      </c>
      <c r="N96" s="3" t="str">
        <f>IFERROR(AVERAGEIF([2]التقييمات!B:B,A96,[2]التقييمات!H:H),"")</f>
        <v/>
      </c>
      <c r="O96" s="3"/>
    </row>
    <row r="97" spans="1:1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 t="str">
        <f>IF(A97="","",COUNTIFS([1]الحضور!B:B,A97,[1]الحضور!F:F,"نعم"))</f>
        <v/>
      </c>
      <c r="N97" s="3" t="str">
        <f>IFERROR(AVERAGEIF([2]التقييمات!B:B,A97,[2]التقييمات!H:H),"")</f>
        <v/>
      </c>
      <c r="O97" s="3"/>
    </row>
    <row r="98" spans="1:1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 t="str">
        <f>IF(A98="","",COUNTIFS([1]الحضور!B:B,A98,[1]الحضور!F:F,"نعم"))</f>
        <v/>
      </c>
      <c r="N98" s="3" t="str">
        <f>IFERROR(AVERAGEIF([2]التقييمات!B:B,A98,[2]التقييمات!H:H),"")</f>
        <v/>
      </c>
      <c r="O98" s="3"/>
    </row>
    <row r="99" spans="1:1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 t="str">
        <f>IF(A99="","",COUNTIFS([1]الحضور!B:B,A99,[1]الحضور!F:F,"نعم"))</f>
        <v/>
      </c>
      <c r="N99" s="3" t="str">
        <f>IFERROR(AVERAGEIF([2]التقييمات!B:B,A99,[2]التقييمات!H:H),"")</f>
        <v/>
      </c>
      <c r="O99" s="3"/>
    </row>
    <row r="100" spans="1:1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 t="str">
        <f>IF(A100="","",COUNTIFS([1]الحضور!B:B,A100,[1]الحضور!F:F,"نعم"))</f>
        <v/>
      </c>
      <c r="N100" s="3" t="str">
        <f>IFERROR(AVERAGEIF([2]التقييمات!B:B,A100,[2]التقييمات!H:H),"")</f>
        <v/>
      </c>
      <c r="O100" s="3"/>
    </row>
    <row r="101" spans="1:1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 t="str">
        <f>IF(A101="","",COUNTIFS([1]الحضور!B:B,A101,[1]الحضور!F:F,"نعم"))</f>
        <v/>
      </c>
      <c r="N101" s="3" t="str">
        <f>IFERROR(AVERAGEIF([2]التقييمات!B:B,A101,[2]التقييمات!H:H),"")</f>
        <v/>
      </c>
      <c r="O101" s="3"/>
    </row>
    <row r="102" spans="1:1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 t="str">
        <f>IF(A102="","",COUNTIFS([1]الحضور!B:B,A102,[1]الحضور!F:F,"نعم"))</f>
        <v/>
      </c>
      <c r="N102" s="3" t="str">
        <f>IFERROR(AVERAGEIF([2]التقييمات!B:B,A102,[2]التقييمات!H:H),"")</f>
        <v/>
      </c>
      <c r="O102" s="3"/>
    </row>
    <row r="103" spans="1:1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 t="str">
        <f>IF(A103="","",COUNTIFS([1]الحضور!B:B,A103,[1]الحضور!F:F,"نعم"))</f>
        <v/>
      </c>
      <c r="N103" s="3" t="str">
        <f>IFERROR(AVERAGEIF([2]التقييمات!B:B,A103,[2]التقييمات!H:H),"")</f>
        <v/>
      </c>
      <c r="O103" s="3"/>
    </row>
  </sheetData>
  <mergeCells count="1">
    <mergeCell ref="A1:O1"/>
  </mergeCells>
  <dataValidations count="1">
    <dataValidation type="list" allowBlank="1" showInputMessage="1" showErrorMessage="1" sqref="L4:L103" xr:uid="{DE7BFDE2-FABE-44F3-8DBC-C32BBE3DD633}">
      <formula1>"مخطط,منفذ,مؤجل,ملغى"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51B5-BE4B-4DF2-98CC-9C6ECFC779E1}">
  <dimension ref="A1:L103"/>
  <sheetViews>
    <sheetView rightToLeft="1" workbookViewId="0">
      <pane ySplit="3" topLeftCell="A4" activePane="bottomLeft" state="frozenSplit"/>
      <selection pane="bottomLeft" sqref="A1:L1"/>
    </sheetView>
  </sheetViews>
  <sheetFormatPr defaultRowHeight="12.75" x14ac:dyDescent="0.2"/>
  <cols>
    <col min="1" max="1" width="13.140625" style="1" bestFit="1" customWidth="1"/>
    <col min="2" max="2" width="13.28515625" style="1" bestFit="1" customWidth="1"/>
    <col min="3" max="3" width="8.85546875" style="1" bestFit="1" customWidth="1"/>
    <col min="4" max="4" width="15.5703125" style="1" bestFit="1" customWidth="1"/>
    <col min="5" max="5" width="12.28515625" style="1" bestFit="1" customWidth="1"/>
    <col min="6" max="6" width="13.85546875" style="1" bestFit="1" customWidth="1"/>
    <col min="7" max="7" width="13.5703125" style="1" bestFit="1" customWidth="1"/>
    <col min="8" max="8" width="14.28515625" style="1" bestFit="1" customWidth="1"/>
    <col min="9" max="9" width="13.7109375" style="1" bestFit="1" customWidth="1"/>
    <col min="10" max="10" width="13" style="1" bestFit="1" customWidth="1"/>
    <col min="11" max="11" width="13.140625" style="1" bestFit="1" customWidth="1"/>
    <col min="12" max="12" width="10.85546875" style="1" bestFit="1" customWidth="1"/>
    <col min="13" max="16384" width="9.140625" style="1"/>
  </cols>
  <sheetData>
    <row r="1" spans="1:12" x14ac:dyDescent="0.2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  <c r="K3" s="4" t="s">
        <v>24</v>
      </c>
      <c r="L3" s="4" t="s">
        <v>25</v>
      </c>
    </row>
    <row r="4" spans="1:12" x14ac:dyDescent="0.2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5">
        <v>45658</v>
      </c>
      <c r="G4" s="3" t="s">
        <v>31</v>
      </c>
      <c r="H4" s="3" t="s">
        <v>32</v>
      </c>
      <c r="I4" s="3"/>
      <c r="J4" s="3" t="e">
        <f>COUNTIF([1]الحضور!D:D,A4)</f>
        <v>#VALUE!</v>
      </c>
      <c r="K4" s="6">
        <f>IFERROR(COUNTIFS([1]الحضور!D:D,A4,[1]الحضور!F:F,"نعم")/J4,0)</f>
        <v>0</v>
      </c>
      <c r="L4" s="3"/>
    </row>
    <row r="5" spans="1:12" x14ac:dyDescent="0.2">
      <c r="A5" s="3" t="s">
        <v>33</v>
      </c>
      <c r="B5" s="3" t="s">
        <v>34</v>
      </c>
      <c r="C5" s="3" t="s">
        <v>35</v>
      </c>
      <c r="D5" s="3" t="s">
        <v>36</v>
      </c>
      <c r="E5" s="3" t="s">
        <v>30</v>
      </c>
      <c r="F5" s="3" t="s">
        <v>37</v>
      </c>
      <c r="G5" s="3" t="s">
        <v>31</v>
      </c>
      <c r="H5" s="3" t="s">
        <v>38</v>
      </c>
      <c r="I5" s="3"/>
      <c r="J5" s="3" t="e">
        <f>COUNTIF([1]الحضور!D:D,A5)</f>
        <v>#VALUE!</v>
      </c>
      <c r="K5" s="6">
        <f>IFERROR(COUNTIFS([1]الحضور!D:D,A5,[1]الحضور!F:F,"نعم")/J5,0)</f>
        <v>0</v>
      </c>
      <c r="L5" s="3"/>
    </row>
    <row r="6" spans="1:12" x14ac:dyDescent="0.2">
      <c r="A6" s="3" t="s">
        <v>39</v>
      </c>
      <c r="B6" s="3" t="s">
        <v>40</v>
      </c>
      <c r="C6" s="3" t="s">
        <v>41</v>
      </c>
      <c r="D6" s="3" t="s">
        <v>42</v>
      </c>
      <c r="E6" s="3" t="s">
        <v>30</v>
      </c>
      <c r="F6" s="5">
        <v>45933</v>
      </c>
      <c r="G6" s="3" t="s">
        <v>31</v>
      </c>
      <c r="H6" s="3" t="s">
        <v>43</v>
      </c>
      <c r="I6" s="3"/>
      <c r="J6" s="3" t="e">
        <f>COUNTIF([1]الحضور!D:D,A6)</f>
        <v>#VALUE!</v>
      </c>
      <c r="K6" s="6">
        <f>IFERROR(COUNTIFS([1]الحضور!D:D,A6,[1]الحضور!F:F,"نعم")/J6,0)</f>
        <v>0</v>
      </c>
      <c r="L6" s="3"/>
    </row>
    <row r="7" spans="1:12" x14ac:dyDescent="0.2">
      <c r="A7" s="3"/>
      <c r="B7" s="3"/>
      <c r="C7" s="3"/>
      <c r="D7" s="3"/>
      <c r="E7" s="3"/>
      <c r="F7" s="3"/>
      <c r="G7" s="3"/>
      <c r="H7" s="3"/>
      <c r="I7" s="3"/>
      <c r="J7" s="3" t="str">
        <f>IF(A7="","",COUNTIF([1]الحضور!D:D,A7))</f>
        <v/>
      </c>
      <c r="K7" s="6">
        <f>IFERROR(COUNTIFS([1]الحضور!D:D,A7,[1]الحضور!F:F,"نعم")/J7,0)</f>
        <v>0</v>
      </c>
      <c r="L7" s="3"/>
    </row>
    <row r="8" spans="1:12" x14ac:dyDescent="0.2">
      <c r="A8" s="3"/>
      <c r="B8" s="3"/>
      <c r="C8" s="3"/>
      <c r="D8" s="3"/>
      <c r="E8" s="3"/>
      <c r="F8" s="3"/>
      <c r="G8" s="3"/>
      <c r="H8" s="3"/>
      <c r="I8" s="3"/>
      <c r="J8" s="3" t="str">
        <f>IF(A8="","",COUNTIF([1]الحضور!D:D,A8))</f>
        <v/>
      </c>
      <c r="K8" s="6">
        <f>IFERROR(COUNTIFS([1]الحضور!D:D,A8,[1]الحضور!F:F,"نعم")/J8,0)</f>
        <v>0</v>
      </c>
      <c r="L8" s="3"/>
    </row>
    <row r="9" spans="1:12" x14ac:dyDescent="0.2">
      <c r="A9" s="3"/>
      <c r="B9" s="3"/>
      <c r="C9" s="3"/>
      <c r="D9" s="3"/>
      <c r="E9" s="3"/>
      <c r="F9" s="3"/>
      <c r="G9" s="3"/>
      <c r="H9" s="3"/>
      <c r="I9" s="3"/>
      <c r="J9" s="3" t="str">
        <f>IF(A9="","",COUNTIF([1]الحضور!D:D,A9))</f>
        <v/>
      </c>
      <c r="K9" s="6">
        <f>IFERROR(COUNTIFS([1]الحضور!D:D,A9,[1]الحضور!F:F,"نعم")/J9,0)</f>
        <v>0</v>
      </c>
      <c r="L9" s="3"/>
    </row>
    <row r="10" spans="1:12" x14ac:dyDescent="0.2">
      <c r="A10" s="3"/>
      <c r="B10" s="3"/>
      <c r="C10" s="3"/>
      <c r="D10" s="3"/>
      <c r="E10" s="3"/>
      <c r="F10" s="3"/>
      <c r="G10" s="3"/>
      <c r="H10" s="3"/>
      <c r="I10" s="3"/>
      <c r="J10" s="3" t="str">
        <f>IF(A10="","",COUNTIF([1]الحضور!D:D,A10))</f>
        <v/>
      </c>
      <c r="K10" s="6">
        <f>IFERROR(COUNTIFS([1]الحضور!D:D,A10,[1]الحضور!F:F,"نعم")/J10,0)</f>
        <v>0</v>
      </c>
      <c r="L10" s="3"/>
    </row>
    <row r="11" spans="1:12" x14ac:dyDescent="0.2">
      <c r="A11" s="3"/>
      <c r="B11" s="3"/>
      <c r="C11" s="3"/>
      <c r="D11" s="3"/>
      <c r="E11" s="3"/>
      <c r="F11" s="3"/>
      <c r="G11" s="3"/>
      <c r="H11" s="3"/>
      <c r="I11" s="3"/>
      <c r="J11" s="3" t="str">
        <f>IF(A11="","",COUNTIF([1]الحضور!D:D,A11))</f>
        <v/>
      </c>
      <c r="K11" s="6">
        <f>IFERROR(COUNTIFS([1]الحضور!D:D,A11,[1]الحضور!F:F,"نعم")/J11,0)</f>
        <v>0</v>
      </c>
      <c r="L11" s="3"/>
    </row>
    <row r="12" spans="1:12" x14ac:dyDescent="0.2">
      <c r="A12" s="3"/>
      <c r="B12" s="3"/>
      <c r="C12" s="3"/>
      <c r="D12" s="3"/>
      <c r="E12" s="3"/>
      <c r="F12" s="3"/>
      <c r="G12" s="3"/>
      <c r="H12" s="3"/>
      <c r="I12" s="3"/>
      <c r="J12" s="3" t="str">
        <f>IF(A12="","",COUNTIF([1]الحضور!D:D,A12))</f>
        <v/>
      </c>
      <c r="K12" s="6">
        <f>IFERROR(COUNTIFS([1]الحضور!D:D,A12,[1]الحضور!F:F,"نعم")/J12,0)</f>
        <v>0</v>
      </c>
      <c r="L12" s="3"/>
    </row>
    <row r="13" spans="1:12" x14ac:dyDescent="0.2">
      <c r="A13" s="3"/>
      <c r="B13" s="3"/>
      <c r="C13" s="3"/>
      <c r="D13" s="3"/>
      <c r="E13" s="3"/>
      <c r="F13" s="3"/>
      <c r="G13" s="3"/>
      <c r="H13" s="3"/>
      <c r="I13" s="3"/>
      <c r="J13" s="3" t="str">
        <f>IF(A13="","",COUNTIF([1]الحضور!D:D,A13))</f>
        <v/>
      </c>
      <c r="K13" s="6">
        <f>IFERROR(COUNTIFS([1]الحضور!D:D,A13,[1]الحضور!F:F,"نعم")/J13,0)</f>
        <v>0</v>
      </c>
      <c r="L13" s="3"/>
    </row>
    <row r="14" spans="1:12" x14ac:dyDescent="0.2">
      <c r="A14" s="3"/>
      <c r="B14" s="3"/>
      <c r="C14" s="3"/>
      <c r="D14" s="3"/>
      <c r="E14" s="3"/>
      <c r="F14" s="3"/>
      <c r="G14" s="3"/>
      <c r="H14" s="3"/>
      <c r="I14" s="3"/>
      <c r="J14" s="3" t="str">
        <f>IF(A14="","",COUNTIF([1]الحضور!D:D,A14))</f>
        <v/>
      </c>
      <c r="K14" s="6">
        <f>IFERROR(COUNTIFS([1]الحضور!D:D,A14,[1]الحضور!F:F,"نعم")/J14,0)</f>
        <v>0</v>
      </c>
      <c r="L14" s="3"/>
    </row>
    <row r="15" spans="1:12" x14ac:dyDescent="0.2">
      <c r="A15" s="3"/>
      <c r="B15" s="3"/>
      <c r="C15" s="3"/>
      <c r="D15" s="3"/>
      <c r="E15" s="3"/>
      <c r="F15" s="3"/>
      <c r="G15" s="3"/>
      <c r="H15" s="3"/>
      <c r="I15" s="3"/>
      <c r="J15" s="3" t="str">
        <f>IF(A15="","",COUNTIF([1]الحضور!D:D,A15))</f>
        <v/>
      </c>
      <c r="K15" s="6">
        <f>IFERROR(COUNTIFS([1]الحضور!D:D,A15,[1]الحضور!F:F,"نعم")/J15,0)</f>
        <v>0</v>
      </c>
      <c r="L15" s="3"/>
    </row>
    <row r="16" spans="1:12" x14ac:dyDescent="0.2">
      <c r="A16" s="3"/>
      <c r="B16" s="3"/>
      <c r="C16" s="3"/>
      <c r="D16" s="3"/>
      <c r="E16" s="3"/>
      <c r="F16" s="3"/>
      <c r="G16" s="3"/>
      <c r="H16" s="3"/>
      <c r="I16" s="3"/>
      <c r="J16" s="3" t="str">
        <f>IF(A16="","",COUNTIF([1]الحضور!D:D,A16))</f>
        <v/>
      </c>
      <c r="K16" s="6">
        <f>IFERROR(COUNTIFS([1]الحضور!D:D,A16,[1]الحضور!F:F,"نعم")/J16,0)</f>
        <v>0</v>
      </c>
      <c r="L16" s="3"/>
    </row>
    <row r="17" spans="1:12" x14ac:dyDescent="0.2">
      <c r="A17" s="3"/>
      <c r="B17" s="3"/>
      <c r="C17" s="3"/>
      <c r="D17" s="3"/>
      <c r="E17" s="3"/>
      <c r="F17" s="3"/>
      <c r="G17" s="3"/>
      <c r="H17" s="3"/>
      <c r="I17" s="3"/>
      <c r="J17" s="3" t="str">
        <f>IF(A17="","",COUNTIF([1]الحضور!D:D,A17))</f>
        <v/>
      </c>
      <c r="K17" s="6">
        <f>IFERROR(COUNTIFS([1]الحضور!D:D,A17,[1]الحضور!F:F,"نعم")/J17,0)</f>
        <v>0</v>
      </c>
      <c r="L17" s="3"/>
    </row>
    <row r="18" spans="1:12" x14ac:dyDescent="0.2">
      <c r="A18" s="3"/>
      <c r="B18" s="3"/>
      <c r="C18" s="3"/>
      <c r="D18" s="3"/>
      <c r="E18" s="3"/>
      <c r="F18" s="3"/>
      <c r="G18" s="3"/>
      <c r="H18" s="3"/>
      <c r="I18" s="3"/>
      <c r="J18" s="3" t="str">
        <f>IF(A18="","",COUNTIF([1]الحضور!D:D,A18))</f>
        <v/>
      </c>
      <c r="K18" s="6">
        <f>IFERROR(COUNTIFS([1]الحضور!D:D,A18,[1]الحضور!F:F,"نعم")/J18,0)</f>
        <v>0</v>
      </c>
      <c r="L18" s="3"/>
    </row>
    <row r="19" spans="1:12" x14ac:dyDescent="0.2">
      <c r="A19" s="3"/>
      <c r="B19" s="3"/>
      <c r="C19" s="3"/>
      <c r="D19" s="3"/>
      <c r="E19" s="3"/>
      <c r="F19" s="3"/>
      <c r="G19" s="3"/>
      <c r="H19" s="3"/>
      <c r="I19" s="3"/>
      <c r="J19" s="3" t="str">
        <f>IF(A19="","",COUNTIF([1]الحضور!D:D,A19))</f>
        <v/>
      </c>
      <c r="K19" s="6">
        <f>IFERROR(COUNTIFS([1]الحضور!D:D,A19,[1]الحضور!F:F,"نعم")/J19,0)</f>
        <v>0</v>
      </c>
      <c r="L19" s="3"/>
    </row>
    <row r="20" spans="1:12" x14ac:dyDescent="0.2">
      <c r="A20" s="3"/>
      <c r="B20" s="3"/>
      <c r="C20" s="3"/>
      <c r="D20" s="3"/>
      <c r="E20" s="3"/>
      <c r="F20" s="3"/>
      <c r="G20" s="3"/>
      <c r="H20" s="3"/>
      <c r="I20" s="3"/>
      <c r="J20" s="3" t="str">
        <f>IF(A20="","",COUNTIF([1]الحضور!D:D,A20))</f>
        <v/>
      </c>
      <c r="K20" s="6">
        <f>IFERROR(COUNTIFS([1]الحضور!D:D,A20,[1]الحضور!F:F,"نعم")/J20,0)</f>
        <v>0</v>
      </c>
      <c r="L20" s="3"/>
    </row>
    <row r="21" spans="1:12" x14ac:dyDescent="0.2">
      <c r="A21" s="3"/>
      <c r="B21" s="3"/>
      <c r="C21" s="3"/>
      <c r="D21" s="3"/>
      <c r="E21" s="3"/>
      <c r="F21" s="3"/>
      <c r="G21" s="3"/>
      <c r="H21" s="3"/>
      <c r="I21" s="3"/>
      <c r="J21" s="3" t="str">
        <f>IF(A21="","",COUNTIF([1]الحضور!D:D,A21))</f>
        <v/>
      </c>
      <c r="K21" s="6">
        <f>IFERROR(COUNTIFS([1]الحضور!D:D,A21,[1]الحضور!F:F,"نعم")/J21,0)</f>
        <v>0</v>
      </c>
      <c r="L21" s="3"/>
    </row>
    <row r="22" spans="1:12" x14ac:dyDescent="0.2">
      <c r="A22" s="3"/>
      <c r="B22" s="3"/>
      <c r="C22" s="3"/>
      <c r="D22" s="3"/>
      <c r="E22" s="3"/>
      <c r="F22" s="3"/>
      <c r="G22" s="3"/>
      <c r="H22" s="3"/>
      <c r="I22" s="3"/>
      <c r="J22" s="3" t="str">
        <f>IF(A22="","",COUNTIF([1]الحضور!D:D,A22))</f>
        <v/>
      </c>
      <c r="K22" s="6">
        <f>IFERROR(COUNTIFS([1]الحضور!D:D,A22,[1]الحضور!F:F,"نعم")/J22,0)</f>
        <v>0</v>
      </c>
      <c r="L22" s="3"/>
    </row>
    <row r="23" spans="1:12" x14ac:dyDescent="0.2">
      <c r="A23" s="3"/>
      <c r="B23" s="3"/>
      <c r="C23" s="3"/>
      <c r="D23" s="3"/>
      <c r="E23" s="3"/>
      <c r="F23" s="3"/>
      <c r="G23" s="3"/>
      <c r="H23" s="3"/>
      <c r="I23" s="3"/>
      <c r="J23" s="3" t="str">
        <f>IF(A23="","",COUNTIF([1]الحضور!D:D,A23))</f>
        <v/>
      </c>
      <c r="K23" s="6">
        <f>IFERROR(COUNTIFS([1]الحضور!D:D,A23,[1]الحضور!F:F,"نعم")/J23,0)</f>
        <v>0</v>
      </c>
      <c r="L23" s="3"/>
    </row>
    <row r="24" spans="1:12" x14ac:dyDescent="0.2">
      <c r="A24" s="3"/>
      <c r="B24" s="3"/>
      <c r="C24" s="3"/>
      <c r="D24" s="3"/>
      <c r="E24" s="3"/>
      <c r="F24" s="3"/>
      <c r="G24" s="3"/>
      <c r="H24" s="3"/>
      <c r="I24" s="3"/>
      <c r="J24" s="3" t="str">
        <f>IF(A24="","",COUNTIF([1]الحضور!D:D,A24))</f>
        <v/>
      </c>
      <c r="K24" s="6">
        <f>IFERROR(COUNTIFS([1]الحضور!D:D,A24,[1]الحضور!F:F,"نعم")/J24,0)</f>
        <v>0</v>
      </c>
      <c r="L24" s="3"/>
    </row>
    <row r="25" spans="1:12" x14ac:dyDescent="0.2">
      <c r="A25" s="3"/>
      <c r="B25" s="3"/>
      <c r="C25" s="3"/>
      <c r="D25" s="3"/>
      <c r="E25" s="3"/>
      <c r="F25" s="3"/>
      <c r="G25" s="3"/>
      <c r="H25" s="3"/>
      <c r="I25" s="3"/>
      <c r="J25" s="3" t="str">
        <f>IF(A25="","",COUNTIF([1]الحضور!D:D,A25))</f>
        <v/>
      </c>
      <c r="K25" s="6">
        <f>IFERROR(COUNTIFS([1]الحضور!D:D,A25,[1]الحضور!F:F,"نعم")/J25,0)</f>
        <v>0</v>
      </c>
      <c r="L25" s="3"/>
    </row>
    <row r="26" spans="1:12" x14ac:dyDescent="0.2">
      <c r="A26" s="3"/>
      <c r="B26" s="3"/>
      <c r="C26" s="3"/>
      <c r="D26" s="3"/>
      <c r="E26" s="3"/>
      <c r="F26" s="3"/>
      <c r="G26" s="3"/>
      <c r="H26" s="3"/>
      <c r="I26" s="3"/>
      <c r="J26" s="3" t="str">
        <f>IF(A26="","",COUNTIF([1]الحضور!D:D,A26))</f>
        <v/>
      </c>
      <c r="K26" s="6">
        <f>IFERROR(COUNTIFS([1]الحضور!D:D,A26,[1]الحضور!F:F,"نعم")/J26,0)</f>
        <v>0</v>
      </c>
      <c r="L26" s="3"/>
    </row>
    <row r="27" spans="1:12" x14ac:dyDescent="0.2">
      <c r="A27" s="3"/>
      <c r="B27" s="3"/>
      <c r="C27" s="3"/>
      <c r="D27" s="3"/>
      <c r="E27" s="3"/>
      <c r="F27" s="3"/>
      <c r="G27" s="3"/>
      <c r="H27" s="3"/>
      <c r="I27" s="3"/>
      <c r="J27" s="3" t="str">
        <f>IF(A27="","",COUNTIF([1]الحضور!D:D,A27))</f>
        <v/>
      </c>
      <c r="K27" s="6">
        <f>IFERROR(COUNTIFS([1]الحضور!D:D,A27,[1]الحضور!F:F,"نعم")/J27,0)</f>
        <v>0</v>
      </c>
      <c r="L27" s="3"/>
    </row>
    <row r="28" spans="1:12" x14ac:dyDescent="0.2">
      <c r="A28" s="3"/>
      <c r="B28" s="3"/>
      <c r="C28" s="3"/>
      <c r="D28" s="3"/>
      <c r="E28" s="3"/>
      <c r="F28" s="3"/>
      <c r="G28" s="3"/>
      <c r="H28" s="3"/>
      <c r="I28" s="3"/>
      <c r="J28" s="3" t="str">
        <f>IF(A28="","",COUNTIF([1]الحضور!D:D,A28))</f>
        <v/>
      </c>
      <c r="K28" s="6">
        <f>IFERROR(COUNTIFS([1]الحضور!D:D,A28,[1]الحضور!F:F,"نعم")/J28,0)</f>
        <v>0</v>
      </c>
      <c r="L28" s="3"/>
    </row>
    <row r="29" spans="1:12" x14ac:dyDescent="0.2">
      <c r="A29" s="3"/>
      <c r="B29" s="3"/>
      <c r="C29" s="3"/>
      <c r="D29" s="3"/>
      <c r="E29" s="3"/>
      <c r="F29" s="3"/>
      <c r="G29" s="3"/>
      <c r="H29" s="3"/>
      <c r="I29" s="3"/>
      <c r="J29" s="3" t="str">
        <f>IF(A29="","",COUNTIF([1]الحضور!D:D,A29))</f>
        <v/>
      </c>
      <c r="K29" s="6">
        <f>IFERROR(COUNTIFS([1]الحضور!D:D,A29,[1]الحضور!F:F,"نعم")/J29,0)</f>
        <v>0</v>
      </c>
      <c r="L29" s="3"/>
    </row>
    <row r="30" spans="1:12" x14ac:dyDescent="0.2">
      <c r="A30" s="3"/>
      <c r="B30" s="3"/>
      <c r="C30" s="3"/>
      <c r="D30" s="3"/>
      <c r="E30" s="3"/>
      <c r="F30" s="3"/>
      <c r="G30" s="3"/>
      <c r="H30" s="3"/>
      <c r="I30" s="3"/>
      <c r="J30" s="3" t="str">
        <f>IF(A30="","",COUNTIF([1]الحضور!D:D,A30))</f>
        <v/>
      </c>
      <c r="K30" s="6">
        <f>IFERROR(COUNTIFS([1]الحضور!D:D,A30,[1]الحضور!F:F,"نعم")/J30,0)</f>
        <v>0</v>
      </c>
      <c r="L30" s="3"/>
    </row>
    <row r="31" spans="1:12" x14ac:dyDescent="0.2">
      <c r="A31" s="3"/>
      <c r="B31" s="3"/>
      <c r="C31" s="3"/>
      <c r="D31" s="3"/>
      <c r="E31" s="3"/>
      <c r="F31" s="3"/>
      <c r="G31" s="3"/>
      <c r="H31" s="3"/>
      <c r="I31" s="3"/>
      <c r="J31" s="3" t="str">
        <f>IF(A31="","",COUNTIF([1]الحضور!D:D,A31))</f>
        <v/>
      </c>
      <c r="K31" s="6">
        <f>IFERROR(COUNTIFS([1]الحضور!D:D,A31,[1]الحضور!F:F,"نعم")/J31,0)</f>
        <v>0</v>
      </c>
      <c r="L31" s="3"/>
    </row>
    <row r="32" spans="1:12" x14ac:dyDescent="0.2">
      <c r="A32" s="3"/>
      <c r="B32" s="3"/>
      <c r="C32" s="3"/>
      <c r="D32" s="3"/>
      <c r="E32" s="3"/>
      <c r="F32" s="3"/>
      <c r="G32" s="3"/>
      <c r="H32" s="3"/>
      <c r="I32" s="3"/>
      <c r="J32" s="3" t="str">
        <f>IF(A32="","",COUNTIF([1]الحضور!D:D,A32))</f>
        <v/>
      </c>
      <c r="K32" s="6">
        <f>IFERROR(COUNTIFS([1]الحضور!D:D,A32,[1]الحضور!F:F,"نعم")/J32,0)</f>
        <v>0</v>
      </c>
      <c r="L32" s="3"/>
    </row>
    <row r="33" spans="1:12" x14ac:dyDescent="0.2">
      <c r="A33" s="3"/>
      <c r="B33" s="3"/>
      <c r="C33" s="3"/>
      <c r="D33" s="3"/>
      <c r="E33" s="3"/>
      <c r="F33" s="3"/>
      <c r="G33" s="3"/>
      <c r="H33" s="3"/>
      <c r="I33" s="3"/>
      <c r="J33" s="3" t="str">
        <f>IF(A33="","",COUNTIF([1]الحضور!D:D,A33))</f>
        <v/>
      </c>
      <c r="K33" s="6">
        <f>IFERROR(COUNTIFS([1]الحضور!D:D,A33,[1]الحضور!F:F,"نعم")/J33,0)</f>
        <v>0</v>
      </c>
      <c r="L33" s="3"/>
    </row>
    <row r="34" spans="1:12" x14ac:dyDescent="0.2">
      <c r="A34" s="3"/>
      <c r="B34" s="3"/>
      <c r="C34" s="3"/>
      <c r="D34" s="3"/>
      <c r="E34" s="3"/>
      <c r="F34" s="3"/>
      <c r="G34" s="3"/>
      <c r="H34" s="3"/>
      <c r="I34" s="3"/>
      <c r="J34" s="3" t="str">
        <f>IF(A34="","",COUNTIF([1]الحضور!D:D,A34))</f>
        <v/>
      </c>
      <c r="K34" s="6">
        <f>IFERROR(COUNTIFS([1]الحضور!D:D,A34,[1]الحضور!F:F,"نعم")/J34,0)</f>
        <v>0</v>
      </c>
      <c r="L34" s="3"/>
    </row>
    <row r="35" spans="1:12" x14ac:dyDescent="0.2">
      <c r="A35" s="3"/>
      <c r="B35" s="3"/>
      <c r="C35" s="3"/>
      <c r="D35" s="3"/>
      <c r="E35" s="3"/>
      <c r="F35" s="3"/>
      <c r="G35" s="3"/>
      <c r="H35" s="3"/>
      <c r="I35" s="3"/>
      <c r="J35" s="3" t="str">
        <f>IF(A35="","",COUNTIF([1]الحضور!D:D,A35))</f>
        <v/>
      </c>
      <c r="K35" s="6">
        <f>IFERROR(COUNTIFS([1]الحضور!D:D,A35,[1]الحضور!F:F,"نعم")/J35,0)</f>
        <v>0</v>
      </c>
      <c r="L35" s="3"/>
    </row>
    <row r="36" spans="1:12" x14ac:dyDescent="0.2">
      <c r="A36" s="3"/>
      <c r="B36" s="3"/>
      <c r="C36" s="3"/>
      <c r="D36" s="3"/>
      <c r="E36" s="3"/>
      <c r="F36" s="3"/>
      <c r="G36" s="3"/>
      <c r="H36" s="3"/>
      <c r="I36" s="3"/>
      <c r="J36" s="3" t="str">
        <f>IF(A36="","",COUNTIF([1]الحضور!D:D,A36))</f>
        <v/>
      </c>
      <c r="K36" s="6">
        <f>IFERROR(COUNTIFS([1]الحضور!D:D,A36,[1]الحضور!F:F,"نعم")/J36,0)</f>
        <v>0</v>
      </c>
      <c r="L36" s="3"/>
    </row>
    <row r="37" spans="1:12" x14ac:dyDescent="0.2">
      <c r="A37" s="3"/>
      <c r="B37" s="3"/>
      <c r="C37" s="3"/>
      <c r="D37" s="3"/>
      <c r="E37" s="3"/>
      <c r="F37" s="3"/>
      <c r="G37" s="3"/>
      <c r="H37" s="3"/>
      <c r="I37" s="3"/>
      <c r="J37" s="3" t="str">
        <f>IF(A37="","",COUNTIF([1]الحضور!D:D,A37))</f>
        <v/>
      </c>
      <c r="K37" s="6">
        <f>IFERROR(COUNTIFS([1]الحضور!D:D,A37,[1]الحضور!F:F,"نعم")/J37,0)</f>
        <v>0</v>
      </c>
      <c r="L37" s="3"/>
    </row>
    <row r="38" spans="1:12" x14ac:dyDescent="0.2">
      <c r="A38" s="3"/>
      <c r="B38" s="3"/>
      <c r="C38" s="3"/>
      <c r="D38" s="3"/>
      <c r="E38" s="3"/>
      <c r="F38" s="3"/>
      <c r="G38" s="3"/>
      <c r="H38" s="3"/>
      <c r="I38" s="3"/>
      <c r="J38" s="3" t="str">
        <f>IF(A38="","",COUNTIF([1]الحضور!D:D,A38))</f>
        <v/>
      </c>
      <c r="K38" s="6">
        <f>IFERROR(COUNTIFS([1]الحضور!D:D,A38,[1]الحضور!F:F,"نعم")/J38,0)</f>
        <v>0</v>
      </c>
      <c r="L38" s="3"/>
    </row>
    <row r="39" spans="1:12" x14ac:dyDescent="0.2">
      <c r="A39" s="3"/>
      <c r="B39" s="3"/>
      <c r="C39" s="3"/>
      <c r="D39" s="3"/>
      <c r="E39" s="3"/>
      <c r="F39" s="3"/>
      <c r="G39" s="3"/>
      <c r="H39" s="3"/>
      <c r="I39" s="3"/>
      <c r="J39" s="3" t="str">
        <f>IF(A39="","",COUNTIF([1]الحضور!D:D,A39))</f>
        <v/>
      </c>
      <c r="K39" s="6">
        <f>IFERROR(COUNTIFS([1]الحضور!D:D,A39,[1]الحضور!F:F,"نعم")/J39,0)</f>
        <v>0</v>
      </c>
      <c r="L39" s="3"/>
    </row>
    <row r="40" spans="1:12" x14ac:dyDescent="0.2">
      <c r="A40" s="3"/>
      <c r="B40" s="3"/>
      <c r="C40" s="3"/>
      <c r="D40" s="3"/>
      <c r="E40" s="3"/>
      <c r="F40" s="3"/>
      <c r="G40" s="3"/>
      <c r="H40" s="3"/>
      <c r="I40" s="3"/>
      <c r="J40" s="3" t="str">
        <f>IF(A40="","",COUNTIF([1]الحضور!D:D,A40))</f>
        <v/>
      </c>
      <c r="K40" s="6">
        <f>IFERROR(COUNTIFS([1]الحضور!D:D,A40,[1]الحضور!F:F,"نعم")/J40,0)</f>
        <v>0</v>
      </c>
      <c r="L40" s="3"/>
    </row>
    <row r="41" spans="1:12" x14ac:dyDescent="0.2">
      <c r="A41" s="3"/>
      <c r="B41" s="3"/>
      <c r="C41" s="3"/>
      <c r="D41" s="3"/>
      <c r="E41" s="3"/>
      <c r="F41" s="3"/>
      <c r="G41" s="3"/>
      <c r="H41" s="3"/>
      <c r="I41" s="3"/>
      <c r="J41" s="3" t="str">
        <f>IF(A41="","",COUNTIF([1]الحضور!D:D,A41))</f>
        <v/>
      </c>
      <c r="K41" s="6">
        <f>IFERROR(COUNTIFS([1]الحضور!D:D,A41,[1]الحضور!F:F,"نعم")/J41,0)</f>
        <v>0</v>
      </c>
      <c r="L41" s="3"/>
    </row>
    <row r="42" spans="1:12" x14ac:dyDescent="0.2">
      <c r="A42" s="3"/>
      <c r="B42" s="3"/>
      <c r="C42" s="3"/>
      <c r="D42" s="3"/>
      <c r="E42" s="3"/>
      <c r="F42" s="3"/>
      <c r="G42" s="3"/>
      <c r="H42" s="3"/>
      <c r="I42" s="3"/>
      <c r="J42" s="3" t="str">
        <f>IF(A42="","",COUNTIF([1]الحضور!D:D,A42))</f>
        <v/>
      </c>
      <c r="K42" s="6">
        <f>IFERROR(COUNTIFS([1]الحضور!D:D,A42,[1]الحضور!F:F,"نعم")/J42,0)</f>
        <v>0</v>
      </c>
      <c r="L42" s="3"/>
    </row>
    <row r="43" spans="1:12" x14ac:dyDescent="0.2">
      <c r="A43" s="3"/>
      <c r="B43" s="3"/>
      <c r="C43" s="3"/>
      <c r="D43" s="3"/>
      <c r="E43" s="3"/>
      <c r="F43" s="3"/>
      <c r="G43" s="3"/>
      <c r="H43" s="3"/>
      <c r="I43" s="3"/>
      <c r="J43" s="3" t="str">
        <f>IF(A43="","",COUNTIF([1]الحضور!D:D,A43))</f>
        <v/>
      </c>
      <c r="K43" s="6">
        <f>IFERROR(COUNTIFS([1]الحضور!D:D,A43,[1]الحضور!F:F,"نعم")/J43,0)</f>
        <v>0</v>
      </c>
      <c r="L43" s="3"/>
    </row>
    <row r="44" spans="1:12" x14ac:dyDescent="0.2">
      <c r="A44" s="3"/>
      <c r="B44" s="3"/>
      <c r="C44" s="3"/>
      <c r="D44" s="3"/>
      <c r="E44" s="3"/>
      <c r="F44" s="3"/>
      <c r="G44" s="3"/>
      <c r="H44" s="3"/>
      <c r="I44" s="3"/>
      <c r="J44" s="3" t="str">
        <f>IF(A44="","",COUNTIF([1]الحضور!D:D,A44))</f>
        <v/>
      </c>
      <c r="K44" s="6">
        <f>IFERROR(COUNTIFS([1]الحضور!D:D,A44,[1]الحضور!F:F,"نعم")/J44,0)</f>
        <v>0</v>
      </c>
      <c r="L44" s="3"/>
    </row>
    <row r="45" spans="1:12" x14ac:dyDescent="0.2">
      <c r="A45" s="3"/>
      <c r="B45" s="3"/>
      <c r="C45" s="3"/>
      <c r="D45" s="3"/>
      <c r="E45" s="3"/>
      <c r="F45" s="3"/>
      <c r="G45" s="3"/>
      <c r="H45" s="3"/>
      <c r="I45" s="3"/>
      <c r="J45" s="3" t="str">
        <f>IF(A45="","",COUNTIF([1]الحضور!D:D,A45))</f>
        <v/>
      </c>
      <c r="K45" s="6">
        <f>IFERROR(COUNTIFS([1]الحضور!D:D,A45,[1]الحضور!F:F,"نعم")/J45,0)</f>
        <v>0</v>
      </c>
      <c r="L45" s="3"/>
    </row>
    <row r="46" spans="1:12" x14ac:dyDescent="0.2">
      <c r="A46" s="3"/>
      <c r="B46" s="3"/>
      <c r="C46" s="3"/>
      <c r="D46" s="3"/>
      <c r="E46" s="3"/>
      <c r="F46" s="3"/>
      <c r="G46" s="3"/>
      <c r="H46" s="3"/>
      <c r="I46" s="3"/>
      <c r="J46" s="3" t="str">
        <f>IF(A46="","",COUNTIF([1]الحضور!D:D,A46))</f>
        <v/>
      </c>
      <c r="K46" s="6">
        <f>IFERROR(COUNTIFS([1]الحضور!D:D,A46,[1]الحضور!F:F,"نعم")/J46,0)</f>
        <v>0</v>
      </c>
      <c r="L46" s="3"/>
    </row>
    <row r="47" spans="1:12" x14ac:dyDescent="0.2">
      <c r="A47" s="3"/>
      <c r="B47" s="3"/>
      <c r="C47" s="3"/>
      <c r="D47" s="3"/>
      <c r="E47" s="3"/>
      <c r="F47" s="3"/>
      <c r="G47" s="3"/>
      <c r="H47" s="3"/>
      <c r="I47" s="3"/>
      <c r="J47" s="3" t="str">
        <f>IF(A47="","",COUNTIF([1]الحضور!D:D,A47))</f>
        <v/>
      </c>
      <c r="K47" s="6">
        <f>IFERROR(COUNTIFS([1]الحضور!D:D,A47,[1]الحضور!F:F,"نعم")/J47,0)</f>
        <v>0</v>
      </c>
      <c r="L47" s="3"/>
    </row>
    <row r="48" spans="1:12" x14ac:dyDescent="0.2">
      <c r="A48" s="3"/>
      <c r="B48" s="3"/>
      <c r="C48" s="3"/>
      <c r="D48" s="3"/>
      <c r="E48" s="3"/>
      <c r="F48" s="3"/>
      <c r="G48" s="3"/>
      <c r="H48" s="3"/>
      <c r="I48" s="3"/>
      <c r="J48" s="3" t="str">
        <f>IF(A48="","",COUNTIF([1]الحضور!D:D,A48))</f>
        <v/>
      </c>
      <c r="K48" s="6">
        <f>IFERROR(COUNTIFS([1]الحضور!D:D,A48,[1]الحضور!F:F,"نعم")/J48,0)</f>
        <v>0</v>
      </c>
      <c r="L48" s="3"/>
    </row>
    <row r="49" spans="1:12" x14ac:dyDescent="0.2">
      <c r="A49" s="3"/>
      <c r="B49" s="3"/>
      <c r="C49" s="3"/>
      <c r="D49" s="3"/>
      <c r="E49" s="3"/>
      <c r="F49" s="3"/>
      <c r="G49" s="3"/>
      <c r="H49" s="3"/>
      <c r="I49" s="3"/>
      <c r="J49" s="3" t="str">
        <f>IF(A49="","",COUNTIF([1]الحضور!D:D,A49))</f>
        <v/>
      </c>
      <c r="K49" s="6">
        <f>IFERROR(COUNTIFS([1]الحضور!D:D,A49,[1]الحضور!F:F,"نعم")/J49,0)</f>
        <v>0</v>
      </c>
      <c r="L49" s="3"/>
    </row>
    <row r="50" spans="1:12" x14ac:dyDescent="0.2">
      <c r="A50" s="3"/>
      <c r="B50" s="3"/>
      <c r="C50" s="3"/>
      <c r="D50" s="3"/>
      <c r="E50" s="3"/>
      <c r="F50" s="3"/>
      <c r="G50" s="3"/>
      <c r="H50" s="3"/>
      <c r="I50" s="3"/>
      <c r="J50" s="3" t="str">
        <f>IF(A50="","",COUNTIF([1]الحضور!D:D,A50))</f>
        <v/>
      </c>
      <c r="K50" s="6">
        <f>IFERROR(COUNTIFS([1]الحضور!D:D,A50,[1]الحضور!F:F,"نعم")/J50,0)</f>
        <v>0</v>
      </c>
      <c r="L50" s="3"/>
    </row>
    <row r="51" spans="1:12" x14ac:dyDescent="0.2">
      <c r="A51" s="3"/>
      <c r="B51" s="3"/>
      <c r="C51" s="3"/>
      <c r="D51" s="3"/>
      <c r="E51" s="3"/>
      <c r="F51" s="3"/>
      <c r="G51" s="3"/>
      <c r="H51" s="3"/>
      <c r="I51" s="3"/>
      <c r="J51" s="3" t="str">
        <f>IF(A51="","",COUNTIF([1]الحضور!D:D,A51))</f>
        <v/>
      </c>
      <c r="K51" s="6">
        <f>IFERROR(COUNTIFS([1]الحضور!D:D,A51,[1]الحضور!F:F,"نعم")/J51,0)</f>
        <v>0</v>
      </c>
      <c r="L51" s="3"/>
    </row>
    <row r="52" spans="1:12" x14ac:dyDescent="0.2">
      <c r="A52" s="3"/>
      <c r="B52" s="3"/>
      <c r="C52" s="3"/>
      <c r="D52" s="3"/>
      <c r="E52" s="3"/>
      <c r="F52" s="3"/>
      <c r="G52" s="3"/>
      <c r="H52" s="3"/>
      <c r="I52" s="3"/>
      <c r="J52" s="3" t="str">
        <f>IF(A52="","",COUNTIF([1]الحضور!D:D,A52))</f>
        <v/>
      </c>
      <c r="K52" s="6">
        <f>IFERROR(COUNTIFS([1]الحضور!D:D,A52,[1]الحضور!F:F,"نعم")/J52,0)</f>
        <v>0</v>
      </c>
      <c r="L52" s="3"/>
    </row>
    <row r="53" spans="1:12" x14ac:dyDescent="0.2">
      <c r="A53" s="3"/>
      <c r="B53" s="3"/>
      <c r="C53" s="3"/>
      <c r="D53" s="3"/>
      <c r="E53" s="3"/>
      <c r="F53" s="3"/>
      <c r="G53" s="3"/>
      <c r="H53" s="3"/>
      <c r="I53" s="3"/>
      <c r="J53" s="3" t="str">
        <f>IF(A53="","",COUNTIF([1]الحضور!D:D,A53))</f>
        <v/>
      </c>
      <c r="K53" s="6">
        <f>IFERROR(COUNTIFS([1]الحضور!D:D,A53,[1]الحضور!F:F,"نعم")/J53,0)</f>
        <v>0</v>
      </c>
      <c r="L53" s="3"/>
    </row>
    <row r="54" spans="1:12" x14ac:dyDescent="0.2">
      <c r="A54" s="3"/>
      <c r="B54" s="3"/>
      <c r="C54" s="3"/>
      <c r="D54" s="3"/>
      <c r="E54" s="3"/>
      <c r="F54" s="3"/>
      <c r="G54" s="3"/>
      <c r="H54" s="3"/>
      <c r="I54" s="3"/>
      <c r="J54" s="3" t="str">
        <f>IF(A54="","",COUNTIF([1]الحضور!D:D,A54))</f>
        <v/>
      </c>
      <c r="K54" s="6">
        <f>IFERROR(COUNTIFS([1]الحضور!D:D,A54,[1]الحضور!F:F,"نعم")/J54,0)</f>
        <v>0</v>
      </c>
      <c r="L54" s="3"/>
    </row>
    <row r="55" spans="1:12" x14ac:dyDescent="0.2">
      <c r="A55" s="3"/>
      <c r="B55" s="3"/>
      <c r="C55" s="3"/>
      <c r="D55" s="3"/>
      <c r="E55" s="3"/>
      <c r="F55" s="3"/>
      <c r="G55" s="3"/>
      <c r="H55" s="3"/>
      <c r="I55" s="3"/>
      <c r="J55" s="3" t="str">
        <f>IF(A55="","",COUNTIF([1]الحضور!D:D,A55))</f>
        <v/>
      </c>
      <c r="K55" s="6">
        <f>IFERROR(COUNTIFS([1]الحضور!D:D,A55,[1]الحضور!F:F,"نعم")/J55,0)</f>
        <v>0</v>
      </c>
      <c r="L55" s="3"/>
    </row>
    <row r="56" spans="1:12" x14ac:dyDescent="0.2">
      <c r="A56" s="3"/>
      <c r="B56" s="3"/>
      <c r="C56" s="3"/>
      <c r="D56" s="3"/>
      <c r="E56" s="3"/>
      <c r="F56" s="3"/>
      <c r="G56" s="3"/>
      <c r="H56" s="3"/>
      <c r="I56" s="3"/>
      <c r="J56" s="3" t="str">
        <f>IF(A56="","",COUNTIF([1]الحضور!D:D,A56))</f>
        <v/>
      </c>
      <c r="K56" s="6">
        <f>IFERROR(COUNTIFS([1]الحضور!D:D,A56,[1]الحضور!F:F,"نعم")/J56,0)</f>
        <v>0</v>
      </c>
      <c r="L56" s="3"/>
    </row>
    <row r="57" spans="1:12" x14ac:dyDescent="0.2">
      <c r="A57" s="3"/>
      <c r="B57" s="3"/>
      <c r="C57" s="3"/>
      <c r="D57" s="3"/>
      <c r="E57" s="3"/>
      <c r="F57" s="3"/>
      <c r="G57" s="3"/>
      <c r="H57" s="3"/>
      <c r="I57" s="3"/>
      <c r="J57" s="3" t="str">
        <f>IF(A57="","",COUNTIF([1]الحضور!D:D,A57))</f>
        <v/>
      </c>
      <c r="K57" s="6">
        <f>IFERROR(COUNTIFS([1]الحضور!D:D,A57,[1]الحضور!F:F,"نعم")/J57,0)</f>
        <v>0</v>
      </c>
      <c r="L57" s="3"/>
    </row>
    <row r="58" spans="1:12" x14ac:dyDescent="0.2">
      <c r="A58" s="3"/>
      <c r="B58" s="3"/>
      <c r="C58" s="3"/>
      <c r="D58" s="3"/>
      <c r="E58" s="3"/>
      <c r="F58" s="3"/>
      <c r="G58" s="3"/>
      <c r="H58" s="3"/>
      <c r="I58" s="3"/>
      <c r="J58" s="3" t="str">
        <f>IF(A58="","",COUNTIF([1]الحضور!D:D,A58))</f>
        <v/>
      </c>
      <c r="K58" s="6">
        <f>IFERROR(COUNTIFS([1]الحضور!D:D,A58,[1]الحضور!F:F,"نعم")/J58,0)</f>
        <v>0</v>
      </c>
      <c r="L58" s="3"/>
    </row>
    <row r="59" spans="1:12" x14ac:dyDescent="0.2">
      <c r="A59" s="3"/>
      <c r="B59" s="3"/>
      <c r="C59" s="3"/>
      <c r="D59" s="3"/>
      <c r="E59" s="3"/>
      <c r="F59" s="3"/>
      <c r="G59" s="3"/>
      <c r="H59" s="3"/>
      <c r="I59" s="3"/>
      <c r="J59" s="3" t="str">
        <f>IF(A59="","",COUNTIF([1]الحضور!D:D,A59))</f>
        <v/>
      </c>
      <c r="K59" s="6">
        <f>IFERROR(COUNTIFS([1]الحضور!D:D,A59,[1]الحضور!F:F,"نعم")/J59,0)</f>
        <v>0</v>
      </c>
      <c r="L59" s="3"/>
    </row>
    <row r="60" spans="1:12" x14ac:dyDescent="0.2">
      <c r="A60" s="3"/>
      <c r="B60" s="3"/>
      <c r="C60" s="3"/>
      <c r="D60" s="3"/>
      <c r="E60" s="3"/>
      <c r="F60" s="3"/>
      <c r="G60" s="3"/>
      <c r="H60" s="3"/>
      <c r="I60" s="3"/>
      <c r="J60" s="3" t="str">
        <f>IF(A60="","",COUNTIF([1]الحضور!D:D,A60))</f>
        <v/>
      </c>
      <c r="K60" s="6">
        <f>IFERROR(COUNTIFS([1]الحضور!D:D,A60,[1]الحضور!F:F,"نعم")/J60,0)</f>
        <v>0</v>
      </c>
      <c r="L60" s="3"/>
    </row>
    <row r="61" spans="1:12" x14ac:dyDescent="0.2">
      <c r="A61" s="3"/>
      <c r="B61" s="3"/>
      <c r="C61" s="3"/>
      <c r="D61" s="3"/>
      <c r="E61" s="3"/>
      <c r="F61" s="3"/>
      <c r="G61" s="3"/>
      <c r="H61" s="3"/>
      <c r="I61" s="3"/>
      <c r="J61" s="3" t="str">
        <f>IF(A61="","",COUNTIF([1]الحضور!D:D,A61))</f>
        <v/>
      </c>
      <c r="K61" s="6">
        <f>IFERROR(COUNTIFS([1]الحضور!D:D,A61,[1]الحضور!F:F,"نعم")/J61,0)</f>
        <v>0</v>
      </c>
      <c r="L61" s="3"/>
    </row>
    <row r="62" spans="1:12" x14ac:dyDescent="0.2">
      <c r="A62" s="3"/>
      <c r="B62" s="3"/>
      <c r="C62" s="3"/>
      <c r="D62" s="3"/>
      <c r="E62" s="3"/>
      <c r="F62" s="3"/>
      <c r="G62" s="3"/>
      <c r="H62" s="3"/>
      <c r="I62" s="3"/>
      <c r="J62" s="3" t="str">
        <f>IF(A62="","",COUNTIF([1]الحضور!D:D,A62))</f>
        <v/>
      </c>
      <c r="K62" s="6">
        <f>IFERROR(COUNTIFS([1]الحضور!D:D,A62,[1]الحضور!F:F,"نعم")/J62,0)</f>
        <v>0</v>
      </c>
      <c r="L62" s="3"/>
    </row>
    <row r="63" spans="1:12" x14ac:dyDescent="0.2">
      <c r="A63" s="3"/>
      <c r="B63" s="3"/>
      <c r="C63" s="3"/>
      <c r="D63" s="3"/>
      <c r="E63" s="3"/>
      <c r="F63" s="3"/>
      <c r="G63" s="3"/>
      <c r="H63" s="3"/>
      <c r="I63" s="3"/>
      <c r="J63" s="3" t="str">
        <f>IF(A63="","",COUNTIF([1]الحضور!D:D,A63))</f>
        <v/>
      </c>
      <c r="K63" s="6">
        <f>IFERROR(COUNTIFS([1]الحضور!D:D,A63,[1]الحضور!F:F,"نعم")/J63,0)</f>
        <v>0</v>
      </c>
      <c r="L63" s="3"/>
    </row>
    <row r="64" spans="1:12" x14ac:dyDescent="0.2">
      <c r="A64" s="3"/>
      <c r="B64" s="3"/>
      <c r="C64" s="3"/>
      <c r="D64" s="3"/>
      <c r="E64" s="3"/>
      <c r="F64" s="3"/>
      <c r="G64" s="3"/>
      <c r="H64" s="3"/>
      <c r="I64" s="3"/>
      <c r="J64" s="3" t="str">
        <f>IF(A64="","",COUNTIF([1]الحضور!D:D,A64))</f>
        <v/>
      </c>
      <c r="K64" s="6">
        <f>IFERROR(COUNTIFS([1]الحضور!D:D,A64,[1]الحضور!F:F,"نعم")/J64,0)</f>
        <v>0</v>
      </c>
      <c r="L64" s="3"/>
    </row>
    <row r="65" spans="1:12" x14ac:dyDescent="0.2">
      <c r="A65" s="3"/>
      <c r="B65" s="3"/>
      <c r="C65" s="3"/>
      <c r="D65" s="3"/>
      <c r="E65" s="3"/>
      <c r="F65" s="3"/>
      <c r="G65" s="3"/>
      <c r="H65" s="3"/>
      <c r="I65" s="3"/>
      <c r="J65" s="3" t="str">
        <f>IF(A65="","",COUNTIF([1]الحضور!D:D,A65))</f>
        <v/>
      </c>
      <c r="K65" s="6">
        <f>IFERROR(COUNTIFS([1]الحضور!D:D,A65,[1]الحضور!F:F,"نعم")/J65,0)</f>
        <v>0</v>
      </c>
      <c r="L65" s="3"/>
    </row>
    <row r="66" spans="1:12" x14ac:dyDescent="0.2">
      <c r="A66" s="3"/>
      <c r="B66" s="3"/>
      <c r="C66" s="3"/>
      <c r="D66" s="3"/>
      <c r="E66" s="3"/>
      <c r="F66" s="3"/>
      <c r="G66" s="3"/>
      <c r="H66" s="3"/>
      <c r="I66" s="3"/>
      <c r="J66" s="3" t="str">
        <f>IF(A66="","",COUNTIF([1]الحضور!D:D,A66))</f>
        <v/>
      </c>
      <c r="K66" s="6">
        <f>IFERROR(COUNTIFS([1]الحضور!D:D,A66,[1]الحضور!F:F,"نعم")/J66,0)</f>
        <v>0</v>
      </c>
      <c r="L66" s="3"/>
    </row>
    <row r="67" spans="1:12" x14ac:dyDescent="0.2">
      <c r="A67" s="3"/>
      <c r="B67" s="3"/>
      <c r="C67" s="3"/>
      <c r="D67" s="3"/>
      <c r="E67" s="3"/>
      <c r="F67" s="3"/>
      <c r="G67" s="3"/>
      <c r="H67" s="3"/>
      <c r="I67" s="3"/>
      <c r="J67" s="3" t="str">
        <f>IF(A67="","",COUNTIF([1]الحضور!D:D,A67))</f>
        <v/>
      </c>
      <c r="K67" s="6">
        <f>IFERROR(COUNTIFS([1]الحضور!D:D,A67,[1]الحضور!F:F,"نعم")/J67,0)</f>
        <v>0</v>
      </c>
      <c r="L67" s="3"/>
    </row>
    <row r="68" spans="1:12" x14ac:dyDescent="0.2">
      <c r="A68" s="3"/>
      <c r="B68" s="3"/>
      <c r="C68" s="3"/>
      <c r="D68" s="3"/>
      <c r="E68" s="3"/>
      <c r="F68" s="3"/>
      <c r="G68" s="3"/>
      <c r="H68" s="3"/>
      <c r="I68" s="3"/>
      <c r="J68" s="3" t="str">
        <f>IF(A68="","",COUNTIF([1]الحضور!D:D,A68))</f>
        <v/>
      </c>
      <c r="K68" s="6">
        <f>IFERROR(COUNTIFS([1]الحضور!D:D,A68,[1]الحضور!F:F,"نعم")/J68,0)</f>
        <v>0</v>
      </c>
      <c r="L68" s="3"/>
    </row>
    <row r="69" spans="1:12" x14ac:dyDescent="0.2">
      <c r="A69" s="3"/>
      <c r="B69" s="3"/>
      <c r="C69" s="3"/>
      <c r="D69" s="3"/>
      <c r="E69" s="3"/>
      <c r="F69" s="3"/>
      <c r="G69" s="3"/>
      <c r="H69" s="3"/>
      <c r="I69" s="3"/>
      <c r="J69" s="3" t="str">
        <f>IF(A69="","",COUNTIF([1]الحضور!D:D,A69))</f>
        <v/>
      </c>
      <c r="K69" s="6">
        <f>IFERROR(COUNTIFS([1]الحضور!D:D,A69,[1]الحضور!F:F,"نعم")/J69,0)</f>
        <v>0</v>
      </c>
      <c r="L69" s="3"/>
    </row>
    <row r="70" spans="1:12" x14ac:dyDescent="0.2">
      <c r="A70" s="3"/>
      <c r="B70" s="3"/>
      <c r="C70" s="3"/>
      <c r="D70" s="3"/>
      <c r="E70" s="3"/>
      <c r="F70" s="3"/>
      <c r="G70" s="3"/>
      <c r="H70" s="3"/>
      <c r="I70" s="3"/>
      <c r="J70" s="3" t="str">
        <f>IF(A70="","",COUNTIF([1]الحضور!D:D,A70))</f>
        <v/>
      </c>
      <c r="K70" s="6">
        <f>IFERROR(COUNTIFS([1]الحضور!D:D,A70,[1]الحضور!F:F,"نعم")/J70,0)</f>
        <v>0</v>
      </c>
      <c r="L70" s="3"/>
    </row>
    <row r="71" spans="1:12" x14ac:dyDescent="0.2">
      <c r="A71" s="3"/>
      <c r="B71" s="3"/>
      <c r="C71" s="3"/>
      <c r="D71" s="3"/>
      <c r="E71" s="3"/>
      <c r="F71" s="3"/>
      <c r="G71" s="3"/>
      <c r="H71" s="3"/>
      <c r="I71" s="3"/>
      <c r="J71" s="3" t="str">
        <f>IF(A71="","",COUNTIF([1]الحضور!D:D,A71))</f>
        <v/>
      </c>
      <c r="K71" s="6">
        <f>IFERROR(COUNTIFS([1]الحضور!D:D,A71,[1]الحضور!F:F,"نعم")/J71,0)</f>
        <v>0</v>
      </c>
      <c r="L71" s="3"/>
    </row>
    <row r="72" spans="1:12" x14ac:dyDescent="0.2">
      <c r="A72" s="3"/>
      <c r="B72" s="3"/>
      <c r="C72" s="3"/>
      <c r="D72" s="3"/>
      <c r="E72" s="3"/>
      <c r="F72" s="3"/>
      <c r="G72" s="3"/>
      <c r="H72" s="3"/>
      <c r="I72" s="3"/>
      <c r="J72" s="3" t="str">
        <f>IF(A72="","",COUNTIF([1]الحضور!D:D,A72))</f>
        <v/>
      </c>
      <c r="K72" s="6">
        <f>IFERROR(COUNTIFS([1]الحضور!D:D,A72,[1]الحضور!F:F,"نعم")/J72,0)</f>
        <v>0</v>
      </c>
      <c r="L72" s="3"/>
    </row>
    <row r="73" spans="1:12" x14ac:dyDescent="0.2">
      <c r="A73" s="3"/>
      <c r="B73" s="3"/>
      <c r="C73" s="3"/>
      <c r="D73" s="3"/>
      <c r="E73" s="3"/>
      <c r="F73" s="3"/>
      <c r="G73" s="3"/>
      <c r="H73" s="3"/>
      <c r="I73" s="3"/>
      <c r="J73" s="3" t="str">
        <f>IF(A73="","",COUNTIF([1]الحضور!D:D,A73))</f>
        <v/>
      </c>
      <c r="K73" s="6">
        <f>IFERROR(COUNTIFS([1]الحضور!D:D,A73,[1]الحضور!F:F,"نعم")/J73,0)</f>
        <v>0</v>
      </c>
      <c r="L73" s="3"/>
    </row>
    <row r="74" spans="1:12" x14ac:dyDescent="0.2">
      <c r="A74" s="3"/>
      <c r="B74" s="3"/>
      <c r="C74" s="3"/>
      <c r="D74" s="3"/>
      <c r="E74" s="3"/>
      <c r="F74" s="3"/>
      <c r="G74" s="3"/>
      <c r="H74" s="3"/>
      <c r="I74" s="3"/>
      <c r="J74" s="3" t="str">
        <f>IF(A74="","",COUNTIF([1]الحضور!D:D,A74))</f>
        <v/>
      </c>
      <c r="K74" s="6">
        <f>IFERROR(COUNTIFS([1]الحضور!D:D,A74,[1]الحضور!F:F,"نعم")/J74,0)</f>
        <v>0</v>
      </c>
      <c r="L74" s="3"/>
    </row>
    <row r="75" spans="1:12" x14ac:dyDescent="0.2">
      <c r="A75" s="3"/>
      <c r="B75" s="3"/>
      <c r="C75" s="3"/>
      <c r="D75" s="3"/>
      <c r="E75" s="3"/>
      <c r="F75" s="3"/>
      <c r="G75" s="3"/>
      <c r="H75" s="3"/>
      <c r="I75" s="3"/>
      <c r="J75" s="3" t="str">
        <f>IF(A75="","",COUNTIF([1]الحضور!D:D,A75))</f>
        <v/>
      </c>
      <c r="K75" s="6">
        <f>IFERROR(COUNTIFS([1]الحضور!D:D,A75,[1]الحضور!F:F,"نعم")/J75,0)</f>
        <v>0</v>
      </c>
      <c r="L75" s="3"/>
    </row>
    <row r="76" spans="1:12" x14ac:dyDescent="0.2">
      <c r="A76" s="3"/>
      <c r="B76" s="3"/>
      <c r="C76" s="3"/>
      <c r="D76" s="3"/>
      <c r="E76" s="3"/>
      <c r="F76" s="3"/>
      <c r="G76" s="3"/>
      <c r="H76" s="3"/>
      <c r="I76" s="3"/>
      <c r="J76" s="3" t="str">
        <f>IF(A76="","",COUNTIF([1]الحضور!D:D,A76))</f>
        <v/>
      </c>
      <c r="K76" s="6">
        <f>IFERROR(COUNTIFS([1]الحضور!D:D,A76,[1]الحضور!F:F,"نعم")/J76,0)</f>
        <v>0</v>
      </c>
      <c r="L76" s="3"/>
    </row>
    <row r="77" spans="1:12" x14ac:dyDescent="0.2">
      <c r="A77" s="3"/>
      <c r="B77" s="3"/>
      <c r="C77" s="3"/>
      <c r="D77" s="3"/>
      <c r="E77" s="3"/>
      <c r="F77" s="3"/>
      <c r="G77" s="3"/>
      <c r="H77" s="3"/>
      <c r="I77" s="3"/>
      <c r="J77" s="3" t="str">
        <f>IF(A77="","",COUNTIF([1]الحضور!D:D,A77))</f>
        <v/>
      </c>
      <c r="K77" s="6">
        <f>IFERROR(COUNTIFS([1]الحضور!D:D,A77,[1]الحضور!F:F,"نعم")/J77,0)</f>
        <v>0</v>
      </c>
      <c r="L77" s="3"/>
    </row>
    <row r="78" spans="1:12" x14ac:dyDescent="0.2">
      <c r="A78" s="3"/>
      <c r="B78" s="3"/>
      <c r="C78" s="3"/>
      <c r="D78" s="3"/>
      <c r="E78" s="3"/>
      <c r="F78" s="3"/>
      <c r="G78" s="3"/>
      <c r="H78" s="3"/>
      <c r="I78" s="3"/>
      <c r="J78" s="3" t="str">
        <f>IF(A78="","",COUNTIF([1]الحضور!D:D,A78))</f>
        <v/>
      </c>
      <c r="K78" s="6">
        <f>IFERROR(COUNTIFS([1]الحضور!D:D,A78,[1]الحضور!F:F,"نعم")/J78,0)</f>
        <v>0</v>
      </c>
      <c r="L78" s="3"/>
    </row>
    <row r="79" spans="1:12" x14ac:dyDescent="0.2">
      <c r="A79" s="3"/>
      <c r="B79" s="3"/>
      <c r="C79" s="3"/>
      <c r="D79" s="3"/>
      <c r="E79" s="3"/>
      <c r="F79" s="3"/>
      <c r="G79" s="3"/>
      <c r="H79" s="3"/>
      <c r="I79" s="3"/>
      <c r="J79" s="3" t="str">
        <f>IF(A79="","",COUNTIF([1]الحضور!D:D,A79))</f>
        <v/>
      </c>
      <c r="K79" s="6">
        <f>IFERROR(COUNTIFS([1]الحضور!D:D,A79,[1]الحضور!F:F,"نعم")/J79,0)</f>
        <v>0</v>
      </c>
      <c r="L79" s="3"/>
    </row>
    <row r="80" spans="1:12" x14ac:dyDescent="0.2">
      <c r="A80" s="3"/>
      <c r="B80" s="3"/>
      <c r="C80" s="3"/>
      <c r="D80" s="3"/>
      <c r="E80" s="3"/>
      <c r="F80" s="3"/>
      <c r="G80" s="3"/>
      <c r="H80" s="3"/>
      <c r="I80" s="3"/>
      <c r="J80" s="3" t="str">
        <f>IF(A80="","",COUNTIF([1]الحضور!D:D,A80))</f>
        <v/>
      </c>
      <c r="K80" s="6">
        <f>IFERROR(COUNTIFS([1]الحضور!D:D,A80,[1]الحضور!F:F,"نعم")/J80,0)</f>
        <v>0</v>
      </c>
      <c r="L80" s="3"/>
    </row>
    <row r="81" spans="1:12" x14ac:dyDescent="0.2">
      <c r="A81" s="3"/>
      <c r="B81" s="3"/>
      <c r="C81" s="3"/>
      <c r="D81" s="3"/>
      <c r="E81" s="3"/>
      <c r="F81" s="3"/>
      <c r="G81" s="3"/>
      <c r="H81" s="3"/>
      <c r="I81" s="3"/>
      <c r="J81" s="3" t="str">
        <f>IF(A81="","",COUNTIF([1]الحضور!D:D,A81))</f>
        <v/>
      </c>
      <c r="K81" s="6">
        <f>IFERROR(COUNTIFS([1]الحضور!D:D,A81,[1]الحضور!F:F,"نعم")/J81,0)</f>
        <v>0</v>
      </c>
      <c r="L81" s="3"/>
    </row>
    <row r="82" spans="1:12" x14ac:dyDescent="0.2">
      <c r="A82" s="3"/>
      <c r="B82" s="3"/>
      <c r="C82" s="3"/>
      <c r="D82" s="3"/>
      <c r="E82" s="3"/>
      <c r="F82" s="3"/>
      <c r="G82" s="3"/>
      <c r="H82" s="3"/>
      <c r="I82" s="3"/>
      <c r="J82" s="3" t="str">
        <f>IF(A82="","",COUNTIF([1]الحضور!D:D,A82))</f>
        <v/>
      </c>
      <c r="K82" s="6">
        <f>IFERROR(COUNTIFS([1]الحضور!D:D,A82,[1]الحضور!F:F,"نعم")/J82,0)</f>
        <v>0</v>
      </c>
      <c r="L82" s="3"/>
    </row>
    <row r="83" spans="1:12" x14ac:dyDescent="0.2">
      <c r="A83" s="3"/>
      <c r="B83" s="3"/>
      <c r="C83" s="3"/>
      <c r="D83" s="3"/>
      <c r="E83" s="3"/>
      <c r="F83" s="3"/>
      <c r="G83" s="3"/>
      <c r="H83" s="3"/>
      <c r="I83" s="3"/>
      <c r="J83" s="3" t="str">
        <f>IF(A83="","",COUNTIF([1]الحضور!D:D,A83))</f>
        <v/>
      </c>
      <c r="K83" s="6">
        <f>IFERROR(COUNTIFS([1]الحضور!D:D,A83,[1]الحضور!F:F,"نعم")/J83,0)</f>
        <v>0</v>
      </c>
      <c r="L83" s="3"/>
    </row>
    <row r="84" spans="1:12" x14ac:dyDescent="0.2">
      <c r="A84" s="3"/>
      <c r="B84" s="3"/>
      <c r="C84" s="3"/>
      <c r="D84" s="3"/>
      <c r="E84" s="3"/>
      <c r="F84" s="3"/>
      <c r="G84" s="3"/>
      <c r="H84" s="3"/>
      <c r="I84" s="3"/>
      <c r="J84" s="3" t="str">
        <f>IF(A84="","",COUNTIF([1]الحضور!D:D,A84))</f>
        <v/>
      </c>
      <c r="K84" s="6">
        <f>IFERROR(COUNTIFS([1]الحضور!D:D,A84,[1]الحضور!F:F,"نعم")/J84,0)</f>
        <v>0</v>
      </c>
      <c r="L84" s="3"/>
    </row>
    <row r="85" spans="1:12" x14ac:dyDescent="0.2">
      <c r="A85" s="3"/>
      <c r="B85" s="3"/>
      <c r="C85" s="3"/>
      <c r="D85" s="3"/>
      <c r="E85" s="3"/>
      <c r="F85" s="3"/>
      <c r="G85" s="3"/>
      <c r="H85" s="3"/>
      <c r="I85" s="3"/>
      <c r="J85" s="3" t="str">
        <f>IF(A85="","",COUNTIF([1]الحضور!D:D,A85))</f>
        <v/>
      </c>
      <c r="K85" s="6">
        <f>IFERROR(COUNTIFS([1]الحضور!D:D,A85,[1]الحضور!F:F,"نعم")/J85,0)</f>
        <v>0</v>
      </c>
      <c r="L85" s="3"/>
    </row>
    <row r="86" spans="1:12" x14ac:dyDescent="0.2">
      <c r="A86" s="3"/>
      <c r="B86" s="3"/>
      <c r="C86" s="3"/>
      <c r="D86" s="3"/>
      <c r="E86" s="3"/>
      <c r="F86" s="3"/>
      <c r="G86" s="3"/>
      <c r="H86" s="3"/>
      <c r="I86" s="3"/>
      <c r="J86" s="3" t="str">
        <f>IF(A86="","",COUNTIF([1]الحضور!D:D,A86))</f>
        <v/>
      </c>
      <c r="K86" s="6">
        <f>IFERROR(COUNTIFS([1]الحضور!D:D,A86,[1]الحضور!F:F,"نعم")/J86,0)</f>
        <v>0</v>
      </c>
      <c r="L86" s="3"/>
    </row>
    <row r="87" spans="1:12" x14ac:dyDescent="0.2">
      <c r="A87" s="3"/>
      <c r="B87" s="3"/>
      <c r="C87" s="3"/>
      <c r="D87" s="3"/>
      <c r="E87" s="3"/>
      <c r="F87" s="3"/>
      <c r="G87" s="3"/>
      <c r="H87" s="3"/>
      <c r="I87" s="3"/>
      <c r="J87" s="3" t="str">
        <f>IF(A87="","",COUNTIF([1]الحضور!D:D,A87))</f>
        <v/>
      </c>
      <c r="K87" s="6">
        <f>IFERROR(COUNTIFS([1]الحضور!D:D,A87,[1]الحضور!F:F,"نعم")/J87,0)</f>
        <v>0</v>
      </c>
      <c r="L87" s="3"/>
    </row>
    <row r="88" spans="1:12" x14ac:dyDescent="0.2">
      <c r="A88" s="3"/>
      <c r="B88" s="3"/>
      <c r="C88" s="3"/>
      <c r="D88" s="3"/>
      <c r="E88" s="3"/>
      <c r="F88" s="3"/>
      <c r="G88" s="3"/>
      <c r="H88" s="3"/>
      <c r="I88" s="3"/>
      <c r="J88" s="3" t="str">
        <f>IF(A88="","",COUNTIF([1]الحضور!D:D,A88))</f>
        <v/>
      </c>
      <c r="K88" s="6">
        <f>IFERROR(COUNTIFS([1]الحضور!D:D,A88,[1]الحضور!F:F,"نعم")/J88,0)</f>
        <v>0</v>
      </c>
      <c r="L88" s="3"/>
    </row>
    <row r="89" spans="1:12" x14ac:dyDescent="0.2">
      <c r="A89" s="3"/>
      <c r="B89" s="3"/>
      <c r="C89" s="3"/>
      <c r="D89" s="3"/>
      <c r="E89" s="3"/>
      <c r="F89" s="3"/>
      <c r="G89" s="3"/>
      <c r="H89" s="3"/>
      <c r="I89" s="3"/>
      <c r="J89" s="3" t="str">
        <f>IF(A89="","",COUNTIF([1]الحضور!D:D,A89))</f>
        <v/>
      </c>
      <c r="K89" s="6">
        <f>IFERROR(COUNTIFS([1]الحضور!D:D,A89,[1]الحضور!F:F,"نعم")/J89,0)</f>
        <v>0</v>
      </c>
      <c r="L89" s="3"/>
    </row>
    <row r="90" spans="1:12" x14ac:dyDescent="0.2">
      <c r="A90" s="3"/>
      <c r="B90" s="3"/>
      <c r="C90" s="3"/>
      <c r="D90" s="3"/>
      <c r="E90" s="3"/>
      <c r="F90" s="3"/>
      <c r="G90" s="3"/>
      <c r="H90" s="3"/>
      <c r="I90" s="3"/>
      <c r="J90" s="3" t="str">
        <f>IF(A90="","",COUNTIF([1]الحضور!D:D,A90))</f>
        <v/>
      </c>
      <c r="K90" s="6">
        <f>IFERROR(COUNTIFS([1]الحضور!D:D,A90,[1]الحضور!F:F,"نعم")/J90,0)</f>
        <v>0</v>
      </c>
      <c r="L90" s="3"/>
    </row>
    <row r="91" spans="1:12" x14ac:dyDescent="0.2">
      <c r="A91" s="3"/>
      <c r="B91" s="3"/>
      <c r="C91" s="3"/>
      <c r="D91" s="3"/>
      <c r="E91" s="3"/>
      <c r="F91" s="3"/>
      <c r="G91" s="3"/>
      <c r="H91" s="3"/>
      <c r="I91" s="3"/>
      <c r="J91" s="3" t="str">
        <f>IF(A91="","",COUNTIF([1]الحضور!D:D,A91))</f>
        <v/>
      </c>
      <c r="K91" s="6">
        <f>IFERROR(COUNTIFS([1]الحضور!D:D,A91,[1]الحضور!F:F,"نعم")/J91,0)</f>
        <v>0</v>
      </c>
      <c r="L91" s="3"/>
    </row>
    <row r="92" spans="1:12" x14ac:dyDescent="0.2">
      <c r="A92" s="3"/>
      <c r="B92" s="3"/>
      <c r="C92" s="3"/>
      <c r="D92" s="3"/>
      <c r="E92" s="3"/>
      <c r="F92" s="3"/>
      <c r="G92" s="3"/>
      <c r="H92" s="3"/>
      <c r="I92" s="3"/>
      <c r="J92" s="3" t="str">
        <f>IF(A92="","",COUNTIF([1]الحضور!D:D,A92))</f>
        <v/>
      </c>
      <c r="K92" s="6">
        <f>IFERROR(COUNTIFS([1]الحضور!D:D,A92,[1]الحضور!F:F,"نعم")/J92,0)</f>
        <v>0</v>
      </c>
      <c r="L92" s="3"/>
    </row>
    <row r="93" spans="1:12" x14ac:dyDescent="0.2">
      <c r="A93" s="3"/>
      <c r="B93" s="3"/>
      <c r="C93" s="3"/>
      <c r="D93" s="3"/>
      <c r="E93" s="3"/>
      <c r="F93" s="3"/>
      <c r="G93" s="3"/>
      <c r="H93" s="3"/>
      <c r="I93" s="3"/>
      <c r="J93" s="3" t="str">
        <f>IF(A93="","",COUNTIF([1]الحضور!D:D,A93))</f>
        <v/>
      </c>
      <c r="K93" s="6">
        <f>IFERROR(COUNTIFS([1]الحضور!D:D,A93,[1]الحضور!F:F,"نعم")/J93,0)</f>
        <v>0</v>
      </c>
      <c r="L93" s="3"/>
    </row>
    <row r="94" spans="1:12" x14ac:dyDescent="0.2">
      <c r="A94" s="3"/>
      <c r="B94" s="3"/>
      <c r="C94" s="3"/>
      <c r="D94" s="3"/>
      <c r="E94" s="3"/>
      <c r="F94" s="3"/>
      <c r="G94" s="3"/>
      <c r="H94" s="3"/>
      <c r="I94" s="3"/>
      <c r="J94" s="3" t="str">
        <f>IF(A94="","",COUNTIF([1]الحضور!D:D,A94))</f>
        <v/>
      </c>
      <c r="K94" s="6">
        <f>IFERROR(COUNTIFS([1]الحضور!D:D,A94,[1]الحضور!F:F,"نعم")/J94,0)</f>
        <v>0</v>
      </c>
      <c r="L94" s="3"/>
    </row>
    <row r="95" spans="1:12" x14ac:dyDescent="0.2">
      <c r="A95" s="3"/>
      <c r="B95" s="3"/>
      <c r="C95" s="3"/>
      <c r="D95" s="3"/>
      <c r="E95" s="3"/>
      <c r="F95" s="3"/>
      <c r="G95" s="3"/>
      <c r="H95" s="3"/>
      <c r="I95" s="3"/>
      <c r="J95" s="3" t="str">
        <f>IF(A95="","",COUNTIF([1]الحضور!D:D,A95))</f>
        <v/>
      </c>
      <c r="K95" s="6">
        <f>IFERROR(COUNTIFS([1]الحضور!D:D,A95,[1]الحضور!F:F,"نعم")/J95,0)</f>
        <v>0</v>
      </c>
      <c r="L95" s="3"/>
    </row>
    <row r="96" spans="1:12" x14ac:dyDescent="0.2">
      <c r="A96" s="3"/>
      <c r="B96" s="3"/>
      <c r="C96" s="3"/>
      <c r="D96" s="3"/>
      <c r="E96" s="3"/>
      <c r="F96" s="3"/>
      <c r="G96" s="3"/>
      <c r="H96" s="3"/>
      <c r="I96" s="3"/>
      <c r="J96" s="3" t="str">
        <f>IF(A96="","",COUNTIF([1]الحضور!D:D,A96))</f>
        <v/>
      </c>
      <c r="K96" s="6">
        <f>IFERROR(COUNTIFS([1]الحضور!D:D,A96,[1]الحضور!F:F,"نعم")/J96,0)</f>
        <v>0</v>
      </c>
      <c r="L96" s="3"/>
    </row>
    <row r="97" spans="1:12" x14ac:dyDescent="0.2">
      <c r="A97" s="3"/>
      <c r="B97" s="3"/>
      <c r="C97" s="3"/>
      <c r="D97" s="3"/>
      <c r="E97" s="3"/>
      <c r="F97" s="3"/>
      <c r="G97" s="3"/>
      <c r="H97" s="3"/>
      <c r="I97" s="3"/>
      <c r="J97" s="3" t="str">
        <f>IF(A97="","",COUNTIF([1]الحضور!D:D,A97))</f>
        <v/>
      </c>
      <c r="K97" s="6">
        <f>IFERROR(COUNTIFS([1]الحضور!D:D,A97,[1]الحضور!F:F,"نعم")/J97,0)</f>
        <v>0</v>
      </c>
      <c r="L97" s="3"/>
    </row>
    <row r="98" spans="1:12" x14ac:dyDescent="0.2">
      <c r="A98" s="3"/>
      <c r="B98" s="3"/>
      <c r="C98" s="3"/>
      <c r="D98" s="3"/>
      <c r="E98" s="3"/>
      <c r="F98" s="3"/>
      <c r="G98" s="3"/>
      <c r="H98" s="3"/>
      <c r="I98" s="3"/>
      <c r="J98" s="3" t="str">
        <f>IF(A98="","",COUNTIF([1]الحضور!D:D,A98))</f>
        <v/>
      </c>
      <c r="K98" s="6">
        <f>IFERROR(COUNTIFS([1]الحضور!D:D,A98,[1]الحضور!F:F,"نعم")/J98,0)</f>
        <v>0</v>
      </c>
      <c r="L98" s="3"/>
    </row>
    <row r="99" spans="1:12" x14ac:dyDescent="0.2">
      <c r="A99" s="3"/>
      <c r="B99" s="3"/>
      <c r="C99" s="3"/>
      <c r="D99" s="3"/>
      <c r="E99" s="3"/>
      <c r="F99" s="3"/>
      <c r="G99" s="3"/>
      <c r="H99" s="3"/>
      <c r="I99" s="3"/>
      <c r="J99" s="3" t="str">
        <f>IF(A99="","",COUNTIF([1]الحضور!D:D,A99))</f>
        <v/>
      </c>
      <c r="K99" s="6">
        <f>IFERROR(COUNTIFS([1]الحضور!D:D,A99,[1]الحضور!F:F,"نعم")/J99,0)</f>
        <v>0</v>
      </c>
      <c r="L99" s="3"/>
    </row>
    <row r="100" spans="1:12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 t="str">
        <f>IF(A100="","",COUNTIF([1]الحضور!D:D,A100))</f>
        <v/>
      </c>
      <c r="K100" s="6">
        <f>IFERROR(COUNTIFS([1]الحضور!D:D,A100,[1]الحضور!F:F,"نعم")/J100,0)</f>
        <v>0</v>
      </c>
      <c r="L100" s="3"/>
    </row>
    <row r="101" spans="1:12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 t="str">
        <f>IF(A101="","",COUNTIF([1]الحضور!D:D,A101))</f>
        <v/>
      </c>
      <c r="K101" s="6">
        <f>IFERROR(COUNTIFS([1]الحضور!D:D,A101,[1]الحضور!F:F,"نعم")/J101,0)</f>
        <v>0</v>
      </c>
      <c r="L101" s="3"/>
    </row>
    <row r="102" spans="1:12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 t="str">
        <f>IF(A102="","",COUNTIF([1]الحضور!D:D,A102))</f>
        <v/>
      </c>
      <c r="K102" s="6">
        <f>IFERROR(COUNTIFS([1]الحضور!D:D,A102,[1]الحضور!F:F,"نعم")/J102,0)</f>
        <v>0</v>
      </c>
      <c r="L102" s="3"/>
    </row>
    <row r="103" spans="1:12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 t="str">
        <f>IF(A103="","",COUNTIF([1]الحضور!D:D,A103))</f>
        <v/>
      </c>
      <c r="K103" s="6">
        <f>IFERROR(COUNTIFS([1]الحضور!D:D,A103,[1]الحضور!F:F,"نعم")/J103,0)</f>
        <v>0</v>
      </c>
      <c r="L103" s="3"/>
    </row>
  </sheetData>
  <mergeCells count="1">
    <mergeCell ref="A1:L1"/>
  </mergeCells>
  <dataValidations count="1">
    <dataValidation type="list" allowBlank="1" showInputMessage="1" showErrorMessage="1" sqref="G4:G103" xr:uid="{D17A25B7-F7C1-46B2-9D98-877E8555F439}">
      <formula1>"نشط,موقوف,منتهية الخدمة"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E67F-5100-4DBD-BCFD-E3EADF911CCC}">
  <dimension ref="A1:D10"/>
  <sheetViews>
    <sheetView rightToLeft="1" tabSelected="1" workbookViewId="0">
      <pane ySplit="3" topLeftCell="A4" activePane="bottomLeft" state="frozenSplit"/>
      <selection pane="bottomLeft" sqref="A1:D1"/>
    </sheetView>
  </sheetViews>
  <sheetFormatPr defaultRowHeight="12.75" x14ac:dyDescent="0.2"/>
  <cols>
    <col min="1" max="1" width="10.5703125" style="1" bestFit="1" customWidth="1"/>
    <col min="2" max="2" width="46.7109375" style="1" bestFit="1" customWidth="1"/>
    <col min="3" max="16384" width="9.140625" style="1"/>
  </cols>
  <sheetData>
    <row r="1" spans="1:4" x14ac:dyDescent="0.2">
      <c r="A1" s="2" t="s">
        <v>0</v>
      </c>
      <c r="B1" s="2"/>
      <c r="C1" s="2"/>
      <c r="D1" s="2"/>
    </row>
    <row r="2" spans="1:4" x14ac:dyDescent="0.2">
      <c r="A2" s="3"/>
      <c r="B2" s="3"/>
      <c r="C2" s="3"/>
      <c r="D2" s="3"/>
    </row>
    <row r="3" spans="1:4" x14ac:dyDescent="0.2">
      <c r="A3" s="4" t="s">
        <v>1</v>
      </c>
      <c r="B3" s="4" t="s">
        <v>2</v>
      </c>
      <c r="C3" s="3"/>
      <c r="D3" s="3"/>
    </row>
    <row r="4" spans="1:4" x14ac:dyDescent="0.2">
      <c r="A4" s="3" t="s">
        <v>3</v>
      </c>
      <c r="B4" s="3" t="s">
        <v>4</v>
      </c>
      <c r="C4" s="3"/>
      <c r="D4" s="3"/>
    </row>
    <row r="5" spans="1:4" x14ac:dyDescent="0.2">
      <c r="A5" s="3" t="s">
        <v>5</v>
      </c>
      <c r="B5" s="3" t="s">
        <v>6</v>
      </c>
      <c r="C5" s="3"/>
      <c r="D5" s="3"/>
    </row>
    <row r="6" spans="1:4" x14ac:dyDescent="0.2">
      <c r="A6" s="3" t="s">
        <v>7</v>
      </c>
      <c r="B6" s="3">
        <v>2026</v>
      </c>
      <c r="C6" s="3"/>
      <c r="D6" s="3"/>
    </row>
    <row r="7" spans="1:4" x14ac:dyDescent="0.2">
      <c r="A7" s="3" t="s">
        <v>8</v>
      </c>
      <c r="B7" s="3">
        <v>70</v>
      </c>
      <c r="C7" s="3"/>
      <c r="D7" s="3"/>
    </row>
    <row r="8" spans="1:4" x14ac:dyDescent="0.2">
      <c r="A8" s="3" t="s">
        <v>9</v>
      </c>
      <c r="B8" s="3">
        <v>80</v>
      </c>
      <c r="C8" s="3"/>
      <c r="D8" s="3"/>
    </row>
    <row r="9" spans="1:4" x14ac:dyDescent="0.2">
      <c r="A9" s="3" t="s">
        <v>10</v>
      </c>
      <c r="B9" s="3" t="s">
        <v>4</v>
      </c>
      <c r="C9" s="3"/>
      <c r="D9" s="3"/>
    </row>
    <row r="10" spans="1:4" x14ac:dyDescent="0.2">
      <c r="A10" s="3" t="s">
        <v>11</v>
      </c>
      <c r="B10" s="3" t="s">
        <v>12</v>
      </c>
      <c r="C10" s="3"/>
      <c r="D10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نموذج تقييم</vt:lpstr>
      <vt:lpstr>نموذج حضور</vt:lpstr>
      <vt:lpstr>لوحة التحكم</vt:lpstr>
      <vt:lpstr>التقييمات</vt:lpstr>
      <vt:lpstr>الحضور</vt:lpstr>
      <vt:lpstr>الخطة</vt:lpstr>
      <vt:lpstr>الموظفون</vt:lpstr>
      <vt:lpstr>الإعدادات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samir</dc:creator>
  <cp:lastModifiedBy>mohamed samir</cp:lastModifiedBy>
  <dcterms:created xsi:type="dcterms:W3CDTF">2026-09-10T18:25:44Z</dcterms:created>
  <dcterms:modified xsi:type="dcterms:W3CDTF">2026-09-10T18:25:54Z</dcterms:modified>
</cp:coreProperties>
</file>