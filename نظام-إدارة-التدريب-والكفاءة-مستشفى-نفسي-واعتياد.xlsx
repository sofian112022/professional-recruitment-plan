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n\.copilot\repos\copilot-worktrees\professional-recruitment-plan\sofian112022-cuddly-pancake\"/>
    </mc:Choice>
  </mc:AlternateContent>
  <xr:revisionPtr revIDLastSave="0" documentId="8_{90F6EE69-C0DF-4A37-BF36-47C39E166350}" xr6:coauthVersionLast="47" xr6:coauthVersionMax="47" xr10:uidLastSave="{00000000-0000-0000-0000-000000000000}"/>
  <bookViews>
    <workbookView xWindow="-120" yWindow="-120" windowWidth="29040" windowHeight="15720" firstSheet="6" activeTab="11" xr2:uid="{A406C593-486D-4E27-9529-2E68CBFFE0A8}"/>
  </bookViews>
  <sheets>
    <sheet name="التقرير الشهري الديناميكي" sheetId="12" r:id="rId1"/>
    <sheet name="لوحة المؤشرات والقيادة" sheetId="11" r:id="rId2"/>
    <sheet name="سجل الأدلة وجاهزية جهار" sheetId="10" r:id="rId3"/>
    <sheet name="مصفوفة التقييم العملي للكفاءة" sheetId="9" r:id="rId4"/>
    <sheet name="سجل الحضور والتنفيذ" sheetId="8" r:id="rId5"/>
    <sheet name="جدول الجلسات التدريبية" sheetId="7" r:id="rId6"/>
    <sheet name="الخطة التدريبية المعتمدة" sheetId="6" r:id="rId7"/>
    <sheet name="تحليل الاحتياجات والفجوات" sheetId="5" r:id="rId8"/>
    <sheet name="سجل الموظفين والكفاءة" sheetId="4" r:id="rId9"/>
    <sheet name="كتالوج معايير جهار" sheetId="3" r:id="rId10"/>
    <sheet name="الإعدادات والمستهدفات" sheetId="2" r:id="rId11"/>
    <sheet name="الاعتماد وسجل التغييرات" sheetId="1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" i="12" l="1"/>
  <c r="B9" i="12"/>
  <c r="B8" i="12"/>
  <c r="B7" i="12"/>
  <c r="B6" i="12"/>
  <c r="D13" i="11"/>
  <c r="B13" i="11"/>
  <c r="D12" i="11"/>
  <c r="B12" i="11"/>
  <c r="D11" i="11"/>
  <c r="B11" i="11"/>
  <c r="D10" i="11"/>
  <c r="B10" i="11"/>
  <c r="D9" i="11"/>
  <c r="B9" i="11"/>
  <c r="B8" i="11"/>
  <c r="D7" i="11"/>
  <c r="B7" i="11"/>
  <c r="B6" i="11"/>
  <c r="D5" i="11"/>
  <c r="B5" i="11"/>
  <c r="B4" i="11"/>
  <c r="L203" i="9"/>
  <c r="K203" i="9"/>
  <c r="H203" i="9"/>
  <c r="D203" i="9"/>
  <c r="C203" i="9"/>
  <c r="L202" i="9"/>
  <c r="K202" i="9"/>
  <c r="H202" i="9"/>
  <c r="D202" i="9"/>
  <c r="C202" i="9"/>
  <c r="L201" i="9"/>
  <c r="K201" i="9"/>
  <c r="H201" i="9"/>
  <c r="D201" i="9"/>
  <c r="C201" i="9"/>
  <c r="L200" i="9"/>
  <c r="K200" i="9"/>
  <c r="H200" i="9"/>
  <c r="D200" i="9"/>
  <c r="C200" i="9"/>
  <c r="L199" i="9"/>
  <c r="K199" i="9"/>
  <c r="H199" i="9"/>
  <c r="D199" i="9"/>
  <c r="C199" i="9"/>
  <c r="L198" i="9"/>
  <c r="K198" i="9"/>
  <c r="H198" i="9"/>
  <c r="D198" i="9"/>
  <c r="C198" i="9"/>
  <c r="L197" i="9"/>
  <c r="K197" i="9"/>
  <c r="H197" i="9"/>
  <c r="D197" i="9"/>
  <c r="C197" i="9"/>
  <c r="L196" i="9"/>
  <c r="K196" i="9"/>
  <c r="H196" i="9"/>
  <c r="D196" i="9"/>
  <c r="C196" i="9"/>
  <c r="L195" i="9"/>
  <c r="K195" i="9"/>
  <c r="H195" i="9"/>
  <c r="D195" i="9"/>
  <c r="C195" i="9"/>
  <c r="L194" i="9"/>
  <c r="K194" i="9"/>
  <c r="H194" i="9"/>
  <c r="D194" i="9"/>
  <c r="C194" i="9"/>
  <c r="L193" i="9"/>
  <c r="K193" i="9"/>
  <c r="H193" i="9"/>
  <c r="D193" i="9"/>
  <c r="C193" i="9"/>
  <c r="L192" i="9"/>
  <c r="K192" i="9"/>
  <c r="H192" i="9"/>
  <c r="D192" i="9"/>
  <c r="C192" i="9"/>
  <c r="L191" i="9"/>
  <c r="K191" i="9"/>
  <c r="H191" i="9"/>
  <c r="D191" i="9"/>
  <c r="C191" i="9"/>
  <c r="L190" i="9"/>
  <c r="K190" i="9"/>
  <c r="H190" i="9"/>
  <c r="D190" i="9"/>
  <c r="C190" i="9"/>
  <c r="L189" i="9"/>
  <c r="K189" i="9"/>
  <c r="H189" i="9"/>
  <c r="D189" i="9"/>
  <c r="C189" i="9"/>
  <c r="L188" i="9"/>
  <c r="K188" i="9"/>
  <c r="H188" i="9"/>
  <c r="D188" i="9"/>
  <c r="C188" i="9"/>
  <c r="L187" i="9"/>
  <c r="K187" i="9"/>
  <c r="H187" i="9"/>
  <c r="D187" i="9"/>
  <c r="C187" i="9"/>
  <c r="L186" i="9"/>
  <c r="K186" i="9"/>
  <c r="H186" i="9"/>
  <c r="D186" i="9"/>
  <c r="C186" i="9"/>
  <c r="L185" i="9"/>
  <c r="K185" i="9"/>
  <c r="H185" i="9"/>
  <c r="D185" i="9"/>
  <c r="C185" i="9"/>
  <c r="L184" i="9"/>
  <c r="K184" i="9"/>
  <c r="H184" i="9"/>
  <c r="D184" i="9"/>
  <c r="C184" i="9"/>
  <c r="L183" i="9"/>
  <c r="K183" i="9"/>
  <c r="H183" i="9"/>
  <c r="D183" i="9"/>
  <c r="C183" i="9"/>
  <c r="L182" i="9"/>
  <c r="K182" i="9"/>
  <c r="H182" i="9"/>
  <c r="D182" i="9"/>
  <c r="C182" i="9"/>
  <c r="L181" i="9"/>
  <c r="K181" i="9"/>
  <c r="H181" i="9"/>
  <c r="D181" i="9"/>
  <c r="C181" i="9"/>
  <c r="L180" i="9"/>
  <c r="K180" i="9"/>
  <c r="H180" i="9"/>
  <c r="D180" i="9"/>
  <c r="C180" i="9"/>
  <c r="L179" i="9"/>
  <c r="K179" i="9"/>
  <c r="H179" i="9"/>
  <c r="D179" i="9"/>
  <c r="C179" i="9"/>
  <c r="L178" i="9"/>
  <c r="K178" i="9"/>
  <c r="H178" i="9"/>
  <c r="D178" i="9"/>
  <c r="C178" i="9"/>
  <c r="L177" i="9"/>
  <c r="K177" i="9"/>
  <c r="H177" i="9"/>
  <c r="D177" i="9"/>
  <c r="C177" i="9"/>
  <c r="L176" i="9"/>
  <c r="K176" i="9"/>
  <c r="H176" i="9"/>
  <c r="D176" i="9"/>
  <c r="C176" i="9"/>
  <c r="L175" i="9"/>
  <c r="K175" i="9"/>
  <c r="H175" i="9"/>
  <c r="D175" i="9"/>
  <c r="C175" i="9"/>
  <c r="L174" i="9"/>
  <c r="K174" i="9"/>
  <c r="H174" i="9"/>
  <c r="D174" i="9"/>
  <c r="C174" i="9"/>
  <c r="L173" i="9"/>
  <c r="K173" i="9"/>
  <c r="H173" i="9"/>
  <c r="D173" i="9"/>
  <c r="C173" i="9"/>
  <c r="L172" i="9"/>
  <c r="K172" i="9"/>
  <c r="H172" i="9"/>
  <c r="D172" i="9"/>
  <c r="C172" i="9"/>
  <c r="L171" i="9"/>
  <c r="K171" i="9"/>
  <c r="H171" i="9"/>
  <c r="D171" i="9"/>
  <c r="C171" i="9"/>
  <c r="L170" i="9"/>
  <c r="K170" i="9"/>
  <c r="H170" i="9"/>
  <c r="D170" i="9"/>
  <c r="C170" i="9"/>
  <c r="L169" i="9"/>
  <c r="K169" i="9"/>
  <c r="H169" i="9"/>
  <c r="D169" i="9"/>
  <c r="C169" i="9"/>
  <c r="L168" i="9"/>
  <c r="K168" i="9"/>
  <c r="H168" i="9"/>
  <c r="D168" i="9"/>
  <c r="C168" i="9"/>
  <c r="L167" i="9"/>
  <c r="K167" i="9"/>
  <c r="H167" i="9"/>
  <c r="D167" i="9"/>
  <c r="C167" i="9"/>
  <c r="L166" i="9"/>
  <c r="K166" i="9"/>
  <c r="H166" i="9"/>
  <c r="D166" i="9"/>
  <c r="C166" i="9"/>
  <c r="L165" i="9"/>
  <c r="K165" i="9"/>
  <c r="H165" i="9"/>
  <c r="D165" i="9"/>
  <c r="C165" i="9"/>
  <c r="L164" i="9"/>
  <c r="K164" i="9"/>
  <c r="H164" i="9"/>
  <c r="D164" i="9"/>
  <c r="C164" i="9"/>
  <c r="L163" i="9"/>
  <c r="K163" i="9"/>
  <c r="H163" i="9"/>
  <c r="D163" i="9"/>
  <c r="C163" i="9"/>
  <c r="L162" i="9"/>
  <c r="K162" i="9"/>
  <c r="H162" i="9"/>
  <c r="D162" i="9"/>
  <c r="C162" i="9"/>
  <c r="L161" i="9"/>
  <c r="K161" i="9"/>
  <c r="H161" i="9"/>
  <c r="D161" i="9"/>
  <c r="C161" i="9"/>
  <c r="L160" i="9"/>
  <c r="K160" i="9"/>
  <c r="H160" i="9"/>
  <c r="D160" i="9"/>
  <c r="C160" i="9"/>
  <c r="L159" i="9"/>
  <c r="K159" i="9"/>
  <c r="H159" i="9"/>
  <c r="D159" i="9"/>
  <c r="C159" i="9"/>
  <c r="L158" i="9"/>
  <c r="K158" i="9"/>
  <c r="H158" i="9"/>
  <c r="D158" i="9"/>
  <c r="C158" i="9"/>
  <c r="L157" i="9"/>
  <c r="K157" i="9"/>
  <c r="H157" i="9"/>
  <c r="D157" i="9"/>
  <c r="C157" i="9"/>
  <c r="L156" i="9"/>
  <c r="K156" i="9"/>
  <c r="H156" i="9"/>
  <c r="D156" i="9"/>
  <c r="C156" i="9"/>
  <c r="L155" i="9"/>
  <c r="K155" i="9"/>
  <c r="H155" i="9"/>
  <c r="D155" i="9"/>
  <c r="C155" i="9"/>
  <c r="L154" i="9"/>
  <c r="K154" i="9"/>
  <c r="H154" i="9"/>
  <c r="D154" i="9"/>
  <c r="C154" i="9"/>
  <c r="L153" i="9"/>
  <c r="K153" i="9"/>
  <c r="H153" i="9"/>
  <c r="D153" i="9"/>
  <c r="C153" i="9"/>
  <c r="L152" i="9"/>
  <c r="K152" i="9"/>
  <c r="H152" i="9"/>
  <c r="D152" i="9"/>
  <c r="C152" i="9"/>
  <c r="L151" i="9"/>
  <c r="K151" i="9"/>
  <c r="H151" i="9"/>
  <c r="D151" i="9"/>
  <c r="C151" i="9"/>
  <c r="L150" i="9"/>
  <c r="K150" i="9"/>
  <c r="H150" i="9"/>
  <c r="D150" i="9"/>
  <c r="C150" i="9"/>
  <c r="L149" i="9"/>
  <c r="K149" i="9"/>
  <c r="H149" i="9"/>
  <c r="D149" i="9"/>
  <c r="C149" i="9"/>
  <c r="L148" i="9"/>
  <c r="K148" i="9"/>
  <c r="H148" i="9"/>
  <c r="D148" i="9"/>
  <c r="C148" i="9"/>
  <c r="L147" i="9"/>
  <c r="K147" i="9"/>
  <c r="H147" i="9"/>
  <c r="D147" i="9"/>
  <c r="C147" i="9"/>
  <c r="L146" i="9"/>
  <c r="K146" i="9"/>
  <c r="H146" i="9"/>
  <c r="D146" i="9"/>
  <c r="C146" i="9"/>
  <c r="L145" i="9"/>
  <c r="K145" i="9"/>
  <c r="H145" i="9"/>
  <c r="D145" i="9"/>
  <c r="C145" i="9"/>
  <c r="L144" i="9"/>
  <c r="K144" i="9"/>
  <c r="H144" i="9"/>
  <c r="D144" i="9"/>
  <c r="C144" i="9"/>
  <c r="L143" i="9"/>
  <c r="K143" i="9"/>
  <c r="H143" i="9"/>
  <c r="D143" i="9"/>
  <c r="C143" i="9"/>
  <c r="L142" i="9"/>
  <c r="K142" i="9"/>
  <c r="H142" i="9"/>
  <c r="D142" i="9"/>
  <c r="C142" i="9"/>
  <c r="L141" i="9"/>
  <c r="K141" i="9"/>
  <c r="H141" i="9"/>
  <c r="D141" i="9"/>
  <c r="C141" i="9"/>
  <c r="L140" i="9"/>
  <c r="K140" i="9"/>
  <c r="H140" i="9"/>
  <c r="D140" i="9"/>
  <c r="C140" i="9"/>
  <c r="L139" i="9"/>
  <c r="K139" i="9"/>
  <c r="H139" i="9"/>
  <c r="D139" i="9"/>
  <c r="C139" i="9"/>
  <c r="L138" i="9"/>
  <c r="K138" i="9"/>
  <c r="H138" i="9"/>
  <c r="D138" i="9"/>
  <c r="C138" i="9"/>
  <c r="L137" i="9"/>
  <c r="K137" i="9"/>
  <c r="H137" i="9"/>
  <c r="D137" i="9"/>
  <c r="C137" i="9"/>
  <c r="L136" i="9"/>
  <c r="K136" i="9"/>
  <c r="H136" i="9"/>
  <c r="D136" i="9"/>
  <c r="C136" i="9"/>
  <c r="L135" i="9"/>
  <c r="K135" i="9"/>
  <c r="H135" i="9"/>
  <c r="D135" i="9"/>
  <c r="C135" i="9"/>
  <c r="L134" i="9"/>
  <c r="K134" i="9"/>
  <c r="H134" i="9"/>
  <c r="D134" i="9"/>
  <c r="C134" i="9"/>
  <c r="L133" i="9"/>
  <c r="K133" i="9"/>
  <c r="H133" i="9"/>
  <c r="D133" i="9"/>
  <c r="C133" i="9"/>
  <c r="L132" i="9"/>
  <c r="K132" i="9"/>
  <c r="H132" i="9"/>
  <c r="D132" i="9"/>
  <c r="C132" i="9"/>
  <c r="L131" i="9"/>
  <c r="K131" i="9"/>
  <c r="H131" i="9"/>
  <c r="D131" i="9"/>
  <c r="C131" i="9"/>
  <c r="L130" i="9"/>
  <c r="K130" i="9"/>
  <c r="H130" i="9"/>
  <c r="D130" i="9"/>
  <c r="C130" i="9"/>
  <c r="L129" i="9"/>
  <c r="K129" i="9"/>
  <c r="H129" i="9"/>
  <c r="D129" i="9"/>
  <c r="C129" i="9"/>
  <c r="L128" i="9"/>
  <c r="K128" i="9"/>
  <c r="H128" i="9"/>
  <c r="D128" i="9"/>
  <c r="C128" i="9"/>
  <c r="L127" i="9"/>
  <c r="K127" i="9"/>
  <c r="H127" i="9"/>
  <c r="D127" i="9"/>
  <c r="C127" i="9"/>
  <c r="L126" i="9"/>
  <c r="K126" i="9"/>
  <c r="H126" i="9"/>
  <c r="D126" i="9"/>
  <c r="C126" i="9"/>
  <c r="L125" i="9"/>
  <c r="K125" i="9"/>
  <c r="H125" i="9"/>
  <c r="D125" i="9"/>
  <c r="C125" i="9"/>
  <c r="L124" i="9"/>
  <c r="K124" i="9"/>
  <c r="H124" i="9"/>
  <c r="D124" i="9"/>
  <c r="C124" i="9"/>
  <c r="L123" i="9"/>
  <c r="K123" i="9"/>
  <c r="H123" i="9"/>
  <c r="D123" i="9"/>
  <c r="C123" i="9"/>
  <c r="L122" i="9"/>
  <c r="K122" i="9"/>
  <c r="H122" i="9"/>
  <c r="D122" i="9"/>
  <c r="C122" i="9"/>
  <c r="L121" i="9"/>
  <c r="K121" i="9"/>
  <c r="H121" i="9"/>
  <c r="D121" i="9"/>
  <c r="C121" i="9"/>
  <c r="L120" i="9"/>
  <c r="K120" i="9"/>
  <c r="H120" i="9"/>
  <c r="D120" i="9"/>
  <c r="C120" i="9"/>
  <c r="L119" i="9"/>
  <c r="K119" i="9"/>
  <c r="H119" i="9"/>
  <c r="D119" i="9"/>
  <c r="C119" i="9"/>
  <c r="L118" i="9"/>
  <c r="K118" i="9"/>
  <c r="H118" i="9"/>
  <c r="D118" i="9"/>
  <c r="C118" i="9"/>
  <c r="L117" i="9"/>
  <c r="K117" i="9"/>
  <c r="H117" i="9"/>
  <c r="D117" i="9"/>
  <c r="C117" i="9"/>
  <c r="L116" i="9"/>
  <c r="K116" i="9"/>
  <c r="H116" i="9"/>
  <c r="D116" i="9"/>
  <c r="C116" i="9"/>
  <c r="L115" i="9"/>
  <c r="K115" i="9"/>
  <c r="H115" i="9"/>
  <c r="D115" i="9"/>
  <c r="C115" i="9"/>
  <c r="L114" i="9"/>
  <c r="K114" i="9"/>
  <c r="H114" i="9"/>
  <c r="D114" i="9"/>
  <c r="C114" i="9"/>
  <c r="L113" i="9"/>
  <c r="K113" i="9"/>
  <c r="H113" i="9"/>
  <c r="D113" i="9"/>
  <c r="C113" i="9"/>
  <c r="L112" i="9"/>
  <c r="K112" i="9"/>
  <c r="H112" i="9"/>
  <c r="D112" i="9"/>
  <c r="C112" i="9"/>
  <c r="L111" i="9"/>
  <c r="K111" i="9"/>
  <c r="H111" i="9"/>
  <c r="D111" i="9"/>
  <c r="C111" i="9"/>
  <c r="L110" i="9"/>
  <c r="K110" i="9"/>
  <c r="H110" i="9"/>
  <c r="D110" i="9"/>
  <c r="C110" i="9"/>
  <c r="L109" i="9"/>
  <c r="K109" i="9"/>
  <c r="H109" i="9"/>
  <c r="D109" i="9"/>
  <c r="C109" i="9"/>
  <c r="L108" i="9"/>
  <c r="K108" i="9"/>
  <c r="H108" i="9"/>
  <c r="D108" i="9"/>
  <c r="C108" i="9"/>
  <c r="L107" i="9"/>
  <c r="K107" i="9"/>
  <c r="H107" i="9"/>
  <c r="D107" i="9"/>
  <c r="C107" i="9"/>
  <c r="L106" i="9"/>
  <c r="K106" i="9"/>
  <c r="H106" i="9"/>
  <c r="D106" i="9"/>
  <c r="C106" i="9"/>
  <c r="L105" i="9"/>
  <c r="K105" i="9"/>
  <c r="H105" i="9"/>
  <c r="D105" i="9"/>
  <c r="C105" i="9"/>
  <c r="L104" i="9"/>
  <c r="K104" i="9"/>
  <c r="H104" i="9"/>
  <c r="D104" i="9"/>
  <c r="C104" i="9"/>
  <c r="L103" i="9"/>
  <c r="K103" i="9"/>
  <c r="H103" i="9"/>
  <c r="D103" i="9"/>
  <c r="C103" i="9"/>
  <c r="L102" i="9"/>
  <c r="K102" i="9"/>
  <c r="H102" i="9"/>
  <c r="D102" i="9"/>
  <c r="C102" i="9"/>
  <c r="L101" i="9"/>
  <c r="K101" i="9"/>
  <c r="H101" i="9"/>
  <c r="D101" i="9"/>
  <c r="C101" i="9"/>
  <c r="L100" i="9"/>
  <c r="K100" i="9"/>
  <c r="H100" i="9"/>
  <c r="D100" i="9"/>
  <c r="C100" i="9"/>
  <c r="L99" i="9"/>
  <c r="K99" i="9"/>
  <c r="H99" i="9"/>
  <c r="D99" i="9"/>
  <c r="C99" i="9"/>
  <c r="L98" i="9"/>
  <c r="K98" i="9"/>
  <c r="H98" i="9"/>
  <c r="D98" i="9"/>
  <c r="C98" i="9"/>
  <c r="L97" i="9"/>
  <c r="K97" i="9"/>
  <c r="H97" i="9"/>
  <c r="D97" i="9"/>
  <c r="C97" i="9"/>
  <c r="L96" i="9"/>
  <c r="K96" i="9"/>
  <c r="H96" i="9"/>
  <c r="D96" i="9"/>
  <c r="C96" i="9"/>
  <c r="L95" i="9"/>
  <c r="K95" i="9"/>
  <c r="H95" i="9"/>
  <c r="D95" i="9"/>
  <c r="C95" i="9"/>
  <c r="L94" i="9"/>
  <c r="K94" i="9"/>
  <c r="H94" i="9"/>
  <c r="D94" i="9"/>
  <c r="C94" i="9"/>
  <c r="L93" i="9"/>
  <c r="K93" i="9"/>
  <c r="H93" i="9"/>
  <c r="D93" i="9"/>
  <c r="C93" i="9"/>
  <c r="L92" i="9"/>
  <c r="K92" i="9"/>
  <c r="H92" i="9"/>
  <c r="D92" i="9"/>
  <c r="C92" i="9"/>
  <c r="L91" i="9"/>
  <c r="K91" i="9"/>
  <c r="H91" i="9"/>
  <c r="D91" i="9"/>
  <c r="C91" i="9"/>
  <c r="L90" i="9"/>
  <c r="K90" i="9"/>
  <c r="H90" i="9"/>
  <c r="D90" i="9"/>
  <c r="C90" i="9"/>
  <c r="L89" i="9"/>
  <c r="K89" i="9"/>
  <c r="H89" i="9"/>
  <c r="D89" i="9"/>
  <c r="C89" i="9"/>
  <c r="L88" i="9"/>
  <c r="K88" i="9"/>
  <c r="H88" i="9"/>
  <c r="D88" i="9"/>
  <c r="C88" i="9"/>
  <c r="L87" i="9"/>
  <c r="K87" i="9"/>
  <c r="H87" i="9"/>
  <c r="D87" i="9"/>
  <c r="C87" i="9"/>
  <c r="L86" i="9"/>
  <c r="K86" i="9"/>
  <c r="H86" i="9"/>
  <c r="D86" i="9"/>
  <c r="C86" i="9"/>
  <c r="L85" i="9"/>
  <c r="K85" i="9"/>
  <c r="H85" i="9"/>
  <c r="D85" i="9"/>
  <c r="C85" i="9"/>
  <c r="L84" i="9"/>
  <c r="K84" i="9"/>
  <c r="H84" i="9"/>
  <c r="D84" i="9"/>
  <c r="C84" i="9"/>
  <c r="L83" i="9"/>
  <c r="K83" i="9"/>
  <c r="H83" i="9"/>
  <c r="D83" i="9"/>
  <c r="C83" i="9"/>
  <c r="L82" i="9"/>
  <c r="K82" i="9"/>
  <c r="H82" i="9"/>
  <c r="D82" i="9"/>
  <c r="C82" i="9"/>
  <c r="L81" i="9"/>
  <c r="K81" i="9"/>
  <c r="H81" i="9"/>
  <c r="D81" i="9"/>
  <c r="C81" i="9"/>
  <c r="L80" i="9"/>
  <c r="K80" i="9"/>
  <c r="H80" i="9"/>
  <c r="D80" i="9"/>
  <c r="C80" i="9"/>
  <c r="L79" i="9"/>
  <c r="K79" i="9"/>
  <c r="H79" i="9"/>
  <c r="D79" i="9"/>
  <c r="C79" i="9"/>
  <c r="L78" i="9"/>
  <c r="K78" i="9"/>
  <c r="H78" i="9"/>
  <c r="D78" i="9"/>
  <c r="C78" i="9"/>
  <c r="L77" i="9"/>
  <c r="K77" i="9"/>
  <c r="H77" i="9"/>
  <c r="D77" i="9"/>
  <c r="C77" i="9"/>
  <c r="L76" i="9"/>
  <c r="K76" i="9"/>
  <c r="H76" i="9"/>
  <c r="D76" i="9"/>
  <c r="C76" i="9"/>
  <c r="L75" i="9"/>
  <c r="K75" i="9"/>
  <c r="H75" i="9"/>
  <c r="D75" i="9"/>
  <c r="C75" i="9"/>
  <c r="L74" i="9"/>
  <c r="K74" i="9"/>
  <c r="H74" i="9"/>
  <c r="D74" i="9"/>
  <c r="C74" i="9"/>
  <c r="L73" i="9"/>
  <c r="K73" i="9"/>
  <c r="H73" i="9"/>
  <c r="D73" i="9"/>
  <c r="C73" i="9"/>
  <c r="L72" i="9"/>
  <c r="K72" i="9"/>
  <c r="H72" i="9"/>
  <c r="D72" i="9"/>
  <c r="C72" i="9"/>
  <c r="L71" i="9"/>
  <c r="K71" i="9"/>
  <c r="H71" i="9"/>
  <c r="D71" i="9"/>
  <c r="C71" i="9"/>
  <c r="L70" i="9"/>
  <c r="K70" i="9"/>
  <c r="H70" i="9"/>
  <c r="D70" i="9"/>
  <c r="C70" i="9"/>
  <c r="L69" i="9"/>
  <c r="K69" i="9"/>
  <c r="H69" i="9"/>
  <c r="D69" i="9"/>
  <c r="C69" i="9"/>
  <c r="L68" i="9"/>
  <c r="K68" i="9"/>
  <c r="H68" i="9"/>
  <c r="D68" i="9"/>
  <c r="C68" i="9"/>
  <c r="L67" i="9"/>
  <c r="K67" i="9"/>
  <c r="H67" i="9"/>
  <c r="D67" i="9"/>
  <c r="C67" i="9"/>
  <c r="L66" i="9"/>
  <c r="K66" i="9"/>
  <c r="H66" i="9"/>
  <c r="D66" i="9"/>
  <c r="C66" i="9"/>
  <c r="L65" i="9"/>
  <c r="K65" i="9"/>
  <c r="H65" i="9"/>
  <c r="D65" i="9"/>
  <c r="C65" i="9"/>
  <c r="L64" i="9"/>
  <c r="K64" i="9"/>
  <c r="H64" i="9"/>
  <c r="D64" i="9"/>
  <c r="C64" i="9"/>
  <c r="L63" i="9"/>
  <c r="K63" i="9"/>
  <c r="H63" i="9"/>
  <c r="D63" i="9"/>
  <c r="C63" i="9"/>
  <c r="L62" i="9"/>
  <c r="K62" i="9"/>
  <c r="H62" i="9"/>
  <c r="D62" i="9"/>
  <c r="C62" i="9"/>
  <c r="L61" i="9"/>
  <c r="K61" i="9"/>
  <c r="H61" i="9"/>
  <c r="D61" i="9"/>
  <c r="C61" i="9"/>
  <c r="L60" i="9"/>
  <c r="K60" i="9"/>
  <c r="H60" i="9"/>
  <c r="D60" i="9"/>
  <c r="C60" i="9"/>
  <c r="L59" i="9"/>
  <c r="K59" i="9"/>
  <c r="H59" i="9"/>
  <c r="D59" i="9"/>
  <c r="C59" i="9"/>
  <c r="L58" i="9"/>
  <c r="K58" i="9"/>
  <c r="H58" i="9"/>
  <c r="D58" i="9"/>
  <c r="C58" i="9"/>
  <c r="L57" i="9"/>
  <c r="K57" i="9"/>
  <c r="H57" i="9"/>
  <c r="D57" i="9"/>
  <c r="C57" i="9"/>
  <c r="L56" i="9"/>
  <c r="K56" i="9"/>
  <c r="H56" i="9"/>
  <c r="D56" i="9"/>
  <c r="C56" i="9"/>
  <c r="L55" i="9"/>
  <c r="K55" i="9"/>
  <c r="H55" i="9"/>
  <c r="D55" i="9"/>
  <c r="C55" i="9"/>
  <c r="L54" i="9"/>
  <c r="K54" i="9"/>
  <c r="H54" i="9"/>
  <c r="D54" i="9"/>
  <c r="C54" i="9"/>
  <c r="L53" i="9"/>
  <c r="K53" i="9"/>
  <c r="H53" i="9"/>
  <c r="D53" i="9"/>
  <c r="C53" i="9"/>
  <c r="L52" i="9"/>
  <c r="K52" i="9"/>
  <c r="H52" i="9"/>
  <c r="D52" i="9"/>
  <c r="C52" i="9"/>
  <c r="L51" i="9"/>
  <c r="K51" i="9"/>
  <c r="H51" i="9"/>
  <c r="D51" i="9"/>
  <c r="C51" i="9"/>
  <c r="L50" i="9"/>
  <c r="K50" i="9"/>
  <c r="H50" i="9"/>
  <c r="D50" i="9"/>
  <c r="C50" i="9"/>
  <c r="L49" i="9"/>
  <c r="K49" i="9"/>
  <c r="H49" i="9"/>
  <c r="D49" i="9"/>
  <c r="C49" i="9"/>
  <c r="L48" i="9"/>
  <c r="K48" i="9"/>
  <c r="H48" i="9"/>
  <c r="D48" i="9"/>
  <c r="C48" i="9"/>
  <c r="L47" i="9"/>
  <c r="K47" i="9"/>
  <c r="H47" i="9"/>
  <c r="D47" i="9"/>
  <c r="C47" i="9"/>
  <c r="L46" i="9"/>
  <c r="K46" i="9"/>
  <c r="H46" i="9"/>
  <c r="D46" i="9"/>
  <c r="C46" i="9"/>
  <c r="L45" i="9"/>
  <c r="K45" i="9"/>
  <c r="H45" i="9"/>
  <c r="D45" i="9"/>
  <c r="C45" i="9"/>
  <c r="L44" i="9"/>
  <c r="K44" i="9"/>
  <c r="H44" i="9"/>
  <c r="D44" i="9"/>
  <c r="C44" i="9"/>
  <c r="L43" i="9"/>
  <c r="K43" i="9"/>
  <c r="H43" i="9"/>
  <c r="D43" i="9"/>
  <c r="C43" i="9"/>
  <c r="L42" i="9"/>
  <c r="K42" i="9"/>
  <c r="H42" i="9"/>
  <c r="D42" i="9"/>
  <c r="C42" i="9"/>
  <c r="L41" i="9"/>
  <c r="K41" i="9"/>
  <c r="H41" i="9"/>
  <c r="D41" i="9"/>
  <c r="C41" i="9"/>
  <c r="L40" i="9"/>
  <c r="K40" i="9"/>
  <c r="H40" i="9"/>
  <c r="D40" i="9"/>
  <c r="C40" i="9"/>
  <c r="L39" i="9"/>
  <c r="K39" i="9"/>
  <c r="H39" i="9"/>
  <c r="D39" i="9"/>
  <c r="C39" i="9"/>
  <c r="L38" i="9"/>
  <c r="K38" i="9"/>
  <c r="H38" i="9"/>
  <c r="D38" i="9"/>
  <c r="C38" i="9"/>
  <c r="L37" i="9"/>
  <c r="K37" i="9"/>
  <c r="H37" i="9"/>
  <c r="D37" i="9"/>
  <c r="C37" i="9"/>
  <c r="L36" i="9"/>
  <c r="K36" i="9"/>
  <c r="H36" i="9"/>
  <c r="D36" i="9"/>
  <c r="C36" i="9"/>
  <c r="L35" i="9"/>
  <c r="K35" i="9"/>
  <c r="H35" i="9"/>
  <c r="D35" i="9"/>
  <c r="C35" i="9"/>
  <c r="L34" i="9"/>
  <c r="K34" i="9"/>
  <c r="H34" i="9"/>
  <c r="D34" i="9"/>
  <c r="C34" i="9"/>
  <c r="L33" i="9"/>
  <c r="K33" i="9"/>
  <c r="H33" i="9"/>
  <c r="D33" i="9"/>
  <c r="C33" i="9"/>
  <c r="L32" i="9"/>
  <c r="K32" i="9"/>
  <c r="H32" i="9"/>
  <c r="D32" i="9"/>
  <c r="C32" i="9"/>
  <c r="L31" i="9"/>
  <c r="K31" i="9"/>
  <c r="H31" i="9"/>
  <c r="D31" i="9"/>
  <c r="C31" i="9"/>
  <c r="L30" i="9"/>
  <c r="K30" i="9"/>
  <c r="H30" i="9"/>
  <c r="D30" i="9"/>
  <c r="C30" i="9"/>
  <c r="L29" i="9"/>
  <c r="K29" i="9"/>
  <c r="H29" i="9"/>
  <c r="D29" i="9"/>
  <c r="C29" i="9"/>
  <c r="L28" i="9"/>
  <c r="K28" i="9"/>
  <c r="H28" i="9"/>
  <c r="D28" i="9"/>
  <c r="C28" i="9"/>
  <c r="L27" i="9"/>
  <c r="K27" i="9"/>
  <c r="H27" i="9"/>
  <c r="D27" i="9"/>
  <c r="C27" i="9"/>
  <c r="L26" i="9"/>
  <c r="K26" i="9"/>
  <c r="H26" i="9"/>
  <c r="D26" i="9"/>
  <c r="C26" i="9"/>
  <c r="L25" i="9"/>
  <c r="K25" i="9"/>
  <c r="H25" i="9"/>
  <c r="D25" i="9"/>
  <c r="C25" i="9"/>
  <c r="L24" i="9"/>
  <c r="K24" i="9"/>
  <c r="H24" i="9"/>
  <c r="D24" i="9"/>
  <c r="C24" i="9"/>
  <c r="L23" i="9"/>
  <c r="K23" i="9"/>
  <c r="H23" i="9"/>
  <c r="D23" i="9"/>
  <c r="C23" i="9"/>
  <c r="L22" i="9"/>
  <c r="K22" i="9"/>
  <c r="H22" i="9"/>
  <c r="D22" i="9"/>
  <c r="C22" i="9"/>
  <c r="L21" i="9"/>
  <c r="K21" i="9"/>
  <c r="H21" i="9"/>
  <c r="D21" i="9"/>
  <c r="C21" i="9"/>
  <c r="L20" i="9"/>
  <c r="K20" i="9"/>
  <c r="H20" i="9"/>
  <c r="D20" i="9"/>
  <c r="C20" i="9"/>
  <c r="L19" i="9"/>
  <c r="K19" i="9"/>
  <c r="H19" i="9"/>
  <c r="D19" i="9"/>
  <c r="C19" i="9"/>
  <c r="L18" i="9"/>
  <c r="K18" i="9"/>
  <c r="H18" i="9"/>
  <c r="D18" i="9"/>
  <c r="C18" i="9"/>
  <c r="L17" i="9"/>
  <c r="K17" i="9"/>
  <c r="H17" i="9"/>
  <c r="D17" i="9"/>
  <c r="C17" i="9"/>
  <c r="L16" i="9"/>
  <c r="K16" i="9"/>
  <c r="H16" i="9"/>
  <c r="D16" i="9"/>
  <c r="C16" i="9"/>
  <c r="L15" i="9"/>
  <c r="K15" i="9"/>
  <c r="H15" i="9"/>
  <c r="D15" i="9"/>
  <c r="C15" i="9"/>
  <c r="L14" i="9"/>
  <c r="K14" i="9"/>
  <c r="H14" i="9"/>
  <c r="D14" i="9"/>
  <c r="C14" i="9"/>
  <c r="L13" i="9"/>
  <c r="K13" i="9"/>
  <c r="H13" i="9"/>
  <c r="D13" i="9"/>
  <c r="C13" i="9"/>
  <c r="L12" i="9"/>
  <c r="K12" i="9"/>
  <c r="H12" i="9"/>
  <c r="D12" i="9"/>
  <c r="C12" i="9"/>
  <c r="L11" i="9"/>
  <c r="K11" i="9"/>
  <c r="H11" i="9"/>
  <c r="D11" i="9"/>
  <c r="C11" i="9"/>
  <c r="L10" i="9"/>
  <c r="K10" i="9"/>
  <c r="H10" i="9"/>
  <c r="D10" i="9"/>
  <c r="C10" i="9"/>
  <c r="L9" i="9"/>
  <c r="K9" i="9"/>
  <c r="H9" i="9"/>
  <c r="D9" i="9"/>
  <c r="C9" i="9"/>
  <c r="L8" i="9"/>
  <c r="K8" i="9"/>
  <c r="H8" i="9"/>
  <c r="D8" i="9"/>
  <c r="C8" i="9"/>
  <c r="L7" i="9"/>
  <c r="K7" i="9"/>
  <c r="H7" i="9"/>
  <c r="D7" i="9"/>
  <c r="C7" i="9"/>
  <c r="L6" i="9"/>
  <c r="K6" i="9"/>
  <c r="H6" i="9"/>
  <c r="D6" i="9"/>
  <c r="C6" i="9"/>
  <c r="L5" i="9"/>
  <c r="K5" i="9"/>
  <c r="H5" i="9"/>
  <c r="D5" i="9"/>
  <c r="C5" i="9"/>
  <c r="L4" i="9"/>
  <c r="K4" i="9"/>
  <c r="H4" i="9"/>
  <c r="D4" i="9"/>
  <c r="C4" i="9"/>
  <c r="L1003" i="8"/>
  <c r="K1003" i="8"/>
  <c r="G1003" i="8"/>
  <c r="F1003" i="8"/>
  <c r="D1003" i="8"/>
  <c r="C1003" i="8"/>
  <c r="A1003" i="8"/>
  <c r="L1002" i="8"/>
  <c r="K1002" i="8"/>
  <c r="G1002" i="8"/>
  <c r="F1002" i="8"/>
  <c r="D1002" i="8"/>
  <c r="C1002" i="8"/>
  <c r="A1002" i="8"/>
  <c r="L1001" i="8"/>
  <c r="K1001" i="8"/>
  <c r="G1001" i="8"/>
  <c r="F1001" i="8"/>
  <c r="D1001" i="8"/>
  <c r="C1001" i="8"/>
  <c r="A1001" i="8"/>
  <c r="L1000" i="8"/>
  <c r="K1000" i="8"/>
  <c r="G1000" i="8"/>
  <c r="F1000" i="8"/>
  <c r="D1000" i="8"/>
  <c r="C1000" i="8"/>
  <c r="A1000" i="8"/>
  <c r="L999" i="8"/>
  <c r="K999" i="8"/>
  <c r="G999" i="8"/>
  <c r="F999" i="8"/>
  <c r="D999" i="8"/>
  <c r="C999" i="8"/>
  <c r="A999" i="8"/>
  <c r="L998" i="8"/>
  <c r="K998" i="8"/>
  <c r="G998" i="8"/>
  <c r="F998" i="8"/>
  <c r="D998" i="8"/>
  <c r="C998" i="8"/>
  <c r="A998" i="8"/>
  <c r="L997" i="8"/>
  <c r="K997" i="8"/>
  <c r="G997" i="8"/>
  <c r="F997" i="8"/>
  <c r="D997" i="8"/>
  <c r="C997" i="8"/>
  <c r="A997" i="8"/>
  <c r="L996" i="8"/>
  <c r="K996" i="8"/>
  <c r="G996" i="8"/>
  <c r="F996" i="8"/>
  <c r="D996" i="8"/>
  <c r="C996" i="8"/>
  <c r="A996" i="8"/>
  <c r="L995" i="8"/>
  <c r="K995" i="8"/>
  <c r="G995" i="8"/>
  <c r="F995" i="8"/>
  <c r="D995" i="8"/>
  <c r="C995" i="8"/>
  <c r="A995" i="8"/>
  <c r="L994" i="8"/>
  <c r="K994" i="8"/>
  <c r="G994" i="8"/>
  <c r="F994" i="8"/>
  <c r="D994" i="8"/>
  <c r="C994" i="8"/>
  <c r="A994" i="8"/>
  <c r="L993" i="8"/>
  <c r="K993" i="8"/>
  <c r="G993" i="8"/>
  <c r="F993" i="8"/>
  <c r="D993" i="8"/>
  <c r="C993" i="8"/>
  <c r="A993" i="8"/>
  <c r="L992" i="8"/>
  <c r="K992" i="8"/>
  <c r="G992" i="8"/>
  <c r="F992" i="8"/>
  <c r="D992" i="8"/>
  <c r="C992" i="8"/>
  <c r="A992" i="8"/>
  <c r="L991" i="8"/>
  <c r="K991" i="8"/>
  <c r="G991" i="8"/>
  <c r="F991" i="8"/>
  <c r="D991" i="8"/>
  <c r="C991" i="8"/>
  <c r="A991" i="8"/>
  <c r="L990" i="8"/>
  <c r="K990" i="8"/>
  <c r="G990" i="8"/>
  <c r="F990" i="8"/>
  <c r="D990" i="8"/>
  <c r="C990" i="8"/>
  <c r="A990" i="8"/>
  <c r="L989" i="8"/>
  <c r="K989" i="8"/>
  <c r="G989" i="8"/>
  <c r="F989" i="8"/>
  <c r="D989" i="8"/>
  <c r="C989" i="8"/>
  <c r="A989" i="8"/>
  <c r="L988" i="8"/>
  <c r="K988" i="8"/>
  <c r="G988" i="8"/>
  <c r="F988" i="8"/>
  <c r="D988" i="8"/>
  <c r="C988" i="8"/>
  <c r="A988" i="8"/>
  <c r="L987" i="8"/>
  <c r="K987" i="8"/>
  <c r="G987" i="8"/>
  <c r="F987" i="8"/>
  <c r="D987" i="8"/>
  <c r="C987" i="8"/>
  <c r="A987" i="8"/>
  <c r="L986" i="8"/>
  <c r="K986" i="8"/>
  <c r="G986" i="8"/>
  <c r="F986" i="8"/>
  <c r="D986" i="8"/>
  <c r="C986" i="8"/>
  <c r="A986" i="8"/>
  <c r="L985" i="8"/>
  <c r="K985" i="8"/>
  <c r="G985" i="8"/>
  <c r="F985" i="8"/>
  <c r="D985" i="8"/>
  <c r="C985" i="8"/>
  <c r="A985" i="8"/>
  <c r="L984" i="8"/>
  <c r="K984" i="8"/>
  <c r="G984" i="8"/>
  <c r="F984" i="8"/>
  <c r="D984" i="8"/>
  <c r="C984" i="8"/>
  <c r="A984" i="8"/>
  <c r="L983" i="8"/>
  <c r="K983" i="8"/>
  <c r="G983" i="8"/>
  <c r="F983" i="8"/>
  <c r="D983" i="8"/>
  <c r="C983" i="8"/>
  <c r="A983" i="8"/>
  <c r="L982" i="8"/>
  <c r="K982" i="8"/>
  <c r="G982" i="8"/>
  <c r="F982" i="8"/>
  <c r="D982" i="8"/>
  <c r="C982" i="8"/>
  <c r="A982" i="8"/>
  <c r="L981" i="8"/>
  <c r="K981" i="8"/>
  <c r="G981" i="8"/>
  <c r="F981" i="8"/>
  <c r="D981" i="8"/>
  <c r="C981" i="8"/>
  <c r="A981" i="8"/>
  <c r="L980" i="8"/>
  <c r="K980" i="8"/>
  <c r="G980" i="8"/>
  <c r="F980" i="8"/>
  <c r="D980" i="8"/>
  <c r="C980" i="8"/>
  <c r="A980" i="8"/>
  <c r="L979" i="8"/>
  <c r="K979" i="8"/>
  <c r="G979" i="8"/>
  <c r="F979" i="8"/>
  <c r="D979" i="8"/>
  <c r="C979" i="8"/>
  <c r="A979" i="8"/>
  <c r="L978" i="8"/>
  <c r="K978" i="8"/>
  <c r="G978" i="8"/>
  <c r="F978" i="8"/>
  <c r="D978" i="8"/>
  <c r="C978" i="8"/>
  <c r="A978" i="8"/>
  <c r="L977" i="8"/>
  <c r="K977" i="8"/>
  <c r="G977" i="8"/>
  <c r="F977" i="8"/>
  <c r="D977" i="8"/>
  <c r="C977" i="8"/>
  <c r="A977" i="8"/>
  <c r="L976" i="8"/>
  <c r="K976" i="8"/>
  <c r="G976" i="8"/>
  <c r="F976" i="8"/>
  <c r="D976" i="8"/>
  <c r="C976" i="8"/>
  <c r="A976" i="8"/>
  <c r="L975" i="8"/>
  <c r="K975" i="8"/>
  <c r="G975" i="8"/>
  <c r="F975" i="8"/>
  <c r="D975" i="8"/>
  <c r="C975" i="8"/>
  <c r="A975" i="8"/>
  <c r="L974" i="8"/>
  <c r="K974" i="8"/>
  <c r="G974" i="8"/>
  <c r="F974" i="8"/>
  <c r="D974" i="8"/>
  <c r="C974" i="8"/>
  <c r="A974" i="8"/>
  <c r="L973" i="8"/>
  <c r="K973" i="8"/>
  <c r="G973" i="8"/>
  <c r="F973" i="8"/>
  <c r="D973" i="8"/>
  <c r="C973" i="8"/>
  <c r="A973" i="8"/>
  <c r="L972" i="8"/>
  <c r="K972" i="8"/>
  <c r="G972" i="8"/>
  <c r="F972" i="8"/>
  <c r="D972" i="8"/>
  <c r="C972" i="8"/>
  <c r="A972" i="8"/>
  <c r="L971" i="8"/>
  <c r="K971" i="8"/>
  <c r="G971" i="8"/>
  <c r="F971" i="8"/>
  <c r="D971" i="8"/>
  <c r="C971" i="8"/>
  <c r="A971" i="8"/>
  <c r="L970" i="8"/>
  <c r="K970" i="8"/>
  <c r="G970" i="8"/>
  <c r="F970" i="8"/>
  <c r="D970" i="8"/>
  <c r="C970" i="8"/>
  <c r="A970" i="8"/>
  <c r="L969" i="8"/>
  <c r="K969" i="8"/>
  <c r="G969" i="8"/>
  <c r="F969" i="8"/>
  <c r="D969" i="8"/>
  <c r="C969" i="8"/>
  <c r="A969" i="8"/>
  <c r="L968" i="8"/>
  <c r="K968" i="8"/>
  <c r="G968" i="8"/>
  <c r="F968" i="8"/>
  <c r="D968" i="8"/>
  <c r="C968" i="8"/>
  <c r="A968" i="8"/>
  <c r="L967" i="8"/>
  <c r="K967" i="8"/>
  <c r="G967" i="8"/>
  <c r="F967" i="8"/>
  <c r="D967" i="8"/>
  <c r="C967" i="8"/>
  <c r="A967" i="8"/>
  <c r="L966" i="8"/>
  <c r="K966" i="8"/>
  <c r="G966" i="8"/>
  <c r="F966" i="8"/>
  <c r="D966" i="8"/>
  <c r="C966" i="8"/>
  <c r="A966" i="8"/>
  <c r="L965" i="8"/>
  <c r="K965" i="8"/>
  <c r="G965" i="8"/>
  <c r="F965" i="8"/>
  <c r="D965" i="8"/>
  <c r="C965" i="8"/>
  <c r="A965" i="8"/>
  <c r="L964" i="8"/>
  <c r="K964" i="8"/>
  <c r="G964" i="8"/>
  <c r="F964" i="8"/>
  <c r="D964" i="8"/>
  <c r="C964" i="8"/>
  <c r="A964" i="8"/>
  <c r="L963" i="8"/>
  <c r="K963" i="8"/>
  <c r="G963" i="8"/>
  <c r="F963" i="8"/>
  <c r="D963" i="8"/>
  <c r="C963" i="8"/>
  <c r="A963" i="8"/>
  <c r="L962" i="8"/>
  <c r="K962" i="8"/>
  <c r="G962" i="8"/>
  <c r="F962" i="8"/>
  <c r="D962" i="8"/>
  <c r="C962" i="8"/>
  <c r="A962" i="8"/>
  <c r="L961" i="8"/>
  <c r="K961" i="8"/>
  <c r="G961" i="8"/>
  <c r="F961" i="8"/>
  <c r="D961" i="8"/>
  <c r="C961" i="8"/>
  <c r="A961" i="8"/>
  <c r="L960" i="8"/>
  <c r="K960" i="8"/>
  <c r="G960" i="8"/>
  <c r="F960" i="8"/>
  <c r="D960" i="8"/>
  <c r="C960" i="8"/>
  <c r="A960" i="8"/>
  <c r="L959" i="8"/>
  <c r="K959" i="8"/>
  <c r="G959" i="8"/>
  <c r="F959" i="8"/>
  <c r="D959" i="8"/>
  <c r="C959" i="8"/>
  <c r="A959" i="8"/>
  <c r="L958" i="8"/>
  <c r="K958" i="8"/>
  <c r="G958" i="8"/>
  <c r="F958" i="8"/>
  <c r="D958" i="8"/>
  <c r="C958" i="8"/>
  <c r="A958" i="8"/>
  <c r="L957" i="8"/>
  <c r="K957" i="8"/>
  <c r="G957" i="8"/>
  <c r="F957" i="8"/>
  <c r="D957" i="8"/>
  <c r="C957" i="8"/>
  <c r="A957" i="8"/>
  <c r="L956" i="8"/>
  <c r="K956" i="8"/>
  <c r="G956" i="8"/>
  <c r="F956" i="8"/>
  <c r="D956" i="8"/>
  <c r="C956" i="8"/>
  <c r="A956" i="8"/>
  <c r="L955" i="8"/>
  <c r="K955" i="8"/>
  <c r="G955" i="8"/>
  <c r="F955" i="8"/>
  <c r="D955" i="8"/>
  <c r="C955" i="8"/>
  <c r="A955" i="8"/>
  <c r="L954" i="8"/>
  <c r="K954" i="8"/>
  <c r="G954" i="8"/>
  <c r="F954" i="8"/>
  <c r="D954" i="8"/>
  <c r="C954" i="8"/>
  <c r="A954" i="8"/>
  <c r="L953" i="8"/>
  <c r="K953" i="8"/>
  <c r="G953" i="8"/>
  <c r="F953" i="8"/>
  <c r="D953" i="8"/>
  <c r="C953" i="8"/>
  <c r="A953" i="8"/>
  <c r="L952" i="8"/>
  <c r="K952" i="8"/>
  <c r="G952" i="8"/>
  <c r="F952" i="8"/>
  <c r="D952" i="8"/>
  <c r="C952" i="8"/>
  <c r="A952" i="8"/>
  <c r="L951" i="8"/>
  <c r="K951" i="8"/>
  <c r="G951" i="8"/>
  <c r="F951" i="8"/>
  <c r="D951" i="8"/>
  <c r="C951" i="8"/>
  <c r="A951" i="8"/>
  <c r="L950" i="8"/>
  <c r="K950" i="8"/>
  <c r="G950" i="8"/>
  <c r="F950" i="8"/>
  <c r="D950" i="8"/>
  <c r="C950" i="8"/>
  <c r="A950" i="8"/>
  <c r="L949" i="8"/>
  <c r="K949" i="8"/>
  <c r="G949" i="8"/>
  <c r="F949" i="8"/>
  <c r="D949" i="8"/>
  <c r="C949" i="8"/>
  <c r="A949" i="8"/>
  <c r="L948" i="8"/>
  <c r="K948" i="8"/>
  <c r="G948" i="8"/>
  <c r="F948" i="8"/>
  <c r="D948" i="8"/>
  <c r="C948" i="8"/>
  <c r="A948" i="8"/>
  <c r="L947" i="8"/>
  <c r="K947" i="8"/>
  <c r="G947" i="8"/>
  <c r="F947" i="8"/>
  <c r="D947" i="8"/>
  <c r="C947" i="8"/>
  <c r="A947" i="8"/>
  <c r="L946" i="8"/>
  <c r="K946" i="8"/>
  <c r="G946" i="8"/>
  <c r="F946" i="8"/>
  <c r="D946" i="8"/>
  <c r="C946" i="8"/>
  <c r="A946" i="8"/>
  <c r="L945" i="8"/>
  <c r="K945" i="8"/>
  <c r="G945" i="8"/>
  <c r="F945" i="8"/>
  <c r="D945" i="8"/>
  <c r="C945" i="8"/>
  <c r="A945" i="8"/>
  <c r="L944" i="8"/>
  <c r="K944" i="8"/>
  <c r="G944" i="8"/>
  <c r="F944" i="8"/>
  <c r="D944" i="8"/>
  <c r="C944" i="8"/>
  <c r="A944" i="8"/>
  <c r="L943" i="8"/>
  <c r="K943" i="8"/>
  <c r="G943" i="8"/>
  <c r="F943" i="8"/>
  <c r="D943" i="8"/>
  <c r="C943" i="8"/>
  <c r="A943" i="8"/>
  <c r="L942" i="8"/>
  <c r="K942" i="8"/>
  <c r="G942" i="8"/>
  <c r="F942" i="8"/>
  <c r="D942" i="8"/>
  <c r="C942" i="8"/>
  <c r="A942" i="8"/>
  <c r="L941" i="8"/>
  <c r="K941" i="8"/>
  <c r="G941" i="8"/>
  <c r="F941" i="8"/>
  <c r="D941" i="8"/>
  <c r="C941" i="8"/>
  <c r="A941" i="8"/>
  <c r="L940" i="8"/>
  <c r="K940" i="8"/>
  <c r="G940" i="8"/>
  <c r="F940" i="8"/>
  <c r="D940" i="8"/>
  <c r="C940" i="8"/>
  <c r="A940" i="8"/>
  <c r="L939" i="8"/>
  <c r="K939" i="8"/>
  <c r="G939" i="8"/>
  <c r="F939" i="8"/>
  <c r="D939" i="8"/>
  <c r="C939" i="8"/>
  <c r="A939" i="8"/>
  <c r="L938" i="8"/>
  <c r="K938" i="8"/>
  <c r="G938" i="8"/>
  <c r="F938" i="8"/>
  <c r="D938" i="8"/>
  <c r="C938" i="8"/>
  <c r="A938" i="8"/>
  <c r="L937" i="8"/>
  <c r="K937" i="8"/>
  <c r="G937" i="8"/>
  <c r="F937" i="8"/>
  <c r="D937" i="8"/>
  <c r="C937" i="8"/>
  <c r="A937" i="8"/>
  <c r="L936" i="8"/>
  <c r="K936" i="8"/>
  <c r="G936" i="8"/>
  <c r="F936" i="8"/>
  <c r="D936" i="8"/>
  <c r="C936" i="8"/>
  <c r="A936" i="8"/>
  <c r="L935" i="8"/>
  <c r="K935" i="8"/>
  <c r="G935" i="8"/>
  <c r="F935" i="8"/>
  <c r="D935" i="8"/>
  <c r="C935" i="8"/>
  <c r="A935" i="8"/>
  <c r="L934" i="8"/>
  <c r="K934" i="8"/>
  <c r="G934" i="8"/>
  <c r="F934" i="8"/>
  <c r="D934" i="8"/>
  <c r="C934" i="8"/>
  <c r="A934" i="8"/>
  <c r="L933" i="8"/>
  <c r="K933" i="8"/>
  <c r="G933" i="8"/>
  <c r="F933" i="8"/>
  <c r="D933" i="8"/>
  <c r="C933" i="8"/>
  <c r="A933" i="8"/>
  <c r="L932" i="8"/>
  <c r="K932" i="8"/>
  <c r="G932" i="8"/>
  <c r="F932" i="8"/>
  <c r="D932" i="8"/>
  <c r="C932" i="8"/>
  <c r="A932" i="8"/>
  <c r="L931" i="8"/>
  <c r="K931" i="8"/>
  <c r="G931" i="8"/>
  <c r="F931" i="8"/>
  <c r="D931" i="8"/>
  <c r="C931" i="8"/>
  <c r="A931" i="8"/>
  <c r="L930" i="8"/>
  <c r="K930" i="8"/>
  <c r="G930" i="8"/>
  <c r="F930" i="8"/>
  <c r="D930" i="8"/>
  <c r="C930" i="8"/>
  <c r="A930" i="8"/>
  <c r="L929" i="8"/>
  <c r="K929" i="8"/>
  <c r="G929" i="8"/>
  <c r="F929" i="8"/>
  <c r="D929" i="8"/>
  <c r="C929" i="8"/>
  <c r="A929" i="8"/>
  <c r="L928" i="8"/>
  <c r="K928" i="8"/>
  <c r="G928" i="8"/>
  <c r="F928" i="8"/>
  <c r="D928" i="8"/>
  <c r="C928" i="8"/>
  <c r="A928" i="8"/>
  <c r="L927" i="8"/>
  <c r="K927" i="8"/>
  <c r="G927" i="8"/>
  <c r="F927" i="8"/>
  <c r="D927" i="8"/>
  <c r="C927" i="8"/>
  <c r="A927" i="8"/>
  <c r="L926" i="8"/>
  <c r="K926" i="8"/>
  <c r="G926" i="8"/>
  <c r="F926" i="8"/>
  <c r="D926" i="8"/>
  <c r="C926" i="8"/>
  <c r="A926" i="8"/>
  <c r="L925" i="8"/>
  <c r="K925" i="8"/>
  <c r="G925" i="8"/>
  <c r="F925" i="8"/>
  <c r="D925" i="8"/>
  <c r="C925" i="8"/>
  <c r="A925" i="8"/>
  <c r="L924" i="8"/>
  <c r="K924" i="8"/>
  <c r="G924" i="8"/>
  <c r="F924" i="8"/>
  <c r="D924" i="8"/>
  <c r="C924" i="8"/>
  <c r="A924" i="8"/>
  <c r="L923" i="8"/>
  <c r="K923" i="8"/>
  <c r="G923" i="8"/>
  <c r="F923" i="8"/>
  <c r="D923" i="8"/>
  <c r="C923" i="8"/>
  <c r="A923" i="8"/>
  <c r="L922" i="8"/>
  <c r="K922" i="8"/>
  <c r="G922" i="8"/>
  <c r="F922" i="8"/>
  <c r="D922" i="8"/>
  <c r="C922" i="8"/>
  <c r="A922" i="8"/>
  <c r="L921" i="8"/>
  <c r="K921" i="8"/>
  <c r="G921" i="8"/>
  <c r="F921" i="8"/>
  <c r="D921" i="8"/>
  <c r="C921" i="8"/>
  <c r="A921" i="8"/>
  <c r="L920" i="8"/>
  <c r="K920" i="8"/>
  <c r="G920" i="8"/>
  <c r="F920" i="8"/>
  <c r="D920" i="8"/>
  <c r="C920" i="8"/>
  <c r="A920" i="8"/>
  <c r="L919" i="8"/>
  <c r="K919" i="8"/>
  <c r="G919" i="8"/>
  <c r="F919" i="8"/>
  <c r="D919" i="8"/>
  <c r="C919" i="8"/>
  <c r="A919" i="8"/>
  <c r="L918" i="8"/>
  <c r="K918" i="8"/>
  <c r="G918" i="8"/>
  <c r="F918" i="8"/>
  <c r="D918" i="8"/>
  <c r="C918" i="8"/>
  <c r="A918" i="8"/>
  <c r="L917" i="8"/>
  <c r="K917" i="8"/>
  <c r="G917" i="8"/>
  <c r="F917" i="8"/>
  <c r="D917" i="8"/>
  <c r="C917" i="8"/>
  <c r="A917" i="8"/>
  <c r="L916" i="8"/>
  <c r="K916" i="8"/>
  <c r="G916" i="8"/>
  <c r="F916" i="8"/>
  <c r="D916" i="8"/>
  <c r="C916" i="8"/>
  <c r="A916" i="8"/>
  <c r="L915" i="8"/>
  <c r="K915" i="8"/>
  <c r="G915" i="8"/>
  <c r="F915" i="8"/>
  <c r="D915" i="8"/>
  <c r="C915" i="8"/>
  <c r="A915" i="8"/>
  <c r="L914" i="8"/>
  <c r="K914" i="8"/>
  <c r="G914" i="8"/>
  <c r="F914" i="8"/>
  <c r="D914" i="8"/>
  <c r="C914" i="8"/>
  <c r="A914" i="8"/>
  <c r="L913" i="8"/>
  <c r="K913" i="8"/>
  <c r="G913" i="8"/>
  <c r="F913" i="8"/>
  <c r="D913" i="8"/>
  <c r="C913" i="8"/>
  <c r="A913" i="8"/>
  <c r="L912" i="8"/>
  <c r="K912" i="8"/>
  <c r="G912" i="8"/>
  <c r="F912" i="8"/>
  <c r="D912" i="8"/>
  <c r="C912" i="8"/>
  <c r="A912" i="8"/>
  <c r="L911" i="8"/>
  <c r="K911" i="8"/>
  <c r="G911" i="8"/>
  <c r="F911" i="8"/>
  <c r="D911" i="8"/>
  <c r="C911" i="8"/>
  <c r="A911" i="8"/>
  <c r="L910" i="8"/>
  <c r="K910" i="8"/>
  <c r="G910" i="8"/>
  <c r="F910" i="8"/>
  <c r="D910" i="8"/>
  <c r="C910" i="8"/>
  <c r="A910" i="8"/>
  <c r="L909" i="8"/>
  <c r="K909" i="8"/>
  <c r="G909" i="8"/>
  <c r="F909" i="8"/>
  <c r="D909" i="8"/>
  <c r="C909" i="8"/>
  <c r="A909" i="8"/>
  <c r="L908" i="8"/>
  <c r="K908" i="8"/>
  <c r="G908" i="8"/>
  <c r="F908" i="8"/>
  <c r="D908" i="8"/>
  <c r="C908" i="8"/>
  <c r="A908" i="8"/>
  <c r="L907" i="8"/>
  <c r="K907" i="8"/>
  <c r="G907" i="8"/>
  <c r="F907" i="8"/>
  <c r="D907" i="8"/>
  <c r="C907" i="8"/>
  <c r="A907" i="8"/>
  <c r="L906" i="8"/>
  <c r="K906" i="8"/>
  <c r="G906" i="8"/>
  <c r="F906" i="8"/>
  <c r="D906" i="8"/>
  <c r="C906" i="8"/>
  <c r="A906" i="8"/>
  <c r="L905" i="8"/>
  <c r="K905" i="8"/>
  <c r="G905" i="8"/>
  <c r="F905" i="8"/>
  <c r="D905" i="8"/>
  <c r="C905" i="8"/>
  <c r="A905" i="8"/>
  <c r="L904" i="8"/>
  <c r="K904" i="8"/>
  <c r="G904" i="8"/>
  <c r="F904" i="8"/>
  <c r="D904" i="8"/>
  <c r="C904" i="8"/>
  <c r="A904" i="8"/>
  <c r="L903" i="8"/>
  <c r="K903" i="8"/>
  <c r="G903" i="8"/>
  <c r="F903" i="8"/>
  <c r="D903" i="8"/>
  <c r="C903" i="8"/>
  <c r="A903" i="8"/>
  <c r="L902" i="8"/>
  <c r="K902" i="8"/>
  <c r="G902" i="8"/>
  <c r="F902" i="8"/>
  <c r="D902" i="8"/>
  <c r="C902" i="8"/>
  <c r="A902" i="8"/>
  <c r="L901" i="8"/>
  <c r="K901" i="8"/>
  <c r="G901" i="8"/>
  <c r="F901" i="8"/>
  <c r="D901" i="8"/>
  <c r="C901" i="8"/>
  <c r="A901" i="8"/>
  <c r="L900" i="8"/>
  <c r="K900" i="8"/>
  <c r="G900" i="8"/>
  <c r="F900" i="8"/>
  <c r="D900" i="8"/>
  <c r="C900" i="8"/>
  <c r="A900" i="8"/>
  <c r="L899" i="8"/>
  <c r="K899" i="8"/>
  <c r="G899" i="8"/>
  <c r="F899" i="8"/>
  <c r="D899" i="8"/>
  <c r="C899" i="8"/>
  <c r="A899" i="8"/>
  <c r="L898" i="8"/>
  <c r="K898" i="8"/>
  <c r="G898" i="8"/>
  <c r="F898" i="8"/>
  <c r="D898" i="8"/>
  <c r="C898" i="8"/>
  <c r="A898" i="8"/>
  <c r="L897" i="8"/>
  <c r="K897" i="8"/>
  <c r="G897" i="8"/>
  <c r="F897" i="8"/>
  <c r="D897" i="8"/>
  <c r="C897" i="8"/>
  <c r="A897" i="8"/>
  <c r="L896" i="8"/>
  <c r="K896" i="8"/>
  <c r="G896" i="8"/>
  <c r="F896" i="8"/>
  <c r="D896" i="8"/>
  <c r="C896" i="8"/>
  <c r="A896" i="8"/>
  <c r="L895" i="8"/>
  <c r="K895" i="8"/>
  <c r="G895" i="8"/>
  <c r="F895" i="8"/>
  <c r="D895" i="8"/>
  <c r="C895" i="8"/>
  <c r="A895" i="8"/>
  <c r="L894" i="8"/>
  <c r="K894" i="8"/>
  <c r="G894" i="8"/>
  <c r="F894" i="8"/>
  <c r="D894" i="8"/>
  <c r="C894" i="8"/>
  <c r="A894" i="8"/>
  <c r="L893" i="8"/>
  <c r="K893" i="8"/>
  <c r="G893" i="8"/>
  <c r="F893" i="8"/>
  <c r="D893" i="8"/>
  <c r="C893" i="8"/>
  <c r="A893" i="8"/>
  <c r="L892" i="8"/>
  <c r="K892" i="8"/>
  <c r="G892" i="8"/>
  <c r="F892" i="8"/>
  <c r="D892" i="8"/>
  <c r="C892" i="8"/>
  <c r="A892" i="8"/>
  <c r="L891" i="8"/>
  <c r="K891" i="8"/>
  <c r="G891" i="8"/>
  <c r="F891" i="8"/>
  <c r="D891" i="8"/>
  <c r="C891" i="8"/>
  <c r="A891" i="8"/>
  <c r="L890" i="8"/>
  <c r="K890" i="8"/>
  <c r="G890" i="8"/>
  <c r="F890" i="8"/>
  <c r="D890" i="8"/>
  <c r="C890" i="8"/>
  <c r="A890" i="8"/>
  <c r="L889" i="8"/>
  <c r="K889" i="8"/>
  <c r="G889" i="8"/>
  <c r="F889" i="8"/>
  <c r="D889" i="8"/>
  <c r="C889" i="8"/>
  <c r="A889" i="8"/>
  <c r="L888" i="8"/>
  <c r="K888" i="8"/>
  <c r="G888" i="8"/>
  <c r="F888" i="8"/>
  <c r="D888" i="8"/>
  <c r="C888" i="8"/>
  <c r="A888" i="8"/>
  <c r="L887" i="8"/>
  <c r="K887" i="8"/>
  <c r="G887" i="8"/>
  <c r="F887" i="8"/>
  <c r="D887" i="8"/>
  <c r="C887" i="8"/>
  <c r="A887" i="8"/>
  <c r="L886" i="8"/>
  <c r="K886" i="8"/>
  <c r="G886" i="8"/>
  <c r="F886" i="8"/>
  <c r="D886" i="8"/>
  <c r="C886" i="8"/>
  <c r="A886" i="8"/>
  <c r="L885" i="8"/>
  <c r="K885" i="8"/>
  <c r="G885" i="8"/>
  <c r="F885" i="8"/>
  <c r="D885" i="8"/>
  <c r="C885" i="8"/>
  <c r="A885" i="8"/>
  <c r="L884" i="8"/>
  <c r="K884" i="8"/>
  <c r="G884" i="8"/>
  <c r="F884" i="8"/>
  <c r="D884" i="8"/>
  <c r="C884" i="8"/>
  <c r="A884" i="8"/>
  <c r="L883" i="8"/>
  <c r="K883" i="8"/>
  <c r="G883" i="8"/>
  <c r="F883" i="8"/>
  <c r="D883" i="8"/>
  <c r="C883" i="8"/>
  <c r="A883" i="8"/>
  <c r="L882" i="8"/>
  <c r="K882" i="8"/>
  <c r="G882" i="8"/>
  <c r="F882" i="8"/>
  <c r="D882" i="8"/>
  <c r="C882" i="8"/>
  <c r="A882" i="8"/>
  <c r="L881" i="8"/>
  <c r="K881" i="8"/>
  <c r="G881" i="8"/>
  <c r="F881" i="8"/>
  <c r="D881" i="8"/>
  <c r="C881" i="8"/>
  <c r="A881" i="8"/>
  <c r="L880" i="8"/>
  <c r="K880" i="8"/>
  <c r="G880" i="8"/>
  <c r="F880" i="8"/>
  <c r="D880" i="8"/>
  <c r="C880" i="8"/>
  <c r="A880" i="8"/>
  <c r="L879" i="8"/>
  <c r="K879" i="8"/>
  <c r="G879" i="8"/>
  <c r="F879" i="8"/>
  <c r="D879" i="8"/>
  <c r="C879" i="8"/>
  <c r="A879" i="8"/>
  <c r="L878" i="8"/>
  <c r="K878" i="8"/>
  <c r="G878" i="8"/>
  <c r="F878" i="8"/>
  <c r="D878" i="8"/>
  <c r="C878" i="8"/>
  <c r="A878" i="8"/>
  <c r="L877" i="8"/>
  <c r="K877" i="8"/>
  <c r="G877" i="8"/>
  <c r="F877" i="8"/>
  <c r="D877" i="8"/>
  <c r="C877" i="8"/>
  <c r="A877" i="8"/>
  <c r="L876" i="8"/>
  <c r="K876" i="8"/>
  <c r="G876" i="8"/>
  <c r="F876" i="8"/>
  <c r="D876" i="8"/>
  <c r="C876" i="8"/>
  <c r="A876" i="8"/>
  <c r="L875" i="8"/>
  <c r="K875" i="8"/>
  <c r="G875" i="8"/>
  <c r="F875" i="8"/>
  <c r="D875" i="8"/>
  <c r="C875" i="8"/>
  <c r="A875" i="8"/>
  <c r="L874" i="8"/>
  <c r="K874" i="8"/>
  <c r="G874" i="8"/>
  <c r="F874" i="8"/>
  <c r="D874" i="8"/>
  <c r="C874" i="8"/>
  <c r="A874" i="8"/>
  <c r="L873" i="8"/>
  <c r="K873" i="8"/>
  <c r="G873" i="8"/>
  <c r="F873" i="8"/>
  <c r="D873" i="8"/>
  <c r="C873" i="8"/>
  <c r="A873" i="8"/>
  <c r="L872" i="8"/>
  <c r="K872" i="8"/>
  <c r="G872" i="8"/>
  <c r="F872" i="8"/>
  <c r="D872" i="8"/>
  <c r="C872" i="8"/>
  <c r="A872" i="8"/>
  <c r="L871" i="8"/>
  <c r="K871" i="8"/>
  <c r="G871" i="8"/>
  <c r="F871" i="8"/>
  <c r="D871" i="8"/>
  <c r="C871" i="8"/>
  <c r="A871" i="8"/>
  <c r="L870" i="8"/>
  <c r="K870" i="8"/>
  <c r="G870" i="8"/>
  <c r="F870" i="8"/>
  <c r="D870" i="8"/>
  <c r="C870" i="8"/>
  <c r="A870" i="8"/>
  <c r="L869" i="8"/>
  <c r="K869" i="8"/>
  <c r="G869" i="8"/>
  <c r="F869" i="8"/>
  <c r="D869" i="8"/>
  <c r="C869" i="8"/>
  <c r="A869" i="8"/>
  <c r="L868" i="8"/>
  <c r="K868" i="8"/>
  <c r="G868" i="8"/>
  <c r="F868" i="8"/>
  <c r="D868" i="8"/>
  <c r="C868" i="8"/>
  <c r="A868" i="8"/>
  <c r="L867" i="8"/>
  <c r="K867" i="8"/>
  <c r="G867" i="8"/>
  <c r="F867" i="8"/>
  <c r="D867" i="8"/>
  <c r="C867" i="8"/>
  <c r="A867" i="8"/>
  <c r="L866" i="8"/>
  <c r="K866" i="8"/>
  <c r="G866" i="8"/>
  <c r="F866" i="8"/>
  <c r="D866" i="8"/>
  <c r="C866" i="8"/>
  <c r="A866" i="8"/>
  <c r="L865" i="8"/>
  <c r="K865" i="8"/>
  <c r="G865" i="8"/>
  <c r="F865" i="8"/>
  <c r="D865" i="8"/>
  <c r="C865" i="8"/>
  <c r="A865" i="8"/>
  <c r="L864" i="8"/>
  <c r="K864" i="8"/>
  <c r="G864" i="8"/>
  <c r="F864" i="8"/>
  <c r="D864" i="8"/>
  <c r="C864" i="8"/>
  <c r="A864" i="8"/>
  <c r="L863" i="8"/>
  <c r="K863" i="8"/>
  <c r="G863" i="8"/>
  <c r="F863" i="8"/>
  <c r="D863" i="8"/>
  <c r="C863" i="8"/>
  <c r="A863" i="8"/>
  <c r="L862" i="8"/>
  <c r="K862" i="8"/>
  <c r="G862" i="8"/>
  <c r="F862" i="8"/>
  <c r="D862" i="8"/>
  <c r="C862" i="8"/>
  <c r="A862" i="8"/>
  <c r="L861" i="8"/>
  <c r="K861" i="8"/>
  <c r="G861" i="8"/>
  <c r="F861" i="8"/>
  <c r="D861" i="8"/>
  <c r="C861" i="8"/>
  <c r="A861" i="8"/>
  <c r="L860" i="8"/>
  <c r="K860" i="8"/>
  <c r="G860" i="8"/>
  <c r="F860" i="8"/>
  <c r="D860" i="8"/>
  <c r="C860" i="8"/>
  <c r="A860" i="8"/>
  <c r="L859" i="8"/>
  <c r="K859" i="8"/>
  <c r="G859" i="8"/>
  <c r="F859" i="8"/>
  <c r="D859" i="8"/>
  <c r="C859" i="8"/>
  <c r="A859" i="8"/>
  <c r="L858" i="8"/>
  <c r="K858" i="8"/>
  <c r="G858" i="8"/>
  <c r="F858" i="8"/>
  <c r="D858" i="8"/>
  <c r="C858" i="8"/>
  <c r="A858" i="8"/>
  <c r="L857" i="8"/>
  <c r="K857" i="8"/>
  <c r="G857" i="8"/>
  <c r="F857" i="8"/>
  <c r="D857" i="8"/>
  <c r="C857" i="8"/>
  <c r="A857" i="8"/>
  <c r="L856" i="8"/>
  <c r="K856" i="8"/>
  <c r="G856" i="8"/>
  <c r="F856" i="8"/>
  <c r="D856" i="8"/>
  <c r="C856" i="8"/>
  <c r="A856" i="8"/>
  <c r="L855" i="8"/>
  <c r="K855" i="8"/>
  <c r="G855" i="8"/>
  <c r="F855" i="8"/>
  <c r="D855" i="8"/>
  <c r="C855" i="8"/>
  <c r="A855" i="8"/>
  <c r="L854" i="8"/>
  <c r="K854" i="8"/>
  <c r="G854" i="8"/>
  <c r="F854" i="8"/>
  <c r="D854" i="8"/>
  <c r="C854" i="8"/>
  <c r="A854" i="8"/>
  <c r="L853" i="8"/>
  <c r="K853" i="8"/>
  <c r="G853" i="8"/>
  <c r="F853" i="8"/>
  <c r="D853" i="8"/>
  <c r="C853" i="8"/>
  <c r="A853" i="8"/>
  <c r="L852" i="8"/>
  <c r="K852" i="8"/>
  <c r="G852" i="8"/>
  <c r="F852" i="8"/>
  <c r="D852" i="8"/>
  <c r="C852" i="8"/>
  <c r="A852" i="8"/>
  <c r="L851" i="8"/>
  <c r="K851" i="8"/>
  <c r="G851" i="8"/>
  <c r="F851" i="8"/>
  <c r="D851" i="8"/>
  <c r="C851" i="8"/>
  <c r="A851" i="8"/>
  <c r="L850" i="8"/>
  <c r="K850" i="8"/>
  <c r="G850" i="8"/>
  <c r="F850" i="8"/>
  <c r="D850" i="8"/>
  <c r="C850" i="8"/>
  <c r="A850" i="8"/>
  <c r="L849" i="8"/>
  <c r="K849" i="8"/>
  <c r="G849" i="8"/>
  <c r="F849" i="8"/>
  <c r="D849" i="8"/>
  <c r="C849" i="8"/>
  <c r="A849" i="8"/>
  <c r="L848" i="8"/>
  <c r="K848" i="8"/>
  <c r="G848" i="8"/>
  <c r="F848" i="8"/>
  <c r="D848" i="8"/>
  <c r="C848" i="8"/>
  <c r="A848" i="8"/>
  <c r="L847" i="8"/>
  <c r="K847" i="8"/>
  <c r="G847" i="8"/>
  <c r="F847" i="8"/>
  <c r="D847" i="8"/>
  <c r="C847" i="8"/>
  <c r="A847" i="8"/>
  <c r="L846" i="8"/>
  <c r="K846" i="8"/>
  <c r="G846" i="8"/>
  <c r="F846" i="8"/>
  <c r="D846" i="8"/>
  <c r="C846" i="8"/>
  <c r="A846" i="8"/>
  <c r="L845" i="8"/>
  <c r="K845" i="8"/>
  <c r="G845" i="8"/>
  <c r="F845" i="8"/>
  <c r="D845" i="8"/>
  <c r="C845" i="8"/>
  <c r="A845" i="8"/>
  <c r="L844" i="8"/>
  <c r="K844" i="8"/>
  <c r="G844" i="8"/>
  <c r="F844" i="8"/>
  <c r="D844" i="8"/>
  <c r="C844" i="8"/>
  <c r="A844" i="8"/>
  <c r="L843" i="8"/>
  <c r="K843" i="8"/>
  <c r="G843" i="8"/>
  <c r="F843" i="8"/>
  <c r="D843" i="8"/>
  <c r="C843" i="8"/>
  <c r="A843" i="8"/>
  <c r="L842" i="8"/>
  <c r="K842" i="8"/>
  <c r="G842" i="8"/>
  <c r="F842" i="8"/>
  <c r="D842" i="8"/>
  <c r="C842" i="8"/>
  <c r="A842" i="8"/>
  <c r="L841" i="8"/>
  <c r="K841" i="8"/>
  <c r="G841" i="8"/>
  <c r="F841" i="8"/>
  <c r="D841" i="8"/>
  <c r="C841" i="8"/>
  <c r="A841" i="8"/>
  <c r="L840" i="8"/>
  <c r="K840" i="8"/>
  <c r="G840" i="8"/>
  <c r="F840" i="8"/>
  <c r="D840" i="8"/>
  <c r="C840" i="8"/>
  <c r="A840" i="8"/>
  <c r="L839" i="8"/>
  <c r="K839" i="8"/>
  <c r="G839" i="8"/>
  <c r="F839" i="8"/>
  <c r="D839" i="8"/>
  <c r="C839" i="8"/>
  <c r="A839" i="8"/>
  <c r="L838" i="8"/>
  <c r="K838" i="8"/>
  <c r="G838" i="8"/>
  <c r="F838" i="8"/>
  <c r="D838" i="8"/>
  <c r="C838" i="8"/>
  <c r="A838" i="8"/>
  <c r="L837" i="8"/>
  <c r="K837" i="8"/>
  <c r="G837" i="8"/>
  <c r="F837" i="8"/>
  <c r="D837" i="8"/>
  <c r="C837" i="8"/>
  <c r="A837" i="8"/>
  <c r="L836" i="8"/>
  <c r="K836" i="8"/>
  <c r="G836" i="8"/>
  <c r="F836" i="8"/>
  <c r="D836" i="8"/>
  <c r="C836" i="8"/>
  <c r="A836" i="8"/>
  <c r="L835" i="8"/>
  <c r="K835" i="8"/>
  <c r="G835" i="8"/>
  <c r="F835" i="8"/>
  <c r="D835" i="8"/>
  <c r="C835" i="8"/>
  <c r="A835" i="8"/>
  <c r="L834" i="8"/>
  <c r="K834" i="8"/>
  <c r="G834" i="8"/>
  <c r="F834" i="8"/>
  <c r="D834" i="8"/>
  <c r="C834" i="8"/>
  <c r="A834" i="8"/>
  <c r="L833" i="8"/>
  <c r="K833" i="8"/>
  <c r="G833" i="8"/>
  <c r="F833" i="8"/>
  <c r="D833" i="8"/>
  <c r="C833" i="8"/>
  <c r="A833" i="8"/>
  <c r="L832" i="8"/>
  <c r="K832" i="8"/>
  <c r="G832" i="8"/>
  <c r="F832" i="8"/>
  <c r="D832" i="8"/>
  <c r="C832" i="8"/>
  <c r="A832" i="8"/>
  <c r="L831" i="8"/>
  <c r="K831" i="8"/>
  <c r="G831" i="8"/>
  <c r="F831" i="8"/>
  <c r="D831" i="8"/>
  <c r="C831" i="8"/>
  <c r="A831" i="8"/>
  <c r="L830" i="8"/>
  <c r="K830" i="8"/>
  <c r="G830" i="8"/>
  <c r="F830" i="8"/>
  <c r="D830" i="8"/>
  <c r="C830" i="8"/>
  <c r="A830" i="8"/>
  <c r="L829" i="8"/>
  <c r="K829" i="8"/>
  <c r="G829" i="8"/>
  <c r="F829" i="8"/>
  <c r="D829" i="8"/>
  <c r="C829" i="8"/>
  <c r="A829" i="8"/>
  <c r="L828" i="8"/>
  <c r="K828" i="8"/>
  <c r="G828" i="8"/>
  <c r="F828" i="8"/>
  <c r="D828" i="8"/>
  <c r="C828" i="8"/>
  <c r="A828" i="8"/>
  <c r="L827" i="8"/>
  <c r="K827" i="8"/>
  <c r="G827" i="8"/>
  <c r="F827" i="8"/>
  <c r="D827" i="8"/>
  <c r="C827" i="8"/>
  <c r="A827" i="8"/>
  <c r="L826" i="8"/>
  <c r="K826" i="8"/>
  <c r="G826" i="8"/>
  <c r="F826" i="8"/>
  <c r="D826" i="8"/>
  <c r="C826" i="8"/>
  <c r="A826" i="8"/>
  <c r="L825" i="8"/>
  <c r="K825" i="8"/>
  <c r="G825" i="8"/>
  <c r="F825" i="8"/>
  <c r="D825" i="8"/>
  <c r="C825" i="8"/>
  <c r="A825" i="8"/>
  <c r="L824" i="8"/>
  <c r="K824" i="8"/>
  <c r="G824" i="8"/>
  <c r="F824" i="8"/>
  <c r="D824" i="8"/>
  <c r="C824" i="8"/>
  <c r="A824" i="8"/>
  <c r="L823" i="8"/>
  <c r="K823" i="8"/>
  <c r="G823" i="8"/>
  <c r="F823" i="8"/>
  <c r="D823" i="8"/>
  <c r="C823" i="8"/>
  <c r="A823" i="8"/>
  <c r="L822" i="8"/>
  <c r="K822" i="8"/>
  <c r="G822" i="8"/>
  <c r="F822" i="8"/>
  <c r="D822" i="8"/>
  <c r="C822" i="8"/>
  <c r="A822" i="8"/>
  <c r="L821" i="8"/>
  <c r="K821" i="8"/>
  <c r="G821" i="8"/>
  <c r="F821" i="8"/>
  <c r="D821" i="8"/>
  <c r="C821" i="8"/>
  <c r="A821" i="8"/>
  <c r="L820" i="8"/>
  <c r="K820" i="8"/>
  <c r="G820" i="8"/>
  <c r="F820" i="8"/>
  <c r="D820" i="8"/>
  <c r="C820" i="8"/>
  <c r="A820" i="8"/>
  <c r="L819" i="8"/>
  <c r="K819" i="8"/>
  <c r="G819" i="8"/>
  <c r="F819" i="8"/>
  <c r="D819" i="8"/>
  <c r="C819" i="8"/>
  <c r="A819" i="8"/>
  <c r="L818" i="8"/>
  <c r="K818" i="8"/>
  <c r="G818" i="8"/>
  <c r="F818" i="8"/>
  <c r="D818" i="8"/>
  <c r="C818" i="8"/>
  <c r="A818" i="8"/>
  <c r="L817" i="8"/>
  <c r="K817" i="8"/>
  <c r="G817" i="8"/>
  <c r="F817" i="8"/>
  <c r="D817" i="8"/>
  <c r="C817" i="8"/>
  <c r="A817" i="8"/>
  <c r="L816" i="8"/>
  <c r="K816" i="8"/>
  <c r="G816" i="8"/>
  <c r="F816" i="8"/>
  <c r="D816" i="8"/>
  <c r="C816" i="8"/>
  <c r="A816" i="8"/>
  <c r="L815" i="8"/>
  <c r="K815" i="8"/>
  <c r="G815" i="8"/>
  <c r="F815" i="8"/>
  <c r="D815" i="8"/>
  <c r="C815" i="8"/>
  <c r="A815" i="8"/>
  <c r="L814" i="8"/>
  <c r="K814" i="8"/>
  <c r="G814" i="8"/>
  <c r="F814" i="8"/>
  <c r="D814" i="8"/>
  <c r="C814" i="8"/>
  <c r="A814" i="8"/>
  <c r="L813" i="8"/>
  <c r="K813" i="8"/>
  <c r="G813" i="8"/>
  <c r="F813" i="8"/>
  <c r="D813" i="8"/>
  <c r="C813" i="8"/>
  <c r="A813" i="8"/>
  <c r="L812" i="8"/>
  <c r="K812" i="8"/>
  <c r="G812" i="8"/>
  <c r="F812" i="8"/>
  <c r="D812" i="8"/>
  <c r="C812" i="8"/>
  <c r="A812" i="8"/>
  <c r="L811" i="8"/>
  <c r="K811" i="8"/>
  <c r="G811" i="8"/>
  <c r="F811" i="8"/>
  <c r="D811" i="8"/>
  <c r="C811" i="8"/>
  <c r="A811" i="8"/>
  <c r="L810" i="8"/>
  <c r="K810" i="8"/>
  <c r="G810" i="8"/>
  <c r="F810" i="8"/>
  <c r="D810" i="8"/>
  <c r="C810" i="8"/>
  <c r="A810" i="8"/>
  <c r="L809" i="8"/>
  <c r="K809" i="8"/>
  <c r="G809" i="8"/>
  <c r="F809" i="8"/>
  <c r="D809" i="8"/>
  <c r="C809" i="8"/>
  <c r="A809" i="8"/>
  <c r="L808" i="8"/>
  <c r="K808" i="8"/>
  <c r="G808" i="8"/>
  <c r="F808" i="8"/>
  <c r="D808" i="8"/>
  <c r="C808" i="8"/>
  <c r="A808" i="8"/>
  <c r="L807" i="8"/>
  <c r="K807" i="8"/>
  <c r="G807" i="8"/>
  <c r="F807" i="8"/>
  <c r="D807" i="8"/>
  <c r="C807" i="8"/>
  <c r="A807" i="8"/>
  <c r="L806" i="8"/>
  <c r="K806" i="8"/>
  <c r="G806" i="8"/>
  <c r="F806" i="8"/>
  <c r="D806" i="8"/>
  <c r="C806" i="8"/>
  <c r="A806" i="8"/>
  <c r="L805" i="8"/>
  <c r="K805" i="8"/>
  <c r="G805" i="8"/>
  <c r="F805" i="8"/>
  <c r="D805" i="8"/>
  <c r="C805" i="8"/>
  <c r="A805" i="8"/>
  <c r="L804" i="8"/>
  <c r="K804" i="8"/>
  <c r="G804" i="8"/>
  <c r="F804" i="8"/>
  <c r="D804" i="8"/>
  <c r="C804" i="8"/>
  <c r="A804" i="8"/>
  <c r="L803" i="8"/>
  <c r="K803" i="8"/>
  <c r="G803" i="8"/>
  <c r="F803" i="8"/>
  <c r="D803" i="8"/>
  <c r="C803" i="8"/>
  <c r="A803" i="8"/>
  <c r="L802" i="8"/>
  <c r="K802" i="8"/>
  <c r="G802" i="8"/>
  <c r="F802" i="8"/>
  <c r="D802" i="8"/>
  <c r="C802" i="8"/>
  <c r="A802" i="8"/>
  <c r="L801" i="8"/>
  <c r="K801" i="8"/>
  <c r="G801" i="8"/>
  <c r="F801" i="8"/>
  <c r="D801" i="8"/>
  <c r="C801" i="8"/>
  <c r="A801" i="8"/>
  <c r="L800" i="8"/>
  <c r="K800" i="8"/>
  <c r="G800" i="8"/>
  <c r="F800" i="8"/>
  <c r="D800" i="8"/>
  <c r="C800" i="8"/>
  <c r="A800" i="8"/>
  <c r="L799" i="8"/>
  <c r="K799" i="8"/>
  <c r="G799" i="8"/>
  <c r="F799" i="8"/>
  <c r="D799" i="8"/>
  <c r="C799" i="8"/>
  <c r="A799" i="8"/>
  <c r="L798" i="8"/>
  <c r="K798" i="8"/>
  <c r="G798" i="8"/>
  <c r="F798" i="8"/>
  <c r="D798" i="8"/>
  <c r="C798" i="8"/>
  <c r="A798" i="8"/>
  <c r="L797" i="8"/>
  <c r="K797" i="8"/>
  <c r="G797" i="8"/>
  <c r="F797" i="8"/>
  <c r="D797" i="8"/>
  <c r="C797" i="8"/>
  <c r="A797" i="8"/>
  <c r="L796" i="8"/>
  <c r="K796" i="8"/>
  <c r="G796" i="8"/>
  <c r="F796" i="8"/>
  <c r="D796" i="8"/>
  <c r="C796" i="8"/>
  <c r="A796" i="8"/>
  <c r="L795" i="8"/>
  <c r="K795" i="8"/>
  <c r="G795" i="8"/>
  <c r="F795" i="8"/>
  <c r="D795" i="8"/>
  <c r="C795" i="8"/>
  <c r="A795" i="8"/>
  <c r="L794" i="8"/>
  <c r="K794" i="8"/>
  <c r="G794" i="8"/>
  <c r="F794" i="8"/>
  <c r="D794" i="8"/>
  <c r="C794" i="8"/>
  <c r="A794" i="8"/>
  <c r="L793" i="8"/>
  <c r="K793" i="8"/>
  <c r="G793" i="8"/>
  <c r="F793" i="8"/>
  <c r="D793" i="8"/>
  <c r="C793" i="8"/>
  <c r="A793" i="8"/>
  <c r="L792" i="8"/>
  <c r="K792" i="8"/>
  <c r="G792" i="8"/>
  <c r="F792" i="8"/>
  <c r="D792" i="8"/>
  <c r="C792" i="8"/>
  <c r="A792" i="8"/>
  <c r="L791" i="8"/>
  <c r="K791" i="8"/>
  <c r="G791" i="8"/>
  <c r="F791" i="8"/>
  <c r="D791" i="8"/>
  <c r="C791" i="8"/>
  <c r="A791" i="8"/>
  <c r="L790" i="8"/>
  <c r="K790" i="8"/>
  <c r="G790" i="8"/>
  <c r="F790" i="8"/>
  <c r="D790" i="8"/>
  <c r="C790" i="8"/>
  <c r="A790" i="8"/>
  <c r="L789" i="8"/>
  <c r="K789" i="8"/>
  <c r="G789" i="8"/>
  <c r="F789" i="8"/>
  <c r="D789" i="8"/>
  <c r="C789" i="8"/>
  <c r="A789" i="8"/>
  <c r="L788" i="8"/>
  <c r="K788" i="8"/>
  <c r="G788" i="8"/>
  <c r="F788" i="8"/>
  <c r="D788" i="8"/>
  <c r="C788" i="8"/>
  <c r="A788" i="8"/>
  <c r="L787" i="8"/>
  <c r="K787" i="8"/>
  <c r="G787" i="8"/>
  <c r="F787" i="8"/>
  <c r="D787" i="8"/>
  <c r="C787" i="8"/>
  <c r="A787" i="8"/>
  <c r="L786" i="8"/>
  <c r="K786" i="8"/>
  <c r="G786" i="8"/>
  <c r="F786" i="8"/>
  <c r="D786" i="8"/>
  <c r="C786" i="8"/>
  <c r="A786" i="8"/>
  <c r="L785" i="8"/>
  <c r="K785" i="8"/>
  <c r="G785" i="8"/>
  <c r="F785" i="8"/>
  <c r="D785" i="8"/>
  <c r="C785" i="8"/>
  <c r="A785" i="8"/>
  <c r="L784" i="8"/>
  <c r="K784" i="8"/>
  <c r="G784" i="8"/>
  <c r="F784" i="8"/>
  <c r="D784" i="8"/>
  <c r="C784" i="8"/>
  <c r="A784" i="8"/>
  <c r="L783" i="8"/>
  <c r="K783" i="8"/>
  <c r="G783" i="8"/>
  <c r="F783" i="8"/>
  <c r="D783" i="8"/>
  <c r="C783" i="8"/>
  <c r="A783" i="8"/>
  <c r="L782" i="8"/>
  <c r="K782" i="8"/>
  <c r="G782" i="8"/>
  <c r="F782" i="8"/>
  <c r="D782" i="8"/>
  <c r="C782" i="8"/>
  <c r="A782" i="8"/>
  <c r="L781" i="8"/>
  <c r="K781" i="8"/>
  <c r="G781" i="8"/>
  <c r="F781" i="8"/>
  <c r="D781" i="8"/>
  <c r="C781" i="8"/>
  <c r="A781" i="8"/>
  <c r="L780" i="8"/>
  <c r="K780" i="8"/>
  <c r="G780" i="8"/>
  <c r="F780" i="8"/>
  <c r="D780" i="8"/>
  <c r="C780" i="8"/>
  <c r="A780" i="8"/>
  <c r="L779" i="8"/>
  <c r="K779" i="8"/>
  <c r="G779" i="8"/>
  <c r="F779" i="8"/>
  <c r="D779" i="8"/>
  <c r="C779" i="8"/>
  <c r="A779" i="8"/>
  <c r="L778" i="8"/>
  <c r="K778" i="8"/>
  <c r="G778" i="8"/>
  <c r="F778" i="8"/>
  <c r="D778" i="8"/>
  <c r="C778" i="8"/>
  <c r="A778" i="8"/>
  <c r="L777" i="8"/>
  <c r="K777" i="8"/>
  <c r="G777" i="8"/>
  <c r="F777" i="8"/>
  <c r="D777" i="8"/>
  <c r="C777" i="8"/>
  <c r="A777" i="8"/>
  <c r="L776" i="8"/>
  <c r="K776" i="8"/>
  <c r="G776" i="8"/>
  <c r="F776" i="8"/>
  <c r="D776" i="8"/>
  <c r="C776" i="8"/>
  <c r="A776" i="8"/>
  <c r="L775" i="8"/>
  <c r="K775" i="8"/>
  <c r="G775" i="8"/>
  <c r="F775" i="8"/>
  <c r="D775" i="8"/>
  <c r="C775" i="8"/>
  <c r="A775" i="8"/>
  <c r="L774" i="8"/>
  <c r="K774" i="8"/>
  <c r="G774" i="8"/>
  <c r="F774" i="8"/>
  <c r="D774" i="8"/>
  <c r="C774" i="8"/>
  <c r="A774" i="8"/>
  <c r="L773" i="8"/>
  <c r="K773" i="8"/>
  <c r="G773" i="8"/>
  <c r="F773" i="8"/>
  <c r="D773" i="8"/>
  <c r="C773" i="8"/>
  <c r="A773" i="8"/>
  <c r="L772" i="8"/>
  <c r="K772" i="8"/>
  <c r="G772" i="8"/>
  <c r="F772" i="8"/>
  <c r="D772" i="8"/>
  <c r="C772" i="8"/>
  <c r="A772" i="8"/>
  <c r="L771" i="8"/>
  <c r="K771" i="8"/>
  <c r="G771" i="8"/>
  <c r="F771" i="8"/>
  <c r="D771" i="8"/>
  <c r="C771" i="8"/>
  <c r="A771" i="8"/>
  <c r="L770" i="8"/>
  <c r="K770" i="8"/>
  <c r="G770" i="8"/>
  <c r="F770" i="8"/>
  <c r="D770" i="8"/>
  <c r="C770" i="8"/>
  <c r="A770" i="8"/>
  <c r="L769" i="8"/>
  <c r="K769" i="8"/>
  <c r="G769" i="8"/>
  <c r="F769" i="8"/>
  <c r="D769" i="8"/>
  <c r="C769" i="8"/>
  <c r="A769" i="8"/>
  <c r="L768" i="8"/>
  <c r="K768" i="8"/>
  <c r="G768" i="8"/>
  <c r="F768" i="8"/>
  <c r="D768" i="8"/>
  <c r="C768" i="8"/>
  <c r="A768" i="8"/>
  <c r="L767" i="8"/>
  <c r="K767" i="8"/>
  <c r="G767" i="8"/>
  <c r="F767" i="8"/>
  <c r="D767" i="8"/>
  <c r="C767" i="8"/>
  <c r="A767" i="8"/>
  <c r="L766" i="8"/>
  <c r="K766" i="8"/>
  <c r="G766" i="8"/>
  <c r="F766" i="8"/>
  <c r="D766" i="8"/>
  <c r="C766" i="8"/>
  <c r="A766" i="8"/>
  <c r="L765" i="8"/>
  <c r="K765" i="8"/>
  <c r="G765" i="8"/>
  <c r="F765" i="8"/>
  <c r="D765" i="8"/>
  <c r="C765" i="8"/>
  <c r="A765" i="8"/>
  <c r="L764" i="8"/>
  <c r="K764" i="8"/>
  <c r="G764" i="8"/>
  <c r="F764" i="8"/>
  <c r="D764" i="8"/>
  <c r="C764" i="8"/>
  <c r="A764" i="8"/>
  <c r="L763" i="8"/>
  <c r="K763" i="8"/>
  <c r="G763" i="8"/>
  <c r="F763" i="8"/>
  <c r="D763" i="8"/>
  <c r="C763" i="8"/>
  <c r="A763" i="8"/>
  <c r="L762" i="8"/>
  <c r="K762" i="8"/>
  <c r="G762" i="8"/>
  <c r="F762" i="8"/>
  <c r="D762" i="8"/>
  <c r="C762" i="8"/>
  <c r="A762" i="8"/>
  <c r="L761" i="8"/>
  <c r="K761" i="8"/>
  <c r="G761" i="8"/>
  <c r="F761" i="8"/>
  <c r="D761" i="8"/>
  <c r="C761" i="8"/>
  <c r="A761" i="8"/>
  <c r="L760" i="8"/>
  <c r="K760" i="8"/>
  <c r="G760" i="8"/>
  <c r="F760" i="8"/>
  <c r="D760" i="8"/>
  <c r="C760" i="8"/>
  <c r="A760" i="8"/>
  <c r="L759" i="8"/>
  <c r="K759" i="8"/>
  <c r="G759" i="8"/>
  <c r="F759" i="8"/>
  <c r="D759" i="8"/>
  <c r="C759" i="8"/>
  <c r="A759" i="8"/>
  <c r="L758" i="8"/>
  <c r="K758" i="8"/>
  <c r="G758" i="8"/>
  <c r="F758" i="8"/>
  <c r="D758" i="8"/>
  <c r="C758" i="8"/>
  <c r="A758" i="8"/>
  <c r="L757" i="8"/>
  <c r="K757" i="8"/>
  <c r="G757" i="8"/>
  <c r="F757" i="8"/>
  <c r="D757" i="8"/>
  <c r="C757" i="8"/>
  <c r="A757" i="8"/>
  <c r="L756" i="8"/>
  <c r="K756" i="8"/>
  <c r="G756" i="8"/>
  <c r="F756" i="8"/>
  <c r="D756" i="8"/>
  <c r="C756" i="8"/>
  <c r="A756" i="8"/>
  <c r="L755" i="8"/>
  <c r="K755" i="8"/>
  <c r="G755" i="8"/>
  <c r="F755" i="8"/>
  <c r="D755" i="8"/>
  <c r="C755" i="8"/>
  <c r="A755" i="8"/>
  <c r="L754" i="8"/>
  <c r="K754" i="8"/>
  <c r="G754" i="8"/>
  <c r="F754" i="8"/>
  <c r="D754" i="8"/>
  <c r="C754" i="8"/>
  <c r="A754" i="8"/>
  <c r="L753" i="8"/>
  <c r="K753" i="8"/>
  <c r="G753" i="8"/>
  <c r="F753" i="8"/>
  <c r="D753" i="8"/>
  <c r="C753" i="8"/>
  <c r="A753" i="8"/>
  <c r="L752" i="8"/>
  <c r="K752" i="8"/>
  <c r="G752" i="8"/>
  <c r="F752" i="8"/>
  <c r="D752" i="8"/>
  <c r="C752" i="8"/>
  <c r="A752" i="8"/>
  <c r="L751" i="8"/>
  <c r="K751" i="8"/>
  <c r="G751" i="8"/>
  <c r="F751" i="8"/>
  <c r="D751" i="8"/>
  <c r="C751" i="8"/>
  <c r="A751" i="8"/>
  <c r="L750" i="8"/>
  <c r="K750" i="8"/>
  <c r="G750" i="8"/>
  <c r="F750" i="8"/>
  <c r="D750" i="8"/>
  <c r="C750" i="8"/>
  <c r="A750" i="8"/>
  <c r="L749" i="8"/>
  <c r="K749" i="8"/>
  <c r="G749" i="8"/>
  <c r="F749" i="8"/>
  <c r="D749" i="8"/>
  <c r="C749" i="8"/>
  <c r="A749" i="8"/>
  <c r="L748" i="8"/>
  <c r="K748" i="8"/>
  <c r="G748" i="8"/>
  <c r="F748" i="8"/>
  <c r="D748" i="8"/>
  <c r="C748" i="8"/>
  <c r="A748" i="8"/>
  <c r="L747" i="8"/>
  <c r="K747" i="8"/>
  <c r="G747" i="8"/>
  <c r="F747" i="8"/>
  <c r="D747" i="8"/>
  <c r="C747" i="8"/>
  <c r="A747" i="8"/>
  <c r="L746" i="8"/>
  <c r="K746" i="8"/>
  <c r="G746" i="8"/>
  <c r="F746" i="8"/>
  <c r="D746" i="8"/>
  <c r="C746" i="8"/>
  <c r="A746" i="8"/>
  <c r="L745" i="8"/>
  <c r="K745" i="8"/>
  <c r="G745" i="8"/>
  <c r="F745" i="8"/>
  <c r="D745" i="8"/>
  <c r="C745" i="8"/>
  <c r="A745" i="8"/>
  <c r="L744" i="8"/>
  <c r="K744" i="8"/>
  <c r="G744" i="8"/>
  <c r="F744" i="8"/>
  <c r="D744" i="8"/>
  <c r="C744" i="8"/>
  <c r="A744" i="8"/>
  <c r="L743" i="8"/>
  <c r="K743" i="8"/>
  <c r="G743" i="8"/>
  <c r="F743" i="8"/>
  <c r="D743" i="8"/>
  <c r="C743" i="8"/>
  <c r="A743" i="8"/>
  <c r="L742" i="8"/>
  <c r="K742" i="8"/>
  <c r="G742" i="8"/>
  <c r="F742" i="8"/>
  <c r="D742" i="8"/>
  <c r="C742" i="8"/>
  <c r="A742" i="8"/>
  <c r="L741" i="8"/>
  <c r="K741" i="8"/>
  <c r="G741" i="8"/>
  <c r="F741" i="8"/>
  <c r="D741" i="8"/>
  <c r="C741" i="8"/>
  <c r="A741" i="8"/>
  <c r="L740" i="8"/>
  <c r="K740" i="8"/>
  <c r="G740" i="8"/>
  <c r="F740" i="8"/>
  <c r="D740" i="8"/>
  <c r="C740" i="8"/>
  <c r="A740" i="8"/>
  <c r="L739" i="8"/>
  <c r="K739" i="8"/>
  <c r="G739" i="8"/>
  <c r="F739" i="8"/>
  <c r="D739" i="8"/>
  <c r="C739" i="8"/>
  <c r="A739" i="8"/>
  <c r="L738" i="8"/>
  <c r="K738" i="8"/>
  <c r="G738" i="8"/>
  <c r="F738" i="8"/>
  <c r="D738" i="8"/>
  <c r="C738" i="8"/>
  <c r="A738" i="8"/>
  <c r="L737" i="8"/>
  <c r="K737" i="8"/>
  <c r="G737" i="8"/>
  <c r="F737" i="8"/>
  <c r="D737" i="8"/>
  <c r="C737" i="8"/>
  <c r="A737" i="8"/>
  <c r="L736" i="8"/>
  <c r="K736" i="8"/>
  <c r="G736" i="8"/>
  <c r="F736" i="8"/>
  <c r="D736" i="8"/>
  <c r="C736" i="8"/>
  <c r="A736" i="8"/>
  <c r="L735" i="8"/>
  <c r="K735" i="8"/>
  <c r="G735" i="8"/>
  <c r="F735" i="8"/>
  <c r="D735" i="8"/>
  <c r="C735" i="8"/>
  <c r="A735" i="8"/>
  <c r="L734" i="8"/>
  <c r="K734" i="8"/>
  <c r="G734" i="8"/>
  <c r="F734" i="8"/>
  <c r="D734" i="8"/>
  <c r="C734" i="8"/>
  <c r="A734" i="8"/>
  <c r="L733" i="8"/>
  <c r="K733" i="8"/>
  <c r="G733" i="8"/>
  <c r="F733" i="8"/>
  <c r="D733" i="8"/>
  <c r="C733" i="8"/>
  <c r="A733" i="8"/>
  <c r="L732" i="8"/>
  <c r="K732" i="8"/>
  <c r="G732" i="8"/>
  <c r="F732" i="8"/>
  <c r="D732" i="8"/>
  <c r="C732" i="8"/>
  <c r="A732" i="8"/>
  <c r="L731" i="8"/>
  <c r="K731" i="8"/>
  <c r="G731" i="8"/>
  <c r="F731" i="8"/>
  <c r="D731" i="8"/>
  <c r="C731" i="8"/>
  <c r="A731" i="8"/>
  <c r="L730" i="8"/>
  <c r="K730" i="8"/>
  <c r="G730" i="8"/>
  <c r="F730" i="8"/>
  <c r="D730" i="8"/>
  <c r="C730" i="8"/>
  <c r="A730" i="8"/>
  <c r="L729" i="8"/>
  <c r="K729" i="8"/>
  <c r="G729" i="8"/>
  <c r="F729" i="8"/>
  <c r="D729" i="8"/>
  <c r="C729" i="8"/>
  <c r="A729" i="8"/>
  <c r="L728" i="8"/>
  <c r="K728" i="8"/>
  <c r="G728" i="8"/>
  <c r="F728" i="8"/>
  <c r="D728" i="8"/>
  <c r="C728" i="8"/>
  <c r="A728" i="8"/>
  <c r="L727" i="8"/>
  <c r="K727" i="8"/>
  <c r="G727" i="8"/>
  <c r="F727" i="8"/>
  <c r="D727" i="8"/>
  <c r="C727" i="8"/>
  <c r="A727" i="8"/>
  <c r="L726" i="8"/>
  <c r="K726" i="8"/>
  <c r="G726" i="8"/>
  <c r="F726" i="8"/>
  <c r="D726" i="8"/>
  <c r="C726" i="8"/>
  <c r="A726" i="8"/>
  <c r="L725" i="8"/>
  <c r="K725" i="8"/>
  <c r="G725" i="8"/>
  <c r="F725" i="8"/>
  <c r="D725" i="8"/>
  <c r="C725" i="8"/>
  <c r="A725" i="8"/>
  <c r="L724" i="8"/>
  <c r="K724" i="8"/>
  <c r="G724" i="8"/>
  <c r="F724" i="8"/>
  <c r="D724" i="8"/>
  <c r="C724" i="8"/>
  <c r="A724" i="8"/>
  <c r="L723" i="8"/>
  <c r="K723" i="8"/>
  <c r="G723" i="8"/>
  <c r="F723" i="8"/>
  <c r="D723" i="8"/>
  <c r="C723" i="8"/>
  <c r="A723" i="8"/>
  <c r="L722" i="8"/>
  <c r="K722" i="8"/>
  <c r="G722" i="8"/>
  <c r="F722" i="8"/>
  <c r="D722" i="8"/>
  <c r="C722" i="8"/>
  <c r="A722" i="8"/>
  <c r="L721" i="8"/>
  <c r="K721" i="8"/>
  <c r="G721" i="8"/>
  <c r="F721" i="8"/>
  <c r="D721" i="8"/>
  <c r="C721" i="8"/>
  <c r="A721" i="8"/>
  <c r="L720" i="8"/>
  <c r="K720" i="8"/>
  <c r="G720" i="8"/>
  <c r="F720" i="8"/>
  <c r="D720" i="8"/>
  <c r="C720" i="8"/>
  <c r="A720" i="8"/>
  <c r="L719" i="8"/>
  <c r="K719" i="8"/>
  <c r="G719" i="8"/>
  <c r="F719" i="8"/>
  <c r="D719" i="8"/>
  <c r="C719" i="8"/>
  <c r="A719" i="8"/>
  <c r="L718" i="8"/>
  <c r="K718" i="8"/>
  <c r="G718" i="8"/>
  <c r="F718" i="8"/>
  <c r="D718" i="8"/>
  <c r="C718" i="8"/>
  <c r="A718" i="8"/>
  <c r="L717" i="8"/>
  <c r="K717" i="8"/>
  <c r="G717" i="8"/>
  <c r="F717" i="8"/>
  <c r="D717" i="8"/>
  <c r="C717" i="8"/>
  <c r="A717" i="8"/>
  <c r="L716" i="8"/>
  <c r="K716" i="8"/>
  <c r="G716" i="8"/>
  <c r="F716" i="8"/>
  <c r="D716" i="8"/>
  <c r="C716" i="8"/>
  <c r="A716" i="8"/>
  <c r="L715" i="8"/>
  <c r="K715" i="8"/>
  <c r="G715" i="8"/>
  <c r="F715" i="8"/>
  <c r="D715" i="8"/>
  <c r="C715" i="8"/>
  <c r="A715" i="8"/>
  <c r="L714" i="8"/>
  <c r="K714" i="8"/>
  <c r="G714" i="8"/>
  <c r="F714" i="8"/>
  <c r="D714" i="8"/>
  <c r="C714" i="8"/>
  <c r="A714" i="8"/>
  <c r="L713" i="8"/>
  <c r="K713" i="8"/>
  <c r="G713" i="8"/>
  <c r="F713" i="8"/>
  <c r="D713" i="8"/>
  <c r="C713" i="8"/>
  <c r="A713" i="8"/>
  <c r="L712" i="8"/>
  <c r="K712" i="8"/>
  <c r="G712" i="8"/>
  <c r="F712" i="8"/>
  <c r="D712" i="8"/>
  <c r="C712" i="8"/>
  <c r="A712" i="8"/>
  <c r="L711" i="8"/>
  <c r="K711" i="8"/>
  <c r="G711" i="8"/>
  <c r="F711" i="8"/>
  <c r="D711" i="8"/>
  <c r="C711" i="8"/>
  <c r="A711" i="8"/>
  <c r="L710" i="8"/>
  <c r="K710" i="8"/>
  <c r="G710" i="8"/>
  <c r="F710" i="8"/>
  <c r="D710" i="8"/>
  <c r="C710" i="8"/>
  <c r="A710" i="8"/>
  <c r="L709" i="8"/>
  <c r="K709" i="8"/>
  <c r="G709" i="8"/>
  <c r="F709" i="8"/>
  <c r="D709" i="8"/>
  <c r="C709" i="8"/>
  <c r="A709" i="8"/>
  <c r="L708" i="8"/>
  <c r="K708" i="8"/>
  <c r="G708" i="8"/>
  <c r="F708" i="8"/>
  <c r="D708" i="8"/>
  <c r="C708" i="8"/>
  <c r="A708" i="8"/>
  <c r="L707" i="8"/>
  <c r="K707" i="8"/>
  <c r="G707" i="8"/>
  <c r="F707" i="8"/>
  <c r="D707" i="8"/>
  <c r="C707" i="8"/>
  <c r="A707" i="8"/>
  <c r="L706" i="8"/>
  <c r="K706" i="8"/>
  <c r="G706" i="8"/>
  <c r="F706" i="8"/>
  <c r="D706" i="8"/>
  <c r="C706" i="8"/>
  <c r="A706" i="8"/>
  <c r="L705" i="8"/>
  <c r="K705" i="8"/>
  <c r="G705" i="8"/>
  <c r="F705" i="8"/>
  <c r="D705" i="8"/>
  <c r="C705" i="8"/>
  <c r="A705" i="8"/>
  <c r="L704" i="8"/>
  <c r="K704" i="8"/>
  <c r="G704" i="8"/>
  <c r="F704" i="8"/>
  <c r="D704" i="8"/>
  <c r="C704" i="8"/>
  <c r="A704" i="8"/>
  <c r="L703" i="8"/>
  <c r="K703" i="8"/>
  <c r="G703" i="8"/>
  <c r="F703" i="8"/>
  <c r="D703" i="8"/>
  <c r="C703" i="8"/>
  <c r="A703" i="8"/>
  <c r="L702" i="8"/>
  <c r="K702" i="8"/>
  <c r="G702" i="8"/>
  <c r="F702" i="8"/>
  <c r="D702" i="8"/>
  <c r="C702" i="8"/>
  <c r="A702" i="8"/>
  <c r="L701" i="8"/>
  <c r="K701" i="8"/>
  <c r="G701" i="8"/>
  <c r="F701" i="8"/>
  <c r="D701" i="8"/>
  <c r="C701" i="8"/>
  <c r="A701" i="8"/>
  <c r="L700" i="8"/>
  <c r="K700" i="8"/>
  <c r="G700" i="8"/>
  <c r="F700" i="8"/>
  <c r="D700" i="8"/>
  <c r="C700" i="8"/>
  <c r="A700" i="8"/>
  <c r="L699" i="8"/>
  <c r="K699" i="8"/>
  <c r="G699" i="8"/>
  <c r="F699" i="8"/>
  <c r="D699" i="8"/>
  <c r="C699" i="8"/>
  <c r="A699" i="8"/>
  <c r="L698" i="8"/>
  <c r="K698" i="8"/>
  <c r="G698" i="8"/>
  <c r="F698" i="8"/>
  <c r="D698" i="8"/>
  <c r="C698" i="8"/>
  <c r="A698" i="8"/>
  <c r="L697" i="8"/>
  <c r="K697" i="8"/>
  <c r="G697" i="8"/>
  <c r="F697" i="8"/>
  <c r="D697" i="8"/>
  <c r="C697" i="8"/>
  <c r="A697" i="8"/>
  <c r="L696" i="8"/>
  <c r="K696" i="8"/>
  <c r="G696" i="8"/>
  <c r="F696" i="8"/>
  <c r="D696" i="8"/>
  <c r="C696" i="8"/>
  <c r="A696" i="8"/>
  <c r="L695" i="8"/>
  <c r="K695" i="8"/>
  <c r="G695" i="8"/>
  <c r="F695" i="8"/>
  <c r="D695" i="8"/>
  <c r="C695" i="8"/>
  <c r="A695" i="8"/>
  <c r="L694" i="8"/>
  <c r="K694" i="8"/>
  <c r="G694" i="8"/>
  <c r="F694" i="8"/>
  <c r="D694" i="8"/>
  <c r="C694" i="8"/>
  <c r="A694" i="8"/>
  <c r="L693" i="8"/>
  <c r="K693" i="8"/>
  <c r="G693" i="8"/>
  <c r="F693" i="8"/>
  <c r="D693" i="8"/>
  <c r="C693" i="8"/>
  <c r="A693" i="8"/>
  <c r="L692" i="8"/>
  <c r="K692" i="8"/>
  <c r="G692" i="8"/>
  <c r="F692" i="8"/>
  <c r="D692" i="8"/>
  <c r="C692" i="8"/>
  <c r="A692" i="8"/>
  <c r="L691" i="8"/>
  <c r="K691" i="8"/>
  <c r="G691" i="8"/>
  <c r="F691" i="8"/>
  <c r="D691" i="8"/>
  <c r="C691" i="8"/>
  <c r="A691" i="8"/>
  <c r="L690" i="8"/>
  <c r="K690" i="8"/>
  <c r="G690" i="8"/>
  <c r="F690" i="8"/>
  <c r="D690" i="8"/>
  <c r="C690" i="8"/>
  <c r="A690" i="8"/>
  <c r="L689" i="8"/>
  <c r="K689" i="8"/>
  <c r="G689" i="8"/>
  <c r="F689" i="8"/>
  <c r="D689" i="8"/>
  <c r="C689" i="8"/>
  <c r="A689" i="8"/>
  <c r="L688" i="8"/>
  <c r="K688" i="8"/>
  <c r="G688" i="8"/>
  <c r="F688" i="8"/>
  <c r="D688" i="8"/>
  <c r="C688" i="8"/>
  <c r="A688" i="8"/>
  <c r="L687" i="8"/>
  <c r="K687" i="8"/>
  <c r="G687" i="8"/>
  <c r="F687" i="8"/>
  <c r="D687" i="8"/>
  <c r="C687" i="8"/>
  <c r="A687" i="8"/>
  <c r="L686" i="8"/>
  <c r="K686" i="8"/>
  <c r="G686" i="8"/>
  <c r="F686" i="8"/>
  <c r="D686" i="8"/>
  <c r="C686" i="8"/>
  <c r="A686" i="8"/>
  <c r="L685" i="8"/>
  <c r="K685" i="8"/>
  <c r="G685" i="8"/>
  <c r="F685" i="8"/>
  <c r="D685" i="8"/>
  <c r="C685" i="8"/>
  <c r="A685" i="8"/>
  <c r="L684" i="8"/>
  <c r="K684" i="8"/>
  <c r="G684" i="8"/>
  <c r="F684" i="8"/>
  <c r="D684" i="8"/>
  <c r="C684" i="8"/>
  <c r="A684" i="8"/>
  <c r="L683" i="8"/>
  <c r="K683" i="8"/>
  <c r="G683" i="8"/>
  <c r="F683" i="8"/>
  <c r="D683" i="8"/>
  <c r="C683" i="8"/>
  <c r="A683" i="8"/>
  <c r="L682" i="8"/>
  <c r="K682" i="8"/>
  <c r="G682" i="8"/>
  <c r="F682" i="8"/>
  <c r="D682" i="8"/>
  <c r="C682" i="8"/>
  <c r="A682" i="8"/>
  <c r="L681" i="8"/>
  <c r="K681" i="8"/>
  <c r="G681" i="8"/>
  <c r="F681" i="8"/>
  <c r="D681" i="8"/>
  <c r="C681" i="8"/>
  <c r="A681" i="8"/>
  <c r="L680" i="8"/>
  <c r="K680" i="8"/>
  <c r="G680" i="8"/>
  <c r="F680" i="8"/>
  <c r="D680" i="8"/>
  <c r="C680" i="8"/>
  <c r="A680" i="8"/>
  <c r="L679" i="8"/>
  <c r="K679" i="8"/>
  <c r="G679" i="8"/>
  <c r="F679" i="8"/>
  <c r="D679" i="8"/>
  <c r="C679" i="8"/>
  <c r="A679" i="8"/>
  <c r="L678" i="8"/>
  <c r="K678" i="8"/>
  <c r="G678" i="8"/>
  <c r="F678" i="8"/>
  <c r="D678" i="8"/>
  <c r="C678" i="8"/>
  <c r="A678" i="8"/>
  <c r="L677" i="8"/>
  <c r="K677" i="8"/>
  <c r="G677" i="8"/>
  <c r="F677" i="8"/>
  <c r="D677" i="8"/>
  <c r="C677" i="8"/>
  <c r="A677" i="8"/>
  <c r="L676" i="8"/>
  <c r="K676" i="8"/>
  <c r="G676" i="8"/>
  <c r="F676" i="8"/>
  <c r="D676" i="8"/>
  <c r="C676" i="8"/>
  <c r="A676" i="8"/>
  <c r="L675" i="8"/>
  <c r="K675" i="8"/>
  <c r="G675" i="8"/>
  <c r="F675" i="8"/>
  <c r="D675" i="8"/>
  <c r="C675" i="8"/>
  <c r="A675" i="8"/>
  <c r="L674" i="8"/>
  <c r="K674" i="8"/>
  <c r="G674" i="8"/>
  <c r="F674" i="8"/>
  <c r="D674" i="8"/>
  <c r="C674" i="8"/>
  <c r="A674" i="8"/>
  <c r="L673" i="8"/>
  <c r="K673" i="8"/>
  <c r="G673" i="8"/>
  <c r="F673" i="8"/>
  <c r="D673" i="8"/>
  <c r="C673" i="8"/>
  <c r="A673" i="8"/>
  <c r="L672" i="8"/>
  <c r="K672" i="8"/>
  <c r="G672" i="8"/>
  <c r="F672" i="8"/>
  <c r="D672" i="8"/>
  <c r="C672" i="8"/>
  <c r="A672" i="8"/>
  <c r="L671" i="8"/>
  <c r="K671" i="8"/>
  <c r="G671" i="8"/>
  <c r="F671" i="8"/>
  <c r="D671" i="8"/>
  <c r="C671" i="8"/>
  <c r="A671" i="8"/>
  <c r="L670" i="8"/>
  <c r="K670" i="8"/>
  <c r="G670" i="8"/>
  <c r="F670" i="8"/>
  <c r="D670" i="8"/>
  <c r="C670" i="8"/>
  <c r="A670" i="8"/>
  <c r="L669" i="8"/>
  <c r="K669" i="8"/>
  <c r="G669" i="8"/>
  <c r="F669" i="8"/>
  <c r="D669" i="8"/>
  <c r="C669" i="8"/>
  <c r="A669" i="8"/>
  <c r="L668" i="8"/>
  <c r="K668" i="8"/>
  <c r="G668" i="8"/>
  <c r="F668" i="8"/>
  <c r="D668" i="8"/>
  <c r="C668" i="8"/>
  <c r="A668" i="8"/>
  <c r="L667" i="8"/>
  <c r="K667" i="8"/>
  <c r="G667" i="8"/>
  <c r="F667" i="8"/>
  <c r="D667" i="8"/>
  <c r="C667" i="8"/>
  <c r="A667" i="8"/>
  <c r="L666" i="8"/>
  <c r="K666" i="8"/>
  <c r="G666" i="8"/>
  <c r="F666" i="8"/>
  <c r="D666" i="8"/>
  <c r="C666" i="8"/>
  <c r="A666" i="8"/>
  <c r="L665" i="8"/>
  <c r="K665" i="8"/>
  <c r="G665" i="8"/>
  <c r="F665" i="8"/>
  <c r="D665" i="8"/>
  <c r="C665" i="8"/>
  <c r="A665" i="8"/>
  <c r="L664" i="8"/>
  <c r="K664" i="8"/>
  <c r="G664" i="8"/>
  <c r="F664" i="8"/>
  <c r="D664" i="8"/>
  <c r="C664" i="8"/>
  <c r="A664" i="8"/>
  <c r="L663" i="8"/>
  <c r="K663" i="8"/>
  <c r="G663" i="8"/>
  <c r="F663" i="8"/>
  <c r="D663" i="8"/>
  <c r="C663" i="8"/>
  <c r="A663" i="8"/>
  <c r="L662" i="8"/>
  <c r="K662" i="8"/>
  <c r="G662" i="8"/>
  <c r="F662" i="8"/>
  <c r="D662" i="8"/>
  <c r="C662" i="8"/>
  <c r="A662" i="8"/>
  <c r="L661" i="8"/>
  <c r="K661" i="8"/>
  <c r="G661" i="8"/>
  <c r="F661" i="8"/>
  <c r="D661" i="8"/>
  <c r="C661" i="8"/>
  <c r="A661" i="8"/>
  <c r="L660" i="8"/>
  <c r="K660" i="8"/>
  <c r="G660" i="8"/>
  <c r="F660" i="8"/>
  <c r="D660" i="8"/>
  <c r="C660" i="8"/>
  <c r="A660" i="8"/>
  <c r="L659" i="8"/>
  <c r="K659" i="8"/>
  <c r="G659" i="8"/>
  <c r="F659" i="8"/>
  <c r="D659" i="8"/>
  <c r="C659" i="8"/>
  <c r="A659" i="8"/>
  <c r="L658" i="8"/>
  <c r="K658" i="8"/>
  <c r="G658" i="8"/>
  <c r="F658" i="8"/>
  <c r="D658" i="8"/>
  <c r="C658" i="8"/>
  <c r="A658" i="8"/>
  <c r="L657" i="8"/>
  <c r="K657" i="8"/>
  <c r="G657" i="8"/>
  <c r="F657" i="8"/>
  <c r="D657" i="8"/>
  <c r="C657" i="8"/>
  <c r="A657" i="8"/>
  <c r="L656" i="8"/>
  <c r="K656" i="8"/>
  <c r="G656" i="8"/>
  <c r="F656" i="8"/>
  <c r="D656" i="8"/>
  <c r="C656" i="8"/>
  <c r="A656" i="8"/>
  <c r="L655" i="8"/>
  <c r="K655" i="8"/>
  <c r="G655" i="8"/>
  <c r="F655" i="8"/>
  <c r="D655" i="8"/>
  <c r="C655" i="8"/>
  <c r="A655" i="8"/>
  <c r="L654" i="8"/>
  <c r="K654" i="8"/>
  <c r="G654" i="8"/>
  <c r="F654" i="8"/>
  <c r="D654" i="8"/>
  <c r="C654" i="8"/>
  <c r="A654" i="8"/>
  <c r="L653" i="8"/>
  <c r="K653" i="8"/>
  <c r="G653" i="8"/>
  <c r="F653" i="8"/>
  <c r="D653" i="8"/>
  <c r="C653" i="8"/>
  <c r="A653" i="8"/>
  <c r="L652" i="8"/>
  <c r="K652" i="8"/>
  <c r="G652" i="8"/>
  <c r="F652" i="8"/>
  <c r="D652" i="8"/>
  <c r="C652" i="8"/>
  <c r="A652" i="8"/>
  <c r="L651" i="8"/>
  <c r="K651" i="8"/>
  <c r="G651" i="8"/>
  <c r="F651" i="8"/>
  <c r="D651" i="8"/>
  <c r="C651" i="8"/>
  <c r="A651" i="8"/>
  <c r="L650" i="8"/>
  <c r="K650" i="8"/>
  <c r="G650" i="8"/>
  <c r="F650" i="8"/>
  <c r="D650" i="8"/>
  <c r="C650" i="8"/>
  <c r="A650" i="8"/>
  <c r="L649" i="8"/>
  <c r="K649" i="8"/>
  <c r="G649" i="8"/>
  <c r="F649" i="8"/>
  <c r="D649" i="8"/>
  <c r="C649" i="8"/>
  <c r="A649" i="8"/>
  <c r="L648" i="8"/>
  <c r="K648" i="8"/>
  <c r="G648" i="8"/>
  <c r="F648" i="8"/>
  <c r="D648" i="8"/>
  <c r="C648" i="8"/>
  <c r="A648" i="8"/>
  <c r="L647" i="8"/>
  <c r="K647" i="8"/>
  <c r="G647" i="8"/>
  <c r="F647" i="8"/>
  <c r="D647" i="8"/>
  <c r="C647" i="8"/>
  <c r="A647" i="8"/>
  <c r="L646" i="8"/>
  <c r="K646" i="8"/>
  <c r="G646" i="8"/>
  <c r="F646" i="8"/>
  <c r="D646" i="8"/>
  <c r="C646" i="8"/>
  <c r="A646" i="8"/>
  <c r="L645" i="8"/>
  <c r="K645" i="8"/>
  <c r="G645" i="8"/>
  <c r="F645" i="8"/>
  <c r="D645" i="8"/>
  <c r="C645" i="8"/>
  <c r="A645" i="8"/>
  <c r="L644" i="8"/>
  <c r="K644" i="8"/>
  <c r="G644" i="8"/>
  <c r="F644" i="8"/>
  <c r="D644" i="8"/>
  <c r="C644" i="8"/>
  <c r="A644" i="8"/>
  <c r="L643" i="8"/>
  <c r="K643" i="8"/>
  <c r="G643" i="8"/>
  <c r="F643" i="8"/>
  <c r="D643" i="8"/>
  <c r="C643" i="8"/>
  <c r="A643" i="8"/>
  <c r="L642" i="8"/>
  <c r="K642" i="8"/>
  <c r="G642" i="8"/>
  <c r="F642" i="8"/>
  <c r="D642" i="8"/>
  <c r="C642" i="8"/>
  <c r="A642" i="8"/>
  <c r="L641" i="8"/>
  <c r="K641" i="8"/>
  <c r="G641" i="8"/>
  <c r="F641" i="8"/>
  <c r="D641" i="8"/>
  <c r="C641" i="8"/>
  <c r="A641" i="8"/>
  <c r="L640" i="8"/>
  <c r="K640" i="8"/>
  <c r="G640" i="8"/>
  <c r="F640" i="8"/>
  <c r="D640" i="8"/>
  <c r="C640" i="8"/>
  <c r="A640" i="8"/>
  <c r="L639" i="8"/>
  <c r="K639" i="8"/>
  <c r="G639" i="8"/>
  <c r="F639" i="8"/>
  <c r="D639" i="8"/>
  <c r="C639" i="8"/>
  <c r="A639" i="8"/>
  <c r="L638" i="8"/>
  <c r="K638" i="8"/>
  <c r="G638" i="8"/>
  <c r="F638" i="8"/>
  <c r="D638" i="8"/>
  <c r="C638" i="8"/>
  <c r="A638" i="8"/>
  <c r="L637" i="8"/>
  <c r="K637" i="8"/>
  <c r="G637" i="8"/>
  <c r="F637" i="8"/>
  <c r="D637" i="8"/>
  <c r="C637" i="8"/>
  <c r="A637" i="8"/>
  <c r="L636" i="8"/>
  <c r="K636" i="8"/>
  <c r="G636" i="8"/>
  <c r="F636" i="8"/>
  <c r="D636" i="8"/>
  <c r="C636" i="8"/>
  <c r="A636" i="8"/>
  <c r="L635" i="8"/>
  <c r="K635" i="8"/>
  <c r="G635" i="8"/>
  <c r="F635" i="8"/>
  <c r="D635" i="8"/>
  <c r="C635" i="8"/>
  <c r="A635" i="8"/>
  <c r="L634" i="8"/>
  <c r="K634" i="8"/>
  <c r="G634" i="8"/>
  <c r="F634" i="8"/>
  <c r="D634" i="8"/>
  <c r="C634" i="8"/>
  <c r="A634" i="8"/>
  <c r="L633" i="8"/>
  <c r="K633" i="8"/>
  <c r="G633" i="8"/>
  <c r="F633" i="8"/>
  <c r="D633" i="8"/>
  <c r="C633" i="8"/>
  <c r="A633" i="8"/>
  <c r="L632" i="8"/>
  <c r="K632" i="8"/>
  <c r="G632" i="8"/>
  <c r="F632" i="8"/>
  <c r="D632" i="8"/>
  <c r="C632" i="8"/>
  <c r="A632" i="8"/>
  <c r="L631" i="8"/>
  <c r="K631" i="8"/>
  <c r="G631" i="8"/>
  <c r="F631" i="8"/>
  <c r="D631" i="8"/>
  <c r="C631" i="8"/>
  <c r="A631" i="8"/>
  <c r="L630" i="8"/>
  <c r="K630" i="8"/>
  <c r="G630" i="8"/>
  <c r="F630" i="8"/>
  <c r="D630" i="8"/>
  <c r="C630" i="8"/>
  <c r="A630" i="8"/>
  <c r="L629" i="8"/>
  <c r="K629" i="8"/>
  <c r="G629" i="8"/>
  <c r="F629" i="8"/>
  <c r="D629" i="8"/>
  <c r="C629" i="8"/>
  <c r="A629" i="8"/>
  <c r="L628" i="8"/>
  <c r="K628" i="8"/>
  <c r="G628" i="8"/>
  <c r="F628" i="8"/>
  <c r="D628" i="8"/>
  <c r="C628" i="8"/>
  <c r="A628" i="8"/>
  <c r="L627" i="8"/>
  <c r="K627" i="8"/>
  <c r="G627" i="8"/>
  <c r="F627" i="8"/>
  <c r="D627" i="8"/>
  <c r="C627" i="8"/>
  <c r="A627" i="8"/>
  <c r="L626" i="8"/>
  <c r="K626" i="8"/>
  <c r="G626" i="8"/>
  <c r="F626" i="8"/>
  <c r="D626" i="8"/>
  <c r="C626" i="8"/>
  <c r="A626" i="8"/>
  <c r="L625" i="8"/>
  <c r="K625" i="8"/>
  <c r="G625" i="8"/>
  <c r="F625" i="8"/>
  <c r="D625" i="8"/>
  <c r="C625" i="8"/>
  <c r="A625" i="8"/>
  <c r="L624" i="8"/>
  <c r="K624" i="8"/>
  <c r="G624" i="8"/>
  <c r="F624" i="8"/>
  <c r="D624" i="8"/>
  <c r="C624" i="8"/>
  <c r="A624" i="8"/>
  <c r="L623" i="8"/>
  <c r="K623" i="8"/>
  <c r="G623" i="8"/>
  <c r="F623" i="8"/>
  <c r="D623" i="8"/>
  <c r="C623" i="8"/>
  <c r="A623" i="8"/>
  <c r="L622" i="8"/>
  <c r="K622" i="8"/>
  <c r="G622" i="8"/>
  <c r="F622" i="8"/>
  <c r="D622" i="8"/>
  <c r="C622" i="8"/>
  <c r="A622" i="8"/>
  <c r="L621" i="8"/>
  <c r="K621" i="8"/>
  <c r="G621" i="8"/>
  <c r="F621" i="8"/>
  <c r="D621" i="8"/>
  <c r="C621" i="8"/>
  <c r="A621" i="8"/>
  <c r="L620" i="8"/>
  <c r="K620" i="8"/>
  <c r="G620" i="8"/>
  <c r="F620" i="8"/>
  <c r="D620" i="8"/>
  <c r="C620" i="8"/>
  <c r="A620" i="8"/>
  <c r="L619" i="8"/>
  <c r="K619" i="8"/>
  <c r="G619" i="8"/>
  <c r="F619" i="8"/>
  <c r="D619" i="8"/>
  <c r="C619" i="8"/>
  <c r="A619" i="8"/>
  <c r="L618" i="8"/>
  <c r="K618" i="8"/>
  <c r="G618" i="8"/>
  <c r="F618" i="8"/>
  <c r="D618" i="8"/>
  <c r="C618" i="8"/>
  <c r="A618" i="8"/>
  <c r="L617" i="8"/>
  <c r="K617" i="8"/>
  <c r="G617" i="8"/>
  <c r="F617" i="8"/>
  <c r="D617" i="8"/>
  <c r="C617" i="8"/>
  <c r="A617" i="8"/>
  <c r="L616" i="8"/>
  <c r="K616" i="8"/>
  <c r="G616" i="8"/>
  <c r="F616" i="8"/>
  <c r="D616" i="8"/>
  <c r="C616" i="8"/>
  <c r="A616" i="8"/>
  <c r="L615" i="8"/>
  <c r="K615" i="8"/>
  <c r="G615" i="8"/>
  <c r="F615" i="8"/>
  <c r="D615" i="8"/>
  <c r="C615" i="8"/>
  <c r="A615" i="8"/>
  <c r="L614" i="8"/>
  <c r="K614" i="8"/>
  <c r="G614" i="8"/>
  <c r="F614" i="8"/>
  <c r="D614" i="8"/>
  <c r="C614" i="8"/>
  <c r="A614" i="8"/>
  <c r="L613" i="8"/>
  <c r="K613" i="8"/>
  <c r="G613" i="8"/>
  <c r="F613" i="8"/>
  <c r="D613" i="8"/>
  <c r="C613" i="8"/>
  <c r="A613" i="8"/>
  <c r="L612" i="8"/>
  <c r="K612" i="8"/>
  <c r="G612" i="8"/>
  <c r="F612" i="8"/>
  <c r="D612" i="8"/>
  <c r="C612" i="8"/>
  <c r="A612" i="8"/>
  <c r="L611" i="8"/>
  <c r="K611" i="8"/>
  <c r="G611" i="8"/>
  <c r="F611" i="8"/>
  <c r="D611" i="8"/>
  <c r="C611" i="8"/>
  <c r="A611" i="8"/>
  <c r="L610" i="8"/>
  <c r="K610" i="8"/>
  <c r="G610" i="8"/>
  <c r="F610" i="8"/>
  <c r="D610" i="8"/>
  <c r="C610" i="8"/>
  <c r="A610" i="8"/>
  <c r="L609" i="8"/>
  <c r="K609" i="8"/>
  <c r="G609" i="8"/>
  <c r="F609" i="8"/>
  <c r="D609" i="8"/>
  <c r="C609" i="8"/>
  <c r="A609" i="8"/>
  <c r="L608" i="8"/>
  <c r="K608" i="8"/>
  <c r="G608" i="8"/>
  <c r="F608" i="8"/>
  <c r="D608" i="8"/>
  <c r="C608" i="8"/>
  <c r="A608" i="8"/>
  <c r="L607" i="8"/>
  <c r="K607" i="8"/>
  <c r="G607" i="8"/>
  <c r="F607" i="8"/>
  <c r="D607" i="8"/>
  <c r="C607" i="8"/>
  <c r="A607" i="8"/>
  <c r="L606" i="8"/>
  <c r="K606" i="8"/>
  <c r="G606" i="8"/>
  <c r="F606" i="8"/>
  <c r="D606" i="8"/>
  <c r="C606" i="8"/>
  <c r="A606" i="8"/>
  <c r="L605" i="8"/>
  <c r="K605" i="8"/>
  <c r="G605" i="8"/>
  <c r="F605" i="8"/>
  <c r="D605" i="8"/>
  <c r="C605" i="8"/>
  <c r="A605" i="8"/>
  <c r="L604" i="8"/>
  <c r="K604" i="8"/>
  <c r="G604" i="8"/>
  <c r="F604" i="8"/>
  <c r="D604" i="8"/>
  <c r="C604" i="8"/>
  <c r="A604" i="8"/>
  <c r="L603" i="8"/>
  <c r="K603" i="8"/>
  <c r="G603" i="8"/>
  <c r="F603" i="8"/>
  <c r="D603" i="8"/>
  <c r="C603" i="8"/>
  <c r="A603" i="8"/>
  <c r="L602" i="8"/>
  <c r="K602" i="8"/>
  <c r="G602" i="8"/>
  <c r="F602" i="8"/>
  <c r="D602" i="8"/>
  <c r="C602" i="8"/>
  <c r="A602" i="8"/>
  <c r="L601" i="8"/>
  <c r="K601" i="8"/>
  <c r="G601" i="8"/>
  <c r="F601" i="8"/>
  <c r="D601" i="8"/>
  <c r="C601" i="8"/>
  <c r="A601" i="8"/>
  <c r="L600" i="8"/>
  <c r="K600" i="8"/>
  <c r="G600" i="8"/>
  <c r="F600" i="8"/>
  <c r="D600" i="8"/>
  <c r="C600" i="8"/>
  <c r="A600" i="8"/>
  <c r="L599" i="8"/>
  <c r="K599" i="8"/>
  <c r="G599" i="8"/>
  <c r="F599" i="8"/>
  <c r="D599" i="8"/>
  <c r="C599" i="8"/>
  <c r="A599" i="8"/>
  <c r="L598" i="8"/>
  <c r="K598" i="8"/>
  <c r="G598" i="8"/>
  <c r="F598" i="8"/>
  <c r="D598" i="8"/>
  <c r="C598" i="8"/>
  <c r="A598" i="8"/>
  <c r="L597" i="8"/>
  <c r="K597" i="8"/>
  <c r="G597" i="8"/>
  <c r="F597" i="8"/>
  <c r="D597" i="8"/>
  <c r="C597" i="8"/>
  <c r="A597" i="8"/>
  <c r="L596" i="8"/>
  <c r="K596" i="8"/>
  <c r="G596" i="8"/>
  <c r="F596" i="8"/>
  <c r="D596" i="8"/>
  <c r="C596" i="8"/>
  <c r="A596" i="8"/>
  <c r="L595" i="8"/>
  <c r="K595" i="8"/>
  <c r="G595" i="8"/>
  <c r="F595" i="8"/>
  <c r="D595" i="8"/>
  <c r="C595" i="8"/>
  <c r="A595" i="8"/>
  <c r="L594" i="8"/>
  <c r="K594" i="8"/>
  <c r="G594" i="8"/>
  <c r="F594" i="8"/>
  <c r="D594" i="8"/>
  <c r="C594" i="8"/>
  <c r="A594" i="8"/>
  <c r="L593" i="8"/>
  <c r="K593" i="8"/>
  <c r="G593" i="8"/>
  <c r="F593" i="8"/>
  <c r="D593" i="8"/>
  <c r="C593" i="8"/>
  <c r="A593" i="8"/>
  <c r="L592" i="8"/>
  <c r="K592" i="8"/>
  <c r="G592" i="8"/>
  <c r="F592" i="8"/>
  <c r="D592" i="8"/>
  <c r="C592" i="8"/>
  <c r="A592" i="8"/>
  <c r="L591" i="8"/>
  <c r="K591" i="8"/>
  <c r="G591" i="8"/>
  <c r="F591" i="8"/>
  <c r="D591" i="8"/>
  <c r="C591" i="8"/>
  <c r="A591" i="8"/>
  <c r="L590" i="8"/>
  <c r="K590" i="8"/>
  <c r="G590" i="8"/>
  <c r="F590" i="8"/>
  <c r="D590" i="8"/>
  <c r="C590" i="8"/>
  <c r="A590" i="8"/>
  <c r="L589" i="8"/>
  <c r="K589" i="8"/>
  <c r="G589" i="8"/>
  <c r="F589" i="8"/>
  <c r="D589" i="8"/>
  <c r="C589" i="8"/>
  <c r="A589" i="8"/>
  <c r="L588" i="8"/>
  <c r="K588" i="8"/>
  <c r="G588" i="8"/>
  <c r="F588" i="8"/>
  <c r="D588" i="8"/>
  <c r="C588" i="8"/>
  <c r="A588" i="8"/>
  <c r="L587" i="8"/>
  <c r="K587" i="8"/>
  <c r="G587" i="8"/>
  <c r="F587" i="8"/>
  <c r="D587" i="8"/>
  <c r="C587" i="8"/>
  <c r="A587" i="8"/>
  <c r="L586" i="8"/>
  <c r="K586" i="8"/>
  <c r="G586" i="8"/>
  <c r="F586" i="8"/>
  <c r="D586" i="8"/>
  <c r="C586" i="8"/>
  <c r="A586" i="8"/>
  <c r="L585" i="8"/>
  <c r="K585" i="8"/>
  <c r="G585" i="8"/>
  <c r="F585" i="8"/>
  <c r="D585" i="8"/>
  <c r="C585" i="8"/>
  <c r="A585" i="8"/>
  <c r="L584" i="8"/>
  <c r="K584" i="8"/>
  <c r="G584" i="8"/>
  <c r="F584" i="8"/>
  <c r="D584" i="8"/>
  <c r="C584" i="8"/>
  <c r="A584" i="8"/>
  <c r="L583" i="8"/>
  <c r="K583" i="8"/>
  <c r="G583" i="8"/>
  <c r="F583" i="8"/>
  <c r="D583" i="8"/>
  <c r="C583" i="8"/>
  <c r="A583" i="8"/>
  <c r="L582" i="8"/>
  <c r="K582" i="8"/>
  <c r="G582" i="8"/>
  <c r="F582" i="8"/>
  <c r="D582" i="8"/>
  <c r="C582" i="8"/>
  <c r="A582" i="8"/>
  <c r="L581" i="8"/>
  <c r="K581" i="8"/>
  <c r="G581" i="8"/>
  <c r="F581" i="8"/>
  <c r="D581" i="8"/>
  <c r="C581" i="8"/>
  <c r="A581" i="8"/>
  <c r="L580" i="8"/>
  <c r="K580" i="8"/>
  <c r="G580" i="8"/>
  <c r="F580" i="8"/>
  <c r="D580" i="8"/>
  <c r="C580" i="8"/>
  <c r="A580" i="8"/>
  <c r="L579" i="8"/>
  <c r="K579" i="8"/>
  <c r="G579" i="8"/>
  <c r="F579" i="8"/>
  <c r="D579" i="8"/>
  <c r="C579" i="8"/>
  <c r="A579" i="8"/>
  <c r="L578" i="8"/>
  <c r="K578" i="8"/>
  <c r="G578" i="8"/>
  <c r="F578" i="8"/>
  <c r="D578" i="8"/>
  <c r="C578" i="8"/>
  <c r="A578" i="8"/>
  <c r="L577" i="8"/>
  <c r="K577" i="8"/>
  <c r="G577" i="8"/>
  <c r="F577" i="8"/>
  <c r="D577" i="8"/>
  <c r="C577" i="8"/>
  <c r="A577" i="8"/>
  <c r="L576" i="8"/>
  <c r="K576" i="8"/>
  <c r="G576" i="8"/>
  <c r="F576" i="8"/>
  <c r="D576" i="8"/>
  <c r="C576" i="8"/>
  <c r="A576" i="8"/>
  <c r="L575" i="8"/>
  <c r="K575" i="8"/>
  <c r="G575" i="8"/>
  <c r="F575" i="8"/>
  <c r="D575" i="8"/>
  <c r="C575" i="8"/>
  <c r="A575" i="8"/>
  <c r="L574" i="8"/>
  <c r="K574" i="8"/>
  <c r="G574" i="8"/>
  <c r="F574" i="8"/>
  <c r="D574" i="8"/>
  <c r="C574" i="8"/>
  <c r="A574" i="8"/>
  <c r="L573" i="8"/>
  <c r="K573" i="8"/>
  <c r="G573" i="8"/>
  <c r="F573" i="8"/>
  <c r="D573" i="8"/>
  <c r="C573" i="8"/>
  <c r="A573" i="8"/>
  <c r="L572" i="8"/>
  <c r="K572" i="8"/>
  <c r="G572" i="8"/>
  <c r="F572" i="8"/>
  <c r="D572" i="8"/>
  <c r="C572" i="8"/>
  <c r="A572" i="8"/>
  <c r="L571" i="8"/>
  <c r="K571" i="8"/>
  <c r="G571" i="8"/>
  <c r="F571" i="8"/>
  <c r="D571" i="8"/>
  <c r="C571" i="8"/>
  <c r="A571" i="8"/>
  <c r="L570" i="8"/>
  <c r="K570" i="8"/>
  <c r="G570" i="8"/>
  <c r="F570" i="8"/>
  <c r="D570" i="8"/>
  <c r="C570" i="8"/>
  <c r="A570" i="8"/>
  <c r="L569" i="8"/>
  <c r="K569" i="8"/>
  <c r="G569" i="8"/>
  <c r="F569" i="8"/>
  <c r="D569" i="8"/>
  <c r="C569" i="8"/>
  <c r="A569" i="8"/>
  <c r="L568" i="8"/>
  <c r="K568" i="8"/>
  <c r="G568" i="8"/>
  <c r="F568" i="8"/>
  <c r="D568" i="8"/>
  <c r="C568" i="8"/>
  <c r="A568" i="8"/>
  <c r="L567" i="8"/>
  <c r="K567" i="8"/>
  <c r="G567" i="8"/>
  <c r="F567" i="8"/>
  <c r="D567" i="8"/>
  <c r="C567" i="8"/>
  <c r="A567" i="8"/>
  <c r="L566" i="8"/>
  <c r="K566" i="8"/>
  <c r="G566" i="8"/>
  <c r="F566" i="8"/>
  <c r="D566" i="8"/>
  <c r="C566" i="8"/>
  <c r="A566" i="8"/>
  <c r="L565" i="8"/>
  <c r="K565" i="8"/>
  <c r="G565" i="8"/>
  <c r="F565" i="8"/>
  <c r="D565" i="8"/>
  <c r="C565" i="8"/>
  <c r="A565" i="8"/>
  <c r="L564" i="8"/>
  <c r="K564" i="8"/>
  <c r="G564" i="8"/>
  <c r="F564" i="8"/>
  <c r="D564" i="8"/>
  <c r="C564" i="8"/>
  <c r="A564" i="8"/>
  <c r="L563" i="8"/>
  <c r="K563" i="8"/>
  <c r="G563" i="8"/>
  <c r="F563" i="8"/>
  <c r="D563" i="8"/>
  <c r="C563" i="8"/>
  <c r="A563" i="8"/>
  <c r="L562" i="8"/>
  <c r="K562" i="8"/>
  <c r="G562" i="8"/>
  <c r="F562" i="8"/>
  <c r="D562" i="8"/>
  <c r="C562" i="8"/>
  <c r="A562" i="8"/>
  <c r="L561" i="8"/>
  <c r="K561" i="8"/>
  <c r="G561" i="8"/>
  <c r="F561" i="8"/>
  <c r="D561" i="8"/>
  <c r="C561" i="8"/>
  <c r="A561" i="8"/>
  <c r="L560" i="8"/>
  <c r="K560" i="8"/>
  <c r="G560" i="8"/>
  <c r="F560" i="8"/>
  <c r="D560" i="8"/>
  <c r="C560" i="8"/>
  <c r="A560" i="8"/>
  <c r="L559" i="8"/>
  <c r="K559" i="8"/>
  <c r="G559" i="8"/>
  <c r="F559" i="8"/>
  <c r="D559" i="8"/>
  <c r="C559" i="8"/>
  <c r="A559" i="8"/>
  <c r="L558" i="8"/>
  <c r="K558" i="8"/>
  <c r="G558" i="8"/>
  <c r="F558" i="8"/>
  <c r="D558" i="8"/>
  <c r="C558" i="8"/>
  <c r="A558" i="8"/>
  <c r="L557" i="8"/>
  <c r="K557" i="8"/>
  <c r="G557" i="8"/>
  <c r="F557" i="8"/>
  <c r="D557" i="8"/>
  <c r="C557" i="8"/>
  <c r="A557" i="8"/>
  <c r="L556" i="8"/>
  <c r="K556" i="8"/>
  <c r="G556" i="8"/>
  <c r="F556" i="8"/>
  <c r="D556" i="8"/>
  <c r="C556" i="8"/>
  <c r="A556" i="8"/>
  <c r="L555" i="8"/>
  <c r="K555" i="8"/>
  <c r="G555" i="8"/>
  <c r="F555" i="8"/>
  <c r="D555" i="8"/>
  <c r="C555" i="8"/>
  <c r="A555" i="8"/>
  <c r="L554" i="8"/>
  <c r="K554" i="8"/>
  <c r="G554" i="8"/>
  <c r="F554" i="8"/>
  <c r="D554" i="8"/>
  <c r="C554" i="8"/>
  <c r="A554" i="8"/>
  <c r="L553" i="8"/>
  <c r="K553" i="8"/>
  <c r="G553" i="8"/>
  <c r="F553" i="8"/>
  <c r="D553" i="8"/>
  <c r="C553" i="8"/>
  <c r="A553" i="8"/>
  <c r="L552" i="8"/>
  <c r="K552" i="8"/>
  <c r="G552" i="8"/>
  <c r="F552" i="8"/>
  <c r="D552" i="8"/>
  <c r="C552" i="8"/>
  <c r="A552" i="8"/>
  <c r="L551" i="8"/>
  <c r="K551" i="8"/>
  <c r="G551" i="8"/>
  <c r="F551" i="8"/>
  <c r="D551" i="8"/>
  <c r="C551" i="8"/>
  <c r="A551" i="8"/>
  <c r="L550" i="8"/>
  <c r="K550" i="8"/>
  <c r="G550" i="8"/>
  <c r="F550" i="8"/>
  <c r="D550" i="8"/>
  <c r="C550" i="8"/>
  <c r="A550" i="8"/>
  <c r="L549" i="8"/>
  <c r="K549" i="8"/>
  <c r="G549" i="8"/>
  <c r="F549" i="8"/>
  <c r="D549" i="8"/>
  <c r="C549" i="8"/>
  <c r="A549" i="8"/>
  <c r="L548" i="8"/>
  <c r="K548" i="8"/>
  <c r="G548" i="8"/>
  <c r="F548" i="8"/>
  <c r="D548" i="8"/>
  <c r="C548" i="8"/>
  <c r="A548" i="8"/>
  <c r="L547" i="8"/>
  <c r="K547" i="8"/>
  <c r="G547" i="8"/>
  <c r="F547" i="8"/>
  <c r="D547" i="8"/>
  <c r="C547" i="8"/>
  <c r="A547" i="8"/>
  <c r="L546" i="8"/>
  <c r="K546" i="8"/>
  <c r="G546" i="8"/>
  <c r="F546" i="8"/>
  <c r="D546" i="8"/>
  <c r="C546" i="8"/>
  <c r="A546" i="8"/>
  <c r="L545" i="8"/>
  <c r="K545" i="8"/>
  <c r="G545" i="8"/>
  <c r="F545" i="8"/>
  <c r="D545" i="8"/>
  <c r="C545" i="8"/>
  <c r="A545" i="8"/>
  <c r="L544" i="8"/>
  <c r="K544" i="8"/>
  <c r="G544" i="8"/>
  <c r="F544" i="8"/>
  <c r="D544" i="8"/>
  <c r="C544" i="8"/>
  <c r="A544" i="8"/>
  <c r="L543" i="8"/>
  <c r="K543" i="8"/>
  <c r="G543" i="8"/>
  <c r="F543" i="8"/>
  <c r="D543" i="8"/>
  <c r="C543" i="8"/>
  <c r="A543" i="8"/>
  <c r="L542" i="8"/>
  <c r="K542" i="8"/>
  <c r="G542" i="8"/>
  <c r="F542" i="8"/>
  <c r="D542" i="8"/>
  <c r="C542" i="8"/>
  <c r="A542" i="8"/>
  <c r="L541" i="8"/>
  <c r="K541" i="8"/>
  <c r="G541" i="8"/>
  <c r="F541" i="8"/>
  <c r="D541" i="8"/>
  <c r="C541" i="8"/>
  <c r="A541" i="8"/>
  <c r="L540" i="8"/>
  <c r="K540" i="8"/>
  <c r="G540" i="8"/>
  <c r="F540" i="8"/>
  <c r="D540" i="8"/>
  <c r="C540" i="8"/>
  <c r="A540" i="8"/>
  <c r="L539" i="8"/>
  <c r="K539" i="8"/>
  <c r="G539" i="8"/>
  <c r="F539" i="8"/>
  <c r="D539" i="8"/>
  <c r="C539" i="8"/>
  <c r="A539" i="8"/>
  <c r="L538" i="8"/>
  <c r="K538" i="8"/>
  <c r="G538" i="8"/>
  <c r="F538" i="8"/>
  <c r="D538" i="8"/>
  <c r="C538" i="8"/>
  <c r="A538" i="8"/>
  <c r="L537" i="8"/>
  <c r="K537" i="8"/>
  <c r="G537" i="8"/>
  <c r="F537" i="8"/>
  <c r="D537" i="8"/>
  <c r="C537" i="8"/>
  <c r="A537" i="8"/>
  <c r="L536" i="8"/>
  <c r="K536" i="8"/>
  <c r="G536" i="8"/>
  <c r="F536" i="8"/>
  <c r="D536" i="8"/>
  <c r="C536" i="8"/>
  <c r="A536" i="8"/>
  <c r="L535" i="8"/>
  <c r="K535" i="8"/>
  <c r="G535" i="8"/>
  <c r="F535" i="8"/>
  <c r="D535" i="8"/>
  <c r="C535" i="8"/>
  <c r="A535" i="8"/>
  <c r="L534" i="8"/>
  <c r="K534" i="8"/>
  <c r="G534" i="8"/>
  <c r="F534" i="8"/>
  <c r="D534" i="8"/>
  <c r="C534" i="8"/>
  <c r="A534" i="8"/>
  <c r="L533" i="8"/>
  <c r="K533" i="8"/>
  <c r="G533" i="8"/>
  <c r="F533" i="8"/>
  <c r="D533" i="8"/>
  <c r="C533" i="8"/>
  <c r="A533" i="8"/>
  <c r="L532" i="8"/>
  <c r="K532" i="8"/>
  <c r="G532" i="8"/>
  <c r="F532" i="8"/>
  <c r="D532" i="8"/>
  <c r="C532" i="8"/>
  <c r="A532" i="8"/>
  <c r="L531" i="8"/>
  <c r="K531" i="8"/>
  <c r="G531" i="8"/>
  <c r="F531" i="8"/>
  <c r="D531" i="8"/>
  <c r="C531" i="8"/>
  <c r="A531" i="8"/>
  <c r="L530" i="8"/>
  <c r="K530" i="8"/>
  <c r="G530" i="8"/>
  <c r="F530" i="8"/>
  <c r="D530" i="8"/>
  <c r="C530" i="8"/>
  <c r="A530" i="8"/>
  <c r="L529" i="8"/>
  <c r="K529" i="8"/>
  <c r="G529" i="8"/>
  <c r="F529" i="8"/>
  <c r="D529" i="8"/>
  <c r="C529" i="8"/>
  <c r="A529" i="8"/>
  <c r="L528" i="8"/>
  <c r="K528" i="8"/>
  <c r="G528" i="8"/>
  <c r="F528" i="8"/>
  <c r="D528" i="8"/>
  <c r="C528" i="8"/>
  <c r="A528" i="8"/>
  <c r="L527" i="8"/>
  <c r="K527" i="8"/>
  <c r="G527" i="8"/>
  <c r="F527" i="8"/>
  <c r="D527" i="8"/>
  <c r="C527" i="8"/>
  <c r="A527" i="8"/>
  <c r="L526" i="8"/>
  <c r="K526" i="8"/>
  <c r="G526" i="8"/>
  <c r="F526" i="8"/>
  <c r="D526" i="8"/>
  <c r="C526" i="8"/>
  <c r="A526" i="8"/>
  <c r="L525" i="8"/>
  <c r="K525" i="8"/>
  <c r="G525" i="8"/>
  <c r="F525" i="8"/>
  <c r="D525" i="8"/>
  <c r="C525" i="8"/>
  <c r="A525" i="8"/>
  <c r="L524" i="8"/>
  <c r="K524" i="8"/>
  <c r="G524" i="8"/>
  <c r="F524" i="8"/>
  <c r="D524" i="8"/>
  <c r="C524" i="8"/>
  <c r="A524" i="8"/>
  <c r="L523" i="8"/>
  <c r="K523" i="8"/>
  <c r="G523" i="8"/>
  <c r="F523" i="8"/>
  <c r="D523" i="8"/>
  <c r="C523" i="8"/>
  <c r="A523" i="8"/>
  <c r="L522" i="8"/>
  <c r="K522" i="8"/>
  <c r="G522" i="8"/>
  <c r="F522" i="8"/>
  <c r="D522" i="8"/>
  <c r="C522" i="8"/>
  <c r="A522" i="8"/>
  <c r="L521" i="8"/>
  <c r="K521" i="8"/>
  <c r="G521" i="8"/>
  <c r="F521" i="8"/>
  <c r="D521" i="8"/>
  <c r="C521" i="8"/>
  <c r="A521" i="8"/>
  <c r="L520" i="8"/>
  <c r="K520" i="8"/>
  <c r="G520" i="8"/>
  <c r="F520" i="8"/>
  <c r="D520" i="8"/>
  <c r="C520" i="8"/>
  <c r="A520" i="8"/>
  <c r="L519" i="8"/>
  <c r="K519" i="8"/>
  <c r="G519" i="8"/>
  <c r="F519" i="8"/>
  <c r="D519" i="8"/>
  <c r="C519" i="8"/>
  <c r="A519" i="8"/>
  <c r="L518" i="8"/>
  <c r="K518" i="8"/>
  <c r="G518" i="8"/>
  <c r="F518" i="8"/>
  <c r="D518" i="8"/>
  <c r="C518" i="8"/>
  <c r="A518" i="8"/>
  <c r="L517" i="8"/>
  <c r="K517" i="8"/>
  <c r="G517" i="8"/>
  <c r="F517" i="8"/>
  <c r="D517" i="8"/>
  <c r="C517" i="8"/>
  <c r="A517" i="8"/>
  <c r="L516" i="8"/>
  <c r="K516" i="8"/>
  <c r="G516" i="8"/>
  <c r="F516" i="8"/>
  <c r="D516" i="8"/>
  <c r="C516" i="8"/>
  <c r="A516" i="8"/>
  <c r="L515" i="8"/>
  <c r="K515" i="8"/>
  <c r="G515" i="8"/>
  <c r="F515" i="8"/>
  <c r="D515" i="8"/>
  <c r="C515" i="8"/>
  <c r="A515" i="8"/>
  <c r="L514" i="8"/>
  <c r="K514" i="8"/>
  <c r="G514" i="8"/>
  <c r="F514" i="8"/>
  <c r="D514" i="8"/>
  <c r="C514" i="8"/>
  <c r="A514" i="8"/>
  <c r="L513" i="8"/>
  <c r="K513" i="8"/>
  <c r="G513" i="8"/>
  <c r="F513" i="8"/>
  <c r="D513" i="8"/>
  <c r="C513" i="8"/>
  <c r="A513" i="8"/>
  <c r="L512" i="8"/>
  <c r="K512" i="8"/>
  <c r="G512" i="8"/>
  <c r="F512" i="8"/>
  <c r="D512" i="8"/>
  <c r="C512" i="8"/>
  <c r="A512" i="8"/>
  <c r="L511" i="8"/>
  <c r="K511" i="8"/>
  <c r="G511" i="8"/>
  <c r="F511" i="8"/>
  <c r="D511" i="8"/>
  <c r="C511" i="8"/>
  <c r="A511" i="8"/>
  <c r="L510" i="8"/>
  <c r="K510" i="8"/>
  <c r="G510" i="8"/>
  <c r="F510" i="8"/>
  <c r="D510" i="8"/>
  <c r="C510" i="8"/>
  <c r="A510" i="8"/>
  <c r="L509" i="8"/>
  <c r="K509" i="8"/>
  <c r="G509" i="8"/>
  <c r="F509" i="8"/>
  <c r="D509" i="8"/>
  <c r="C509" i="8"/>
  <c r="A509" i="8"/>
  <c r="L508" i="8"/>
  <c r="K508" i="8"/>
  <c r="G508" i="8"/>
  <c r="F508" i="8"/>
  <c r="D508" i="8"/>
  <c r="C508" i="8"/>
  <c r="A508" i="8"/>
  <c r="L507" i="8"/>
  <c r="K507" i="8"/>
  <c r="G507" i="8"/>
  <c r="F507" i="8"/>
  <c r="D507" i="8"/>
  <c r="C507" i="8"/>
  <c r="A507" i="8"/>
  <c r="L506" i="8"/>
  <c r="K506" i="8"/>
  <c r="G506" i="8"/>
  <c r="F506" i="8"/>
  <c r="D506" i="8"/>
  <c r="C506" i="8"/>
  <c r="A506" i="8"/>
  <c r="L505" i="8"/>
  <c r="K505" i="8"/>
  <c r="G505" i="8"/>
  <c r="F505" i="8"/>
  <c r="D505" i="8"/>
  <c r="C505" i="8"/>
  <c r="A505" i="8"/>
  <c r="L504" i="8"/>
  <c r="K504" i="8"/>
  <c r="G504" i="8"/>
  <c r="F504" i="8"/>
  <c r="D504" i="8"/>
  <c r="C504" i="8"/>
  <c r="A504" i="8"/>
  <c r="L503" i="8"/>
  <c r="K503" i="8"/>
  <c r="G503" i="8"/>
  <c r="F503" i="8"/>
  <c r="D503" i="8"/>
  <c r="C503" i="8"/>
  <c r="A503" i="8"/>
  <c r="L502" i="8"/>
  <c r="K502" i="8"/>
  <c r="G502" i="8"/>
  <c r="F502" i="8"/>
  <c r="D502" i="8"/>
  <c r="C502" i="8"/>
  <c r="A502" i="8"/>
  <c r="L501" i="8"/>
  <c r="K501" i="8"/>
  <c r="G501" i="8"/>
  <c r="F501" i="8"/>
  <c r="D501" i="8"/>
  <c r="C501" i="8"/>
  <c r="A501" i="8"/>
  <c r="L500" i="8"/>
  <c r="K500" i="8"/>
  <c r="G500" i="8"/>
  <c r="F500" i="8"/>
  <c r="D500" i="8"/>
  <c r="C500" i="8"/>
  <c r="A500" i="8"/>
  <c r="L499" i="8"/>
  <c r="K499" i="8"/>
  <c r="G499" i="8"/>
  <c r="F499" i="8"/>
  <c r="D499" i="8"/>
  <c r="C499" i="8"/>
  <c r="A499" i="8"/>
  <c r="L498" i="8"/>
  <c r="K498" i="8"/>
  <c r="G498" i="8"/>
  <c r="F498" i="8"/>
  <c r="D498" i="8"/>
  <c r="C498" i="8"/>
  <c r="A498" i="8"/>
  <c r="L497" i="8"/>
  <c r="K497" i="8"/>
  <c r="G497" i="8"/>
  <c r="F497" i="8"/>
  <c r="D497" i="8"/>
  <c r="C497" i="8"/>
  <c r="A497" i="8"/>
  <c r="L496" i="8"/>
  <c r="K496" i="8"/>
  <c r="G496" i="8"/>
  <c r="F496" i="8"/>
  <c r="D496" i="8"/>
  <c r="C496" i="8"/>
  <c r="A496" i="8"/>
  <c r="L495" i="8"/>
  <c r="K495" i="8"/>
  <c r="G495" i="8"/>
  <c r="F495" i="8"/>
  <c r="D495" i="8"/>
  <c r="C495" i="8"/>
  <c r="A495" i="8"/>
  <c r="L494" i="8"/>
  <c r="K494" i="8"/>
  <c r="G494" i="8"/>
  <c r="F494" i="8"/>
  <c r="D494" i="8"/>
  <c r="C494" i="8"/>
  <c r="A494" i="8"/>
  <c r="L493" i="8"/>
  <c r="K493" i="8"/>
  <c r="G493" i="8"/>
  <c r="F493" i="8"/>
  <c r="D493" i="8"/>
  <c r="C493" i="8"/>
  <c r="A493" i="8"/>
  <c r="L492" i="8"/>
  <c r="K492" i="8"/>
  <c r="G492" i="8"/>
  <c r="F492" i="8"/>
  <c r="D492" i="8"/>
  <c r="C492" i="8"/>
  <c r="A492" i="8"/>
  <c r="L491" i="8"/>
  <c r="K491" i="8"/>
  <c r="G491" i="8"/>
  <c r="F491" i="8"/>
  <c r="D491" i="8"/>
  <c r="C491" i="8"/>
  <c r="A491" i="8"/>
  <c r="L490" i="8"/>
  <c r="K490" i="8"/>
  <c r="G490" i="8"/>
  <c r="F490" i="8"/>
  <c r="D490" i="8"/>
  <c r="C490" i="8"/>
  <c r="A490" i="8"/>
  <c r="L489" i="8"/>
  <c r="K489" i="8"/>
  <c r="G489" i="8"/>
  <c r="F489" i="8"/>
  <c r="D489" i="8"/>
  <c r="C489" i="8"/>
  <c r="A489" i="8"/>
  <c r="L488" i="8"/>
  <c r="K488" i="8"/>
  <c r="G488" i="8"/>
  <c r="F488" i="8"/>
  <c r="D488" i="8"/>
  <c r="C488" i="8"/>
  <c r="A488" i="8"/>
  <c r="L487" i="8"/>
  <c r="K487" i="8"/>
  <c r="G487" i="8"/>
  <c r="F487" i="8"/>
  <c r="D487" i="8"/>
  <c r="C487" i="8"/>
  <c r="A487" i="8"/>
  <c r="L486" i="8"/>
  <c r="K486" i="8"/>
  <c r="G486" i="8"/>
  <c r="F486" i="8"/>
  <c r="D486" i="8"/>
  <c r="C486" i="8"/>
  <c r="A486" i="8"/>
  <c r="L485" i="8"/>
  <c r="K485" i="8"/>
  <c r="G485" i="8"/>
  <c r="F485" i="8"/>
  <c r="D485" i="8"/>
  <c r="C485" i="8"/>
  <c r="A485" i="8"/>
  <c r="L484" i="8"/>
  <c r="K484" i="8"/>
  <c r="G484" i="8"/>
  <c r="F484" i="8"/>
  <c r="D484" i="8"/>
  <c r="C484" i="8"/>
  <c r="A484" i="8"/>
  <c r="L483" i="8"/>
  <c r="K483" i="8"/>
  <c r="G483" i="8"/>
  <c r="F483" i="8"/>
  <c r="D483" i="8"/>
  <c r="C483" i="8"/>
  <c r="A483" i="8"/>
  <c r="L482" i="8"/>
  <c r="K482" i="8"/>
  <c r="G482" i="8"/>
  <c r="F482" i="8"/>
  <c r="D482" i="8"/>
  <c r="C482" i="8"/>
  <c r="A482" i="8"/>
  <c r="L481" i="8"/>
  <c r="K481" i="8"/>
  <c r="G481" i="8"/>
  <c r="F481" i="8"/>
  <c r="D481" i="8"/>
  <c r="C481" i="8"/>
  <c r="A481" i="8"/>
  <c r="L480" i="8"/>
  <c r="K480" i="8"/>
  <c r="G480" i="8"/>
  <c r="F480" i="8"/>
  <c r="D480" i="8"/>
  <c r="C480" i="8"/>
  <c r="A480" i="8"/>
  <c r="L479" i="8"/>
  <c r="K479" i="8"/>
  <c r="G479" i="8"/>
  <c r="F479" i="8"/>
  <c r="D479" i="8"/>
  <c r="C479" i="8"/>
  <c r="A479" i="8"/>
  <c r="L478" i="8"/>
  <c r="K478" i="8"/>
  <c r="G478" i="8"/>
  <c r="F478" i="8"/>
  <c r="D478" i="8"/>
  <c r="C478" i="8"/>
  <c r="A478" i="8"/>
  <c r="L477" i="8"/>
  <c r="K477" i="8"/>
  <c r="G477" i="8"/>
  <c r="F477" i="8"/>
  <c r="D477" i="8"/>
  <c r="C477" i="8"/>
  <c r="A477" i="8"/>
  <c r="L476" i="8"/>
  <c r="K476" i="8"/>
  <c r="G476" i="8"/>
  <c r="F476" i="8"/>
  <c r="D476" i="8"/>
  <c r="C476" i="8"/>
  <c r="A476" i="8"/>
  <c r="L475" i="8"/>
  <c r="K475" i="8"/>
  <c r="G475" i="8"/>
  <c r="F475" i="8"/>
  <c r="D475" i="8"/>
  <c r="C475" i="8"/>
  <c r="A475" i="8"/>
  <c r="L474" i="8"/>
  <c r="K474" i="8"/>
  <c r="G474" i="8"/>
  <c r="F474" i="8"/>
  <c r="D474" i="8"/>
  <c r="C474" i="8"/>
  <c r="A474" i="8"/>
  <c r="L473" i="8"/>
  <c r="K473" i="8"/>
  <c r="G473" i="8"/>
  <c r="F473" i="8"/>
  <c r="D473" i="8"/>
  <c r="C473" i="8"/>
  <c r="A473" i="8"/>
  <c r="L472" i="8"/>
  <c r="K472" i="8"/>
  <c r="G472" i="8"/>
  <c r="F472" i="8"/>
  <c r="D472" i="8"/>
  <c r="C472" i="8"/>
  <c r="A472" i="8"/>
  <c r="L471" i="8"/>
  <c r="K471" i="8"/>
  <c r="G471" i="8"/>
  <c r="F471" i="8"/>
  <c r="D471" i="8"/>
  <c r="C471" i="8"/>
  <c r="A471" i="8"/>
  <c r="L470" i="8"/>
  <c r="K470" i="8"/>
  <c r="G470" i="8"/>
  <c r="F470" i="8"/>
  <c r="D470" i="8"/>
  <c r="C470" i="8"/>
  <c r="A470" i="8"/>
  <c r="L469" i="8"/>
  <c r="K469" i="8"/>
  <c r="G469" i="8"/>
  <c r="F469" i="8"/>
  <c r="D469" i="8"/>
  <c r="C469" i="8"/>
  <c r="A469" i="8"/>
  <c r="L468" i="8"/>
  <c r="K468" i="8"/>
  <c r="G468" i="8"/>
  <c r="F468" i="8"/>
  <c r="D468" i="8"/>
  <c r="C468" i="8"/>
  <c r="A468" i="8"/>
  <c r="L467" i="8"/>
  <c r="K467" i="8"/>
  <c r="G467" i="8"/>
  <c r="F467" i="8"/>
  <c r="D467" i="8"/>
  <c r="C467" i="8"/>
  <c r="A467" i="8"/>
  <c r="L466" i="8"/>
  <c r="K466" i="8"/>
  <c r="G466" i="8"/>
  <c r="F466" i="8"/>
  <c r="D466" i="8"/>
  <c r="C466" i="8"/>
  <c r="A466" i="8"/>
  <c r="L465" i="8"/>
  <c r="K465" i="8"/>
  <c r="G465" i="8"/>
  <c r="F465" i="8"/>
  <c r="D465" i="8"/>
  <c r="C465" i="8"/>
  <c r="A465" i="8"/>
  <c r="L464" i="8"/>
  <c r="K464" i="8"/>
  <c r="G464" i="8"/>
  <c r="F464" i="8"/>
  <c r="D464" i="8"/>
  <c r="C464" i="8"/>
  <c r="A464" i="8"/>
  <c r="L463" i="8"/>
  <c r="K463" i="8"/>
  <c r="G463" i="8"/>
  <c r="F463" i="8"/>
  <c r="D463" i="8"/>
  <c r="C463" i="8"/>
  <c r="A463" i="8"/>
  <c r="L462" i="8"/>
  <c r="K462" i="8"/>
  <c r="G462" i="8"/>
  <c r="F462" i="8"/>
  <c r="D462" i="8"/>
  <c r="C462" i="8"/>
  <c r="A462" i="8"/>
  <c r="L461" i="8"/>
  <c r="K461" i="8"/>
  <c r="G461" i="8"/>
  <c r="F461" i="8"/>
  <c r="D461" i="8"/>
  <c r="C461" i="8"/>
  <c r="A461" i="8"/>
  <c r="L460" i="8"/>
  <c r="K460" i="8"/>
  <c r="G460" i="8"/>
  <c r="F460" i="8"/>
  <c r="D460" i="8"/>
  <c r="C460" i="8"/>
  <c r="A460" i="8"/>
  <c r="L459" i="8"/>
  <c r="K459" i="8"/>
  <c r="G459" i="8"/>
  <c r="F459" i="8"/>
  <c r="D459" i="8"/>
  <c r="C459" i="8"/>
  <c r="A459" i="8"/>
  <c r="L458" i="8"/>
  <c r="K458" i="8"/>
  <c r="G458" i="8"/>
  <c r="F458" i="8"/>
  <c r="D458" i="8"/>
  <c r="C458" i="8"/>
  <c r="A458" i="8"/>
  <c r="L457" i="8"/>
  <c r="K457" i="8"/>
  <c r="G457" i="8"/>
  <c r="F457" i="8"/>
  <c r="D457" i="8"/>
  <c r="C457" i="8"/>
  <c r="A457" i="8"/>
  <c r="L456" i="8"/>
  <c r="K456" i="8"/>
  <c r="G456" i="8"/>
  <c r="F456" i="8"/>
  <c r="D456" i="8"/>
  <c r="C456" i="8"/>
  <c r="A456" i="8"/>
  <c r="L455" i="8"/>
  <c r="K455" i="8"/>
  <c r="G455" i="8"/>
  <c r="F455" i="8"/>
  <c r="D455" i="8"/>
  <c r="C455" i="8"/>
  <c r="A455" i="8"/>
  <c r="L454" i="8"/>
  <c r="K454" i="8"/>
  <c r="G454" i="8"/>
  <c r="F454" i="8"/>
  <c r="D454" i="8"/>
  <c r="C454" i="8"/>
  <c r="A454" i="8"/>
  <c r="L453" i="8"/>
  <c r="K453" i="8"/>
  <c r="G453" i="8"/>
  <c r="F453" i="8"/>
  <c r="D453" i="8"/>
  <c r="C453" i="8"/>
  <c r="A453" i="8"/>
  <c r="L452" i="8"/>
  <c r="K452" i="8"/>
  <c r="G452" i="8"/>
  <c r="F452" i="8"/>
  <c r="D452" i="8"/>
  <c r="C452" i="8"/>
  <c r="A452" i="8"/>
  <c r="L451" i="8"/>
  <c r="K451" i="8"/>
  <c r="G451" i="8"/>
  <c r="F451" i="8"/>
  <c r="D451" i="8"/>
  <c r="C451" i="8"/>
  <c r="A451" i="8"/>
  <c r="L450" i="8"/>
  <c r="K450" i="8"/>
  <c r="G450" i="8"/>
  <c r="F450" i="8"/>
  <c r="D450" i="8"/>
  <c r="C450" i="8"/>
  <c r="A450" i="8"/>
  <c r="L449" i="8"/>
  <c r="K449" i="8"/>
  <c r="G449" i="8"/>
  <c r="F449" i="8"/>
  <c r="D449" i="8"/>
  <c r="C449" i="8"/>
  <c r="A449" i="8"/>
  <c r="L448" i="8"/>
  <c r="K448" i="8"/>
  <c r="G448" i="8"/>
  <c r="F448" i="8"/>
  <c r="D448" i="8"/>
  <c r="C448" i="8"/>
  <c r="A448" i="8"/>
  <c r="L447" i="8"/>
  <c r="K447" i="8"/>
  <c r="G447" i="8"/>
  <c r="F447" i="8"/>
  <c r="D447" i="8"/>
  <c r="C447" i="8"/>
  <c r="A447" i="8"/>
  <c r="L446" i="8"/>
  <c r="K446" i="8"/>
  <c r="G446" i="8"/>
  <c r="F446" i="8"/>
  <c r="D446" i="8"/>
  <c r="C446" i="8"/>
  <c r="A446" i="8"/>
  <c r="L445" i="8"/>
  <c r="K445" i="8"/>
  <c r="G445" i="8"/>
  <c r="F445" i="8"/>
  <c r="D445" i="8"/>
  <c r="C445" i="8"/>
  <c r="A445" i="8"/>
  <c r="L444" i="8"/>
  <c r="K444" i="8"/>
  <c r="G444" i="8"/>
  <c r="F444" i="8"/>
  <c r="D444" i="8"/>
  <c r="C444" i="8"/>
  <c r="A444" i="8"/>
  <c r="L443" i="8"/>
  <c r="K443" i="8"/>
  <c r="G443" i="8"/>
  <c r="F443" i="8"/>
  <c r="D443" i="8"/>
  <c r="C443" i="8"/>
  <c r="A443" i="8"/>
  <c r="L442" i="8"/>
  <c r="K442" i="8"/>
  <c r="G442" i="8"/>
  <c r="F442" i="8"/>
  <c r="D442" i="8"/>
  <c r="C442" i="8"/>
  <c r="A442" i="8"/>
  <c r="L441" i="8"/>
  <c r="K441" i="8"/>
  <c r="G441" i="8"/>
  <c r="F441" i="8"/>
  <c r="D441" i="8"/>
  <c r="C441" i="8"/>
  <c r="A441" i="8"/>
  <c r="L440" i="8"/>
  <c r="K440" i="8"/>
  <c r="G440" i="8"/>
  <c r="F440" i="8"/>
  <c r="D440" i="8"/>
  <c r="C440" i="8"/>
  <c r="A440" i="8"/>
  <c r="L439" i="8"/>
  <c r="K439" i="8"/>
  <c r="G439" i="8"/>
  <c r="F439" i="8"/>
  <c r="D439" i="8"/>
  <c r="C439" i="8"/>
  <c r="A439" i="8"/>
  <c r="L438" i="8"/>
  <c r="K438" i="8"/>
  <c r="G438" i="8"/>
  <c r="F438" i="8"/>
  <c r="D438" i="8"/>
  <c r="C438" i="8"/>
  <c r="A438" i="8"/>
  <c r="L437" i="8"/>
  <c r="K437" i="8"/>
  <c r="G437" i="8"/>
  <c r="F437" i="8"/>
  <c r="D437" i="8"/>
  <c r="C437" i="8"/>
  <c r="A437" i="8"/>
  <c r="L436" i="8"/>
  <c r="K436" i="8"/>
  <c r="G436" i="8"/>
  <c r="F436" i="8"/>
  <c r="D436" i="8"/>
  <c r="C436" i="8"/>
  <c r="A436" i="8"/>
  <c r="L435" i="8"/>
  <c r="K435" i="8"/>
  <c r="G435" i="8"/>
  <c r="F435" i="8"/>
  <c r="D435" i="8"/>
  <c r="C435" i="8"/>
  <c r="A435" i="8"/>
  <c r="L434" i="8"/>
  <c r="K434" i="8"/>
  <c r="G434" i="8"/>
  <c r="F434" i="8"/>
  <c r="D434" i="8"/>
  <c r="C434" i="8"/>
  <c r="A434" i="8"/>
  <c r="L433" i="8"/>
  <c r="K433" i="8"/>
  <c r="G433" i="8"/>
  <c r="F433" i="8"/>
  <c r="D433" i="8"/>
  <c r="C433" i="8"/>
  <c r="A433" i="8"/>
  <c r="L432" i="8"/>
  <c r="K432" i="8"/>
  <c r="G432" i="8"/>
  <c r="F432" i="8"/>
  <c r="D432" i="8"/>
  <c r="C432" i="8"/>
  <c r="A432" i="8"/>
  <c r="L431" i="8"/>
  <c r="K431" i="8"/>
  <c r="G431" i="8"/>
  <c r="F431" i="8"/>
  <c r="D431" i="8"/>
  <c r="C431" i="8"/>
  <c r="A431" i="8"/>
  <c r="L430" i="8"/>
  <c r="K430" i="8"/>
  <c r="G430" i="8"/>
  <c r="F430" i="8"/>
  <c r="D430" i="8"/>
  <c r="C430" i="8"/>
  <c r="A430" i="8"/>
  <c r="L429" i="8"/>
  <c r="K429" i="8"/>
  <c r="G429" i="8"/>
  <c r="F429" i="8"/>
  <c r="D429" i="8"/>
  <c r="C429" i="8"/>
  <c r="A429" i="8"/>
  <c r="L428" i="8"/>
  <c r="K428" i="8"/>
  <c r="G428" i="8"/>
  <c r="F428" i="8"/>
  <c r="D428" i="8"/>
  <c r="C428" i="8"/>
  <c r="A428" i="8"/>
  <c r="L427" i="8"/>
  <c r="K427" i="8"/>
  <c r="G427" i="8"/>
  <c r="F427" i="8"/>
  <c r="D427" i="8"/>
  <c r="C427" i="8"/>
  <c r="A427" i="8"/>
  <c r="L426" i="8"/>
  <c r="K426" i="8"/>
  <c r="G426" i="8"/>
  <c r="F426" i="8"/>
  <c r="D426" i="8"/>
  <c r="C426" i="8"/>
  <c r="A426" i="8"/>
  <c r="L425" i="8"/>
  <c r="K425" i="8"/>
  <c r="G425" i="8"/>
  <c r="F425" i="8"/>
  <c r="D425" i="8"/>
  <c r="C425" i="8"/>
  <c r="A425" i="8"/>
  <c r="L424" i="8"/>
  <c r="K424" i="8"/>
  <c r="G424" i="8"/>
  <c r="F424" i="8"/>
  <c r="D424" i="8"/>
  <c r="C424" i="8"/>
  <c r="A424" i="8"/>
  <c r="L423" i="8"/>
  <c r="K423" i="8"/>
  <c r="G423" i="8"/>
  <c r="F423" i="8"/>
  <c r="D423" i="8"/>
  <c r="C423" i="8"/>
  <c r="A423" i="8"/>
  <c r="L422" i="8"/>
  <c r="K422" i="8"/>
  <c r="G422" i="8"/>
  <c r="F422" i="8"/>
  <c r="D422" i="8"/>
  <c r="C422" i="8"/>
  <c r="A422" i="8"/>
  <c r="L421" i="8"/>
  <c r="K421" i="8"/>
  <c r="G421" i="8"/>
  <c r="F421" i="8"/>
  <c r="D421" i="8"/>
  <c r="C421" i="8"/>
  <c r="A421" i="8"/>
  <c r="L420" i="8"/>
  <c r="K420" i="8"/>
  <c r="G420" i="8"/>
  <c r="F420" i="8"/>
  <c r="D420" i="8"/>
  <c r="C420" i="8"/>
  <c r="A420" i="8"/>
  <c r="L419" i="8"/>
  <c r="K419" i="8"/>
  <c r="G419" i="8"/>
  <c r="F419" i="8"/>
  <c r="D419" i="8"/>
  <c r="C419" i="8"/>
  <c r="A419" i="8"/>
  <c r="L418" i="8"/>
  <c r="K418" i="8"/>
  <c r="G418" i="8"/>
  <c r="F418" i="8"/>
  <c r="D418" i="8"/>
  <c r="C418" i="8"/>
  <c r="A418" i="8"/>
  <c r="L417" i="8"/>
  <c r="K417" i="8"/>
  <c r="G417" i="8"/>
  <c r="F417" i="8"/>
  <c r="D417" i="8"/>
  <c r="C417" i="8"/>
  <c r="A417" i="8"/>
  <c r="L416" i="8"/>
  <c r="K416" i="8"/>
  <c r="G416" i="8"/>
  <c r="F416" i="8"/>
  <c r="D416" i="8"/>
  <c r="C416" i="8"/>
  <c r="A416" i="8"/>
  <c r="L415" i="8"/>
  <c r="K415" i="8"/>
  <c r="G415" i="8"/>
  <c r="F415" i="8"/>
  <c r="D415" i="8"/>
  <c r="C415" i="8"/>
  <c r="A415" i="8"/>
  <c r="L414" i="8"/>
  <c r="K414" i="8"/>
  <c r="G414" i="8"/>
  <c r="F414" i="8"/>
  <c r="D414" i="8"/>
  <c r="C414" i="8"/>
  <c r="A414" i="8"/>
  <c r="L413" i="8"/>
  <c r="K413" i="8"/>
  <c r="G413" i="8"/>
  <c r="F413" i="8"/>
  <c r="D413" i="8"/>
  <c r="C413" i="8"/>
  <c r="A413" i="8"/>
  <c r="L412" i="8"/>
  <c r="K412" i="8"/>
  <c r="G412" i="8"/>
  <c r="F412" i="8"/>
  <c r="D412" i="8"/>
  <c r="C412" i="8"/>
  <c r="A412" i="8"/>
  <c r="L411" i="8"/>
  <c r="K411" i="8"/>
  <c r="G411" i="8"/>
  <c r="F411" i="8"/>
  <c r="D411" i="8"/>
  <c r="C411" i="8"/>
  <c r="A411" i="8"/>
  <c r="L410" i="8"/>
  <c r="K410" i="8"/>
  <c r="G410" i="8"/>
  <c r="F410" i="8"/>
  <c r="D410" i="8"/>
  <c r="C410" i="8"/>
  <c r="A410" i="8"/>
  <c r="L409" i="8"/>
  <c r="K409" i="8"/>
  <c r="G409" i="8"/>
  <c r="F409" i="8"/>
  <c r="D409" i="8"/>
  <c r="C409" i="8"/>
  <c r="A409" i="8"/>
  <c r="L408" i="8"/>
  <c r="K408" i="8"/>
  <c r="G408" i="8"/>
  <c r="F408" i="8"/>
  <c r="D408" i="8"/>
  <c r="C408" i="8"/>
  <c r="A408" i="8"/>
  <c r="L407" i="8"/>
  <c r="K407" i="8"/>
  <c r="G407" i="8"/>
  <c r="F407" i="8"/>
  <c r="D407" i="8"/>
  <c r="C407" i="8"/>
  <c r="A407" i="8"/>
  <c r="L406" i="8"/>
  <c r="K406" i="8"/>
  <c r="G406" i="8"/>
  <c r="F406" i="8"/>
  <c r="D406" i="8"/>
  <c r="C406" i="8"/>
  <c r="A406" i="8"/>
  <c r="L405" i="8"/>
  <c r="K405" i="8"/>
  <c r="G405" i="8"/>
  <c r="F405" i="8"/>
  <c r="D405" i="8"/>
  <c r="C405" i="8"/>
  <c r="A405" i="8"/>
  <c r="L404" i="8"/>
  <c r="K404" i="8"/>
  <c r="G404" i="8"/>
  <c r="F404" i="8"/>
  <c r="D404" i="8"/>
  <c r="C404" i="8"/>
  <c r="A404" i="8"/>
  <c r="L403" i="8"/>
  <c r="K403" i="8"/>
  <c r="G403" i="8"/>
  <c r="F403" i="8"/>
  <c r="D403" i="8"/>
  <c r="C403" i="8"/>
  <c r="A403" i="8"/>
  <c r="L402" i="8"/>
  <c r="K402" i="8"/>
  <c r="G402" i="8"/>
  <c r="F402" i="8"/>
  <c r="D402" i="8"/>
  <c r="C402" i="8"/>
  <c r="A402" i="8"/>
  <c r="L401" i="8"/>
  <c r="K401" i="8"/>
  <c r="G401" i="8"/>
  <c r="F401" i="8"/>
  <c r="D401" i="8"/>
  <c r="C401" i="8"/>
  <c r="A401" i="8"/>
  <c r="L400" i="8"/>
  <c r="K400" i="8"/>
  <c r="G400" i="8"/>
  <c r="F400" i="8"/>
  <c r="D400" i="8"/>
  <c r="C400" i="8"/>
  <c r="A400" i="8"/>
  <c r="L399" i="8"/>
  <c r="K399" i="8"/>
  <c r="G399" i="8"/>
  <c r="F399" i="8"/>
  <c r="D399" i="8"/>
  <c r="C399" i="8"/>
  <c r="A399" i="8"/>
  <c r="L398" i="8"/>
  <c r="K398" i="8"/>
  <c r="G398" i="8"/>
  <c r="F398" i="8"/>
  <c r="D398" i="8"/>
  <c r="C398" i="8"/>
  <c r="A398" i="8"/>
  <c r="L397" i="8"/>
  <c r="K397" i="8"/>
  <c r="G397" i="8"/>
  <c r="F397" i="8"/>
  <c r="D397" i="8"/>
  <c r="C397" i="8"/>
  <c r="A397" i="8"/>
  <c r="L396" i="8"/>
  <c r="K396" i="8"/>
  <c r="G396" i="8"/>
  <c r="F396" i="8"/>
  <c r="D396" i="8"/>
  <c r="C396" i="8"/>
  <c r="A396" i="8"/>
  <c r="L395" i="8"/>
  <c r="K395" i="8"/>
  <c r="G395" i="8"/>
  <c r="F395" i="8"/>
  <c r="D395" i="8"/>
  <c r="C395" i="8"/>
  <c r="A395" i="8"/>
  <c r="L394" i="8"/>
  <c r="K394" i="8"/>
  <c r="G394" i="8"/>
  <c r="F394" i="8"/>
  <c r="D394" i="8"/>
  <c r="C394" i="8"/>
  <c r="A394" i="8"/>
  <c r="L393" i="8"/>
  <c r="K393" i="8"/>
  <c r="G393" i="8"/>
  <c r="F393" i="8"/>
  <c r="D393" i="8"/>
  <c r="C393" i="8"/>
  <c r="A393" i="8"/>
  <c r="L392" i="8"/>
  <c r="K392" i="8"/>
  <c r="G392" i="8"/>
  <c r="F392" i="8"/>
  <c r="D392" i="8"/>
  <c r="C392" i="8"/>
  <c r="A392" i="8"/>
  <c r="L391" i="8"/>
  <c r="K391" i="8"/>
  <c r="G391" i="8"/>
  <c r="F391" i="8"/>
  <c r="D391" i="8"/>
  <c r="C391" i="8"/>
  <c r="A391" i="8"/>
  <c r="L390" i="8"/>
  <c r="K390" i="8"/>
  <c r="G390" i="8"/>
  <c r="F390" i="8"/>
  <c r="D390" i="8"/>
  <c r="C390" i="8"/>
  <c r="A390" i="8"/>
  <c r="L389" i="8"/>
  <c r="K389" i="8"/>
  <c r="G389" i="8"/>
  <c r="F389" i="8"/>
  <c r="D389" i="8"/>
  <c r="C389" i="8"/>
  <c r="A389" i="8"/>
  <c r="L388" i="8"/>
  <c r="K388" i="8"/>
  <c r="G388" i="8"/>
  <c r="F388" i="8"/>
  <c r="D388" i="8"/>
  <c r="C388" i="8"/>
  <c r="A388" i="8"/>
  <c r="L387" i="8"/>
  <c r="K387" i="8"/>
  <c r="G387" i="8"/>
  <c r="F387" i="8"/>
  <c r="D387" i="8"/>
  <c r="C387" i="8"/>
  <c r="A387" i="8"/>
  <c r="L386" i="8"/>
  <c r="K386" i="8"/>
  <c r="G386" i="8"/>
  <c r="F386" i="8"/>
  <c r="D386" i="8"/>
  <c r="C386" i="8"/>
  <c r="A386" i="8"/>
  <c r="L385" i="8"/>
  <c r="K385" i="8"/>
  <c r="G385" i="8"/>
  <c r="F385" i="8"/>
  <c r="D385" i="8"/>
  <c r="C385" i="8"/>
  <c r="A385" i="8"/>
  <c r="L384" i="8"/>
  <c r="K384" i="8"/>
  <c r="G384" i="8"/>
  <c r="F384" i="8"/>
  <c r="D384" i="8"/>
  <c r="C384" i="8"/>
  <c r="A384" i="8"/>
  <c r="L383" i="8"/>
  <c r="K383" i="8"/>
  <c r="G383" i="8"/>
  <c r="F383" i="8"/>
  <c r="D383" i="8"/>
  <c r="C383" i="8"/>
  <c r="A383" i="8"/>
  <c r="L382" i="8"/>
  <c r="K382" i="8"/>
  <c r="G382" i="8"/>
  <c r="F382" i="8"/>
  <c r="D382" i="8"/>
  <c r="C382" i="8"/>
  <c r="A382" i="8"/>
  <c r="L381" i="8"/>
  <c r="K381" i="8"/>
  <c r="G381" i="8"/>
  <c r="F381" i="8"/>
  <c r="D381" i="8"/>
  <c r="C381" i="8"/>
  <c r="A381" i="8"/>
  <c r="L380" i="8"/>
  <c r="K380" i="8"/>
  <c r="G380" i="8"/>
  <c r="F380" i="8"/>
  <c r="D380" i="8"/>
  <c r="C380" i="8"/>
  <c r="A380" i="8"/>
  <c r="L379" i="8"/>
  <c r="K379" i="8"/>
  <c r="G379" i="8"/>
  <c r="F379" i="8"/>
  <c r="D379" i="8"/>
  <c r="C379" i="8"/>
  <c r="A379" i="8"/>
  <c r="L378" i="8"/>
  <c r="K378" i="8"/>
  <c r="G378" i="8"/>
  <c r="F378" i="8"/>
  <c r="D378" i="8"/>
  <c r="C378" i="8"/>
  <c r="A378" i="8"/>
  <c r="L377" i="8"/>
  <c r="K377" i="8"/>
  <c r="G377" i="8"/>
  <c r="F377" i="8"/>
  <c r="D377" i="8"/>
  <c r="C377" i="8"/>
  <c r="A377" i="8"/>
  <c r="L376" i="8"/>
  <c r="K376" i="8"/>
  <c r="G376" i="8"/>
  <c r="F376" i="8"/>
  <c r="D376" i="8"/>
  <c r="C376" i="8"/>
  <c r="A376" i="8"/>
  <c r="L375" i="8"/>
  <c r="K375" i="8"/>
  <c r="G375" i="8"/>
  <c r="F375" i="8"/>
  <c r="D375" i="8"/>
  <c r="C375" i="8"/>
  <c r="A375" i="8"/>
  <c r="L374" i="8"/>
  <c r="K374" i="8"/>
  <c r="G374" i="8"/>
  <c r="F374" i="8"/>
  <c r="D374" i="8"/>
  <c r="C374" i="8"/>
  <c r="A374" i="8"/>
  <c r="L373" i="8"/>
  <c r="K373" i="8"/>
  <c r="G373" i="8"/>
  <c r="F373" i="8"/>
  <c r="D373" i="8"/>
  <c r="C373" i="8"/>
  <c r="A373" i="8"/>
  <c r="L372" i="8"/>
  <c r="K372" i="8"/>
  <c r="G372" i="8"/>
  <c r="F372" i="8"/>
  <c r="D372" i="8"/>
  <c r="C372" i="8"/>
  <c r="A372" i="8"/>
  <c r="L371" i="8"/>
  <c r="K371" i="8"/>
  <c r="G371" i="8"/>
  <c r="F371" i="8"/>
  <c r="D371" i="8"/>
  <c r="C371" i="8"/>
  <c r="A371" i="8"/>
  <c r="L370" i="8"/>
  <c r="K370" i="8"/>
  <c r="G370" i="8"/>
  <c r="F370" i="8"/>
  <c r="D370" i="8"/>
  <c r="C370" i="8"/>
  <c r="A370" i="8"/>
  <c r="L369" i="8"/>
  <c r="K369" i="8"/>
  <c r="G369" i="8"/>
  <c r="F369" i="8"/>
  <c r="D369" i="8"/>
  <c r="C369" i="8"/>
  <c r="A369" i="8"/>
  <c r="L368" i="8"/>
  <c r="K368" i="8"/>
  <c r="G368" i="8"/>
  <c r="F368" i="8"/>
  <c r="D368" i="8"/>
  <c r="C368" i="8"/>
  <c r="A368" i="8"/>
  <c r="L367" i="8"/>
  <c r="K367" i="8"/>
  <c r="G367" i="8"/>
  <c r="F367" i="8"/>
  <c r="D367" i="8"/>
  <c r="C367" i="8"/>
  <c r="A367" i="8"/>
  <c r="L366" i="8"/>
  <c r="K366" i="8"/>
  <c r="G366" i="8"/>
  <c r="F366" i="8"/>
  <c r="D366" i="8"/>
  <c r="C366" i="8"/>
  <c r="A366" i="8"/>
  <c r="L365" i="8"/>
  <c r="K365" i="8"/>
  <c r="G365" i="8"/>
  <c r="F365" i="8"/>
  <c r="D365" i="8"/>
  <c r="C365" i="8"/>
  <c r="A365" i="8"/>
  <c r="L364" i="8"/>
  <c r="K364" i="8"/>
  <c r="G364" i="8"/>
  <c r="F364" i="8"/>
  <c r="D364" i="8"/>
  <c r="C364" i="8"/>
  <c r="A364" i="8"/>
  <c r="L363" i="8"/>
  <c r="K363" i="8"/>
  <c r="G363" i="8"/>
  <c r="F363" i="8"/>
  <c r="D363" i="8"/>
  <c r="C363" i="8"/>
  <c r="A363" i="8"/>
  <c r="L362" i="8"/>
  <c r="K362" i="8"/>
  <c r="G362" i="8"/>
  <c r="F362" i="8"/>
  <c r="D362" i="8"/>
  <c r="C362" i="8"/>
  <c r="A362" i="8"/>
  <c r="L361" i="8"/>
  <c r="K361" i="8"/>
  <c r="G361" i="8"/>
  <c r="F361" i="8"/>
  <c r="D361" i="8"/>
  <c r="C361" i="8"/>
  <c r="A361" i="8"/>
  <c r="L360" i="8"/>
  <c r="K360" i="8"/>
  <c r="G360" i="8"/>
  <c r="F360" i="8"/>
  <c r="D360" i="8"/>
  <c r="C360" i="8"/>
  <c r="A360" i="8"/>
  <c r="L359" i="8"/>
  <c r="K359" i="8"/>
  <c r="G359" i="8"/>
  <c r="F359" i="8"/>
  <c r="D359" i="8"/>
  <c r="C359" i="8"/>
  <c r="A359" i="8"/>
  <c r="L358" i="8"/>
  <c r="K358" i="8"/>
  <c r="G358" i="8"/>
  <c r="F358" i="8"/>
  <c r="D358" i="8"/>
  <c r="C358" i="8"/>
  <c r="A358" i="8"/>
  <c r="L357" i="8"/>
  <c r="K357" i="8"/>
  <c r="G357" i="8"/>
  <c r="F357" i="8"/>
  <c r="D357" i="8"/>
  <c r="C357" i="8"/>
  <c r="A357" i="8"/>
  <c r="L356" i="8"/>
  <c r="K356" i="8"/>
  <c r="G356" i="8"/>
  <c r="F356" i="8"/>
  <c r="D356" i="8"/>
  <c r="C356" i="8"/>
  <c r="A356" i="8"/>
  <c r="L355" i="8"/>
  <c r="K355" i="8"/>
  <c r="G355" i="8"/>
  <c r="F355" i="8"/>
  <c r="D355" i="8"/>
  <c r="C355" i="8"/>
  <c r="A355" i="8"/>
  <c r="L354" i="8"/>
  <c r="K354" i="8"/>
  <c r="G354" i="8"/>
  <c r="F354" i="8"/>
  <c r="D354" i="8"/>
  <c r="C354" i="8"/>
  <c r="A354" i="8"/>
  <c r="L353" i="8"/>
  <c r="K353" i="8"/>
  <c r="G353" i="8"/>
  <c r="F353" i="8"/>
  <c r="D353" i="8"/>
  <c r="C353" i="8"/>
  <c r="A353" i="8"/>
  <c r="L352" i="8"/>
  <c r="K352" i="8"/>
  <c r="G352" i="8"/>
  <c r="F352" i="8"/>
  <c r="D352" i="8"/>
  <c r="C352" i="8"/>
  <c r="A352" i="8"/>
  <c r="L351" i="8"/>
  <c r="K351" i="8"/>
  <c r="G351" i="8"/>
  <c r="F351" i="8"/>
  <c r="D351" i="8"/>
  <c r="C351" i="8"/>
  <c r="A351" i="8"/>
  <c r="L350" i="8"/>
  <c r="K350" i="8"/>
  <c r="G350" i="8"/>
  <c r="F350" i="8"/>
  <c r="D350" i="8"/>
  <c r="C350" i="8"/>
  <c r="A350" i="8"/>
  <c r="L349" i="8"/>
  <c r="K349" i="8"/>
  <c r="G349" i="8"/>
  <c r="F349" i="8"/>
  <c r="D349" i="8"/>
  <c r="C349" i="8"/>
  <c r="A349" i="8"/>
  <c r="L348" i="8"/>
  <c r="K348" i="8"/>
  <c r="G348" i="8"/>
  <c r="F348" i="8"/>
  <c r="D348" i="8"/>
  <c r="C348" i="8"/>
  <c r="A348" i="8"/>
  <c r="L347" i="8"/>
  <c r="K347" i="8"/>
  <c r="G347" i="8"/>
  <c r="F347" i="8"/>
  <c r="D347" i="8"/>
  <c r="C347" i="8"/>
  <c r="A347" i="8"/>
  <c r="L346" i="8"/>
  <c r="K346" i="8"/>
  <c r="G346" i="8"/>
  <c r="F346" i="8"/>
  <c r="D346" i="8"/>
  <c r="C346" i="8"/>
  <c r="A346" i="8"/>
  <c r="L345" i="8"/>
  <c r="K345" i="8"/>
  <c r="G345" i="8"/>
  <c r="F345" i="8"/>
  <c r="D345" i="8"/>
  <c r="C345" i="8"/>
  <c r="A345" i="8"/>
  <c r="L344" i="8"/>
  <c r="K344" i="8"/>
  <c r="G344" i="8"/>
  <c r="F344" i="8"/>
  <c r="D344" i="8"/>
  <c r="C344" i="8"/>
  <c r="A344" i="8"/>
  <c r="L343" i="8"/>
  <c r="K343" i="8"/>
  <c r="G343" i="8"/>
  <c r="F343" i="8"/>
  <c r="D343" i="8"/>
  <c r="C343" i="8"/>
  <c r="A343" i="8"/>
  <c r="L342" i="8"/>
  <c r="K342" i="8"/>
  <c r="G342" i="8"/>
  <c r="F342" i="8"/>
  <c r="D342" i="8"/>
  <c r="C342" i="8"/>
  <c r="A342" i="8"/>
  <c r="L341" i="8"/>
  <c r="K341" i="8"/>
  <c r="G341" i="8"/>
  <c r="F341" i="8"/>
  <c r="D341" i="8"/>
  <c r="C341" i="8"/>
  <c r="A341" i="8"/>
  <c r="L340" i="8"/>
  <c r="K340" i="8"/>
  <c r="G340" i="8"/>
  <c r="F340" i="8"/>
  <c r="D340" i="8"/>
  <c r="C340" i="8"/>
  <c r="A340" i="8"/>
  <c r="L339" i="8"/>
  <c r="K339" i="8"/>
  <c r="G339" i="8"/>
  <c r="F339" i="8"/>
  <c r="D339" i="8"/>
  <c r="C339" i="8"/>
  <c r="A339" i="8"/>
  <c r="L338" i="8"/>
  <c r="K338" i="8"/>
  <c r="G338" i="8"/>
  <c r="F338" i="8"/>
  <c r="D338" i="8"/>
  <c r="C338" i="8"/>
  <c r="A338" i="8"/>
  <c r="L337" i="8"/>
  <c r="K337" i="8"/>
  <c r="G337" i="8"/>
  <c r="F337" i="8"/>
  <c r="D337" i="8"/>
  <c r="C337" i="8"/>
  <c r="A337" i="8"/>
  <c r="L336" i="8"/>
  <c r="K336" i="8"/>
  <c r="G336" i="8"/>
  <c r="F336" i="8"/>
  <c r="D336" i="8"/>
  <c r="C336" i="8"/>
  <c r="A336" i="8"/>
  <c r="L335" i="8"/>
  <c r="K335" i="8"/>
  <c r="G335" i="8"/>
  <c r="F335" i="8"/>
  <c r="D335" i="8"/>
  <c r="C335" i="8"/>
  <c r="A335" i="8"/>
  <c r="L334" i="8"/>
  <c r="K334" i="8"/>
  <c r="G334" i="8"/>
  <c r="F334" i="8"/>
  <c r="D334" i="8"/>
  <c r="C334" i="8"/>
  <c r="A334" i="8"/>
  <c r="L333" i="8"/>
  <c r="K333" i="8"/>
  <c r="G333" i="8"/>
  <c r="F333" i="8"/>
  <c r="D333" i="8"/>
  <c r="C333" i="8"/>
  <c r="A333" i="8"/>
  <c r="L332" i="8"/>
  <c r="K332" i="8"/>
  <c r="G332" i="8"/>
  <c r="F332" i="8"/>
  <c r="D332" i="8"/>
  <c r="C332" i="8"/>
  <c r="A332" i="8"/>
  <c r="L331" i="8"/>
  <c r="K331" i="8"/>
  <c r="G331" i="8"/>
  <c r="F331" i="8"/>
  <c r="D331" i="8"/>
  <c r="C331" i="8"/>
  <c r="A331" i="8"/>
  <c r="L330" i="8"/>
  <c r="K330" i="8"/>
  <c r="G330" i="8"/>
  <c r="F330" i="8"/>
  <c r="D330" i="8"/>
  <c r="C330" i="8"/>
  <c r="A330" i="8"/>
  <c r="L329" i="8"/>
  <c r="K329" i="8"/>
  <c r="G329" i="8"/>
  <c r="F329" i="8"/>
  <c r="D329" i="8"/>
  <c r="C329" i="8"/>
  <c r="A329" i="8"/>
  <c r="L328" i="8"/>
  <c r="K328" i="8"/>
  <c r="G328" i="8"/>
  <c r="F328" i="8"/>
  <c r="D328" i="8"/>
  <c r="C328" i="8"/>
  <c r="A328" i="8"/>
  <c r="L327" i="8"/>
  <c r="K327" i="8"/>
  <c r="G327" i="8"/>
  <c r="F327" i="8"/>
  <c r="D327" i="8"/>
  <c r="C327" i="8"/>
  <c r="A327" i="8"/>
  <c r="L326" i="8"/>
  <c r="K326" i="8"/>
  <c r="G326" i="8"/>
  <c r="F326" i="8"/>
  <c r="D326" i="8"/>
  <c r="C326" i="8"/>
  <c r="A326" i="8"/>
  <c r="L325" i="8"/>
  <c r="K325" i="8"/>
  <c r="G325" i="8"/>
  <c r="F325" i="8"/>
  <c r="D325" i="8"/>
  <c r="C325" i="8"/>
  <c r="A325" i="8"/>
  <c r="L324" i="8"/>
  <c r="K324" i="8"/>
  <c r="G324" i="8"/>
  <c r="F324" i="8"/>
  <c r="D324" i="8"/>
  <c r="C324" i="8"/>
  <c r="A324" i="8"/>
  <c r="L323" i="8"/>
  <c r="K323" i="8"/>
  <c r="G323" i="8"/>
  <c r="F323" i="8"/>
  <c r="D323" i="8"/>
  <c r="C323" i="8"/>
  <c r="A323" i="8"/>
  <c r="L322" i="8"/>
  <c r="K322" i="8"/>
  <c r="G322" i="8"/>
  <c r="F322" i="8"/>
  <c r="D322" i="8"/>
  <c r="C322" i="8"/>
  <c r="A322" i="8"/>
  <c r="L321" i="8"/>
  <c r="K321" i="8"/>
  <c r="G321" i="8"/>
  <c r="F321" i="8"/>
  <c r="D321" i="8"/>
  <c r="C321" i="8"/>
  <c r="A321" i="8"/>
  <c r="L320" i="8"/>
  <c r="K320" i="8"/>
  <c r="G320" i="8"/>
  <c r="F320" i="8"/>
  <c r="D320" i="8"/>
  <c r="C320" i="8"/>
  <c r="A320" i="8"/>
  <c r="L319" i="8"/>
  <c r="K319" i="8"/>
  <c r="G319" i="8"/>
  <c r="F319" i="8"/>
  <c r="D319" i="8"/>
  <c r="C319" i="8"/>
  <c r="A319" i="8"/>
  <c r="L318" i="8"/>
  <c r="K318" i="8"/>
  <c r="G318" i="8"/>
  <c r="F318" i="8"/>
  <c r="D318" i="8"/>
  <c r="C318" i="8"/>
  <c r="A318" i="8"/>
  <c r="L317" i="8"/>
  <c r="K317" i="8"/>
  <c r="G317" i="8"/>
  <c r="F317" i="8"/>
  <c r="D317" i="8"/>
  <c r="C317" i="8"/>
  <c r="A317" i="8"/>
  <c r="L316" i="8"/>
  <c r="K316" i="8"/>
  <c r="G316" i="8"/>
  <c r="F316" i="8"/>
  <c r="D316" i="8"/>
  <c r="C316" i="8"/>
  <c r="A316" i="8"/>
  <c r="L315" i="8"/>
  <c r="K315" i="8"/>
  <c r="G315" i="8"/>
  <c r="F315" i="8"/>
  <c r="D315" i="8"/>
  <c r="C315" i="8"/>
  <c r="A315" i="8"/>
  <c r="L314" i="8"/>
  <c r="K314" i="8"/>
  <c r="G314" i="8"/>
  <c r="F314" i="8"/>
  <c r="D314" i="8"/>
  <c r="C314" i="8"/>
  <c r="A314" i="8"/>
  <c r="L313" i="8"/>
  <c r="K313" i="8"/>
  <c r="G313" i="8"/>
  <c r="F313" i="8"/>
  <c r="D313" i="8"/>
  <c r="C313" i="8"/>
  <c r="A313" i="8"/>
  <c r="L312" i="8"/>
  <c r="K312" i="8"/>
  <c r="G312" i="8"/>
  <c r="F312" i="8"/>
  <c r="D312" i="8"/>
  <c r="C312" i="8"/>
  <c r="A312" i="8"/>
  <c r="L311" i="8"/>
  <c r="K311" i="8"/>
  <c r="G311" i="8"/>
  <c r="F311" i="8"/>
  <c r="D311" i="8"/>
  <c r="C311" i="8"/>
  <c r="A311" i="8"/>
  <c r="L310" i="8"/>
  <c r="K310" i="8"/>
  <c r="G310" i="8"/>
  <c r="F310" i="8"/>
  <c r="D310" i="8"/>
  <c r="C310" i="8"/>
  <c r="A310" i="8"/>
  <c r="L309" i="8"/>
  <c r="K309" i="8"/>
  <c r="G309" i="8"/>
  <c r="F309" i="8"/>
  <c r="D309" i="8"/>
  <c r="C309" i="8"/>
  <c r="A309" i="8"/>
  <c r="L308" i="8"/>
  <c r="K308" i="8"/>
  <c r="G308" i="8"/>
  <c r="F308" i="8"/>
  <c r="D308" i="8"/>
  <c r="C308" i="8"/>
  <c r="A308" i="8"/>
  <c r="L307" i="8"/>
  <c r="K307" i="8"/>
  <c r="G307" i="8"/>
  <c r="F307" i="8"/>
  <c r="D307" i="8"/>
  <c r="C307" i="8"/>
  <c r="A307" i="8"/>
  <c r="L306" i="8"/>
  <c r="K306" i="8"/>
  <c r="G306" i="8"/>
  <c r="F306" i="8"/>
  <c r="D306" i="8"/>
  <c r="C306" i="8"/>
  <c r="A306" i="8"/>
  <c r="L305" i="8"/>
  <c r="K305" i="8"/>
  <c r="G305" i="8"/>
  <c r="F305" i="8"/>
  <c r="D305" i="8"/>
  <c r="C305" i="8"/>
  <c r="A305" i="8"/>
  <c r="L304" i="8"/>
  <c r="K304" i="8"/>
  <c r="G304" i="8"/>
  <c r="F304" i="8"/>
  <c r="D304" i="8"/>
  <c r="C304" i="8"/>
  <c r="A304" i="8"/>
  <c r="L303" i="8"/>
  <c r="K303" i="8"/>
  <c r="G303" i="8"/>
  <c r="F303" i="8"/>
  <c r="D303" i="8"/>
  <c r="C303" i="8"/>
  <c r="A303" i="8"/>
  <c r="L302" i="8"/>
  <c r="K302" i="8"/>
  <c r="G302" i="8"/>
  <c r="F302" i="8"/>
  <c r="D302" i="8"/>
  <c r="C302" i="8"/>
  <c r="A302" i="8"/>
  <c r="L301" i="8"/>
  <c r="K301" i="8"/>
  <c r="G301" i="8"/>
  <c r="F301" i="8"/>
  <c r="D301" i="8"/>
  <c r="C301" i="8"/>
  <c r="A301" i="8"/>
  <c r="L300" i="8"/>
  <c r="K300" i="8"/>
  <c r="G300" i="8"/>
  <c r="F300" i="8"/>
  <c r="D300" i="8"/>
  <c r="C300" i="8"/>
  <c r="A300" i="8"/>
  <c r="L299" i="8"/>
  <c r="K299" i="8"/>
  <c r="G299" i="8"/>
  <c r="F299" i="8"/>
  <c r="D299" i="8"/>
  <c r="C299" i="8"/>
  <c r="A299" i="8"/>
  <c r="L298" i="8"/>
  <c r="K298" i="8"/>
  <c r="G298" i="8"/>
  <c r="F298" i="8"/>
  <c r="D298" i="8"/>
  <c r="C298" i="8"/>
  <c r="A298" i="8"/>
  <c r="L297" i="8"/>
  <c r="K297" i="8"/>
  <c r="G297" i="8"/>
  <c r="F297" i="8"/>
  <c r="D297" i="8"/>
  <c r="C297" i="8"/>
  <c r="A297" i="8"/>
  <c r="L296" i="8"/>
  <c r="K296" i="8"/>
  <c r="G296" i="8"/>
  <c r="F296" i="8"/>
  <c r="D296" i="8"/>
  <c r="C296" i="8"/>
  <c r="A296" i="8"/>
  <c r="L295" i="8"/>
  <c r="K295" i="8"/>
  <c r="G295" i="8"/>
  <c r="F295" i="8"/>
  <c r="D295" i="8"/>
  <c r="C295" i="8"/>
  <c r="A295" i="8"/>
  <c r="L294" i="8"/>
  <c r="K294" i="8"/>
  <c r="G294" i="8"/>
  <c r="F294" i="8"/>
  <c r="D294" i="8"/>
  <c r="C294" i="8"/>
  <c r="A294" i="8"/>
  <c r="L293" i="8"/>
  <c r="K293" i="8"/>
  <c r="G293" i="8"/>
  <c r="F293" i="8"/>
  <c r="D293" i="8"/>
  <c r="C293" i="8"/>
  <c r="A293" i="8"/>
  <c r="L292" i="8"/>
  <c r="K292" i="8"/>
  <c r="G292" i="8"/>
  <c r="F292" i="8"/>
  <c r="D292" i="8"/>
  <c r="C292" i="8"/>
  <c r="A292" i="8"/>
  <c r="L291" i="8"/>
  <c r="K291" i="8"/>
  <c r="G291" i="8"/>
  <c r="F291" i="8"/>
  <c r="D291" i="8"/>
  <c r="C291" i="8"/>
  <c r="A291" i="8"/>
  <c r="L290" i="8"/>
  <c r="K290" i="8"/>
  <c r="G290" i="8"/>
  <c r="F290" i="8"/>
  <c r="D290" i="8"/>
  <c r="C290" i="8"/>
  <c r="A290" i="8"/>
  <c r="L289" i="8"/>
  <c r="K289" i="8"/>
  <c r="G289" i="8"/>
  <c r="F289" i="8"/>
  <c r="D289" i="8"/>
  <c r="C289" i="8"/>
  <c r="A289" i="8"/>
  <c r="L288" i="8"/>
  <c r="K288" i="8"/>
  <c r="G288" i="8"/>
  <c r="F288" i="8"/>
  <c r="D288" i="8"/>
  <c r="C288" i="8"/>
  <c r="A288" i="8"/>
  <c r="L287" i="8"/>
  <c r="K287" i="8"/>
  <c r="G287" i="8"/>
  <c r="F287" i="8"/>
  <c r="D287" i="8"/>
  <c r="C287" i="8"/>
  <c r="A287" i="8"/>
  <c r="L286" i="8"/>
  <c r="K286" i="8"/>
  <c r="G286" i="8"/>
  <c r="F286" i="8"/>
  <c r="D286" i="8"/>
  <c r="C286" i="8"/>
  <c r="A286" i="8"/>
  <c r="L285" i="8"/>
  <c r="K285" i="8"/>
  <c r="G285" i="8"/>
  <c r="F285" i="8"/>
  <c r="D285" i="8"/>
  <c r="C285" i="8"/>
  <c r="A285" i="8"/>
  <c r="L284" i="8"/>
  <c r="K284" i="8"/>
  <c r="G284" i="8"/>
  <c r="F284" i="8"/>
  <c r="D284" i="8"/>
  <c r="C284" i="8"/>
  <c r="A284" i="8"/>
  <c r="L283" i="8"/>
  <c r="K283" i="8"/>
  <c r="G283" i="8"/>
  <c r="F283" i="8"/>
  <c r="D283" i="8"/>
  <c r="C283" i="8"/>
  <c r="A283" i="8"/>
  <c r="L282" i="8"/>
  <c r="K282" i="8"/>
  <c r="G282" i="8"/>
  <c r="F282" i="8"/>
  <c r="D282" i="8"/>
  <c r="C282" i="8"/>
  <c r="A282" i="8"/>
  <c r="L281" i="8"/>
  <c r="K281" i="8"/>
  <c r="G281" i="8"/>
  <c r="F281" i="8"/>
  <c r="D281" i="8"/>
  <c r="C281" i="8"/>
  <c r="A281" i="8"/>
  <c r="L280" i="8"/>
  <c r="K280" i="8"/>
  <c r="G280" i="8"/>
  <c r="F280" i="8"/>
  <c r="D280" i="8"/>
  <c r="C280" i="8"/>
  <c r="A280" i="8"/>
  <c r="L279" i="8"/>
  <c r="K279" i="8"/>
  <c r="G279" i="8"/>
  <c r="F279" i="8"/>
  <c r="D279" i="8"/>
  <c r="C279" i="8"/>
  <c r="A279" i="8"/>
  <c r="L278" i="8"/>
  <c r="K278" i="8"/>
  <c r="G278" i="8"/>
  <c r="F278" i="8"/>
  <c r="D278" i="8"/>
  <c r="C278" i="8"/>
  <c r="A278" i="8"/>
  <c r="L277" i="8"/>
  <c r="K277" i="8"/>
  <c r="G277" i="8"/>
  <c r="F277" i="8"/>
  <c r="D277" i="8"/>
  <c r="C277" i="8"/>
  <c r="A277" i="8"/>
  <c r="L276" i="8"/>
  <c r="K276" i="8"/>
  <c r="G276" i="8"/>
  <c r="F276" i="8"/>
  <c r="D276" i="8"/>
  <c r="C276" i="8"/>
  <c r="A276" i="8"/>
  <c r="L275" i="8"/>
  <c r="K275" i="8"/>
  <c r="G275" i="8"/>
  <c r="F275" i="8"/>
  <c r="D275" i="8"/>
  <c r="C275" i="8"/>
  <c r="A275" i="8"/>
  <c r="L274" i="8"/>
  <c r="K274" i="8"/>
  <c r="G274" i="8"/>
  <c r="F274" i="8"/>
  <c r="D274" i="8"/>
  <c r="C274" i="8"/>
  <c r="A274" i="8"/>
  <c r="L273" i="8"/>
  <c r="K273" i="8"/>
  <c r="G273" i="8"/>
  <c r="F273" i="8"/>
  <c r="D273" i="8"/>
  <c r="C273" i="8"/>
  <c r="A273" i="8"/>
  <c r="L272" i="8"/>
  <c r="K272" i="8"/>
  <c r="G272" i="8"/>
  <c r="F272" i="8"/>
  <c r="D272" i="8"/>
  <c r="C272" i="8"/>
  <c r="A272" i="8"/>
  <c r="L271" i="8"/>
  <c r="K271" i="8"/>
  <c r="G271" i="8"/>
  <c r="F271" i="8"/>
  <c r="D271" i="8"/>
  <c r="C271" i="8"/>
  <c r="A271" i="8"/>
  <c r="L270" i="8"/>
  <c r="K270" i="8"/>
  <c r="G270" i="8"/>
  <c r="F270" i="8"/>
  <c r="D270" i="8"/>
  <c r="C270" i="8"/>
  <c r="A270" i="8"/>
  <c r="L269" i="8"/>
  <c r="K269" i="8"/>
  <c r="G269" i="8"/>
  <c r="F269" i="8"/>
  <c r="D269" i="8"/>
  <c r="C269" i="8"/>
  <c r="A269" i="8"/>
  <c r="L268" i="8"/>
  <c r="K268" i="8"/>
  <c r="G268" i="8"/>
  <c r="F268" i="8"/>
  <c r="D268" i="8"/>
  <c r="C268" i="8"/>
  <c r="A268" i="8"/>
  <c r="L267" i="8"/>
  <c r="K267" i="8"/>
  <c r="G267" i="8"/>
  <c r="F267" i="8"/>
  <c r="D267" i="8"/>
  <c r="C267" i="8"/>
  <c r="A267" i="8"/>
  <c r="L266" i="8"/>
  <c r="K266" i="8"/>
  <c r="G266" i="8"/>
  <c r="F266" i="8"/>
  <c r="D266" i="8"/>
  <c r="C266" i="8"/>
  <c r="A266" i="8"/>
  <c r="L265" i="8"/>
  <c r="K265" i="8"/>
  <c r="G265" i="8"/>
  <c r="F265" i="8"/>
  <c r="D265" i="8"/>
  <c r="C265" i="8"/>
  <c r="A265" i="8"/>
  <c r="L264" i="8"/>
  <c r="K264" i="8"/>
  <c r="G264" i="8"/>
  <c r="F264" i="8"/>
  <c r="D264" i="8"/>
  <c r="C264" i="8"/>
  <c r="A264" i="8"/>
  <c r="L263" i="8"/>
  <c r="K263" i="8"/>
  <c r="G263" i="8"/>
  <c r="F263" i="8"/>
  <c r="D263" i="8"/>
  <c r="C263" i="8"/>
  <c r="A263" i="8"/>
  <c r="L262" i="8"/>
  <c r="K262" i="8"/>
  <c r="G262" i="8"/>
  <c r="F262" i="8"/>
  <c r="D262" i="8"/>
  <c r="C262" i="8"/>
  <c r="A262" i="8"/>
  <c r="L261" i="8"/>
  <c r="K261" i="8"/>
  <c r="G261" i="8"/>
  <c r="F261" i="8"/>
  <c r="D261" i="8"/>
  <c r="C261" i="8"/>
  <c r="A261" i="8"/>
  <c r="L260" i="8"/>
  <c r="K260" i="8"/>
  <c r="G260" i="8"/>
  <c r="F260" i="8"/>
  <c r="D260" i="8"/>
  <c r="C260" i="8"/>
  <c r="A260" i="8"/>
  <c r="L259" i="8"/>
  <c r="K259" i="8"/>
  <c r="G259" i="8"/>
  <c r="F259" i="8"/>
  <c r="D259" i="8"/>
  <c r="C259" i="8"/>
  <c r="A259" i="8"/>
  <c r="L258" i="8"/>
  <c r="K258" i="8"/>
  <c r="G258" i="8"/>
  <c r="F258" i="8"/>
  <c r="D258" i="8"/>
  <c r="C258" i="8"/>
  <c r="A258" i="8"/>
  <c r="L257" i="8"/>
  <c r="K257" i="8"/>
  <c r="G257" i="8"/>
  <c r="F257" i="8"/>
  <c r="D257" i="8"/>
  <c r="C257" i="8"/>
  <c r="A257" i="8"/>
  <c r="L256" i="8"/>
  <c r="K256" i="8"/>
  <c r="G256" i="8"/>
  <c r="F256" i="8"/>
  <c r="D256" i="8"/>
  <c r="C256" i="8"/>
  <c r="A256" i="8"/>
  <c r="L255" i="8"/>
  <c r="K255" i="8"/>
  <c r="G255" i="8"/>
  <c r="F255" i="8"/>
  <c r="D255" i="8"/>
  <c r="C255" i="8"/>
  <c r="A255" i="8"/>
  <c r="L254" i="8"/>
  <c r="K254" i="8"/>
  <c r="G254" i="8"/>
  <c r="F254" i="8"/>
  <c r="D254" i="8"/>
  <c r="C254" i="8"/>
  <c r="A254" i="8"/>
  <c r="L253" i="8"/>
  <c r="K253" i="8"/>
  <c r="G253" i="8"/>
  <c r="F253" i="8"/>
  <c r="D253" i="8"/>
  <c r="C253" i="8"/>
  <c r="A253" i="8"/>
  <c r="L252" i="8"/>
  <c r="K252" i="8"/>
  <c r="G252" i="8"/>
  <c r="F252" i="8"/>
  <c r="D252" i="8"/>
  <c r="C252" i="8"/>
  <c r="A252" i="8"/>
  <c r="L251" i="8"/>
  <c r="K251" i="8"/>
  <c r="G251" i="8"/>
  <c r="F251" i="8"/>
  <c r="D251" i="8"/>
  <c r="C251" i="8"/>
  <c r="A251" i="8"/>
  <c r="L250" i="8"/>
  <c r="K250" i="8"/>
  <c r="G250" i="8"/>
  <c r="F250" i="8"/>
  <c r="D250" i="8"/>
  <c r="C250" i="8"/>
  <c r="A250" i="8"/>
  <c r="L249" i="8"/>
  <c r="K249" i="8"/>
  <c r="G249" i="8"/>
  <c r="F249" i="8"/>
  <c r="D249" i="8"/>
  <c r="C249" i="8"/>
  <c r="A249" i="8"/>
  <c r="L248" i="8"/>
  <c r="K248" i="8"/>
  <c r="G248" i="8"/>
  <c r="F248" i="8"/>
  <c r="D248" i="8"/>
  <c r="C248" i="8"/>
  <c r="A248" i="8"/>
  <c r="L247" i="8"/>
  <c r="K247" i="8"/>
  <c r="G247" i="8"/>
  <c r="F247" i="8"/>
  <c r="D247" i="8"/>
  <c r="C247" i="8"/>
  <c r="A247" i="8"/>
  <c r="L246" i="8"/>
  <c r="K246" i="8"/>
  <c r="G246" i="8"/>
  <c r="F246" i="8"/>
  <c r="D246" i="8"/>
  <c r="C246" i="8"/>
  <c r="A246" i="8"/>
  <c r="L245" i="8"/>
  <c r="K245" i="8"/>
  <c r="G245" i="8"/>
  <c r="F245" i="8"/>
  <c r="D245" i="8"/>
  <c r="C245" i="8"/>
  <c r="A245" i="8"/>
  <c r="L244" i="8"/>
  <c r="K244" i="8"/>
  <c r="G244" i="8"/>
  <c r="F244" i="8"/>
  <c r="D244" i="8"/>
  <c r="C244" i="8"/>
  <c r="A244" i="8"/>
  <c r="L243" i="8"/>
  <c r="K243" i="8"/>
  <c r="G243" i="8"/>
  <c r="F243" i="8"/>
  <c r="D243" i="8"/>
  <c r="C243" i="8"/>
  <c r="A243" i="8"/>
  <c r="L242" i="8"/>
  <c r="K242" i="8"/>
  <c r="G242" i="8"/>
  <c r="F242" i="8"/>
  <c r="D242" i="8"/>
  <c r="C242" i="8"/>
  <c r="A242" i="8"/>
  <c r="L241" i="8"/>
  <c r="K241" i="8"/>
  <c r="G241" i="8"/>
  <c r="F241" i="8"/>
  <c r="D241" i="8"/>
  <c r="C241" i="8"/>
  <c r="A241" i="8"/>
  <c r="L240" i="8"/>
  <c r="K240" i="8"/>
  <c r="G240" i="8"/>
  <c r="F240" i="8"/>
  <c r="D240" i="8"/>
  <c r="C240" i="8"/>
  <c r="A240" i="8"/>
  <c r="L239" i="8"/>
  <c r="K239" i="8"/>
  <c r="G239" i="8"/>
  <c r="F239" i="8"/>
  <c r="D239" i="8"/>
  <c r="C239" i="8"/>
  <c r="A239" i="8"/>
  <c r="L238" i="8"/>
  <c r="K238" i="8"/>
  <c r="G238" i="8"/>
  <c r="F238" i="8"/>
  <c r="D238" i="8"/>
  <c r="C238" i="8"/>
  <c r="A238" i="8"/>
  <c r="L237" i="8"/>
  <c r="K237" i="8"/>
  <c r="G237" i="8"/>
  <c r="F237" i="8"/>
  <c r="D237" i="8"/>
  <c r="C237" i="8"/>
  <c r="A237" i="8"/>
  <c r="L236" i="8"/>
  <c r="K236" i="8"/>
  <c r="G236" i="8"/>
  <c r="F236" i="8"/>
  <c r="D236" i="8"/>
  <c r="C236" i="8"/>
  <c r="A236" i="8"/>
  <c r="L235" i="8"/>
  <c r="K235" i="8"/>
  <c r="G235" i="8"/>
  <c r="F235" i="8"/>
  <c r="D235" i="8"/>
  <c r="C235" i="8"/>
  <c r="A235" i="8"/>
  <c r="L234" i="8"/>
  <c r="K234" i="8"/>
  <c r="G234" i="8"/>
  <c r="F234" i="8"/>
  <c r="D234" i="8"/>
  <c r="C234" i="8"/>
  <c r="A234" i="8"/>
  <c r="L233" i="8"/>
  <c r="K233" i="8"/>
  <c r="G233" i="8"/>
  <c r="F233" i="8"/>
  <c r="D233" i="8"/>
  <c r="C233" i="8"/>
  <c r="A233" i="8"/>
  <c r="L232" i="8"/>
  <c r="K232" i="8"/>
  <c r="G232" i="8"/>
  <c r="F232" i="8"/>
  <c r="D232" i="8"/>
  <c r="C232" i="8"/>
  <c r="A232" i="8"/>
  <c r="L231" i="8"/>
  <c r="K231" i="8"/>
  <c r="G231" i="8"/>
  <c r="F231" i="8"/>
  <c r="D231" i="8"/>
  <c r="C231" i="8"/>
  <c r="A231" i="8"/>
  <c r="L230" i="8"/>
  <c r="K230" i="8"/>
  <c r="G230" i="8"/>
  <c r="F230" i="8"/>
  <c r="D230" i="8"/>
  <c r="C230" i="8"/>
  <c r="A230" i="8"/>
  <c r="L229" i="8"/>
  <c r="K229" i="8"/>
  <c r="G229" i="8"/>
  <c r="F229" i="8"/>
  <c r="D229" i="8"/>
  <c r="C229" i="8"/>
  <c r="A229" i="8"/>
  <c r="L228" i="8"/>
  <c r="K228" i="8"/>
  <c r="G228" i="8"/>
  <c r="F228" i="8"/>
  <c r="D228" i="8"/>
  <c r="C228" i="8"/>
  <c r="A228" i="8"/>
  <c r="L227" i="8"/>
  <c r="K227" i="8"/>
  <c r="G227" i="8"/>
  <c r="F227" i="8"/>
  <c r="D227" i="8"/>
  <c r="C227" i="8"/>
  <c r="A227" i="8"/>
  <c r="L226" i="8"/>
  <c r="K226" i="8"/>
  <c r="G226" i="8"/>
  <c r="F226" i="8"/>
  <c r="D226" i="8"/>
  <c r="C226" i="8"/>
  <c r="A226" i="8"/>
  <c r="L225" i="8"/>
  <c r="K225" i="8"/>
  <c r="G225" i="8"/>
  <c r="F225" i="8"/>
  <c r="D225" i="8"/>
  <c r="C225" i="8"/>
  <c r="A225" i="8"/>
  <c r="L224" i="8"/>
  <c r="K224" i="8"/>
  <c r="G224" i="8"/>
  <c r="F224" i="8"/>
  <c r="D224" i="8"/>
  <c r="C224" i="8"/>
  <c r="A224" i="8"/>
  <c r="L223" i="8"/>
  <c r="K223" i="8"/>
  <c r="G223" i="8"/>
  <c r="F223" i="8"/>
  <c r="D223" i="8"/>
  <c r="C223" i="8"/>
  <c r="A223" i="8"/>
  <c r="L222" i="8"/>
  <c r="K222" i="8"/>
  <c r="G222" i="8"/>
  <c r="F222" i="8"/>
  <c r="D222" i="8"/>
  <c r="C222" i="8"/>
  <c r="A222" i="8"/>
  <c r="L221" i="8"/>
  <c r="K221" i="8"/>
  <c r="G221" i="8"/>
  <c r="F221" i="8"/>
  <c r="D221" i="8"/>
  <c r="C221" i="8"/>
  <c r="A221" i="8"/>
  <c r="L220" i="8"/>
  <c r="K220" i="8"/>
  <c r="G220" i="8"/>
  <c r="F220" i="8"/>
  <c r="D220" i="8"/>
  <c r="C220" i="8"/>
  <c r="A220" i="8"/>
  <c r="L219" i="8"/>
  <c r="K219" i="8"/>
  <c r="G219" i="8"/>
  <c r="F219" i="8"/>
  <c r="D219" i="8"/>
  <c r="C219" i="8"/>
  <c r="A219" i="8"/>
  <c r="L218" i="8"/>
  <c r="K218" i="8"/>
  <c r="G218" i="8"/>
  <c r="F218" i="8"/>
  <c r="D218" i="8"/>
  <c r="C218" i="8"/>
  <c r="A218" i="8"/>
  <c r="L217" i="8"/>
  <c r="K217" i="8"/>
  <c r="G217" i="8"/>
  <c r="F217" i="8"/>
  <c r="D217" i="8"/>
  <c r="C217" i="8"/>
  <c r="A217" i="8"/>
  <c r="L216" i="8"/>
  <c r="K216" i="8"/>
  <c r="G216" i="8"/>
  <c r="F216" i="8"/>
  <c r="D216" i="8"/>
  <c r="C216" i="8"/>
  <c r="A216" i="8"/>
  <c r="L215" i="8"/>
  <c r="K215" i="8"/>
  <c r="G215" i="8"/>
  <c r="F215" i="8"/>
  <c r="D215" i="8"/>
  <c r="C215" i="8"/>
  <c r="A215" i="8"/>
  <c r="L214" i="8"/>
  <c r="K214" i="8"/>
  <c r="G214" i="8"/>
  <c r="F214" i="8"/>
  <c r="D214" i="8"/>
  <c r="C214" i="8"/>
  <c r="A214" i="8"/>
  <c r="L213" i="8"/>
  <c r="K213" i="8"/>
  <c r="G213" i="8"/>
  <c r="F213" i="8"/>
  <c r="D213" i="8"/>
  <c r="C213" i="8"/>
  <c r="A213" i="8"/>
  <c r="L212" i="8"/>
  <c r="K212" i="8"/>
  <c r="G212" i="8"/>
  <c r="F212" i="8"/>
  <c r="D212" i="8"/>
  <c r="C212" i="8"/>
  <c r="A212" i="8"/>
  <c r="L211" i="8"/>
  <c r="K211" i="8"/>
  <c r="G211" i="8"/>
  <c r="F211" i="8"/>
  <c r="D211" i="8"/>
  <c r="C211" i="8"/>
  <c r="A211" i="8"/>
  <c r="L210" i="8"/>
  <c r="K210" i="8"/>
  <c r="G210" i="8"/>
  <c r="F210" i="8"/>
  <c r="D210" i="8"/>
  <c r="C210" i="8"/>
  <c r="A210" i="8"/>
  <c r="L209" i="8"/>
  <c r="K209" i="8"/>
  <c r="G209" i="8"/>
  <c r="F209" i="8"/>
  <c r="D209" i="8"/>
  <c r="C209" i="8"/>
  <c r="A209" i="8"/>
  <c r="L208" i="8"/>
  <c r="K208" i="8"/>
  <c r="G208" i="8"/>
  <c r="F208" i="8"/>
  <c r="D208" i="8"/>
  <c r="C208" i="8"/>
  <c r="A208" i="8"/>
  <c r="L207" i="8"/>
  <c r="K207" i="8"/>
  <c r="G207" i="8"/>
  <c r="F207" i="8"/>
  <c r="D207" i="8"/>
  <c r="C207" i="8"/>
  <c r="A207" i="8"/>
  <c r="L206" i="8"/>
  <c r="K206" i="8"/>
  <c r="G206" i="8"/>
  <c r="F206" i="8"/>
  <c r="D206" i="8"/>
  <c r="C206" i="8"/>
  <c r="A206" i="8"/>
  <c r="L205" i="8"/>
  <c r="K205" i="8"/>
  <c r="G205" i="8"/>
  <c r="F205" i="8"/>
  <c r="D205" i="8"/>
  <c r="C205" i="8"/>
  <c r="A205" i="8"/>
  <c r="L204" i="8"/>
  <c r="K204" i="8"/>
  <c r="G204" i="8"/>
  <c r="F204" i="8"/>
  <c r="D204" i="8"/>
  <c r="C204" i="8"/>
  <c r="A204" i="8"/>
  <c r="L203" i="8"/>
  <c r="K203" i="8"/>
  <c r="G203" i="8"/>
  <c r="F203" i="8"/>
  <c r="D203" i="8"/>
  <c r="C203" i="8"/>
  <c r="A203" i="8"/>
  <c r="L202" i="8"/>
  <c r="K202" i="8"/>
  <c r="G202" i="8"/>
  <c r="F202" i="8"/>
  <c r="D202" i="8"/>
  <c r="C202" i="8"/>
  <c r="A202" i="8"/>
  <c r="L201" i="8"/>
  <c r="K201" i="8"/>
  <c r="G201" i="8"/>
  <c r="F201" i="8"/>
  <c r="D201" i="8"/>
  <c r="C201" i="8"/>
  <c r="A201" i="8"/>
  <c r="L200" i="8"/>
  <c r="K200" i="8"/>
  <c r="G200" i="8"/>
  <c r="F200" i="8"/>
  <c r="D200" i="8"/>
  <c r="C200" i="8"/>
  <c r="A200" i="8"/>
  <c r="L199" i="8"/>
  <c r="K199" i="8"/>
  <c r="G199" i="8"/>
  <c r="F199" i="8"/>
  <c r="D199" i="8"/>
  <c r="C199" i="8"/>
  <c r="A199" i="8"/>
  <c r="L198" i="8"/>
  <c r="K198" i="8"/>
  <c r="G198" i="8"/>
  <c r="F198" i="8"/>
  <c r="D198" i="8"/>
  <c r="C198" i="8"/>
  <c r="A198" i="8"/>
  <c r="L197" i="8"/>
  <c r="K197" i="8"/>
  <c r="G197" i="8"/>
  <c r="F197" i="8"/>
  <c r="D197" i="8"/>
  <c r="C197" i="8"/>
  <c r="A197" i="8"/>
  <c r="L196" i="8"/>
  <c r="K196" i="8"/>
  <c r="G196" i="8"/>
  <c r="F196" i="8"/>
  <c r="D196" i="8"/>
  <c r="C196" i="8"/>
  <c r="A196" i="8"/>
  <c r="L195" i="8"/>
  <c r="K195" i="8"/>
  <c r="G195" i="8"/>
  <c r="F195" i="8"/>
  <c r="D195" i="8"/>
  <c r="C195" i="8"/>
  <c r="A195" i="8"/>
  <c r="L194" i="8"/>
  <c r="K194" i="8"/>
  <c r="G194" i="8"/>
  <c r="F194" i="8"/>
  <c r="D194" i="8"/>
  <c r="C194" i="8"/>
  <c r="A194" i="8"/>
  <c r="L193" i="8"/>
  <c r="K193" i="8"/>
  <c r="G193" i="8"/>
  <c r="F193" i="8"/>
  <c r="D193" i="8"/>
  <c r="C193" i="8"/>
  <c r="A193" i="8"/>
  <c r="L192" i="8"/>
  <c r="K192" i="8"/>
  <c r="G192" i="8"/>
  <c r="F192" i="8"/>
  <c r="D192" i="8"/>
  <c r="C192" i="8"/>
  <c r="A192" i="8"/>
  <c r="L191" i="8"/>
  <c r="K191" i="8"/>
  <c r="G191" i="8"/>
  <c r="F191" i="8"/>
  <c r="D191" i="8"/>
  <c r="C191" i="8"/>
  <c r="A191" i="8"/>
  <c r="L190" i="8"/>
  <c r="K190" i="8"/>
  <c r="G190" i="8"/>
  <c r="F190" i="8"/>
  <c r="D190" i="8"/>
  <c r="C190" i="8"/>
  <c r="A190" i="8"/>
  <c r="L189" i="8"/>
  <c r="K189" i="8"/>
  <c r="G189" i="8"/>
  <c r="F189" i="8"/>
  <c r="D189" i="8"/>
  <c r="C189" i="8"/>
  <c r="A189" i="8"/>
  <c r="L188" i="8"/>
  <c r="K188" i="8"/>
  <c r="G188" i="8"/>
  <c r="F188" i="8"/>
  <c r="D188" i="8"/>
  <c r="C188" i="8"/>
  <c r="A188" i="8"/>
  <c r="L187" i="8"/>
  <c r="K187" i="8"/>
  <c r="G187" i="8"/>
  <c r="F187" i="8"/>
  <c r="D187" i="8"/>
  <c r="C187" i="8"/>
  <c r="A187" i="8"/>
  <c r="L186" i="8"/>
  <c r="K186" i="8"/>
  <c r="G186" i="8"/>
  <c r="F186" i="8"/>
  <c r="D186" i="8"/>
  <c r="C186" i="8"/>
  <c r="A186" i="8"/>
  <c r="L185" i="8"/>
  <c r="K185" i="8"/>
  <c r="G185" i="8"/>
  <c r="F185" i="8"/>
  <c r="D185" i="8"/>
  <c r="C185" i="8"/>
  <c r="A185" i="8"/>
  <c r="L184" i="8"/>
  <c r="K184" i="8"/>
  <c r="G184" i="8"/>
  <c r="F184" i="8"/>
  <c r="D184" i="8"/>
  <c r="C184" i="8"/>
  <c r="A184" i="8"/>
  <c r="L183" i="8"/>
  <c r="K183" i="8"/>
  <c r="G183" i="8"/>
  <c r="F183" i="8"/>
  <c r="D183" i="8"/>
  <c r="C183" i="8"/>
  <c r="A183" i="8"/>
  <c r="L182" i="8"/>
  <c r="K182" i="8"/>
  <c r="G182" i="8"/>
  <c r="F182" i="8"/>
  <c r="D182" i="8"/>
  <c r="C182" i="8"/>
  <c r="A182" i="8"/>
  <c r="L181" i="8"/>
  <c r="K181" i="8"/>
  <c r="G181" i="8"/>
  <c r="F181" i="8"/>
  <c r="D181" i="8"/>
  <c r="C181" i="8"/>
  <c r="A181" i="8"/>
  <c r="L180" i="8"/>
  <c r="K180" i="8"/>
  <c r="G180" i="8"/>
  <c r="F180" i="8"/>
  <c r="D180" i="8"/>
  <c r="C180" i="8"/>
  <c r="A180" i="8"/>
  <c r="L179" i="8"/>
  <c r="K179" i="8"/>
  <c r="G179" i="8"/>
  <c r="F179" i="8"/>
  <c r="D179" i="8"/>
  <c r="C179" i="8"/>
  <c r="A179" i="8"/>
  <c r="L178" i="8"/>
  <c r="K178" i="8"/>
  <c r="G178" i="8"/>
  <c r="F178" i="8"/>
  <c r="D178" i="8"/>
  <c r="C178" i="8"/>
  <c r="A178" i="8"/>
  <c r="L177" i="8"/>
  <c r="K177" i="8"/>
  <c r="G177" i="8"/>
  <c r="F177" i="8"/>
  <c r="D177" i="8"/>
  <c r="C177" i="8"/>
  <c r="A177" i="8"/>
  <c r="L176" i="8"/>
  <c r="K176" i="8"/>
  <c r="G176" i="8"/>
  <c r="F176" i="8"/>
  <c r="D176" i="8"/>
  <c r="C176" i="8"/>
  <c r="A176" i="8"/>
  <c r="L175" i="8"/>
  <c r="K175" i="8"/>
  <c r="G175" i="8"/>
  <c r="F175" i="8"/>
  <c r="D175" i="8"/>
  <c r="C175" i="8"/>
  <c r="A175" i="8"/>
  <c r="L174" i="8"/>
  <c r="K174" i="8"/>
  <c r="G174" i="8"/>
  <c r="F174" i="8"/>
  <c r="D174" i="8"/>
  <c r="C174" i="8"/>
  <c r="A174" i="8"/>
  <c r="L173" i="8"/>
  <c r="K173" i="8"/>
  <c r="G173" i="8"/>
  <c r="F173" i="8"/>
  <c r="D173" i="8"/>
  <c r="C173" i="8"/>
  <c r="A173" i="8"/>
  <c r="L172" i="8"/>
  <c r="K172" i="8"/>
  <c r="G172" i="8"/>
  <c r="F172" i="8"/>
  <c r="D172" i="8"/>
  <c r="C172" i="8"/>
  <c r="A172" i="8"/>
  <c r="L171" i="8"/>
  <c r="K171" i="8"/>
  <c r="G171" i="8"/>
  <c r="F171" i="8"/>
  <c r="D171" i="8"/>
  <c r="C171" i="8"/>
  <c r="A171" i="8"/>
  <c r="L170" i="8"/>
  <c r="K170" i="8"/>
  <c r="G170" i="8"/>
  <c r="F170" i="8"/>
  <c r="D170" i="8"/>
  <c r="C170" i="8"/>
  <c r="A170" i="8"/>
  <c r="L169" i="8"/>
  <c r="K169" i="8"/>
  <c r="G169" i="8"/>
  <c r="F169" i="8"/>
  <c r="D169" i="8"/>
  <c r="C169" i="8"/>
  <c r="A169" i="8"/>
  <c r="L168" i="8"/>
  <c r="K168" i="8"/>
  <c r="G168" i="8"/>
  <c r="F168" i="8"/>
  <c r="D168" i="8"/>
  <c r="C168" i="8"/>
  <c r="A168" i="8"/>
  <c r="L167" i="8"/>
  <c r="K167" i="8"/>
  <c r="G167" i="8"/>
  <c r="F167" i="8"/>
  <c r="D167" i="8"/>
  <c r="C167" i="8"/>
  <c r="A167" i="8"/>
  <c r="L166" i="8"/>
  <c r="K166" i="8"/>
  <c r="G166" i="8"/>
  <c r="F166" i="8"/>
  <c r="D166" i="8"/>
  <c r="C166" i="8"/>
  <c r="A166" i="8"/>
  <c r="L165" i="8"/>
  <c r="K165" i="8"/>
  <c r="G165" i="8"/>
  <c r="F165" i="8"/>
  <c r="D165" i="8"/>
  <c r="C165" i="8"/>
  <c r="A165" i="8"/>
  <c r="L164" i="8"/>
  <c r="K164" i="8"/>
  <c r="G164" i="8"/>
  <c r="F164" i="8"/>
  <c r="D164" i="8"/>
  <c r="C164" i="8"/>
  <c r="A164" i="8"/>
  <c r="L163" i="8"/>
  <c r="K163" i="8"/>
  <c r="G163" i="8"/>
  <c r="F163" i="8"/>
  <c r="D163" i="8"/>
  <c r="C163" i="8"/>
  <c r="A163" i="8"/>
  <c r="L162" i="8"/>
  <c r="K162" i="8"/>
  <c r="G162" i="8"/>
  <c r="F162" i="8"/>
  <c r="D162" i="8"/>
  <c r="C162" i="8"/>
  <c r="A162" i="8"/>
  <c r="L161" i="8"/>
  <c r="K161" i="8"/>
  <c r="G161" i="8"/>
  <c r="F161" i="8"/>
  <c r="D161" i="8"/>
  <c r="C161" i="8"/>
  <c r="A161" i="8"/>
  <c r="L160" i="8"/>
  <c r="K160" i="8"/>
  <c r="G160" i="8"/>
  <c r="F160" i="8"/>
  <c r="D160" i="8"/>
  <c r="C160" i="8"/>
  <c r="A160" i="8"/>
  <c r="L159" i="8"/>
  <c r="K159" i="8"/>
  <c r="G159" i="8"/>
  <c r="F159" i="8"/>
  <c r="D159" i="8"/>
  <c r="C159" i="8"/>
  <c r="A159" i="8"/>
  <c r="L158" i="8"/>
  <c r="K158" i="8"/>
  <c r="G158" i="8"/>
  <c r="F158" i="8"/>
  <c r="D158" i="8"/>
  <c r="C158" i="8"/>
  <c r="A158" i="8"/>
  <c r="L157" i="8"/>
  <c r="K157" i="8"/>
  <c r="G157" i="8"/>
  <c r="F157" i="8"/>
  <c r="D157" i="8"/>
  <c r="C157" i="8"/>
  <c r="A157" i="8"/>
  <c r="L156" i="8"/>
  <c r="K156" i="8"/>
  <c r="G156" i="8"/>
  <c r="F156" i="8"/>
  <c r="D156" i="8"/>
  <c r="C156" i="8"/>
  <c r="A156" i="8"/>
  <c r="L155" i="8"/>
  <c r="K155" i="8"/>
  <c r="G155" i="8"/>
  <c r="F155" i="8"/>
  <c r="D155" i="8"/>
  <c r="C155" i="8"/>
  <c r="A155" i="8"/>
  <c r="L154" i="8"/>
  <c r="K154" i="8"/>
  <c r="G154" i="8"/>
  <c r="F154" i="8"/>
  <c r="D154" i="8"/>
  <c r="C154" i="8"/>
  <c r="A154" i="8"/>
  <c r="L153" i="8"/>
  <c r="K153" i="8"/>
  <c r="G153" i="8"/>
  <c r="F153" i="8"/>
  <c r="D153" i="8"/>
  <c r="C153" i="8"/>
  <c r="A153" i="8"/>
  <c r="L152" i="8"/>
  <c r="K152" i="8"/>
  <c r="G152" i="8"/>
  <c r="F152" i="8"/>
  <c r="D152" i="8"/>
  <c r="C152" i="8"/>
  <c r="A152" i="8"/>
  <c r="L151" i="8"/>
  <c r="K151" i="8"/>
  <c r="G151" i="8"/>
  <c r="F151" i="8"/>
  <c r="D151" i="8"/>
  <c r="C151" i="8"/>
  <c r="A151" i="8"/>
  <c r="L150" i="8"/>
  <c r="K150" i="8"/>
  <c r="G150" i="8"/>
  <c r="F150" i="8"/>
  <c r="D150" i="8"/>
  <c r="C150" i="8"/>
  <c r="A150" i="8"/>
  <c r="L149" i="8"/>
  <c r="K149" i="8"/>
  <c r="G149" i="8"/>
  <c r="F149" i="8"/>
  <c r="D149" i="8"/>
  <c r="C149" i="8"/>
  <c r="A149" i="8"/>
  <c r="L148" i="8"/>
  <c r="K148" i="8"/>
  <c r="G148" i="8"/>
  <c r="F148" i="8"/>
  <c r="D148" i="8"/>
  <c r="C148" i="8"/>
  <c r="A148" i="8"/>
  <c r="L147" i="8"/>
  <c r="K147" i="8"/>
  <c r="G147" i="8"/>
  <c r="F147" i="8"/>
  <c r="D147" i="8"/>
  <c r="C147" i="8"/>
  <c r="A147" i="8"/>
  <c r="L146" i="8"/>
  <c r="K146" i="8"/>
  <c r="G146" i="8"/>
  <c r="F146" i="8"/>
  <c r="D146" i="8"/>
  <c r="C146" i="8"/>
  <c r="A146" i="8"/>
  <c r="L145" i="8"/>
  <c r="K145" i="8"/>
  <c r="G145" i="8"/>
  <c r="F145" i="8"/>
  <c r="D145" i="8"/>
  <c r="C145" i="8"/>
  <c r="A145" i="8"/>
  <c r="L144" i="8"/>
  <c r="K144" i="8"/>
  <c r="G144" i="8"/>
  <c r="F144" i="8"/>
  <c r="D144" i="8"/>
  <c r="C144" i="8"/>
  <c r="A144" i="8"/>
  <c r="L143" i="8"/>
  <c r="K143" i="8"/>
  <c r="G143" i="8"/>
  <c r="F143" i="8"/>
  <c r="D143" i="8"/>
  <c r="C143" i="8"/>
  <c r="A143" i="8"/>
  <c r="L142" i="8"/>
  <c r="K142" i="8"/>
  <c r="G142" i="8"/>
  <c r="F142" i="8"/>
  <c r="D142" i="8"/>
  <c r="C142" i="8"/>
  <c r="A142" i="8"/>
  <c r="L141" i="8"/>
  <c r="K141" i="8"/>
  <c r="G141" i="8"/>
  <c r="F141" i="8"/>
  <c r="D141" i="8"/>
  <c r="C141" i="8"/>
  <c r="A141" i="8"/>
  <c r="L140" i="8"/>
  <c r="K140" i="8"/>
  <c r="G140" i="8"/>
  <c r="F140" i="8"/>
  <c r="D140" i="8"/>
  <c r="C140" i="8"/>
  <c r="A140" i="8"/>
  <c r="L139" i="8"/>
  <c r="K139" i="8"/>
  <c r="G139" i="8"/>
  <c r="F139" i="8"/>
  <c r="D139" i="8"/>
  <c r="C139" i="8"/>
  <c r="A139" i="8"/>
  <c r="L138" i="8"/>
  <c r="K138" i="8"/>
  <c r="G138" i="8"/>
  <c r="F138" i="8"/>
  <c r="D138" i="8"/>
  <c r="C138" i="8"/>
  <c r="A138" i="8"/>
  <c r="L137" i="8"/>
  <c r="K137" i="8"/>
  <c r="G137" i="8"/>
  <c r="F137" i="8"/>
  <c r="D137" i="8"/>
  <c r="C137" i="8"/>
  <c r="A137" i="8"/>
  <c r="L136" i="8"/>
  <c r="K136" i="8"/>
  <c r="G136" i="8"/>
  <c r="F136" i="8"/>
  <c r="D136" i="8"/>
  <c r="C136" i="8"/>
  <c r="A136" i="8"/>
  <c r="L135" i="8"/>
  <c r="K135" i="8"/>
  <c r="G135" i="8"/>
  <c r="F135" i="8"/>
  <c r="D135" i="8"/>
  <c r="C135" i="8"/>
  <c r="A135" i="8"/>
  <c r="L134" i="8"/>
  <c r="K134" i="8"/>
  <c r="G134" i="8"/>
  <c r="F134" i="8"/>
  <c r="D134" i="8"/>
  <c r="C134" i="8"/>
  <c r="A134" i="8"/>
  <c r="L133" i="8"/>
  <c r="K133" i="8"/>
  <c r="G133" i="8"/>
  <c r="F133" i="8"/>
  <c r="D133" i="8"/>
  <c r="C133" i="8"/>
  <c r="A133" i="8"/>
  <c r="L132" i="8"/>
  <c r="K132" i="8"/>
  <c r="G132" i="8"/>
  <c r="F132" i="8"/>
  <c r="D132" i="8"/>
  <c r="C132" i="8"/>
  <c r="A132" i="8"/>
  <c r="L131" i="8"/>
  <c r="K131" i="8"/>
  <c r="G131" i="8"/>
  <c r="F131" i="8"/>
  <c r="D131" i="8"/>
  <c r="C131" i="8"/>
  <c r="A131" i="8"/>
  <c r="L130" i="8"/>
  <c r="K130" i="8"/>
  <c r="G130" i="8"/>
  <c r="F130" i="8"/>
  <c r="D130" i="8"/>
  <c r="C130" i="8"/>
  <c r="A130" i="8"/>
  <c r="L129" i="8"/>
  <c r="K129" i="8"/>
  <c r="G129" i="8"/>
  <c r="F129" i="8"/>
  <c r="D129" i="8"/>
  <c r="C129" i="8"/>
  <c r="A129" i="8"/>
  <c r="L128" i="8"/>
  <c r="K128" i="8"/>
  <c r="G128" i="8"/>
  <c r="F128" i="8"/>
  <c r="D128" i="8"/>
  <c r="C128" i="8"/>
  <c r="A128" i="8"/>
  <c r="L127" i="8"/>
  <c r="K127" i="8"/>
  <c r="G127" i="8"/>
  <c r="F127" i="8"/>
  <c r="D127" i="8"/>
  <c r="C127" i="8"/>
  <c r="A127" i="8"/>
  <c r="L126" i="8"/>
  <c r="K126" i="8"/>
  <c r="G126" i="8"/>
  <c r="F126" i="8"/>
  <c r="D126" i="8"/>
  <c r="C126" i="8"/>
  <c r="A126" i="8"/>
  <c r="L125" i="8"/>
  <c r="K125" i="8"/>
  <c r="G125" i="8"/>
  <c r="F125" i="8"/>
  <c r="D125" i="8"/>
  <c r="C125" i="8"/>
  <c r="A125" i="8"/>
  <c r="L124" i="8"/>
  <c r="K124" i="8"/>
  <c r="G124" i="8"/>
  <c r="F124" i="8"/>
  <c r="D124" i="8"/>
  <c r="C124" i="8"/>
  <c r="A124" i="8"/>
  <c r="L123" i="8"/>
  <c r="K123" i="8"/>
  <c r="G123" i="8"/>
  <c r="F123" i="8"/>
  <c r="D123" i="8"/>
  <c r="C123" i="8"/>
  <c r="A123" i="8"/>
  <c r="L122" i="8"/>
  <c r="K122" i="8"/>
  <c r="G122" i="8"/>
  <c r="F122" i="8"/>
  <c r="D122" i="8"/>
  <c r="C122" i="8"/>
  <c r="A122" i="8"/>
  <c r="L121" i="8"/>
  <c r="K121" i="8"/>
  <c r="G121" i="8"/>
  <c r="F121" i="8"/>
  <c r="D121" i="8"/>
  <c r="C121" i="8"/>
  <c r="A121" i="8"/>
  <c r="L120" i="8"/>
  <c r="K120" i="8"/>
  <c r="G120" i="8"/>
  <c r="F120" i="8"/>
  <c r="D120" i="8"/>
  <c r="C120" i="8"/>
  <c r="A120" i="8"/>
  <c r="L119" i="8"/>
  <c r="K119" i="8"/>
  <c r="G119" i="8"/>
  <c r="F119" i="8"/>
  <c r="D119" i="8"/>
  <c r="C119" i="8"/>
  <c r="A119" i="8"/>
  <c r="L118" i="8"/>
  <c r="K118" i="8"/>
  <c r="G118" i="8"/>
  <c r="F118" i="8"/>
  <c r="D118" i="8"/>
  <c r="C118" i="8"/>
  <c r="A118" i="8"/>
  <c r="L117" i="8"/>
  <c r="K117" i="8"/>
  <c r="G117" i="8"/>
  <c r="F117" i="8"/>
  <c r="D117" i="8"/>
  <c r="C117" i="8"/>
  <c r="A117" i="8"/>
  <c r="L116" i="8"/>
  <c r="K116" i="8"/>
  <c r="G116" i="8"/>
  <c r="F116" i="8"/>
  <c r="D116" i="8"/>
  <c r="C116" i="8"/>
  <c r="A116" i="8"/>
  <c r="L115" i="8"/>
  <c r="K115" i="8"/>
  <c r="G115" i="8"/>
  <c r="F115" i="8"/>
  <c r="D115" i="8"/>
  <c r="C115" i="8"/>
  <c r="A115" i="8"/>
  <c r="L114" i="8"/>
  <c r="K114" i="8"/>
  <c r="G114" i="8"/>
  <c r="F114" i="8"/>
  <c r="D114" i="8"/>
  <c r="C114" i="8"/>
  <c r="A114" i="8"/>
  <c r="L113" i="8"/>
  <c r="K113" i="8"/>
  <c r="G113" i="8"/>
  <c r="F113" i="8"/>
  <c r="D113" i="8"/>
  <c r="C113" i="8"/>
  <c r="A113" i="8"/>
  <c r="L112" i="8"/>
  <c r="K112" i="8"/>
  <c r="G112" i="8"/>
  <c r="F112" i="8"/>
  <c r="D112" i="8"/>
  <c r="C112" i="8"/>
  <c r="A112" i="8"/>
  <c r="L111" i="8"/>
  <c r="K111" i="8"/>
  <c r="G111" i="8"/>
  <c r="F111" i="8"/>
  <c r="D111" i="8"/>
  <c r="C111" i="8"/>
  <c r="A111" i="8"/>
  <c r="L110" i="8"/>
  <c r="K110" i="8"/>
  <c r="G110" i="8"/>
  <c r="F110" i="8"/>
  <c r="D110" i="8"/>
  <c r="C110" i="8"/>
  <c r="A110" i="8"/>
  <c r="L109" i="8"/>
  <c r="K109" i="8"/>
  <c r="G109" i="8"/>
  <c r="F109" i="8"/>
  <c r="D109" i="8"/>
  <c r="C109" i="8"/>
  <c r="A109" i="8"/>
  <c r="L108" i="8"/>
  <c r="K108" i="8"/>
  <c r="G108" i="8"/>
  <c r="F108" i="8"/>
  <c r="D108" i="8"/>
  <c r="C108" i="8"/>
  <c r="A108" i="8"/>
  <c r="L107" i="8"/>
  <c r="K107" i="8"/>
  <c r="G107" i="8"/>
  <c r="F107" i="8"/>
  <c r="D107" i="8"/>
  <c r="C107" i="8"/>
  <c r="A107" i="8"/>
  <c r="L106" i="8"/>
  <c r="K106" i="8"/>
  <c r="G106" i="8"/>
  <c r="F106" i="8"/>
  <c r="D106" i="8"/>
  <c r="C106" i="8"/>
  <c r="A106" i="8"/>
  <c r="L105" i="8"/>
  <c r="K105" i="8"/>
  <c r="G105" i="8"/>
  <c r="F105" i="8"/>
  <c r="D105" i="8"/>
  <c r="C105" i="8"/>
  <c r="A105" i="8"/>
  <c r="L104" i="8"/>
  <c r="K104" i="8"/>
  <c r="G104" i="8"/>
  <c r="F104" i="8"/>
  <c r="D104" i="8"/>
  <c r="C104" i="8"/>
  <c r="A104" i="8"/>
  <c r="L103" i="8"/>
  <c r="K103" i="8"/>
  <c r="G103" i="8"/>
  <c r="F103" i="8"/>
  <c r="D103" i="8"/>
  <c r="C103" i="8"/>
  <c r="A103" i="8"/>
  <c r="L102" i="8"/>
  <c r="K102" i="8"/>
  <c r="G102" i="8"/>
  <c r="F102" i="8"/>
  <c r="D102" i="8"/>
  <c r="C102" i="8"/>
  <c r="A102" i="8"/>
  <c r="L101" i="8"/>
  <c r="K101" i="8"/>
  <c r="G101" i="8"/>
  <c r="F101" i="8"/>
  <c r="D101" i="8"/>
  <c r="C101" i="8"/>
  <c r="A101" i="8"/>
  <c r="L100" i="8"/>
  <c r="K100" i="8"/>
  <c r="G100" i="8"/>
  <c r="F100" i="8"/>
  <c r="D100" i="8"/>
  <c r="C100" i="8"/>
  <c r="A100" i="8"/>
  <c r="L99" i="8"/>
  <c r="K99" i="8"/>
  <c r="G99" i="8"/>
  <c r="F99" i="8"/>
  <c r="D99" i="8"/>
  <c r="C99" i="8"/>
  <c r="A99" i="8"/>
  <c r="L98" i="8"/>
  <c r="K98" i="8"/>
  <c r="G98" i="8"/>
  <c r="F98" i="8"/>
  <c r="D98" i="8"/>
  <c r="C98" i="8"/>
  <c r="A98" i="8"/>
  <c r="L97" i="8"/>
  <c r="K97" i="8"/>
  <c r="G97" i="8"/>
  <c r="F97" i="8"/>
  <c r="D97" i="8"/>
  <c r="C97" i="8"/>
  <c r="A97" i="8"/>
  <c r="L96" i="8"/>
  <c r="K96" i="8"/>
  <c r="G96" i="8"/>
  <c r="F96" i="8"/>
  <c r="D96" i="8"/>
  <c r="C96" i="8"/>
  <c r="A96" i="8"/>
  <c r="L95" i="8"/>
  <c r="K95" i="8"/>
  <c r="G95" i="8"/>
  <c r="F95" i="8"/>
  <c r="D95" i="8"/>
  <c r="C95" i="8"/>
  <c r="A95" i="8"/>
  <c r="L94" i="8"/>
  <c r="K94" i="8"/>
  <c r="G94" i="8"/>
  <c r="F94" i="8"/>
  <c r="D94" i="8"/>
  <c r="C94" i="8"/>
  <c r="A94" i="8"/>
  <c r="L93" i="8"/>
  <c r="K93" i="8"/>
  <c r="G93" i="8"/>
  <c r="F93" i="8"/>
  <c r="D93" i="8"/>
  <c r="C93" i="8"/>
  <c r="A93" i="8"/>
  <c r="L92" i="8"/>
  <c r="K92" i="8"/>
  <c r="G92" i="8"/>
  <c r="F92" i="8"/>
  <c r="D92" i="8"/>
  <c r="C92" i="8"/>
  <c r="A92" i="8"/>
  <c r="L91" i="8"/>
  <c r="K91" i="8"/>
  <c r="G91" i="8"/>
  <c r="F91" i="8"/>
  <c r="D91" i="8"/>
  <c r="C91" i="8"/>
  <c r="A91" i="8"/>
  <c r="L90" i="8"/>
  <c r="K90" i="8"/>
  <c r="G90" i="8"/>
  <c r="F90" i="8"/>
  <c r="D90" i="8"/>
  <c r="C90" i="8"/>
  <c r="A90" i="8"/>
  <c r="L89" i="8"/>
  <c r="K89" i="8"/>
  <c r="G89" i="8"/>
  <c r="F89" i="8"/>
  <c r="D89" i="8"/>
  <c r="C89" i="8"/>
  <c r="A89" i="8"/>
  <c r="L88" i="8"/>
  <c r="K88" i="8"/>
  <c r="G88" i="8"/>
  <c r="F88" i="8"/>
  <c r="D88" i="8"/>
  <c r="C88" i="8"/>
  <c r="A88" i="8"/>
  <c r="L87" i="8"/>
  <c r="K87" i="8"/>
  <c r="G87" i="8"/>
  <c r="F87" i="8"/>
  <c r="D87" i="8"/>
  <c r="C87" i="8"/>
  <c r="A87" i="8"/>
  <c r="L86" i="8"/>
  <c r="K86" i="8"/>
  <c r="G86" i="8"/>
  <c r="F86" i="8"/>
  <c r="D86" i="8"/>
  <c r="C86" i="8"/>
  <c r="A86" i="8"/>
  <c r="L85" i="8"/>
  <c r="K85" i="8"/>
  <c r="G85" i="8"/>
  <c r="F85" i="8"/>
  <c r="D85" i="8"/>
  <c r="C85" i="8"/>
  <c r="A85" i="8"/>
  <c r="L84" i="8"/>
  <c r="K84" i="8"/>
  <c r="G84" i="8"/>
  <c r="F84" i="8"/>
  <c r="D84" i="8"/>
  <c r="C84" i="8"/>
  <c r="A84" i="8"/>
  <c r="L83" i="8"/>
  <c r="K83" i="8"/>
  <c r="G83" i="8"/>
  <c r="F83" i="8"/>
  <c r="D83" i="8"/>
  <c r="C83" i="8"/>
  <c r="A83" i="8"/>
  <c r="L82" i="8"/>
  <c r="K82" i="8"/>
  <c r="G82" i="8"/>
  <c r="F82" i="8"/>
  <c r="D82" i="8"/>
  <c r="C82" i="8"/>
  <c r="A82" i="8"/>
  <c r="L81" i="8"/>
  <c r="K81" i="8"/>
  <c r="G81" i="8"/>
  <c r="F81" i="8"/>
  <c r="D81" i="8"/>
  <c r="C81" i="8"/>
  <c r="A81" i="8"/>
  <c r="L80" i="8"/>
  <c r="K80" i="8"/>
  <c r="G80" i="8"/>
  <c r="F80" i="8"/>
  <c r="D80" i="8"/>
  <c r="C80" i="8"/>
  <c r="A80" i="8"/>
  <c r="L79" i="8"/>
  <c r="K79" i="8"/>
  <c r="G79" i="8"/>
  <c r="F79" i="8"/>
  <c r="D79" i="8"/>
  <c r="C79" i="8"/>
  <c r="A79" i="8"/>
  <c r="L78" i="8"/>
  <c r="K78" i="8"/>
  <c r="G78" i="8"/>
  <c r="F78" i="8"/>
  <c r="D78" i="8"/>
  <c r="C78" i="8"/>
  <c r="A78" i="8"/>
  <c r="L77" i="8"/>
  <c r="K77" i="8"/>
  <c r="G77" i="8"/>
  <c r="F77" i="8"/>
  <c r="D77" i="8"/>
  <c r="C77" i="8"/>
  <c r="A77" i="8"/>
  <c r="L76" i="8"/>
  <c r="K76" i="8"/>
  <c r="G76" i="8"/>
  <c r="F76" i="8"/>
  <c r="D76" i="8"/>
  <c r="C76" i="8"/>
  <c r="A76" i="8"/>
  <c r="L75" i="8"/>
  <c r="K75" i="8"/>
  <c r="G75" i="8"/>
  <c r="F75" i="8"/>
  <c r="D75" i="8"/>
  <c r="C75" i="8"/>
  <c r="A75" i="8"/>
  <c r="L74" i="8"/>
  <c r="K74" i="8"/>
  <c r="G74" i="8"/>
  <c r="F74" i="8"/>
  <c r="D74" i="8"/>
  <c r="C74" i="8"/>
  <c r="A74" i="8"/>
  <c r="L73" i="8"/>
  <c r="K73" i="8"/>
  <c r="G73" i="8"/>
  <c r="F73" i="8"/>
  <c r="D73" i="8"/>
  <c r="C73" i="8"/>
  <c r="A73" i="8"/>
  <c r="L72" i="8"/>
  <c r="K72" i="8"/>
  <c r="G72" i="8"/>
  <c r="F72" i="8"/>
  <c r="D72" i="8"/>
  <c r="C72" i="8"/>
  <c r="A72" i="8"/>
  <c r="L71" i="8"/>
  <c r="K71" i="8"/>
  <c r="G71" i="8"/>
  <c r="F71" i="8"/>
  <c r="D71" i="8"/>
  <c r="C71" i="8"/>
  <c r="A71" i="8"/>
  <c r="L70" i="8"/>
  <c r="K70" i="8"/>
  <c r="G70" i="8"/>
  <c r="F70" i="8"/>
  <c r="D70" i="8"/>
  <c r="C70" i="8"/>
  <c r="A70" i="8"/>
  <c r="L69" i="8"/>
  <c r="K69" i="8"/>
  <c r="G69" i="8"/>
  <c r="F69" i="8"/>
  <c r="D69" i="8"/>
  <c r="C69" i="8"/>
  <c r="A69" i="8"/>
  <c r="L68" i="8"/>
  <c r="K68" i="8"/>
  <c r="G68" i="8"/>
  <c r="F68" i="8"/>
  <c r="D68" i="8"/>
  <c r="C68" i="8"/>
  <c r="A68" i="8"/>
  <c r="L67" i="8"/>
  <c r="K67" i="8"/>
  <c r="G67" i="8"/>
  <c r="F67" i="8"/>
  <c r="D67" i="8"/>
  <c r="C67" i="8"/>
  <c r="A67" i="8"/>
  <c r="L66" i="8"/>
  <c r="K66" i="8"/>
  <c r="G66" i="8"/>
  <c r="F66" i="8"/>
  <c r="D66" i="8"/>
  <c r="C66" i="8"/>
  <c r="A66" i="8"/>
  <c r="L65" i="8"/>
  <c r="K65" i="8"/>
  <c r="G65" i="8"/>
  <c r="F65" i="8"/>
  <c r="D65" i="8"/>
  <c r="C65" i="8"/>
  <c r="A65" i="8"/>
  <c r="L64" i="8"/>
  <c r="K64" i="8"/>
  <c r="G64" i="8"/>
  <c r="F64" i="8"/>
  <c r="D64" i="8"/>
  <c r="C64" i="8"/>
  <c r="A64" i="8"/>
  <c r="L63" i="8"/>
  <c r="K63" i="8"/>
  <c r="G63" i="8"/>
  <c r="F63" i="8"/>
  <c r="D63" i="8"/>
  <c r="C63" i="8"/>
  <c r="A63" i="8"/>
  <c r="L62" i="8"/>
  <c r="K62" i="8"/>
  <c r="G62" i="8"/>
  <c r="F62" i="8"/>
  <c r="D62" i="8"/>
  <c r="C62" i="8"/>
  <c r="A62" i="8"/>
  <c r="L61" i="8"/>
  <c r="K61" i="8"/>
  <c r="G61" i="8"/>
  <c r="F61" i="8"/>
  <c r="D61" i="8"/>
  <c r="C61" i="8"/>
  <c r="A61" i="8"/>
  <c r="L60" i="8"/>
  <c r="K60" i="8"/>
  <c r="G60" i="8"/>
  <c r="F60" i="8"/>
  <c r="D60" i="8"/>
  <c r="C60" i="8"/>
  <c r="A60" i="8"/>
  <c r="L59" i="8"/>
  <c r="K59" i="8"/>
  <c r="G59" i="8"/>
  <c r="F59" i="8"/>
  <c r="D59" i="8"/>
  <c r="C59" i="8"/>
  <c r="A59" i="8"/>
  <c r="L58" i="8"/>
  <c r="K58" i="8"/>
  <c r="G58" i="8"/>
  <c r="F58" i="8"/>
  <c r="D58" i="8"/>
  <c r="C58" i="8"/>
  <c r="A58" i="8"/>
  <c r="L57" i="8"/>
  <c r="K57" i="8"/>
  <c r="G57" i="8"/>
  <c r="F57" i="8"/>
  <c r="D57" i="8"/>
  <c r="C57" i="8"/>
  <c r="A57" i="8"/>
  <c r="L56" i="8"/>
  <c r="K56" i="8"/>
  <c r="G56" i="8"/>
  <c r="F56" i="8"/>
  <c r="D56" i="8"/>
  <c r="C56" i="8"/>
  <c r="A56" i="8"/>
  <c r="L55" i="8"/>
  <c r="K55" i="8"/>
  <c r="G55" i="8"/>
  <c r="F55" i="8"/>
  <c r="D55" i="8"/>
  <c r="C55" i="8"/>
  <c r="A55" i="8"/>
  <c r="L54" i="8"/>
  <c r="K54" i="8"/>
  <c r="G54" i="8"/>
  <c r="F54" i="8"/>
  <c r="D54" i="8"/>
  <c r="C54" i="8"/>
  <c r="A54" i="8"/>
  <c r="L53" i="8"/>
  <c r="K53" i="8"/>
  <c r="G53" i="8"/>
  <c r="F53" i="8"/>
  <c r="D53" i="8"/>
  <c r="C53" i="8"/>
  <c r="A53" i="8"/>
  <c r="L52" i="8"/>
  <c r="K52" i="8"/>
  <c r="G52" i="8"/>
  <c r="F52" i="8"/>
  <c r="D52" i="8"/>
  <c r="C52" i="8"/>
  <c r="A52" i="8"/>
  <c r="L51" i="8"/>
  <c r="K51" i="8"/>
  <c r="G51" i="8"/>
  <c r="F51" i="8"/>
  <c r="D51" i="8"/>
  <c r="C51" i="8"/>
  <c r="A51" i="8"/>
  <c r="L50" i="8"/>
  <c r="K50" i="8"/>
  <c r="G50" i="8"/>
  <c r="F50" i="8"/>
  <c r="D50" i="8"/>
  <c r="C50" i="8"/>
  <c r="A50" i="8"/>
  <c r="L49" i="8"/>
  <c r="K49" i="8"/>
  <c r="G49" i="8"/>
  <c r="F49" i="8"/>
  <c r="D49" i="8"/>
  <c r="C49" i="8"/>
  <c r="A49" i="8"/>
  <c r="L48" i="8"/>
  <c r="K48" i="8"/>
  <c r="G48" i="8"/>
  <c r="F48" i="8"/>
  <c r="D48" i="8"/>
  <c r="C48" i="8"/>
  <c r="A48" i="8"/>
  <c r="L47" i="8"/>
  <c r="K47" i="8"/>
  <c r="G47" i="8"/>
  <c r="F47" i="8"/>
  <c r="D47" i="8"/>
  <c r="C47" i="8"/>
  <c r="A47" i="8"/>
  <c r="L46" i="8"/>
  <c r="K46" i="8"/>
  <c r="G46" i="8"/>
  <c r="F46" i="8"/>
  <c r="D46" i="8"/>
  <c r="C46" i="8"/>
  <c r="A46" i="8"/>
  <c r="L45" i="8"/>
  <c r="K45" i="8"/>
  <c r="G45" i="8"/>
  <c r="F45" i="8"/>
  <c r="D45" i="8"/>
  <c r="C45" i="8"/>
  <c r="A45" i="8"/>
  <c r="L44" i="8"/>
  <c r="K44" i="8"/>
  <c r="G44" i="8"/>
  <c r="F44" i="8"/>
  <c r="D44" i="8"/>
  <c r="C44" i="8"/>
  <c r="A44" i="8"/>
  <c r="L43" i="8"/>
  <c r="K43" i="8"/>
  <c r="G43" i="8"/>
  <c r="F43" i="8"/>
  <c r="D43" i="8"/>
  <c r="C43" i="8"/>
  <c r="A43" i="8"/>
  <c r="L42" i="8"/>
  <c r="K42" i="8"/>
  <c r="G42" i="8"/>
  <c r="F42" i="8"/>
  <c r="D42" i="8"/>
  <c r="C42" i="8"/>
  <c r="A42" i="8"/>
  <c r="L41" i="8"/>
  <c r="K41" i="8"/>
  <c r="G41" i="8"/>
  <c r="F41" i="8"/>
  <c r="D41" i="8"/>
  <c r="C41" i="8"/>
  <c r="A41" i="8"/>
  <c r="L40" i="8"/>
  <c r="K40" i="8"/>
  <c r="G40" i="8"/>
  <c r="F40" i="8"/>
  <c r="D40" i="8"/>
  <c r="C40" i="8"/>
  <c r="A40" i="8"/>
  <c r="L39" i="8"/>
  <c r="K39" i="8"/>
  <c r="G39" i="8"/>
  <c r="F39" i="8"/>
  <c r="D39" i="8"/>
  <c r="C39" i="8"/>
  <c r="A39" i="8"/>
  <c r="L38" i="8"/>
  <c r="K38" i="8"/>
  <c r="G38" i="8"/>
  <c r="F38" i="8"/>
  <c r="D38" i="8"/>
  <c r="C38" i="8"/>
  <c r="A38" i="8"/>
  <c r="L37" i="8"/>
  <c r="K37" i="8"/>
  <c r="G37" i="8"/>
  <c r="F37" i="8"/>
  <c r="D37" i="8"/>
  <c r="C37" i="8"/>
  <c r="A37" i="8"/>
  <c r="L36" i="8"/>
  <c r="K36" i="8"/>
  <c r="G36" i="8"/>
  <c r="F36" i="8"/>
  <c r="D36" i="8"/>
  <c r="C36" i="8"/>
  <c r="A36" i="8"/>
  <c r="L35" i="8"/>
  <c r="K35" i="8"/>
  <c r="G35" i="8"/>
  <c r="F35" i="8"/>
  <c r="D35" i="8"/>
  <c r="C35" i="8"/>
  <c r="A35" i="8"/>
  <c r="L34" i="8"/>
  <c r="K34" i="8"/>
  <c r="G34" i="8"/>
  <c r="F34" i="8"/>
  <c r="D34" i="8"/>
  <c r="C34" i="8"/>
  <c r="A34" i="8"/>
  <c r="L33" i="8"/>
  <c r="K33" i="8"/>
  <c r="G33" i="8"/>
  <c r="F33" i="8"/>
  <c r="D33" i="8"/>
  <c r="C33" i="8"/>
  <c r="A33" i="8"/>
  <c r="L32" i="8"/>
  <c r="K32" i="8"/>
  <c r="G32" i="8"/>
  <c r="F32" i="8"/>
  <c r="D32" i="8"/>
  <c r="C32" i="8"/>
  <c r="A32" i="8"/>
  <c r="L31" i="8"/>
  <c r="K31" i="8"/>
  <c r="G31" i="8"/>
  <c r="F31" i="8"/>
  <c r="D31" i="8"/>
  <c r="C31" i="8"/>
  <c r="A31" i="8"/>
  <c r="L30" i="8"/>
  <c r="K30" i="8"/>
  <c r="G30" i="8"/>
  <c r="F30" i="8"/>
  <c r="D30" i="8"/>
  <c r="C30" i="8"/>
  <c r="A30" i="8"/>
  <c r="L29" i="8"/>
  <c r="K29" i="8"/>
  <c r="G29" i="8"/>
  <c r="F29" i="8"/>
  <c r="D29" i="8"/>
  <c r="C29" i="8"/>
  <c r="A29" i="8"/>
  <c r="L28" i="8"/>
  <c r="K28" i="8"/>
  <c r="G28" i="8"/>
  <c r="F28" i="8"/>
  <c r="D28" i="8"/>
  <c r="C28" i="8"/>
  <c r="A28" i="8"/>
  <c r="L27" i="8"/>
  <c r="K27" i="8"/>
  <c r="G27" i="8"/>
  <c r="F27" i="8"/>
  <c r="D27" i="8"/>
  <c r="C27" i="8"/>
  <c r="A27" i="8"/>
  <c r="L26" i="8"/>
  <c r="K26" i="8"/>
  <c r="G26" i="8"/>
  <c r="F26" i="8"/>
  <c r="D26" i="8"/>
  <c r="C26" i="8"/>
  <c r="A26" i="8"/>
  <c r="L25" i="8"/>
  <c r="K25" i="8"/>
  <c r="G25" i="8"/>
  <c r="F25" i="8"/>
  <c r="D25" i="8"/>
  <c r="C25" i="8"/>
  <c r="A25" i="8"/>
  <c r="L24" i="8"/>
  <c r="K24" i="8"/>
  <c r="G24" i="8"/>
  <c r="F24" i="8"/>
  <c r="D24" i="8"/>
  <c r="C24" i="8"/>
  <c r="A24" i="8"/>
  <c r="L23" i="8"/>
  <c r="K23" i="8"/>
  <c r="G23" i="8"/>
  <c r="F23" i="8"/>
  <c r="D23" i="8"/>
  <c r="C23" i="8"/>
  <c r="A23" i="8"/>
  <c r="L22" i="8"/>
  <c r="K22" i="8"/>
  <c r="G22" i="8"/>
  <c r="F22" i="8"/>
  <c r="D22" i="8"/>
  <c r="C22" i="8"/>
  <c r="A22" i="8"/>
  <c r="L21" i="8"/>
  <c r="K21" i="8"/>
  <c r="G21" i="8"/>
  <c r="F21" i="8"/>
  <c r="D21" i="8"/>
  <c r="C21" i="8"/>
  <c r="A21" i="8"/>
  <c r="L20" i="8"/>
  <c r="K20" i="8"/>
  <c r="G20" i="8"/>
  <c r="F20" i="8"/>
  <c r="D20" i="8"/>
  <c r="C20" i="8"/>
  <c r="A20" i="8"/>
  <c r="L19" i="8"/>
  <c r="K19" i="8"/>
  <c r="G19" i="8"/>
  <c r="F19" i="8"/>
  <c r="D19" i="8"/>
  <c r="C19" i="8"/>
  <c r="A19" i="8"/>
  <c r="L18" i="8"/>
  <c r="K18" i="8"/>
  <c r="G18" i="8"/>
  <c r="F18" i="8"/>
  <c r="D18" i="8"/>
  <c r="C18" i="8"/>
  <c r="A18" i="8"/>
  <c r="L17" i="8"/>
  <c r="K17" i="8"/>
  <c r="G17" i="8"/>
  <c r="F17" i="8"/>
  <c r="D17" i="8"/>
  <c r="C17" i="8"/>
  <c r="A17" i="8"/>
  <c r="L16" i="8"/>
  <c r="K16" i="8"/>
  <c r="G16" i="8"/>
  <c r="F16" i="8"/>
  <c r="D16" i="8"/>
  <c r="C16" i="8"/>
  <c r="A16" i="8"/>
  <c r="L15" i="8"/>
  <c r="K15" i="8"/>
  <c r="G15" i="8"/>
  <c r="F15" i="8"/>
  <c r="D15" i="8"/>
  <c r="C15" i="8"/>
  <c r="A15" i="8"/>
  <c r="L14" i="8"/>
  <c r="K14" i="8"/>
  <c r="G14" i="8"/>
  <c r="F14" i="8"/>
  <c r="D14" i="8"/>
  <c r="C14" i="8"/>
  <c r="A14" i="8"/>
  <c r="L13" i="8"/>
  <c r="K13" i="8"/>
  <c r="G13" i="8"/>
  <c r="F13" i="8"/>
  <c r="D13" i="8"/>
  <c r="C13" i="8"/>
  <c r="A13" i="8"/>
  <c r="L12" i="8"/>
  <c r="K12" i="8"/>
  <c r="G12" i="8"/>
  <c r="F12" i="8"/>
  <c r="D12" i="8"/>
  <c r="C12" i="8"/>
  <c r="A12" i="8"/>
  <c r="L11" i="8"/>
  <c r="K11" i="8"/>
  <c r="G11" i="8"/>
  <c r="F11" i="8"/>
  <c r="D11" i="8"/>
  <c r="C11" i="8"/>
  <c r="A11" i="8"/>
  <c r="L10" i="8"/>
  <c r="K10" i="8"/>
  <c r="G10" i="8"/>
  <c r="F10" i="8"/>
  <c r="D10" i="8"/>
  <c r="C10" i="8"/>
  <c r="A10" i="8"/>
  <c r="L9" i="8"/>
  <c r="K9" i="8"/>
  <c r="G9" i="8"/>
  <c r="F9" i="8"/>
  <c r="D9" i="8"/>
  <c r="C9" i="8"/>
  <c r="A9" i="8"/>
  <c r="L8" i="8"/>
  <c r="K8" i="8"/>
  <c r="G8" i="8"/>
  <c r="F8" i="8"/>
  <c r="D8" i="8"/>
  <c r="C8" i="8"/>
  <c r="A8" i="8"/>
  <c r="L7" i="8"/>
  <c r="K7" i="8"/>
  <c r="G7" i="8"/>
  <c r="F7" i="8"/>
  <c r="D7" i="8"/>
  <c r="C7" i="8"/>
  <c r="A7" i="8"/>
  <c r="L6" i="8"/>
  <c r="K6" i="8"/>
  <c r="G6" i="8"/>
  <c r="F6" i="8"/>
  <c r="D6" i="8"/>
  <c r="C6" i="8"/>
  <c r="A6" i="8"/>
  <c r="L5" i="8"/>
  <c r="K5" i="8"/>
  <c r="G5" i="8"/>
  <c r="F5" i="8"/>
  <c r="D5" i="8"/>
  <c r="C5" i="8"/>
  <c r="A5" i="8"/>
  <c r="L4" i="8"/>
  <c r="K4" i="8"/>
  <c r="G4" i="8"/>
  <c r="F4" i="8"/>
  <c r="D4" i="8"/>
  <c r="C4" i="8"/>
  <c r="A4" i="8"/>
  <c r="I203" i="7"/>
  <c r="H203" i="7"/>
  <c r="C203" i="7"/>
  <c r="I202" i="7"/>
  <c r="H202" i="7"/>
  <c r="C202" i="7"/>
  <c r="I201" i="7"/>
  <c r="H201" i="7"/>
  <c r="C201" i="7"/>
  <c r="I200" i="7"/>
  <c r="H200" i="7"/>
  <c r="C200" i="7"/>
  <c r="I199" i="7"/>
  <c r="H199" i="7"/>
  <c r="C199" i="7"/>
  <c r="I198" i="7"/>
  <c r="H198" i="7"/>
  <c r="C198" i="7"/>
  <c r="I197" i="7"/>
  <c r="H197" i="7"/>
  <c r="C197" i="7"/>
  <c r="I196" i="7"/>
  <c r="H196" i="7"/>
  <c r="C196" i="7"/>
  <c r="I195" i="7"/>
  <c r="H195" i="7"/>
  <c r="C195" i="7"/>
  <c r="I194" i="7"/>
  <c r="H194" i="7"/>
  <c r="C194" i="7"/>
  <c r="I193" i="7"/>
  <c r="H193" i="7"/>
  <c r="C193" i="7"/>
  <c r="I192" i="7"/>
  <c r="H192" i="7"/>
  <c r="C192" i="7"/>
  <c r="I191" i="7"/>
  <c r="H191" i="7"/>
  <c r="C191" i="7"/>
  <c r="I190" i="7"/>
  <c r="H190" i="7"/>
  <c r="C190" i="7"/>
  <c r="I189" i="7"/>
  <c r="H189" i="7"/>
  <c r="C189" i="7"/>
  <c r="I188" i="7"/>
  <c r="H188" i="7"/>
  <c r="C188" i="7"/>
  <c r="I187" i="7"/>
  <c r="H187" i="7"/>
  <c r="C187" i="7"/>
  <c r="I186" i="7"/>
  <c r="H186" i="7"/>
  <c r="C186" i="7"/>
  <c r="I185" i="7"/>
  <c r="H185" i="7"/>
  <c r="C185" i="7"/>
  <c r="I184" i="7"/>
  <c r="H184" i="7"/>
  <c r="C184" i="7"/>
  <c r="I183" i="7"/>
  <c r="H183" i="7"/>
  <c r="C183" i="7"/>
  <c r="I182" i="7"/>
  <c r="H182" i="7"/>
  <c r="C182" i="7"/>
  <c r="I181" i="7"/>
  <c r="H181" i="7"/>
  <c r="C181" i="7"/>
  <c r="I180" i="7"/>
  <c r="H180" i="7"/>
  <c r="C180" i="7"/>
  <c r="I179" i="7"/>
  <c r="H179" i="7"/>
  <c r="C179" i="7"/>
  <c r="I178" i="7"/>
  <c r="H178" i="7"/>
  <c r="C178" i="7"/>
  <c r="I177" i="7"/>
  <c r="H177" i="7"/>
  <c r="C177" i="7"/>
  <c r="I176" i="7"/>
  <c r="H176" i="7"/>
  <c r="C176" i="7"/>
  <c r="I175" i="7"/>
  <c r="H175" i="7"/>
  <c r="C175" i="7"/>
  <c r="I174" i="7"/>
  <c r="H174" i="7"/>
  <c r="C174" i="7"/>
  <c r="I173" i="7"/>
  <c r="H173" i="7"/>
  <c r="C173" i="7"/>
  <c r="I172" i="7"/>
  <c r="H172" i="7"/>
  <c r="C172" i="7"/>
  <c r="I171" i="7"/>
  <c r="H171" i="7"/>
  <c r="C171" i="7"/>
  <c r="I170" i="7"/>
  <c r="H170" i="7"/>
  <c r="C170" i="7"/>
  <c r="I169" i="7"/>
  <c r="H169" i="7"/>
  <c r="C169" i="7"/>
  <c r="I168" i="7"/>
  <c r="H168" i="7"/>
  <c r="C168" i="7"/>
  <c r="I167" i="7"/>
  <c r="H167" i="7"/>
  <c r="C167" i="7"/>
  <c r="I166" i="7"/>
  <c r="H166" i="7"/>
  <c r="C166" i="7"/>
  <c r="I165" i="7"/>
  <c r="H165" i="7"/>
  <c r="C165" i="7"/>
  <c r="I164" i="7"/>
  <c r="H164" i="7"/>
  <c r="C164" i="7"/>
  <c r="I163" i="7"/>
  <c r="H163" i="7"/>
  <c r="C163" i="7"/>
  <c r="I162" i="7"/>
  <c r="H162" i="7"/>
  <c r="C162" i="7"/>
  <c r="I161" i="7"/>
  <c r="H161" i="7"/>
  <c r="C161" i="7"/>
  <c r="I160" i="7"/>
  <c r="H160" i="7"/>
  <c r="C160" i="7"/>
  <c r="I159" i="7"/>
  <c r="H159" i="7"/>
  <c r="C159" i="7"/>
  <c r="I158" i="7"/>
  <c r="H158" i="7"/>
  <c r="C158" i="7"/>
  <c r="I157" i="7"/>
  <c r="H157" i="7"/>
  <c r="C157" i="7"/>
  <c r="I156" i="7"/>
  <c r="H156" i="7"/>
  <c r="C156" i="7"/>
  <c r="I155" i="7"/>
  <c r="H155" i="7"/>
  <c r="C155" i="7"/>
  <c r="I154" i="7"/>
  <c r="H154" i="7"/>
  <c r="C154" i="7"/>
  <c r="I153" i="7"/>
  <c r="H153" i="7"/>
  <c r="C153" i="7"/>
  <c r="I152" i="7"/>
  <c r="H152" i="7"/>
  <c r="C152" i="7"/>
  <c r="I151" i="7"/>
  <c r="H151" i="7"/>
  <c r="C151" i="7"/>
  <c r="I150" i="7"/>
  <c r="H150" i="7"/>
  <c r="C150" i="7"/>
  <c r="I149" i="7"/>
  <c r="H149" i="7"/>
  <c r="C149" i="7"/>
  <c r="I148" i="7"/>
  <c r="H148" i="7"/>
  <c r="C148" i="7"/>
  <c r="I147" i="7"/>
  <c r="H147" i="7"/>
  <c r="C147" i="7"/>
  <c r="I146" i="7"/>
  <c r="H146" i="7"/>
  <c r="C146" i="7"/>
  <c r="I145" i="7"/>
  <c r="H145" i="7"/>
  <c r="C145" i="7"/>
  <c r="I144" i="7"/>
  <c r="H144" i="7"/>
  <c r="C144" i="7"/>
  <c r="I143" i="7"/>
  <c r="H143" i="7"/>
  <c r="C143" i="7"/>
  <c r="I142" i="7"/>
  <c r="H142" i="7"/>
  <c r="C142" i="7"/>
  <c r="I141" i="7"/>
  <c r="H141" i="7"/>
  <c r="C141" i="7"/>
  <c r="I140" i="7"/>
  <c r="H140" i="7"/>
  <c r="C140" i="7"/>
  <c r="I139" i="7"/>
  <c r="H139" i="7"/>
  <c r="C139" i="7"/>
  <c r="I138" i="7"/>
  <c r="H138" i="7"/>
  <c r="C138" i="7"/>
  <c r="I137" i="7"/>
  <c r="H137" i="7"/>
  <c r="C137" i="7"/>
  <c r="I136" i="7"/>
  <c r="H136" i="7"/>
  <c r="C136" i="7"/>
  <c r="I135" i="7"/>
  <c r="H135" i="7"/>
  <c r="C135" i="7"/>
  <c r="I134" i="7"/>
  <c r="H134" i="7"/>
  <c r="C134" i="7"/>
  <c r="I133" i="7"/>
  <c r="H133" i="7"/>
  <c r="C133" i="7"/>
  <c r="I132" i="7"/>
  <c r="H132" i="7"/>
  <c r="C132" i="7"/>
  <c r="I131" i="7"/>
  <c r="H131" i="7"/>
  <c r="C131" i="7"/>
  <c r="I130" i="7"/>
  <c r="H130" i="7"/>
  <c r="C130" i="7"/>
  <c r="I129" i="7"/>
  <c r="H129" i="7"/>
  <c r="C129" i="7"/>
  <c r="I128" i="7"/>
  <c r="H128" i="7"/>
  <c r="C128" i="7"/>
  <c r="I127" i="7"/>
  <c r="H127" i="7"/>
  <c r="C127" i="7"/>
  <c r="I126" i="7"/>
  <c r="H126" i="7"/>
  <c r="C126" i="7"/>
  <c r="I125" i="7"/>
  <c r="H125" i="7"/>
  <c r="C125" i="7"/>
  <c r="I124" i="7"/>
  <c r="H124" i="7"/>
  <c r="C124" i="7"/>
  <c r="I123" i="7"/>
  <c r="H123" i="7"/>
  <c r="C123" i="7"/>
  <c r="I122" i="7"/>
  <c r="H122" i="7"/>
  <c r="C122" i="7"/>
  <c r="I121" i="7"/>
  <c r="H121" i="7"/>
  <c r="C121" i="7"/>
  <c r="I120" i="7"/>
  <c r="H120" i="7"/>
  <c r="C120" i="7"/>
  <c r="I119" i="7"/>
  <c r="H119" i="7"/>
  <c r="C119" i="7"/>
  <c r="I118" i="7"/>
  <c r="H118" i="7"/>
  <c r="C118" i="7"/>
  <c r="I117" i="7"/>
  <c r="H117" i="7"/>
  <c r="C117" i="7"/>
  <c r="I116" i="7"/>
  <c r="H116" i="7"/>
  <c r="C116" i="7"/>
  <c r="I115" i="7"/>
  <c r="H115" i="7"/>
  <c r="C115" i="7"/>
  <c r="I114" i="7"/>
  <c r="H114" i="7"/>
  <c r="C114" i="7"/>
  <c r="I113" i="7"/>
  <c r="H113" i="7"/>
  <c r="C113" i="7"/>
  <c r="I112" i="7"/>
  <c r="H112" i="7"/>
  <c r="C112" i="7"/>
  <c r="I111" i="7"/>
  <c r="H111" i="7"/>
  <c r="C111" i="7"/>
  <c r="I110" i="7"/>
  <c r="H110" i="7"/>
  <c r="C110" i="7"/>
  <c r="I109" i="7"/>
  <c r="H109" i="7"/>
  <c r="C109" i="7"/>
  <c r="I108" i="7"/>
  <c r="H108" i="7"/>
  <c r="C108" i="7"/>
  <c r="I107" i="7"/>
  <c r="H107" i="7"/>
  <c r="C107" i="7"/>
  <c r="I106" i="7"/>
  <c r="H106" i="7"/>
  <c r="C106" i="7"/>
  <c r="I105" i="7"/>
  <c r="H105" i="7"/>
  <c r="C105" i="7"/>
  <c r="I104" i="7"/>
  <c r="H104" i="7"/>
  <c r="C104" i="7"/>
  <c r="I103" i="7"/>
  <c r="H103" i="7"/>
  <c r="C103" i="7"/>
  <c r="I102" i="7"/>
  <c r="H102" i="7"/>
  <c r="C102" i="7"/>
  <c r="I101" i="7"/>
  <c r="H101" i="7"/>
  <c r="C101" i="7"/>
  <c r="I100" i="7"/>
  <c r="H100" i="7"/>
  <c r="C100" i="7"/>
  <c r="I99" i="7"/>
  <c r="H99" i="7"/>
  <c r="C99" i="7"/>
  <c r="I98" i="7"/>
  <c r="H98" i="7"/>
  <c r="C98" i="7"/>
  <c r="I97" i="7"/>
  <c r="H97" i="7"/>
  <c r="C97" i="7"/>
  <c r="I96" i="7"/>
  <c r="H96" i="7"/>
  <c r="C96" i="7"/>
  <c r="I95" i="7"/>
  <c r="H95" i="7"/>
  <c r="C95" i="7"/>
  <c r="I94" i="7"/>
  <c r="H94" i="7"/>
  <c r="C94" i="7"/>
  <c r="I93" i="7"/>
  <c r="H93" i="7"/>
  <c r="C93" i="7"/>
  <c r="I92" i="7"/>
  <c r="H92" i="7"/>
  <c r="C92" i="7"/>
  <c r="I91" i="7"/>
  <c r="H91" i="7"/>
  <c r="C91" i="7"/>
  <c r="I90" i="7"/>
  <c r="H90" i="7"/>
  <c r="C90" i="7"/>
  <c r="I89" i="7"/>
  <c r="H89" i="7"/>
  <c r="C89" i="7"/>
  <c r="I88" i="7"/>
  <c r="H88" i="7"/>
  <c r="C88" i="7"/>
  <c r="I87" i="7"/>
  <c r="H87" i="7"/>
  <c r="C87" i="7"/>
  <c r="I86" i="7"/>
  <c r="H86" i="7"/>
  <c r="C86" i="7"/>
  <c r="I85" i="7"/>
  <c r="H85" i="7"/>
  <c r="C85" i="7"/>
  <c r="I84" i="7"/>
  <c r="H84" i="7"/>
  <c r="C84" i="7"/>
  <c r="I83" i="7"/>
  <c r="H83" i="7"/>
  <c r="C83" i="7"/>
  <c r="I82" i="7"/>
  <c r="H82" i="7"/>
  <c r="C82" i="7"/>
  <c r="I81" i="7"/>
  <c r="H81" i="7"/>
  <c r="C81" i="7"/>
  <c r="I80" i="7"/>
  <c r="H80" i="7"/>
  <c r="C80" i="7"/>
  <c r="I79" i="7"/>
  <c r="H79" i="7"/>
  <c r="C79" i="7"/>
  <c r="I78" i="7"/>
  <c r="H78" i="7"/>
  <c r="C78" i="7"/>
  <c r="I77" i="7"/>
  <c r="H77" i="7"/>
  <c r="C77" i="7"/>
  <c r="I76" i="7"/>
  <c r="H76" i="7"/>
  <c r="C76" i="7"/>
  <c r="I75" i="7"/>
  <c r="H75" i="7"/>
  <c r="C75" i="7"/>
  <c r="I74" i="7"/>
  <c r="H74" i="7"/>
  <c r="C74" i="7"/>
  <c r="I73" i="7"/>
  <c r="H73" i="7"/>
  <c r="C73" i="7"/>
  <c r="I72" i="7"/>
  <c r="H72" i="7"/>
  <c r="C72" i="7"/>
  <c r="I71" i="7"/>
  <c r="H71" i="7"/>
  <c r="C71" i="7"/>
  <c r="I70" i="7"/>
  <c r="H70" i="7"/>
  <c r="C70" i="7"/>
  <c r="I69" i="7"/>
  <c r="H69" i="7"/>
  <c r="C69" i="7"/>
  <c r="I68" i="7"/>
  <c r="H68" i="7"/>
  <c r="C68" i="7"/>
  <c r="I67" i="7"/>
  <c r="H67" i="7"/>
  <c r="C67" i="7"/>
  <c r="I66" i="7"/>
  <c r="H66" i="7"/>
  <c r="C66" i="7"/>
  <c r="I65" i="7"/>
  <c r="H65" i="7"/>
  <c r="C65" i="7"/>
  <c r="I64" i="7"/>
  <c r="H64" i="7"/>
  <c r="C64" i="7"/>
  <c r="I63" i="7"/>
  <c r="H63" i="7"/>
  <c r="C63" i="7"/>
  <c r="I62" i="7"/>
  <c r="H62" i="7"/>
  <c r="C62" i="7"/>
  <c r="I61" i="7"/>
  <c r="H61" i="7"/>
  <c r="C61" i="7"/>
  <c r="I60" i="7"/>
  <c r="H60" i="7"/>
  <c r="C60" i="7"/>
  <c r="I59" i="7"/>
  <c r="H59" i="7"/>
  <c r="C59" i="7"/>
  <c r="I58" i="7"/>
  <c r="H58" i="7"/>
  <c r="C58" i="7"/>
  <c r="I57" i="7"/>
  <c r="H57" i="7"/>
  <c r="C57" i="7"/>
  <c r="I56" i="7"/>
  <c r="H56" i="7"/>
  <c r="C56" i="7"/>
  <c r="I55" i="7"/>
  <c r="H55" i="7"/>
  <c r="C55" i="7"/>
  <c r="I54" i="7"/>
  <c r="H54" i="7"/>
  <c r="C54" i="7"/>
  <c r="I53" i="7"/>
  <c r="H53" i="7"/>
  <c r="C53" i="7"/>
  <c r="I52" i="7"/>
  <c r="H52" i="7"/>
  <c r="C52" i="7"/>
  <c r="I51" i="7"/>
  <c r="H51" i="7"/>
  <c r="C51" i="7"/>
  <c r="I50" i="7"/>
  <c r="H50" i="7"/>
  <c r="C50" i="7"/>
  <c r="I49" i="7"/>
  <c r="H49" i="7"/>
  <c r="C49" i="7"/>
  <c r="I48" i="7"/>
  <c r="H48" i="7"/>
  <c r="C48" i="7"/>
  <c r="I47" i="7"/>
  <c r="H47" i="7"/>
  <c r="C47" i="7"/>
  <c r="I46" i="7"/>
  <c r="H46" i="7"/>
  <c r="C46" i="7"/>
  <c r="I45" i="7"/>
  <c r="H45" i="7"/>
  <c r="C45" i="7"/>
  <c r="I44" i="7"/>
  <c r="H44" i="7"/>
  <c r="C44" i="7"/>
  <c r="I43" i="7"/>
  <c r="H43" i="7"/>
  <c r="C43" i="7"/>
  <c r="I42" i="7"/>
  <c r="H42" i="7"/>
  <c r="C42" i="7"/>
  <c r="I41" i="7"/>
  <c r="H41" i="7"/>
  <c r="C41" i="7"/>
  <c r="I40" i="7"/>
  <c r="H40" i="7"/>
  <c r="C40" i="7"/>
  <c r="I39" i="7"/>
  <c r="H39" i="7"/>
  <c r="C39" i="7"/>
  <c r="I38" i="7"/>
  <c r="H38" i="7"/>
  <c r="C38" i="7"/>
  <c r="I37" i="7"/>
  <c r="H37" i="7"/>
  <c r="C37" i="7"/>
  <c r="I36" i="7"/>
  <c r="H36" i="7"/>
  <c r="C36" i="7"/>
  <c r="I35" i="7"/>
  <c r="H35" i="7"/>
  <c r="C35" i="7"/>
  <c r="I34" i="7"/>
  <c r="H34" i="7"/>
  <c r="C34" i="7"/>
  <c r="I33" i="7"/>
  <c r="H33" i="7"/>
  <c r="C33" i="7"/>
  <c r="I32" i="7"/>
  <c r="H32" i="7"/>
  <c r="C32" i="7"/>
  <c r="I31" i="7"/>
  <c r="H31" i="7"/>
  <c r="C31" i="7"/>
  <c r="I30" i="7"/>
  <c r="H30" i="7"/>
  <c r="C30" i="7"/>
  <c r="I29" i="7"/>
  <c r="H29" i="7"/>
  <c r="C29" i="7"/>
  <c r="I28" i="7"/>
  <c r="H28" i="7"/>
  <c r="C28" i="7"/>
  <c r="I27" i="7"/>
  <c r="H27" i="7"/>
  <c r="C27" i="7"/>
  <c r="I26" i="7"/>
  <c r="H26" i="7"/>
  <c r="C26" i="7"/>
  <c r="I25" i="7"/>
  <c r="H25" i="7"/>
  <c r="C25" i="7"/>
  <c r="I24" i="7"/>
  <c r="H24" i="7"/>
  <c r="C24" i="7"/>
  <c r="I23" i="7"/>
  <c r="H23" i="7"/>
  <c r="C23" i="7"/>
  <c r="I22" i="7"/>
  <c r="H22" i="7"/>
  <c r="C22" i="7"/>
  <c r="I21" i="7"/>
  <c r="H21" i="7"/>
  <c r="C21" i="7"/>
  <c r="I20" i="7"/>
  <c r="H20" i="7"/>
  <c r="C20" i="7"/>
  <c r="I19" i="7"/>
  <c r="H19" i="7"/>
  <c r="C19" i="7"/>
  <c r="I18" i="7"/>
  <c r="H18" i="7"/>
  <c r="C18" i="7"/>
  <c r="I17" i="7"/>
  <c r="H17" i="7"/>
  <c r="C17" i="7"/>
  <c r="I16" i="7"/>
  <c r="H16" i="7"/>
  <c r="C16" i="7"/>
  <c r="I15" i="7"/>
  <c r="H15" i="7"/>
  <c r="C15" i="7"/>
  <c r="I14" i="7"/>
  <c r="H14" i="7"/>
  <c r="C14" i="7"/>
  <c r="I13" i="7"/>
  <c r="H13" i="7"/>
  <c r="C13" i="7"/>
  <c r="I12" i="7"/>
  <c r="H12" i="7"/>
  <c r="C12" i="7"/>
  <c r="I11" i="7"/>
  <c r="H11" i="7"/>
  <c r="C11" i="7"/>
  <c r="I10" i="7"/>
  <c r="H10" i="7"/>
  <c r="C10" i="7"/>
  <c r="I9" i="7"/>
  <c r="H9" i="7"/>
  <c r="C9" i="7"/>
  <c r="I8" i="7"/>
  <c r="H8" i="7"/>
  <c r="C8" i="7"/>
  <c r="I7" i="7"/>
  <c r="H7" i="7"/>
  <c r="C7" i="7"/>
  <c r="I6" i="7"/>
  <c r="H6" i="7"/>
  <c r="C6" i="7"/>
  <c r="I5" i="7"/>
  <c r="H5" i="7"/>
  <c r="C5" i="7"/>
  <c r="I4" i="7"/>
  <c r="H4" i="7"/>
  <c r="C4" i="7"/>
  <c r="R103" i="6"/>
  <c r="Q103" i="6"/>
  <c r="P103" i="6"/>
  <c r="O103" i="6"/>
  <c r="N103" i="6"/>
  <c r="F103" i="6"/>
  <c r="R102" i="6"/>
  <c r="Q102" i="6"/>
  <c r="P102" i="6"/>
  <c r="O102" i="6"/>
  <c r="N102" i="6"/>
  <c r="F102" i="6"/>
  <c r="R101" i="6"/>
  <c r="Q101" i="6"/>
  <c r="P101" i="6"/>
  <c r="O101" i="6"/>
  <c r="N101" i="6"/>
  <c r="F101" i="6"/>
  <c r="R100" i="6"/>
  <c r="Q100" i="6"/>
  <c r="P100" i="6"/>
  <c r="O100" i="6"/>
  <c r="N100" i="6"/>
  <c r="F100" i="6"/>
  <c r="R99" i="6"/>
  <c r="Q99" i="6"/>
  <c r="P99" i="6"/>
  <c r="O99" i="6"/>
  <c r="N99" i="6"/>
  <c r="F99" i="6"/>
  <c r="R98" i="6"/>
  <c r="Q98" i="6"/>
  <c r="P98" i="6"/>
  <c r="O98" i="6"/>
  <c r="N98" i="6"/>
  <c r="F98" i="6"/>
  <c r="R97" i="6"/>
  <c r="Q97" i="6"/>
  <c r="P97" i="6"/>
  <c r="O97" i="6"/>
  <c r="N97" i="6"/>
  <c r="F97" i="6"/>
  <c r="R96" i="6"/>
  <c r="Q96" i="6"/>
  <c r="P96" i="6"/>
  <c r="O96" i="6"/>
  <c r="N96" i="6"/>
  <c r="F96" i="6"/>
  <c r="R95" i="6"/>
  <c r="Q95" i="6"/>
  <c r="P95" i="6"/>
  <c r="O95" i="6"/>
  <c r="N95" i="6"/>
  <c r="F95" i="6"/>
  <c r="R94" i="6"/>
  <c r="Q94" i="6"/>
  <c r="P94" i="6"/>
  <c r="O94" i="6"/>
  <c r="N94" i="6"/>
  <c r="F94" i="6"/>
  <c r="R93" i="6"/>
  <c r="Q93" i="6"/>
  <c r="P93" i="6"/>
  <c r="O93" i="6"/>
  <c r="N93" i="6"/>
  <c r="F93" i="6"/>
  <c r="R92" i="6"/>
  <c r="Q92" i="6"/>
  <c r="P92" i="6"/>
  <c r="O92" i="6"/>
  <c r="N92" i="6"/>
  <c r="F92" i="6"/>
  <c r="R91" i="6"/>
  <c r="Q91" i="6"/>
  <c r="P91" i="6"/>
  <c r="O91" i="6"/>
  <c r="N91" i="6"/>
  <c r="F91" i="6"/>
  <c r="R90" i="6"/>
  <c r="Q90" i="6"/>
  <c r="P90" i="6"/>
  <c r="O90" i="6"/>
  <c r="N90" i="6"/>
  <c r="F90" i="6"/>
  <c r="R89" i="6"/>
  <c r="Q89" i="6"/>
  <c r="P89" i="6"/>
  <c r="O89" i="6"/>
  <c r="N89" i="6"/>
  <c r="F89" i="6"/>
  <c r="R88" i="6"/>
  <c r="Q88" i="6"/>
  <c r="P88" i="6"/>
  <c r="O88" i="6"/>
  <c r="N88" i="6"/>
  <c r="F88" i="6"/>
  <c r="R87" i="6"/>
  <c r="Q87" i="6"/>
  <c r="P87" i="6"/>
  <c r="O87" i="6"/>
  <c r="N87" i="6"/>
  <c r="F87" i="6"/>
  <c r="R86" i="6"/>
  <c r="Q86" i="6"/>
  <c r="P86" i="6"/>
  <c r="O86" i="6"/>
  <c r="N86" i="6"/>
  <c r="F86" i="6"/>
  <c r="R85" i="6"/>
  <c r="Q85" i="6"/>
  <c r="P85" i="6"/>
  <c r="O85" i="6"/>
  <c r="N85" i="6"/>
  <c r="F85" i="6"/>
  <c r="R84" i="6"/>
  <c r="Q84" i="6"/>
  <c r="P84" i="6"/>
  <c r="O84" i="6"/>
  <c r="N84" i="6"/>
  <c r="F84" i="6"/>
  <c r="R83" i="6"/>
  <c r="Q83" i="6"/>
  <c r="P83" i="6"/>
  <c r="O83" i="6"/>
  <c r="N83" i="6"/>
  <c r="F83" i="6"/>
  <c r="R82" i="6"/>
  <c r="Q82" i="6"/>
  <c r="P82" i="6"/>
  <c r="O82" i="6"/>
  <c r="N82" i="6"/>
  <c r="F82" i="6"/>
  <c r="R81" i="6"/>
  <c r="Q81" i="6"/>
  <c r="P81" i="6"/>
  <c r="O81" i="6"/>
  <c r="N81" i="6"/>
  <c r="F81" i="6"/>
  <c r="R80" i="6"/>
  <c r="Q80" i="6"/>
  <c r="P80" i="6"/>
  <c r="O80" i="6"/>
  <c r="N80" i="6"/>
  <c r="F80" i="6"/>
  <c r="R79" i="6"/>
  <c r="Q79" i="6"/>
  <c r="P79" i="6"/>
  <c r="O79" i="6"/>
  <c r="N79" i="6"/>
  <c r="F79" i="6"/>
  <c r="R78" i="6"/>
  <c r="Q78" i="6"/>
  <c r="P78" i="6"/>
  <c r="O78" i="6"/>
  <c r="N78" i="6"/>
  <c r="F78" i="6"/>
  <c r="R77" i="6"/>
  <c r="Q77" i="6"/>
  <c r="P77" i="6"/>
  <c r="O77" i="6"/>
  <c r="N77" i="6"/>
  <c r="F77" i="6"/>
  <c r="R76" i="6"/>
  <c r="Q76" i="6"/>
  <c r="P76" i="6"/>
  <c r="O76" i="6"/>
  <c r="N76" i="6"/>
  <c r="F76" i="6"/>
  <c r="R75" i="6"/>
  <c r="Q75" i="6"/>
  <c r="P75" i="6"/>
  <c r="O75" i="6"/>
  <c r="N75" i="6"/>
  <c r="F75" i="6"/>
  <c r="R74" i="6"/>
  <c r="Q74" i="6"/>
  <c r="P74" i="6"/>
  <c r="O74" i="6"/>
  <c r="N74" i="6"/>
  <c r="F74" i="6"/>
  <c r="R73" i="6"/>
  <c r="Q73" i="6"/>
  <c r="P73" i="6"/>
  <c r="O73" i="6"/>
  <c r="N73" i="6"/>
  <c r="F73" i="6"/>
  <c r="R72" i="6"/>
  <c r="Q72" i="6"/>
  <c r="P72" i="6"/>
  <c r="O72" i="6"/>
  <c r="N72" i="6"/>
  <c r="F72" i="6"/>
  <c r="R71" i="6"/>
  <c r="Q71" i="6"/>
  <c r="P71" i="6"/>
  <c r="O71" i="6"/>
  <c r="N71" i="6"/>
  <c r="F71" i="6"/>
  <c r="R70" i="6"/>
  <c r="Q70" i="6"/>
  <c r="P70" i="6"/>
  <c r="O70" i="6"/>
  <c r="N70" i="6"/>
  <c r="F70" i="6"/>
  <c r="R69" i="6"/>
  <c r="Q69" i="6"/>
  <c r="P69" i="6"/>
  <c r="O69" i="6"/>
  <c r="N69" i="6"/>
  <c r="F69" i="6"/>
  <c r="R68" i="6"/>
  <c r="Q68" i="6"/>
  <c r="P68" i="6"/>
  <c r="O68" i="6"/>
  <c r="N68" i="6"/>
  <c r="F68" i="6"/>
  <c r="R67" i="6"/>
  <c r="Q67" i="6"/>
  <c r="P67" i="6"/>
  <c r="O67" i="6"/>
  <c r="N67" i="6"/>
  <c r="F67" i="6"/>
  <c r="R66" i="6"/>
  <c r="Q66" i="6"/>
  <c r="P66" i="6"/>
  <c r="O66" i="6"/>
  <c r="N66" i="6"/>
  <c r="F66" i="6"/>
  <c r="R65" i="6"/>
  <c r="Q65" i="6"/>
  <c r="P65" i="6"/>
  <c r="O65" i="6"/>
  <c r="N65" i="6"/>
  <c r="F65" i="6"/>
  <c r="R64" i="6"/>
  <c r="Q64" i="6"/>
  <c r="P64" i="6"/>
  <c r="O64" i="6"/>
  <c r="N64" i="6"/>
  <c r="F64" i="6"/>
  <c r="R63" i="6"/>
  <c r="Q63" i="6"/>
  <c r="P63" i="6"/>
  <c r="O63" i="6"/>
  <c r="N63" i="6"/>
  <c r="F63" i="6"/>
  <c r="R62" i="6"/>
  <c r="Q62" i="6"/>
  <c r="P62" i="6"/>
  <c r="O62" i="6"/>
  <c r="N62" i="6"/>
  <c r="F62" i="6"/>
  <c r="R61" i="6"/>
  <c r="Q61" i="6"/>
  <c r="P61" i="6"/>
  <c r="O61" i="6"/>
  <c r="N61" i="6"/>
  <c r="F61" i="6"/>
  <c r="R60" i="6"/>
  <c r="Q60" i="6"/>
  <c r="P60" i="6"/>
  <c r="O60" i="6"/>
  <c r="N60" i="6"/>
  <c r="F60" i="6"/>
  <c r="R59" i="6"/>
  <c r="Q59" i="6"/>
  <c r="P59" i="6"/>
  <c r="O59" i="6"/>
  <c r="N59" i="6"/>
  <c r="F59" i="6"/>
  <c r="R58" i="6"/>
  <c r="Q58" i="6"/>
  <c r="P58" i="6"/>
  <c r="O58" i="6"/>
  <c r="N58" i="6"/>
  <c r="F58" i="6"/>
  <c r="R57" i="6"/>
  <c r="Q57" i="6"/>
  <c r="P57" i="6"/>
  <c r="O57" i="6"/>
  <c r="N57" i="6"/>
  <c r="F57" i="6"/>
  <c r="R56" i="6"/>
  <c r="Q56" i="6"/>
  <c r="P56" i="6"/>
  <c r="O56" i="6"/>
  <c r="N56" i="6"/>
  <c r="F56" i="6"/>
  <c r="R55" i="6"/>
  <c r="Q55" i="6"/>
  <c r="P55" i="6"/>
  <c r="O55" i="6"/>
  <c r="N55" i="6"/>
  <c r="F55" i="6"/>
  <c r="R54" i="6"/>
  <c r="Q54" i="6"/>
  <c r="P54" i="6"/>
  <c r="O54" i="6"/>
  <c r="N54" i="6"/>
  <c r="F54" i="6"/>
  <c r="R53" i="6"/>
  <c r="Q53" i="6"/>
  <c r="P53" i="6"/>
  <c r="O53" i="6"/>
  <c r="N53" i="6"/>
  <c r="F53" i="6"/>
  <c r="R52" i="6"/>
  <c r="Q52" i="6"/>
  <c r="P52" i="6"/>
  <c r="O52" i="6"/>
  <c r="N52" i="6"/>
  <c r="F52" i="6"/>
  <c r="R51" i="6"/>
  <c r="Q51" i="6"/>
  <c r="P51" i="6"/>
  <c r="O51" i="6"/>
  <c r="N51" i="6"/>
  <c r="F51" i="6"/>
  <c r="R50" i="6"/>
  <c r="Q50" i="6"/>
  <c r="P50" i="6"/>
  <c r="O50" i="6"/>
  <c r="N50" i="6"/>
  <c r="F50" i="6"/>
  <c r="R49" i="6"/>
  <c r="Q49" i="6"/>
  <c r="P49" i="6"/>
  <c r="O49" i="6"/>
  <c r="N49" i="6"/>
  <c r="F49" i="6"/>
  <c r="R48" i="6"/>
  <c r="Q48" i="6"/>
  <c r="P48" i="6"/>
  <c r="O48" i="6"/>
  <c r="N48" i="6"/>
  <c r="F48" i="6"/>
  <c r="R47" i="6"/>
  <c r="Q47" i="6"/>
  <c r="P47" i="6"/>
  <c r="O47" i="6"/>
  <c r="N47" i="6"/>
  <c r="F47" i="6"/>
  <c r="R46" i="6"/>
  <c r="Q46" i="6"/>
  <c r="P46" i="6"/>
  <c r="O46" i="6"/>
  <c r="N46" i="6"/>
  <c r="F46" i="6"/>
  <c r="R45" i="6"/>
  <c r="Q45" i="6"/>
  <c r="P45" i="6"/>
  <c r="O45" i="6"/>
  <c r="N45" i="6"/>
  <c r="F45" i="6"/>
  <c r="R44" i="6"/>
  <c r="Q44" i="6"/>
  <c r="P44" i="6"/>
  <c r="O44" i="6"/>
  <c r="N44" i="6"/>
  <c r="F44" i="6"/>
  <c r="R43" i="6"/>
  <c r="Q43" i="6"/>
  <c r="P43" i="6"/>
  <c r="O43" i="6"/>
  <c r="N43" i="6"/>
  <c r="F43" i="6"/>
  <c r="R42" i="6"/>
  <c r="Q42" i="6"/>
  <c r="P42" i="6"/>
  <c r="O42" i="6"/>
  <c r="N42" i="6"/>
  <c r="F42" i="6"/>
  <c r="R41" i="6"/>
  <c r="Q41" i="6"/>
  <c r="P41" i="6"/>
  <c r="O41" i="6"/>
  <c r="N41" i="6"/>
  <c r="F41" i="6"/>
  <c r="R40" i="6"/>
  <c r="Q40" i="6"/>
  <c r="P40" i="6"/>
  <c r="O40" i="6"/>
  <c r="N40" i="6"/>
  <c r="F40" i="6"/>
  <c r="R39" i="6"/>
  <c r="Q39" i="6"/>
  <c r="P39" i="6"/>
  <c r="O39" i="6"/>
  <c r="N39" i="6"/>
  <c r="F39" i="6"/>
  <c r="R38" i="6"/>
  <c r="Q38" i="6"/>
  <c r="P38" i="6"/>
  <c r="O38" i="6"/>
  <c r="N38" i="6"/>
  <c r="F38" i="6"/>
  <c r="R37" i="6"/>
  <c r="Q37" i="6"/>
  <c r="P37" i="6"/>
  <c r="O37" i="6"/>
  <c r="N37" i="6"/>
  <c r="F37" i="6"/>
  <c r="R36" i="6"/>
  <c r="Q36" i="6"/>
  <c r="P36" i="6"/>
  <c r="O36" i="6"/>
  <c r="N36" i="6"/>
  <c r="F36" i="6"/>
  <c r="R35" i="6"/>
  <c r="Q35" i="6"/>
  <c r="P35" i="6"/>
  <c r="O35" i="6"/>
  <c r="N35" i="6"/>
  <c r="F35" i="6"/>
  <c r="R34" i="6"/>
  <c r="Q34" i="6"/>
  <c r="P34" i="6"/>
  <c r="O34" i="6"/>
  <c r="N34" i="6"/>
  <c r="F34" i="6"/>
  <c r="R33" i="6"/>
  <c r="Q33" i="6"/>
  <c r="P33" i="6"/>
  <c r="O33" i="6"/>
  <c r="N33" i="6"/>
  <c r="F33" i="6"/>
  <c r="R32" i="6"/>
  <c r="Q32" i="6"/>
  <c r="P32" i="6"/>
  <c r="O32" i="6"/>
  <c r="N32" i="6"/>
  <c r="F32" i="6"/>
  <c r="R31" i="6"/>
  <c r="Q31" i="6"/>
  <c r="P31" i="6"/>
  <c r="O31" i="6"/>
  <c r="N31" i="6"/>
  <c r="F31" i="6"/>
  <c r="R30" i="6"/>
  <c r="Q30" i="6"/>
  <c r="P30" i="6"/>
  <c r="O30" i="6"/>
  <c r="N30" i="6"/>
  <c r="F30" i="6"/>
  <c r="R29" i="6"/>
  <c r="Q29" i="6"/>
  <c r="P29" i="6"/>
  <c r="O29" i="6"/>
  <c r="N29" i="6"/>
  <c r="F29" i="6"/>
  <c r="R28" i="6"/>
  <c r="Q28" i="6"/>
  <c r="P28" i="6"/>
  <c r="O28" i="6"/>
  <c r="N28" i="6"/>
  <c r="F28" i="6"/>
  <c r="R27" i="6"/>
  <c r="Q27" i="6"/>
  <c r="P27" i="6"/>
  <c r="O27" i="6"/>
  <c r="N27" i="6"/>
  <c r="F27" i="6"/>
  <c r="R26" i="6"/>
  <c r="Q26" i="6"/>
  <c r="P26" i="6"/>
  <c r="O26" i="6"/>
  <c r="N26" i="6"/>
  <c r="F26" i="6"/>
  <c r="R25" i="6"/>
  <c r="Q25" i="6"/>
  <c r="P25" i="6"/>
  <c r="O25" i="6"/>
  <c r="N25" i="6"/>
  <c r="F25" i="6"/>
  <c r="R24" i="6"/>
  <c r="Q24" i="6"/>
  <c r="P24" i="6"/>
  <c r="O24" i="6"/>
  <c r="N24" i="6"/>
  <c r="F24" i="6"/>
  <c r="R23" i="6"/>
  <c r="Q23" i="6"/>
  <c r="P23" i="6"/>
  <c r="O23" i="6"/>
  <c r="N23" i="6"/>
  <c r="F23" i="6"/>
  <c r="R22" i="6"/>
  <c r="Q22" i="6"/>
  <c r="P22" i="6"/>
  <c r="O22" i="6"/>
  <c r="N22" i="6"/>
  <c r="F22" i="6"/>
  <c r="R21" i="6"/>
  <c r="Q21" i="6"/>
  <c r="P21" i="6"/>
  <c r="O21" i="6"/>
  <c r="N21" i="6"/>
  <c r="F21" i="6"/>
  <c r="R20" i="6"/>
  <c r="Q20" i="6"/>
  <c r="P20" i="6"/>
  <c r="O20" i="6"/>
  <c r="N20" i="6"/>
  <c r="F20" i="6"/>
  <c r="R19" i="6"/>
  <c r="Q19" i="6"/>
  <c r="P19" i="6"/>
  <c r="O19" i="6"/>
  <c r="N19" i="6"/>
  <c r="F19" i="6"/>
  <c r="R18" i="6"/>
  <c r="Q18" i="6"/>
  <c r="P18" i="6"/>
  <c r="O18" i="6"/>
  <c r="N18" i="6"/>
  <c r="F18" i="6"/>
  <c r="R17" i="6"/>
  <c r="Q17" i="6"/>
  <c r="P17" i="6"/>
  <c r="O17" i="6"/>
  <c r="N17" i="6"/>
  <c r="F17" i="6"/>
  <c r="R16" i="6"/>
  <c r="Q16" i="6"/>
  <c r="P16" i="6"/>
  <c r="O16" i="6"/>
  <c r="N16" i="6"/>
  <c r="F16" i="6"/>
  <c r="R15" i="6"/>
  <c r="Q15" i="6"/>
  <c r="P15" i="6"/>
  <c r="O15" i="6"/>
  <c r="N15" i="6"/>
  <c r="F15" i="6"/>
  <c r="R14" i="6"/>
  <c r="Q14" i="6"/>
  <c r="P14" i="6"/>
  <c r="O14" i="6"/>
  <c r="N14" i="6"/>
  <c r="F14" i="6"/>
  <c r="R13" i="6"/>
  <c r="Q13" i="6"/>
  <c r="P13" i="6"/>
  <c r="O13" i="6"/>
  <c r="N13" i="6"/>
  <c r="F13" i="6"/>
  <c r="R12" i="6"/>
  <c r="Q12" i="6"/>
  <c r="P12" i="6"/>
  <c r="O12" i="6"/>
  <c r="N12" i="6"/>
  <c r="F12" i="6"/>
  <c r="R11" i="6"/>
  <c r="Q11" i="6"/>
  <c r="P11" i="6"/>
  <c r="O11" i="6"/>
  <c r="N11" i="6"/>
  <c r="F11" i="6"/>
  <c r="R10" i="6"/>
  <c r="Q10" i="6"/>
  <c r="P10" i="6"/>
  <c r="O10" i="6"/>
  <c r="N10" i="6"/>
  <c r="F10" i="6"/>
  <c r="R9" i="6"/>
  <c r="Q9" i="6"/>
  <c r="P9" i="6"/>
  <c r="O9" i="6"/>
  <c r="N9" i="6"/>
  <c r="F9" i="6"/>
  <c r="R8" i="6"/>
  <c r="Q8" i="6"/>
  <c r="P8" i="6"/>
  <c r="O8" i="6"/>
  <c r="N8" i="6"/>
  <c r="F8" i="6"/>
  <c r="R7" i="6"/>
  <c r="Q7" i="6"/>
  <c r="P7" i="6"/>
  <c r="O7" i="6"/>
  <c r="N7" i="6"/>
  <c r="F7" i="6"/>
  <c r="R6" i="6"/>
  <c r="Q6" i="6"/>
  <c r="P6" i="6"/>
  <c r="O6" i="6"/>
  <c r="N6" i="6"/>
  <c r="F6" i="6"/>
  <c r="R5" i="6"/>
  <c r="Q5" i="6"/>
  <c r="P5" i="6"/>
  <c r="O5" i="6"/>
  <c r="N5" i="6"/>
  <c r="F5" i="6"/>
  <c r="R4" i="6"/>
  <c r="Q4" i="6"/>
  <c r="P4" i="6"/>
  <c r="O4" i="6"/>
  <c r="N4" i="6"/>
  <c r="F4" i="6"/>
  <c r="P203" i="4"/>
  <c r="O203" i="4"/>
  <c r="N203" i="4"/>
  <c r="M203" i="4"/>
  <c r="L203" i="4"/>
  <c r="K203" i="4"/>
  <c r="J203" i="4"/>
  <c r="I203" i="4"/>
  <c r="G203" i="4"/>
  <c r="A203" i="4"/>
  <c r="P202" i="4"/>
  <c r="O202" i="4"/>
  <c r="N202" i="4"/>
  <c r="M202" i="4"/>
  <c r="L202" i="4"/>
  <c r="K202" i="4"/>
  <c r="J202" i="4"/>
  <c r="I202" i="4"/>
  <c r="G202" i="4"/>
  <c r="A202" i="4"/>
  <c r="P201" i="4"/>
  <c r="O201" i="4"/>
  <c r="N201" i="4"/>
  <c r="M201" i="4"/>
  <c r="L201" i="4"/>
  <c r="K201" i="4"/>
  <c r="J201" i="4"/>
  <c r="I201" i="4"/>
  <c r="G201" i="4"/>
  <c r="A201" i="4"/>
  <c r="P200" i="4"/>
  <c r="O200" i="4"/>
  <c r="N200" i="4"/>
  <c r="M200" i="4"/>
  <c r="L200" i="4"/>
  <c r="K200" i="4"/>
  <c r="J200" i="4"/>
  <c r="I200" i="4"/>
  <c r="G200" i="4"/>
  <c r="A200" i="4"/>
  <c r="P199" i="4"/>
  <c r="O199" i="4"/>
  <c r="N199" i="4"/>
  <c r="M199" i="4"/>
  <c r="L199" i="4"/>
  <c r="K199" i="4"/>
  <c r="J199" i="4"/>
  <c r="I199" i="4"/>
  <c r="G199" i="4"/>
  <c r="A199" i="4"/>
  <c r="P198" i="4"/>
  <c r="O198" i="4"/>
  <c r="N198" i="4"/>
  <c r="M198" i="4"/>
  <c r="L198" i="4"/>
  <c r="K198" i="4"/>
  <c r="J198" i="4"/>
  <c r="I198" i="4"/>
  <c r="G198" i="4"/>
  <c r="A198" i="4"/>
  <c r="P197" i="4"/>
  <c r="O197" i="4"/>
  <c r="N197" i="4"/>
  <c r="M197" i="4"/>
  <c r="L197" i="4"/>
  <c r="K197" i="4"/>
  <c r="J197" i="4"/>
  <c r="I197" i="4"/>
  <c r="G197" i="4"/>
  <c r="A197" i="4"/>
  <c r="P196" i="4"/>
  <c r="O196" i="4"/>
  <c r="N196" i="4"/>
  <c r="M196" i="4"/>
  <c r="L196" i="4"/>
  <c r="K196" i="4"/>
  <c r="J196" i="4"/>
  <c r="I196" i="4"/>
  <c r="G196" i="4"/>
  <c r="A196" i="4"/>
  <c r="P195" i="4"/>
  <c r="O195" i="4"/>
  <c r="N195" i="4"/>
  <c r="M195" i="4"/>
  <c r="L195" i="4"/>
  <c r="K195" i="4"/>
  <c r="J195" i="4"/>
  <c r="I195" i="4"/>
  <c r="G195" i="4"/>
  <c r="A195" i="4"/>
  <c r="P194" i="4"/>
  <c r="O194" i="4"/>
  <c r="N194" i="4"/>
  <c r="M194" i="4"/>
  <c r="L194" i="4"/>
  <c r="K194" i="4"/>
  <c r="J194" i="4"/>
  <c r="I194" i="4"/>
  <c r="G194" i="4"/>
  <c r="A194" i="4"/>
  <c r="P193" i="4"/>
  <c r="O193" i="4"/>
  <c r="N193" i="4"/>
  <c r="M193" i="4"/>
  <c r="L193" i="4"/>
  <c r="K193" i="4"/>
  <c r="J193" i="4"/>
  <c r="I193" i="4"/>
  <c r="G193" i="4"/>
  <c r="A193" i="4"/>
  <c r="P192" i="4"/>
  <c r="O192" i="4"/>
  <c r="N192" i="4"/>
  <c r="M192" i="4"/>
  <c r="L192" i="4"/>
  <c r="K192" i="4"/>
  <c r="J192" i="4"/>
  <c r="I192" i="4"/>
  <c r="G192" i="4"/>
  <c r="A192" i="4"/>
  <c r="P191" i="4"/>
  <c r="O191" i="4"/>
  <c r="N191" i="4"/>
  <c r="M191" i="4"/>
  <c r="L191" i="4"/>
  <c r="K191" i="4"/>
  <c r="J191" i="4"/>
  <c r="I191" i="4"/>
  <c r="G191" i="4"/>
  <c r="A191" i="4"/>
  <c r="P190" i="4"/>
  <c r="O190" i="4"/>
  <c r="N190" i="4"/>
  <c r="M190" i="4"/>
  <c r="L190" i="4"/>
  <c r="K190" i="4"/>
  <c r="J190" i="4"/>
  <c r="I190" i="4"/>
  <c r="G190" i="4"/>
  <c r="A190" i="4"/>
  <c r="P189" i="4"/>
  <c r="O189" i="4"/>
  <c r="N189" i="4"/>
  <c r="M189" i="4"/>
  <c r="L189" i="4"/>
  <c r="K189" i="4"/>
  <c r="J189" i="4"/>
  <c r="I189" i="4"/>
  <c r="G189" i="4"/>
  <c r="A189" i="4"/>
  <c r="P188" i="4"/>
  <c r="O188" i="4"/>
  <c r="N188" i="4"/>
  <c r="M188" i="4"/>
  <c r="L188" i="4"/>
  <c r="K188" i="4"/>
  <c r="J188" i="4"/>
  <c r="I188" i="4"/>
  <c r="G188" i="4"/>
  <c r="A188" i="4"/>
  <c r="P187" i="4"/>
  <c r="O187" i="4"/>
  <c r="N187" i="4"/>
  <c r="M187" i="4"/>
  <c r="L187" i="4"/>
  <c r="K187" i="4"/>
  <c r="J187" i="4"/>
  <c r="I187" i="4"/>
  <c r="G187" i="4"/>
  <c r="A187" i="4"/>
  <c r="P186" i="4"/>
  <c r="O186" i="4"/>
  <c r="N186" i="4"/>
  <c r="M186" i="4"/>
  <c r="L186" i="4"/>
  <c r="K186" i="4"/>
  <c r="J186" i="4"/>
  <c r="I186" i="4"/>
  <c r="G186" i="4"/>
  <c r="A186" i="4"/>
  <c r="P185" i="4"/>
  <c r="O185" i="4"/>
  <c r="N185" i="4"/>
  <c r="M185" i="4"/>
  <c r="L185" i="4"/>
  <c r="K185" i="4"/>
  <c r="J185" i="4"/>
  <c r="I185" i="4"/>
  <c r="G185" i="4"/>
  <c r="A185" i="4"/>
  <c r="P184" i="4"/>
  <c r="O184" i="4"/>
  <c r="N184" i="4"/>
  <c r="M184" i="4"/>
  <c r="L184" i="4"/>
  <c r="K184" i="4"/>
  <c r="J184" i="4"/>
  <c r="I184" i="4"/>
  <c r="G184" i="4"/>
  <c r="A184" i="4"/>
  <c r="P183" i="4"/>
  <c r="O183" i="4"/>
  <c r="N183" i="4"/>
  <c r="M183" i="4"/>
  <c r="L183" i="4"/>
  <c r="K183" i="4"/>
  <c r="J183" i="4"/>
  <c r="I183" i="4"/>
  <c r="G183" i="4"/>
  <c r="A183" i="4"/>
  <c r="P182" i="4"/>
  <c r="O182" i="4"/>
  <c r="N182" i="4"/>
  <c r="M182" i="4"/>
  <c r="L182" i="4"/>
  <c r="K182" i="4"/>
  <c r="J182" i="4"/>
  <c r="I182" i="4"/>
  <c r="G182" i="4"/>
  <c r="A182" i="4"/>
  <c r="P181" i="4"/>
  <c r="O181" i="4"/>
  <c r="N181" i="4"/>
  <c r="M181" i="4"/>
  <c r="L181" i="4"/>
  <c r="K181" i="4"/>
  <c r="J181" i="4"/>
  <c r="I181" i="4"/>
  <c r="G181" i="4"/>
  <c r="A181" i="4"/>
  <c r="P180" i="4"/>
  <c r="O180" i="4"/>
  <c r="N180" i="4"/>
  <c r="M180" i="4"/>
  <c r="L180" i="4"/>
  <c r="K180" i="4"/>
  <c r="J180" i="4"/>
  <c r="I180" i="4"/>
  <c r="G180" i="4"/>
  <c r="A180" i="4"/>
  <c r="P179" i="4"/>
  <c r="O179" i="4"/>
  <c r="N179" i="4"/>
  <c r="M179" i="4"/>
  <c r="L179" i="4"/>
  <c r="K179" i="4"/>
  <c r="J179" i="4"/>
  <c r="I179" i="4"/>
  <c r="G179" i="4"/>
  <c r="A179" i="4"/>
  <c r="P178" i="4"/>
  <c r="O178" i="4"/>
  <c r="N178" i="4"/>
  <c r="M178" i="4"/>
  <c r="L178" i="4"/>
  <c r="K178" i="4"/>
  <c r="J178" i="4"/>
  <c r="I178" i="4"/>
  <c r="G178" i="4"/>
  <c r="A178" i="4"/>
  <c r="P177" i="4"/>
  <c r="O177" i="4"/>
  <c r="N177" i="4"/>
  <c r="M177" i="4"/>
  <c r="L177" i="4"/>
  <c r="K177" i="4"/>
  <c r="J177" i="4"/>
  <c r="I177" i="4"/>
  <c r="G177" i="4"/>
  <c r="A177" i="4"/>
  <c r="P176" i="4"/>
  <c r="O176" i="4"/>
  <c r="N176" i="4"/>
  <c r="M176" i="4"/>
  <c r="L176" i="4"/>
  <c r="K176" i="4"/>
  <c r="J176" i="4"/>
  <c r="I176" i="4"/>
  <c r="G176" i="4"/>
  <c r="A176" i="4"/>
  <c r="P175" i="4"/>
  <c r="O175" i="4"/>
  <c r="N175" i="4"/>
  <c r="M175" i="4"/>
  <c r="L175" i="4"/>
  <c r="K175" i="4"/>
  <c r="J175" i="4"/>
  <c r="I175" i="4"/>
  <c r="G175" i="4"/>
  <c r="A175" i="4"/>
  <c r="P174" i="4"/>
  <c r="O174" i="4"/>
  <c r="N174" i="4"/>
  <c r="M174" i="4"/>
  <c r="L174" i="4"/>
  <c r="K174" i="4"/>
  <c r="J174" i="4"/>
  <c r="I174" i="4"/>
  <c r="G174" i="4"/>
  <c r="A174" i="4"/>
  <c r="P173" i="4"/>
  <c r="O173" i="4"/>
  <c r="N173" i="4"/>
  <c r="M173" i="4"/>
  <c r="L173" i="4"/>
  <c r="K173" i="4"/>
  <c r="J173" i="4"/>
  <c r="I173" i="4"/>
  <c r="G173" i="4"/>
  <c r="A173" i="4"/>
  <c r="P172" i="4"/>
  <c r="O172" i="4"/>
  <c r="N172" i="4"/>
  <c r="M172" i="4"/>
  <c r="L172" i="4"/>
  <c r="K172" i="4"/>
  <c r="J172" i="4"/>
  <c r="I172" i="4"/>
  <c r="G172" i="4"/>
  <c r="A172" i="4"/>
  <c r="P171" i="4"/>
  <c r="O171" i="4"/>
  <c r="N171" i="4"/>
  <c r="M171" i="4"/>
  <c r="L171" i="4"/>
  <c r="K171" i="4"/>
  <c r="J171" i="4"/>
  <c r="I171" i="4"/>
  <c r="G171" i="4"/>
  <c r="A171" i="4"/>
  <c r="P170" i="4"/>
  <c r="O170" i="4"/>
  <c r="N170" i="4"/>
  <c r="M170" i="4"/>
  <c r="L170" i="4"/>
  <c r="K170" i="4"/>
  <c r="J170" i="4"/>
  <c r="I170" i="4"/>
  <c r="G170" i="4"/>
  <c r="A170" i="4"/>
  <c r="P169" i="4"/>
  <c r="O169" i="4"/>
  <c r="N169" i="4"/>
  <c r="M169" i="4"/>
  <c r="L169" i="4"/>
  <c r="K169" i="4"/>
  <c r="J169" i="4"/>
  <c r="I169" i="4"/>
  <c r="G169" i="4"/>
  <c r="A169" i="4"/>
  <c r="P168" i="4"/>
  <c r="O168" i="4"/>
  <c r="N168" i="4"/>
  <c r="M168" i="4"/>
  <c r="L168" i="4"/>
  <c r="K168" i="4"/>
  <c r="J168" i="4"/>
  <c r="I168" i="4"/>
  <c r="G168" i="4"/>
  <c r="A168" i="4"/>
  <c r="P167" i="4"/>
  <c r="O167" i="4"/>
  <c r="N167" i="4"/>
  <c r="M167" i="4"/>
  <c r="L167" i="4"/>
  <c r="K167" i="4"/>
  <c r="J167" i="4"/>
  <c r="I167" i="4"/>
  <c r="G167" i="4"/>
  <c r="A167" i="4"/>
  <c r="P166" i="4"/>
  <c r="O166" i="4"/>
  <c r="N166" i="4"/>
  <c r="M166" i="4"/>
  <c r="L166" i="4"/>
  <c r="K166" i="4"/>
  <c r="J166" i="4"/>
  <c r="I166" i="4"/>
  <c r="G166" i="4"/>
  <c r="A166" i="4"/>
  <c r="P165" i="4"/>
  <c r="O165" i="4"/>
  <c r="N165" i="4"/>
  <c r="M165" i="4"/>
  <c r="L165" i="4"/>
  <c r="K165" i="4"/>
  <c r="J165" i="4"/>
  <c r="I165" i="4"/>
  <c r="G165" i="4"/>
  <c r="A165" i="4"/>
  <c r="P164" i="4"/>
  <c r="O164" i="4"/>
  <c r="N164" i="4"/>
  <c r="M164" i="4"/>
  <c r="L164" i="4"/>
  <c r="K164" i="4"/>
  <c r="J164" i="4"/>
  <c r="I164" i="4"/>
  <c r="G164" i="4"/>
  <c r="A164" i="4"/>
  <c r="P163" i="4"/>
  <c r="O163" i="4"/>
  <c r="N163" i="4"/>
  <c r="M163" i="4"/>
  <c r="L163" i="4"/>
  <c r="K163" i="4"/>
  <c r="J163" i="4"/>
  <c r="I163" i="4"/>
  <c r="G163" i="4"/>
  <c r="A163" i="4"/>
  <c r="P162" i="4"/>
  <c r="O162" i="4"/>
  <c r="N162" i="4"/>
  <c r="M162" i="4"/>
  <c r="L162" i="4"/>
  <c r="K162" i="4"/>
  <c r="J162" i="4"/>
  <c r="I162" i="4"/>
  <c r="G162" i="4"/>
  <c r="A162" i="4"/>
  <c r="P161" i="4"/>
  <c r="O161" i="4"/>
  <c r="N161" i="4"/>
  <c r="M161" i="4"/>
  <c r="L161" i="4"/>
  <c r="K161" i="4"/>
  <c r="J161" i="4"/>
  <c r="I161" i="4"/>
  <c r="G161" i="4"/>
  <c r="A161" i="4"/>
  <c r="P160" i="4"/>
  <c r="O160" i="4"/>
  <c r="N160" i="4"/>
  <c r="M160" i="4"/>
  <c r="L160" i="4"/>
  <c r="K160" i="4"/>
  <c r="J160" i="4"/>
  <c r="I160" i="4"/>
  <c r="G160" i="4"/>
  <c r="A160" i="4"/>
  <c r="P159" i="4"/>
  <c r="O159" i="4"/>
  <c r="N159" i="4"/>
  <c r="M159" i="4"/>
  <c r="L159" i="4"/>
  <c r="K159" i="4"/>
  <c r="J159" i="4"/>
  <c r="I159" i="4"/>
  <c r="G159" i="4"/>
  <c r="A159" i="4"/>
  <c r="P158" i="4"/>
  <c r="O158" i="4"/>
  <c r="N158" i="4"/>
  <c r="M158" i="4"/>
  <c r="L158" i="4"/>
  <c r="K158" i="4"/>
  <c r="J158" i="4"/>
  <c r="I158" i="4"/>
  <c r="G158" i="4"/>
  <c r="A158" i="4"/>
  <c r="P157" i="4"/>
  <c r="O157" i="4"/>
  <c r="N157" i="4"/>
  <c r="M157" i="4"/>
  <c r="L157" i="4"/>
  <c r="K157" i="4"/>
  <c r="J157" i="4"/>
  <c r="I157" i="4"/>
  <c r="G157" i="4"/>
  <c r="A157" i="4"/>
  <c r="P156" i="4"/>
  <c r="O156" i="4"/>
  <c r="N156" i="4"/>
  <c r="M156" i="4"/>
  <c r="L156" i="4"/>
  <c r="K156" i="4"/>
  <c r="J156" i="4"/>
  <c r="I156" i="4"/>
  <c r="G156" i="4"/>
  <c r="A156" i="4"/>
  <c r="P155" i="4"/>
  <c r="O155" i="4"/>
  <c r="N155" i="4"/>
  <c r="M155" i="4"/>
  <c r="L155" i="4"/>
  <c r="K155" i="4"/>
  <c r="J155" i="4"/>
  <c r="I155" i="4"/>
  <c r="G155" i="4"/>
  <c r="A155" i="4"/>
  <c r="P154" i="4"/>
  <c r="O154" i="4"/>
  <c r="N154" i="4"/>
  <c r="M154" i="4"/>
  <c r="L154" i="4"/>
  <c r="K154" i="4"/>
  <c r="J154" i="4"/>
  <c r="I154" i="4"/>
  <c r="G154" i="4"/>
  <c r="A154" i="4"/>
  <c r="P153" i="4"/>
  <c r="O153" i="4"/>
  <c r="N153" i="4"/>
  <c r="M153" i="4"/>
  <c r="L153" i="4"/>
  <c r="K153" i="4"/>
  <c r="J153" i="4"/>
  <c r="I153" i="4"/>
  <c r="G153" i="4"/>
  <c r="A153" i="4"/>
  <c r="P152" i="4"/>
  <c r="O152" i="4"/>
  <c r="N152" i="4"/>
  <c r="M152" i="4"/>
  <c r="L152" i="4"/>
  <c r="K152" i="4"/>
  <c r="J152" i="4"/>
  <c r="I152" i="4"/>
  <c r="G152" i="4"/>
  <c r="A152" i="4"/>
  <c r="P151" i="4"/>
  <c r="O151" i="4"/>
  <c r="N151" i="4"/>
  <c r="M151" i="4"/>
  <c r="L151" i="4"/>
  <c r="K151" i="4"/>
  <c r="J151" i="4"/>
  <c r="I151" i="4"/>
  <c r="G151" i="4"/>
  <c r="A151" i="4"/>
  <c r="P150" i="4"/>
  <c r="O150" i="4"/>
  <c r="N150" i="4"/>
  <c r="M150" i="4"/>
  <c r="L150" i="4"/>
  <c r="K150" i="4"/>
  <c r="J150" i="4"/>
  <c r="I150" i="4"/>
  <c r="G150" i="4"/>
  <c r="A150" i="4"/>
  <c r="P149" i="4"/>
  <c r="O149" i="4"/>
  <c r="N149" i="4"/>
  <c r="M149" i="4"/>
  <c r="L149" i="4"/>
  <c r="K149" i="4"/>
  <c r="J149" i="4"/>
  <c r="I149" i="4"/>
  <c r="G149" i="4"/>
  <c r="A149" i="4"/>
  <c r="P148" i="4"/>
  <c r="O148" i="4"/>
  <c r="N148" i="4"/>
  <c r="M148" i="4"/>
  <c r="L148" i="4"/>
  <c r="K148" i="4"/>
  <c r="J148" i="4"/>
  <c r="I148" i="4"/>
  <c r="G148" i="4"/>
  <c r="A148" i="4"/>
  <c r="P147" i="4"/>
  <c r="O147" i="4"/>
  <c r="N147" i="4"/>
  <c r="M147" i="4"/>
  <c r="L147" i="4"/>
  <c r="K147" i="4"/>
  <c r="J147" i="4"/>
  <c r="I147" i="4"/>
  <c r="G147" i="4"/>
  <c r="A147" i="4"/>
  <c r="P146" i="4"/>
  <c r="O146" i="4"/>
  <c r="N146" i="4"/>
  <c r="M146" i="4"/>
  <c r="L146" i="4"/>
  <c r="K146" i="4"/>
  <c r="J146" i="4"/>
  <c r="I146" i="4"/>
  <c r="G146" i="4"/>
  <c r="A146" i="4"/>
  <c r="P145" i="4"/>
  <c r="O145" i="4"/>
  <c r="N145" i="4"/>
  <c r="M145" i="4"/>
  <c r="L145" i="4"/>
  <c r="K145" i="4"/>
  <c r="J145" i="4"/>
  <c r="I145" i="4"/>
  <c r="G145" i="4"/>
  <c r="A145" i="4"/>
  <c r="P144" i="4"/>
  <c r="O144" i="4"/>
  <c r="N144" i="4"/>
  <c r="M144" i="4"/>
  <c r="L144" i="4"/>
  <c r="K144" i="4"/>
  <c r="J144" i="4"/>
  <c r="I144" i="4"/>
  <c r="G144" i="4"/>
  <c r="A144" i="4"/>
  <c r="P143" i="4"/>
  <c r="O143" i="4"/>
  <c r="N143" i="4"/>
  <c r="M143" i="4"/>
  <c r="L143" i="4"/>
  <c r="K143" i="4"/>
  <c r="J143" i="4"/>
  <c r="I143" i="4"/>
  <c r="G143" i="4"/>
  <c r="A143" i="4"/>
  <c r="P142" i="4"/>
  <c r="O142" i="4"/>
  <c r="N142" i="4"/>
  <c r="M142" i="4"/>
  <c r="L142" i="4"/>
  <c r="K142" i="4"/>
  <c r="J142" i="4"/>
  <c r="I142" i="4"/>
  <c r="G142" i="4"/>
  <c r="A142" i="4"/>
  <c r="P141" i="4"/>
  <c r="O141" i="4"/>
  <c r="N141" i="4"/>
  <c r="M141" i="4"/>
  <c r="L141" i="4"/>
  <c r="K141" i="4"/>
  <c r="J141" i="4"/>
  <c r="I141" i="4"/>
  <c r="G141" i="4"/>
  <c r="A141" i="4"/>
  <c r="P140" i="4"/>
  <c r="O140" i="4"/>
  <c r="N140" i="4"/>
  <c r="M140" i="4"/>
  <c r="L140" i="4"/>
  <c r="K140" i="4"/>
  <c r="J140" i="4"/>
  <c r="I140" i="4"/>
  <c r="G140" i="4"/>
  <c r="A140" i="4"/>
  <c r="P139" i="4"/>
  <c r="O139" i="4"/>
  <c r="N139" i="4"/>
  <c r="M139" i="4"/>
  <c r="L139" i="4"/>
  <c r="K139" i="4"/>
  <c r="J139" i="4"/>
  <c r="I139" i="4"/>
  <c r="G139" i="4"/>
  <c r="A139" i="4"/>
  <c r="P138" i="4"/>
  <c r="O138" i="4"/>
  <c r="N138" i="4"/>
  <c r="M138" i="4"/>
  <c r="L138" i="4"/>
  <c r="K138" i="4"/>
  <c r="J138" i="4"/>
  <c r="I138" i="4"/>
  <c r="G138" i="4"/>
  <c r="A138" i="4"/>
  <c r="P137" i="4"/>
  <c r="O137" i="4"/>
  <c r="N137" i="4"/>
  <c r="M137" i="4"/>
  <c r="L137" i="4"/>
  <c r="K137" i="4"/>
  <c r="J137" i="4"/>
  <c r="I137" i="4"/>
  <c r="G137" i="4"/>
  <c r="A137" i="4"/>
  <c r="P136" i="4"/>
  <c r="O136" i="4"/>
  <c r="N136" i="4"/>
  <c r="M136" i="4"/>
  <c r="L136" i="4"/>
  <c r="K136" i="4"/>
  <c r="J136" i="4"/>
  <c r="I136" i="4"/>
  <c r="G136" i="4"/>
  <c r="A136" i="4"/>
  <c r="P135" i="4"/>
  <c r="O135" i="4"/>
  <c r="N135" i="4"/>
  <c r="M135" i="4"/>
  <c r="L135" i="4"/>
  <c r="K135" i="4"/>
  <c r="J135" i="4"/>
  <c r="I135" i="4"/>
  <c r="G135" i="4"/>
  <c r="A135" i="4"/>
  <c r="P134" i="4"/>
  <c r="O134" i="4"/>
  <c r="N134" i="4"/>
  <c r="M134" i="4"/>
  <c r="L134" i="4"/>
  <c r="K134" i="4"/>
  <c r="J134" i="4"/>
  <c r="I134" i="4"/>
  <c r="G134" i="4"/>
  <c r="A134" i="4"/>
  <c r="P133" i="4"/>
  <c r="O133" i="4"/>
  <c r="N133" i="4"/>
  <c r="M133" i="4"/>
  <c r="L133" i="4"/>
  <c r="K133" i="4"/>
  <c r="J133" i="4"/>
  <c r="I133" i="4"/>
  <c r="G133" i="4"/>
  <c r="A133" i="4"/>
  <c r="P132" i="4"/>
  <c r="O132" i="4"/>
  <c r="N132" i="4"/>
  <c r="M132" i="4"/>
  <c r="L132" i="4"/>
  <c r="K132" i="4"/>
  <c r="J132" i="4"/>
  <c r="I132" i="4"/>
  <c r="G132" i="4"/>
  <c r="A132" i="4"/>
  <c r="P131" i="4"/>
  <c r="O131" i="4"/>
  <c r="N131" i="4"/>
  <c r="M131" i="4"/>
  <c r="L131" i="4"/>
  <c r="K131" i="4"/>
  <c r="J131" i="4"/>
  <c r="I131" i="4"/>
  <c r="G131" i="4"/>
  <c r="A131" i="4"/>
  <c r="P130" i="4"/>
  <c r="O130" i="4"/>
  <c r="N130" i="4"/>
  <c r="M130" i="4"/>
  <c r="L130" i="4"/>
  <c r="K130" i="4"/>
  <c r="J130" i="4"/>
  <c r="I130" i="4"/>
  <c r="G130" i="4"/>
  <c r="A130" i="4"/>
  <c r="P129" i="4"/>
  <c r="O129" i="4"/>
  <c r="N129" i="4"/>
  <c r="M129" i="4"/>
  <c r="L129" i="4"/>
  <c r="K129" i="4"/>
  <c r="J129" i="4"/>
  <c r="I129" i="4"/>
  <c r="G129" i="4"/>
  <c r="A129" i="4"/>
  <c r="P128" i="4"/>
  <c r="O128" i="4"/>
  <c r="N128" i="4"/>
  <c r="M128" i="4"/>
  <c r="L128" i="4"/>
  <c r="K128" i="4"/>
  <c r="J128" i="4"/>
  <c r="I128" i="4"/>
  <c r="G128" i="4"/>
  <c r="A128" i="4"/>
  <c r="P127" i="4"/>
  <c r="O127" i="4"/>
  <c r="N127" i="4"/>
  <c r="M127" i="4"/>
  <c r="L127" i="4"/>
  <c r="K127" i="4"/>
  <c r="J127" i="4"/>
  <c r="I127" i="4"/>
  <c r="G127" i="4"/>
  <c r="A127" i="4"/>
  <c r="P126" i="4"/>
  <c r="O126" i="4"/>
  <c r="N126" i="4"/>
  <c r="M126" i="4"/>
  <c r="L126" i="4"/>
  <c r="K126" i="4"/>
  <c r="J126" i="4"/>
  <c r="I126" i="4"/>
  <c r="G126" i="4"/>
  <c r="A126" i="4"/>
  <c r="P125" i="4"/>
  <c r="O125" i="4"/>
  <c r="N125" i="4"/>
  <c r="M125" i="4"/>
  <c r="L125" i="4"/>
  <c r="K125" i="4"/>
  <c r="J125" i="4"/>
  <c r="I125" i="4"/>
  <c r="G125" i="4"/>
  <c r="A125" i="4"/>
  <c r="P124" i="4"/>
  <c r="O124" i="4"/>
  <c r="N124" i="4"/>
  <c r="M124" i="4"/>
  <c r="L124" i="4"/>
  <c r="K124" i="4"/>
  <c r="J124" i="4"/>
  <c r="I124" i="4"/>
  <c r="G124" i="4"/>
  <c r="A124" i="4"/>
  <c r="P123" i="4"/>
  <c r="O123" i="4"/>
  <c r="N123" i="4"/>
  <c r="M123" i="4"/>
  <c r="L123" i="4"/>
  <c r="K123" i="4"/>
  <c r="J123" i="4"/>
  <c r="I123" i="4"/>
  <c r="G123" i="4"/>
  <c r="A123" i="4"/>
  <c r="P122" i="4"/>
  <c r="O122" i="4"/>
  <c r="N122" i="4"/>
  <c r="M122" i="4"/>
  <c r="L122" i="4"/>
  <c r="K122" i="4"/>
  <c r="J122" i="4"/>
  <c r="I122" i="4"/>
  <c r="G122" i="4"/>
  <c r="A122" i="4"/>
  <c r="P121" i="4"/>
  <c r="O121" i="4"/>
  <c r="N121" i="4"/>
  <c r="M121" i="4"/>
  <c r="L121" i="4"/>
  <c r="K121" i="4"/>
  <c r="J121" i="4"/>
  <c r="I121" i="4"/>
  <c r="G121" i="4"/>
  <c r="A121" i="4"/>
  <c r="P120" i="4"/>
  <c r="O120" i="4"/>
  <c r="N120" i="4"/>
  <c r="M120" i="4"/>
  <c r="L120" i="4"/>
  <c r="K120" i="4"/>
  <c r="J120" i="4"/>
  <c r="I120" i="4"/>
  <c r="G120" i="4"/>
  <c r="A120" i="4"/>
  <c r="P119" i="4"/>
  <c r="O119" i="4"/>
  <c r="N119" i="4"/>
  <c r="M119" i="4"/>
  <c r="L119" i="4"/>
  <c r="K119" i="4"/>
  <c r="J119" i="4"/>
  <c r="I119" i="4"/>
  <c r="G119" i="4"/>
  <c r="A119" i="4"/>
  <c r="P118" i="4"/>
  <c r="O118" i="4"/>
  <c r="N118" i="4"/>
  <c r="M118" i="4"/>
  <c r="L118" i="4"/>
  <c r="K118" i="4"/>
  <c r="J118" i="4"/>
  <c r="I118" i="4"/>
  <c r="G118" i="4"/>
  <c r="A118" i="4"/>
  <c r="P117" i="4"/>
  <c r="O117" i="4"/>
  <c r="N117" i="4"/>
  <c r="M117" i="4"/>
  <c r="L117" i="4"/>
  <c r="K117" i="4"/>
  <c r="J117" i="4"/>
  <c r="I117" i="4"/>
  <c r="G117" i="4"/>
  <c r="A117" i="4"/>
  <c r="P116" i="4"/>
  <c r="O116" i="4"/>
  <c r="N116" i="4"/>
  <c r="M116" i="4"/>
  <c r="L116" i="4"/>
  <c r="K116" i="4"/>
  <c r="J116" i="4"/>
  <c r="I116" i="4"/>
  <c r="G116" i="4"/>
  <c r="A116" i="4"/>
  <c r="P115" i="4"/>
  <c r="O115" i="4"/>
  <c r="N115" i="4"/>
  <c r="M115" i="4"/>
  <c r="L115" i="4"/>
  <c r="K115" i="4"/>
  <c r="J115" i="4"/>
  <c r="I115" i="4"/>
  <c r="G115" i="4"/>
  <c r="A115" i="4"/>
  <c r="P114" i="4"/>
  <c r="O114" i="4"/>
  <c r="N114" i="4"/>
  <c r="M114" i="4"/>
  <c r="L114" i="4"/>
  <c r="K114" i="4"/>
  <c r="J114" i="4"/>
  <c r="I114" i="4"/>
  <c r="G114" i="4"/>
  <c r="A114" i="4"/>
  <c r="P113" i="4"/>
  <c r="O113" i="4"/>
  <c r="N113" i="4"/>
  <c r="M113" i="4"/>
  <c r="L113" i="4"/>
  <c r="K113" i="4"/>
  <c r="J113" i="4"/>
  <c r="I113" i="4"/>
  <c r="G113" i="4"/>
  <c r="A113" i="4"/>
  <c r="P112" i="4"/>
  <c r="O112" i="4"/>
  <c r="N112" i="4"/>
  <c r="M112" i="4"/>
  <c r="L112" i="4"/>
  <c r="K112" i="4"/>
  <c r="J112" i="4"/>
  <c r="I112" i="4"/>
  <c r="G112" i="4"/>
  <c r="A112" i="4"/>
  <c r="P111" i="4"/>
  <c r="O111" i="4"/>
  <c r="N111" i="4"/>
  <c r="M111" i="4"/>
  <c r="L111" i="4"/>
  <c r="K111" i="4"/>
  <c r="J111" i="4"/>
  <c r="I111" i="4"/>
  <c r="G111" i="4"/>
  <c r="A111" i="4"/>
  <c r="P110" i="4"/>
  <c r="O110" i="4"/>
  <c r="N110" i="4"/>
  <c r="M110" i="4"/>
  <c r="L110" i="4"/>
  <c r="K110" i="4"/>
  <c r="J110" i="4"/>
  <c r="I110" i="4"/>
  <c r="G110" i="4"/>
  <c r="A110" i="4"/>
  <c r="P109" i="4"/>
  <c r="O109" i="4"/>
  <c r="N109" i="4"/>
  <c r="M109" i="4"/>
  <c r="L109" i="4"/>
  <c r="K109" i="4"/>
  <c r="J109" i="4"/>
  <c r="I109" i="4"/>
  <c r="G109" i="4"/>
  <c r="A109" i="4"/>
  <c r="P108" i="4"/>
  <c r="O108" i="4"/>
  <c r="N108" i="4"/>
  <c r="M108" i="4"/>
  <c r="L108" i="4"/>
  <c r="K108" i="4"/>
  <c r="J108" i="4"/>
  <c r="I108" i="4"/>
  <c r="G108" i="4"/>
  <c r="A108" i="4"/>
  <c r="P107" i="4"/>
  <c r="O107" i="4"/>
  <c r="N107" i="4"/>
  <c r="M107" i="4"/>
  <c r="L107" i="4"/>
  <c r="K107" i="4"/>
  <c r="J107" i="4"/>
  <c r="I107" i="4"/>
  <c r="G107" i="4"/>
  <c r="A107" i="4"/>
  <c r="P106" i="4"/>
  <c r="O106" i="4"/>
  <c r="N106" i="4"/>
  <c r="M106" i="4"/>
  <c r="L106" i="4"/>
  <c r="K106" i="4"/>
  <c r="J106" i="4"/>
  <c r="I106" i="4"/>
  <c r="G106" i="4"/>
  <c r="A106" i="4"/>
  <c r="P105" i="4"/>
  <c r="O105" i="4"/>
  <c r="N105" i="4"/>
  <c r="M105" i="4"/>
  <c r="L105" i="4"/>
  <c r="K105" i="4"/>
  <c r="J105" i="4"/>
  <c r="I105" i="4"/>
  <c r="G105" i="4"/>
  <c r="A105" i="4"/>
  <c r="P104" i="4"/>
  <c r="O104" i="4"/>
  <c r="N104" i="4"/>
  <c r="M104" i="4"/>
  <c r="L104" i="4"/>
  <c r="K104" i="4"/>
  <c r="J104" i="4"/>
  <c r="I104" i="4"/>
  <c r="G104" i="4"/>
  <c r="A104" i="4"/>
  <c r="P103" i="4"/>
  <c r="O103" i="4"/>
  <c r="N103" i="4"/>
  <c r="M103" i="4"/>
  <c r="L103" i="4"/>
  <c r="K103" i="4"/>
  <c r="J103" i="4"/>
  <c r="I103" i="4"/>
  <c r="G103" i="4"/>
  <c r="A103" i="4"/>
  <c r="P102" i="4"/>
  <c r="O102" i="4"/>
  <c r="N102" i="4"/>
  <c r="M102" i="4"/>
  <c r="L102" i="4"/>
  <c r="K102" i="4"/>
  <c r="J102" i="4"/>
  <c r="I102" i="4"/>
  <c r="G102" i="4"/>
  <c r="A102" i="4"/>
  <c r="P101" i="4"/>
  <c r="O101" i="4"/>
  <c r="N101" i="4"/>
  <c r="M101" i="4"/>
  <c r="L101" i="4"/>
  <c r="K101" i="4"/>
  <c r="J101" i="4"/>
  <c r="I101" i="4"/>
  <c r="G101" i="4"/>
  <c r="A101" i="4"/>
  <c r="P100" i="4"/>
  <c r="O100" i="4"/>
  <c r="N100" i="4"/>
  <c r="M100" i="4"/>
  <c r="L100" i="4"/>
  <c r="K100" i="4"/>
  <c r="J100" i="4"/>
  <c r="I100" i="4"/>
  <c r="G100" i="4"/>
  <c r="A100" i="4"/>
  <c r="P99" i="4"/>
  <c r="O99" i="4"/>
  <c r="N99" i="4"/>
  <c r="M99" i="4"/>
  <c r="L99" i="4"/>
  <c r="K99" i="4"/>
  <c r="J99" i="4"/>
  <c r="I99" i="4"/>
  <c r="G99" i="4"/>
  <c r="A99" i="4"/>
  <c r="P98" i="4"/>
  <c r="O98" i="4"/>
  <c r="N98" i="4"/>
  <c r="M98" i="4"/>
  <c r="L98" i="4"/>
  <c r="K98" i="4"/>
  <c r="J98" i="4"/>
  <c r="I98" i="4"/>
  <c r="G98" i="4"/>
  <c r="A98" i="4"/>
  <c r="P97" i="4"/>
  <c r="O97" i="4"/>
  <c r="N97" i="4"/>
  <c r="M97" i="4"/>
  <c r="L97" i="4"/>
  <c r="K97" i="4"/>
  <c r="J97" i="4"/>
  <c r="I97" i="4"/>
  <c r="G97" i="4"/>
  <c r="A97" i="4"/>
  <c r="P96" i="4"/>
  <c r="O96" i="4"/>
  <c r="N96" i="4"/>
  <c r="M96" i="4"/>
  <c r="L96" i="4"/>
  <c r="K96" i="4"/>
  <c r="J96" i="4"/>
  <c r="I96" i="4"/>
  <c r="G96" i="4"/>
  <c r="A96" i="4"/>
  <c r="P95" i="4"/>
  <c r="O95" i="4"/>
  <c r="N95" i="4"/>
  <c r="M95" i="4"/>
  <c r="L95" i="4"/>
  <c r="K95" i="4"/>
  <c r="J95" i="4"/>
  <c r="I95" i="4"/>
  <c r="G95" i="4"/>
  <c r="A95" i="4"/>
  <c r="P94" i="4"/>
  <c r="O94" i="4"/>
  <c r="N94" i="4"/>
  <c r="M94" i="4"/>
  <c r="L94" i="4"/>
  <c r="K94" i="4"/>
  <c r="J94" i="4"/>
  <c r="I94" i="4"/>
  <c r="G94" i="4"/>
  <c r="A94" i="4"/>
  <c r="P93" i="4"/>
  <c r="O93" i="4"/>
  <c r="N93" i="4"/>
  <c r="M93" i="4"/>
  <c r="L93" i="4"/>
  <c r="K93" i="4"/>
  <c r="J93" i="4"/>
  <c r="I93" i="4"/>
  <c r="G93" i="4"/>
  <c r="A93" i="4"/>
  <c r="P92" i="4"/>
  <c r="O92" i="4"/>
  <c r="N92" i="4"/>
  <c r="M92" i="4"/>
  <c r="L92" i="4"/>
  <c r="K92" i="4"/>
  <c r="J92" i="4"/>
  <c r="I92" i="4"/>
  <c r="G92" i="4"/>
  <c r="A92" i="4"/>
  <c r="P91" i="4"/>
  <c r="O91" i="4"/>
  <c r="N91" i="4"/>
  <c r="M91" i="4"/>
  <c r="L91" i="4"/>
  <c r="K91" i="4"/>
  <c r="J91" i="4"/>
  <c r="I91" i="4"/>
  <c r="G91" i="4"/>
  <c r="A91" i="4"/>
  <c r="P90" i="4"/>
  <c r="O90" i="4"/>
  <c r="N90" i="4"/>
  <c r="M90" i="4"/>
  <c r="L90" i="4"/>
  <c r="K90" i="4"/>
  <c r="J90" i="4"/>
  <c r="I90" i="4"/>
  <c r="G90" i="4"/>
  <c r="A90" i="4"/>
  <c r="P89" i="4"/>
  <c r="O89" i="4"/>
  <c r="N89" i="4"/>
  <c r="M89" i="4"/>
  <c r="L89" i="4"/>
  <c r="K89" i="4"/>
  <c r="J89" i="4"/>
  <c r="I89" i="4"/>
  <c r="G89" i="4"/>
  <c r="A89" i="4"/>
  <c r="P88" i="4"/>
  <c r="O88" i="4"/>
  <c r="N88" i="4"/>
  <c r="M88" i="4"/>
  <c r="L88" i="4"/>
  <c r="K88" i="4"/>
  <c r="J88" i="4"/>
  <c r="I88" i="4"/>
  <c r="G88" i="4"/>
  <c r="A88" i="4"/>
  <c r="P87" i="4"/>
  <c r="O87" i="4"/>
  <c r="N87" i="4"/>
  <c r="M87" i="4"/>
  <c r="L87" i="4"/>
  <c r="K87" i="4"/>
  <c r="J87" i="4"/>
  <c r="I87" i="4"/>
  <c r="G87" i="4"/>
  <c r="A87" i="4"/>
  <c r="P86" i="4"/>
  <c r="O86" i="4"/>
  <c r="N86" i="4"/>
  <c r="M86" i="4"/>
  <c r="L86" i="4"/>
  <c r="K86" i="4"/>
  <c r="J86" i="4"/>
  <c r="I86" i="4"/>
  <c r="G86" i="4"/>
  <c r="A86" i="4"/>
  <c r="P85" i="4"/>
  <c r="O85" i="4"/>
  <c r="N85" i="4"/>
  <c r="M85" i="4"/>
  <c r="L85" i="4"/>
  <c r="K85" i="4"/>
  <c r="J85" i="4"/>
  <c r="I85" i="4"/>
  <c r="G85" i="4"/>
  <c r="A85" i="4"/>
  <c r="P84" i="4"/>
  <c r="O84" i="4"/>
  <c r="N84" i="4"/>
  <c r="M84" i="4"/>
  <c r="L84" i="4"/>
  <c r="K84" i="4"/>
  <c r="J84" i="4"/>
  <c r="I84" i="4"/>
  <c r="G84" i="4"/>
  <c r="A84" i="4"/>
  <c r="P83" i="4"/>
  <c r="O83" i="4"/>
  <c r="N83" i="4"/>
  <c r="M83" i="4"/>
  <c r="L83" i="4"/>
  <c r="K83" i="4"/>
  <c r="J83" i="4"/>
  <c r="I83" i="4"/>
  <c r="G83" i="4"/>
  <c r="A83" i="4"/>
  <c r="P82" i="4"/>
  <c r="O82" i="4"/>
  <c r="N82" i="4"/>
  <c r="M82" i="4"/>
  <c r="L82" i="4"/>
  <c r="K82" i="4"/>
  <c r="J82" i="4"/>
  <c r="I82" i="4"/>
  <c r="G82" i="4"/>
  <c r="A82" i="4"/>
  <c r="P81" i="4"/>
  <c r="O81" i="4"/>
  <c r="N81" i="4"/>
  <c r="M81" i="4"/>
  <c r="L81" i="4"/>
  <c r="K81" i="4"/>
  <c r="J81" i="4"/>
  <c r="I81" i="4"/>
  <c r="G81" i="4"/>
  <c r="A81" i="4"/>
  <c r="P80" i="4"/>
  <c r="O80" i="4"/>
  <c r="N80" i="4"/>
  <c r="M80" i="4"/>
  <c r="L80" i="4"/>
  <c r="K80" i="4"/>
  <c r="J80" i="4"/>
  <c r="I80" i="4"/>
  <c r="G80" i="4"/>
  <c r="A80" i="4"/>
  <c r="P79" i="4"/>
  <c r="O79" i="4"/>
  <c r="N79" i="4"/>
  <c r="M79" i="4"/>
  <c r="L79" i="4"/>
  <c r="K79" i="4"/>
  <c r="J79" i="4"/>
  <c r="I79" i="4"/>
  <c r="G79" i="4"/>
  <c r="A79" i="4"/>
  <c r="P78" i="4"/>
  <c r="O78" i="4"/>
  <c r="N78" i="4"/>
  <c r="M78" i="4"/>
  <c r="L78" i="4"/>
  <c r="K78" i="4"/>
  <c r="J78" i="4"/>
  <c r="I78" i="4"/>
  <c r="G78" i="4"/>
  <c r="A78" i="4"/>
  <c r="P77" i="4"/>
  <c r="O77" i="4"/>
  <c r="N77" i="4"/>
  <c r="M77" i="4"/>
  <c r="L77" i="4"/>
  <c r="K77" i="4"/>
  <c r="J77" i="4"/>
  <c r="I77" i="4"/>
  <c r="G77" i="4"/>
  <c r="A77" i="4"/>
  <c r="P76" i="4"/>
  <c r="O76" i="4"/>
  <c r="N76" i="4"/>
  <c r="M76" i="4"/>
  <c r="L76" i="4"/>
  <c r="K76" i="4"/>
  <c r="J76" i="4"/>
  <c r="I76" i="4"/>
  <c r="G76" i="4"/>
  <c r="A76" i="4"/>
  <c r="P75" i="4"/>
  <c r="O75" i="4"/>
  <c r="N75" i="4"/>
  <c r="M75" i="4"/>
  <c r="L75" i="4"/>
  <c r="K75" i="4"/>
  <c r="J75" i="4"/>
  <c r="I75" i="4"/>
  <c r="G75" i="4"/>
  <c r="A75" i="4"/>
  <c r="P74" i="4"/>
  <c r="O74" i="4"/>
  <c r="N74" i="4"/>
  <c r="M74" i="4"/>
  <c r="L74" i="4"/>
  <c r="K74" i="4"/>
  <c r="J74" i="4"/>
  <c r="I74" i="4"/>
  <c r="G74" i="4"/>
  <c r="A74" i="4"/>
  <c r="P73" i="4"/>
  <c r="O73" i="4"/>
  <c r="N73" i="4"/>
  <c r="M73" i="4"/>
  <c r="L73" i="4"/>
  <c r="K73" i="4"/>
  <c r="J73" i="4"/>
  <c r="I73" i="4"/>
  <c r="G73" i="4"/>
  <c r="A73" i="4"/>
  <c r="P72" i="4"/>
  <c r="O72" i="4"/>
  <c r="N72" i="4"/>
  <c r="M72" i="4"/>
  <c r="L72" i="4"/>
  <c r="K72" i="4"/>
  <c r="J72" i="4"/>
  <c r="I72" i="4"/>
  <c r="G72" i="4"/>
  <c r="A72" i="4"/>
  <c r="P71" i="4"/>
  <c r="O71" i="4"/>
  <c r="N71" i="4"/>
  <c r="M71" i="4"/>
  <c r="L71" i="4"/>
  <c r="K71" i="4"/>
  <c r="J71" i="4"/>
  <c r="I71" i="4"/>
  <c r="G71" i="4"/>
  <c r="A71" i="4"/>
  <c r="P70" i="4"/>
  <c r="O70" i="4"/>
  <c r="N70" i="4"/>
  <c r="M70" i="4"/>
  <c r="L70" i="4"/>
  <c r="K70" i="4"/>
  <c r="J70" i="4"/>
  <c r="I70" i="4"/>
  <c r="G70" i="4"/>
  <c r="A70" i="4"/>
  <c r="P69" i="4"/>
  <c r="O69" i="4"/>
  <c r="N69" i="4"/>
  <c r="M69" i="4"/>
  <c r="L69" i="4"/>
  <c r="K69" i="4"/>
  <c r="J69" i="4"/>
  <c r="I69" i="4"/>
  <c r="G69" i="4"/>
  <c r="A69" i="4"/>
  <c r="P68" i="4"/>
  <c r="O68" i="4"/>
  <c r="N68" i="4"/>
  <c r="M68" i="4"/>
  <c r="L68" i="4"/>
  <c r="K68" i="4"/>
  <c r="J68" i="4"/>
  <c r="I68" i="4"/>
  <c r="G68" i="4"/>
  <c r="A68" i="4"/>
  <c r="P67" i="4"/>
  <c r="O67" i="4"/>
  <c r="N67" i="4"/>
  <c r="M67" i="4"/>
  <c r="L67" i="4"/>
  <c r="K67" i="4"/>
  <c r="J67" i="4"/>
  <c r="I67" i="4"/>
  <c r="G67" i="4"/>
  <c r="A67" i="4"/>
  <c r="P66" i="4"/>
  <c r="O66" i="4"/>
  <c r="N66" i="4"/>
  <c r="M66" i="4"/>
  <c r="L66" i="4"/>
  <c r="K66" i="4"/>
  <c r="J66" i="4"/>
  <c r="I66" i="4"/>
  <c r="G66" i="4"/>
  <c r="A66" i="4"/>
  <c r="P65" i="4"/>
  <c r="O65" i="4"/>
  <c r="N65" i="4"/>
  <c r="M65" i="4"/>
  <c r="L65" i="4"/>
  <c r="K65" i="4"/>
  <c r="J65" i="4"/>
  <c r="I65" i="4"/>
  <c r="G65" i="4"/>
  <c r="A65" i="4"/>
  <c r="P64" i="4"/>
  <c r="O64" i="4"/>
  <c r="N64" i="4"/>
  <c r="M64" i="4"/>
  <c r="L64" i="4"/>
  <c r="K64" i="4"/>
  <c r="J64" i="4"/>
  <c r="I64" i="4"/>
  <c r="G64" i="4"/>
  <c r="A64" i="4"/>
  <c r="P63" i="4"/>
  <c r="O63" i="4"/>
  <c r="N63" i="4"/>
  <c r="M63" i="4"/>
  <c r="L63" i="4"/>
  <c r="K63" i="4"/>
  <c r="J63" i="4"/>
  <c r="I63" i="4"/>
  <c r="G63" i="4"/>
  <c r="A63" i="4"/>
  <c r="P62" i="4"/>
  <c r="O62" i="4"/>
  <c r="N62" i="4"/>
  <c r="M62" i="4"/>
  <c r="L62" i="4"/>
  <c r="K62" i="4"/>
  <c r="J62" i="4"/>
  <c r="I62" i="4"/>
  <c r="G62" i="4"/>
  <c r="A62" i="4"/>
  <c r="P61" i="4"/>
  <c r="O61" i="4"/>
  <c r="N61" i="4"/>
  <c r="M61" i="4"/>
  <c r="L61" i="4"/>
  <c r="K61" i="4"/>
  <c r="J61" i="4"/>
  <c r="I61" i="4"/>
  <c r="G61" i="4"/>
  <c r="A61" i="4"/>
  <c r="P60" i="4"/>
  <c r="O60" i="4"/>
  <c r="N60" i="4"/>
  <c r="M60" i="4"/>
  <c r="L60" i="4"/>
  <c r="K60" i="4"/>
  <c r="J60" i="4"/>
  <c r="I60" i="4"/>
  <c r="G60" i="4"/>
  <c r="A60" i="4"/>
  <c r="P59" i="4"/>
  <c r="O59" i="4"/>
  <c r="N59" i="4"/>
  <c r="M59" i="4"/>
  <c r="L59" i="4"/>
  <c r="K59" i="4"/>
  <c r="J59" i="4"/>
  <c r="I59" i="4"/>
  <c r="G59" i="4"/>
  <c r="A59" i="4"/>
  <c r="P58" i="4"/>
  <c r="O58" i="4"/>
  <c r="N58" i="4"/>
  <c r="M58" i="4"/>
  <c r="L58" i="4"/>
  <c r="K58" i="4"/>
  <c r="J58" i="4"/>
  <c r="I58" i="4"/>
  <c r="G58" i="4"/>
  <c r="A58" i="4"/>
  <c r="P57" i="4"/>
  <c r="O57" i="4"/>
  <c r="N57" i="4"/>
  <c r="M57" i="4"/>
  <c r="L57" i="4"/>
  <c r="K57" i="4"/>
  <c r="J57" i="4"/>
  <c r="I57" i="4"/>
  <c r="G57" i="4"/>
  <c r="A57" i="4"/>
  <c r="P56" i="4"/>
  <c r="O56" i="4"/>
  <c r="N56" i="4"/>
  <c r="M56" i="4"/>
  <c r="L56" i="4"/>
  <c r="K56" i="4"/>
  <c r="J56" i="4"/>
  <c r="I56" i="4"/>
  <c r="G56" i="4"/>
  <c r="A56" i="4"/>
  <c r="P55" i="4"/>
  <c r="O55" i="4"/>
  <c r="N55" i="4"/>
  <c r="M55" i="4"/>
  <c r="L55" i="4"/>
  <c r="K55" i="4"/>
  <c r="J55" i="4"/>
  <c r="I55" i="4"/>
  <c r="G55" i="4"/>
  <c r="A55" i="4"/>
  <c r="P54" i="4"/>
  <c r="O54" i="4"/>
  <c r="N54" i="4"/>
  <c r="M54" i="4"/>
  <c r="L54" i="4"/>
  <c r="K54" i="4"/>
  <c r="J54" i="4"/>
  <c r="I54" i="4"/>
  <c r="G54" i="4"/>
  <c r="A54" i="4"/>
  <c r="P53" i="4"/>
  <c r="O53" i="4"/>
  <c r="N53" i="4"/>
  <c r="M53" i="4"/>
  <c r="L53" i="4"/>
  <c r="K53" i="4"/>
  <c r="J53" i="4"/>
  <c r="I53" i="4"/>
  <c r="G53" i="4"/>
  <c r="A53" i="4"/>
  <c r="P52" i="4"/>
  <c r="O52" i="4"/>
  <c r="N52" i="4"/>
  <c r="M52" i="4"/>
  <c r="L52" i="4"/>
  <c r="K52" i="4"/>
  <c r="J52" i="4"/>
  <c r="I52" i="4"/>
  <c r="G52" i="4"/>
  <c r="A52" i="4"/>
  <c r="P51" i="4"/>
  <c r="O51" i="4"/>
  <c r="N51" i="4"/>
  <c r="M51" i="4"/>
  <c r="L51" i="4"/>
  <c r="K51" i="4"/>
  <c r="J51" i="4"/>
  <c r="I51" i="4"/>
  <c r="G51" i="4"/>
  <c r="A51" i="4"/>
  <c r="P50" i="4"/>
  <c r="O50" i="4"/>
  <c r="N50" i="4"/>
  <c r="M50" i="4"/>
  <c r="L50" i="4"/>
  <c r="K50" i="4"/>
  <c r="J50" i="4"/>
  <c r="I50" i="4"/>
  <c r="G50" i="4"/>
  <c r="A50" i="4"/>
  <c r="P49" i="4"/>
  <c r="O49" i="4"/>
  <c r="N49" i="4"/>
  <c r="M49" i="4"/>
  <c r="L49" i="4"/>
  <c r="K49" i="4"/>
  <c r="J49" i="4"/>
  <c r="I49" i="4"/>
  <c r="G49" i="4"/>
  <c r="A49" i="4"/>
  <c r="P48" i="4"/>
  <c r="O48" i="4"/>
  <c r="N48" i="4"/>
  <c r="M48" i="4"/>
  <c r="L48" i="4"/>
  <c r="K48" i="4"/>
  <c r="J48" i="4"/>
  <c r="I48" i="4"/>
  <c r="G48" i="4"/>
  <c r="A48" i="4"/>
  <c r="P47" i="4"/>
  <c r="O47" i="4"/>
  <c r="N47" i="4"/>
  <c r="M47" i="4"/>
  <c r="L47" i="4"/>
  <c r="K47" i="4"/>
  <c r="J47" i="4"/>
  <c r="I47" i="4"/>
  <c r="G47" i="4"/>
  <c r="A47" i="4"/>
  <c r="P46" i="4"/>
  <c r="O46" i="4"/>
  <c r="N46" i="4"/>
  <c r="M46" i="4"/>
  <c r="L46" i="4"/>
  <c r="K46" i="4"/>
  <c r="J46" i="4"/>
  <c r="I46" i="4"/>
  <c r="G46" i="4"/>
  <c r="A46" i="4"/>
  <c r="P45" i="4"/>
  <c r="O45" i="4"/>
  <c r="N45" i="4"/>
  <c r="M45" i="4"/>
  <c r="L45" i="4"/>
  <c r="K45" i="4"/>
  <c r="J45" i="4"/>
  <c r="I45" i="4"/>
  <c r="G45" i="4"/>
  <c r="A45" i="4"/>
  <c r="P44" i="4"/>
  <c r="O44" i="4"/>
  <c r="N44" i="4"/>
  <c r="M44" i="4"/>
  <c r="L44" i="4"/>
  <c r="K44" i="4"/>
  <c r="J44" i="4"/>
  <c r="I44" i="4"/>
  <c r="G44" i="4"/>
  <c r="A44" i="4"/>
  <c r="P43" i="4"/>
  <c r="O43" i="4"/>
  <c r="N43" i="4"/>
  <c r="M43" i="4"/>
  <c r="L43" i="4"/>
  <c r="K43" i="4"/>
  <c r="J43" i="4"/>
  <c r="I43" i="4"/>
  <c r="G43" i="4"/>
  <c r="A43" i="4"/>
  <c r="P42" i="4"/>
  <c r="O42" i="4"/>
  <c r="N42" i="4"/>
  <c r="M42" i="4"/>
  <c r="L42" i="4"/>
  <c r="K42" i="4"/>
  <c r="J42" i="4"/>
  <c r="I42" i="4"/>
  <c r="G42" i="4"/>
  <c r="A42" i="4"/>
  <c r="P41" i="4"/>
  <c r="O41" i="4"/>
  <c r="N41" i="4"/>
  <c r="M41" i="4"/>
  <c r="L41" i="4"/>
  <c r="K41" i="4"/>
  <c r="J41" i="4"/>
  <c r="I41" i="4"/>
  <c r="G41" i="4"/>
  <c r="A41" i="4"/>
  <c r="P40" i="4"/>
  <c r="O40" i="4"/>
  <c r="N40" i="4"/>
  <c r="M40" i="4"/>
  <c r="L40" i="4"/>
  <c r="K40" i="4"/>
  <c r="J40" i="4"/>
  <c r="I40" i="4"/>
  <c r="G40" i="4"/>
  <c r="A40" i="4"/>
  <c r="P39" i="4"/>
  <c r="O39" i="4"/>
  <c r="N39" i="4"/>
  <c r="M39" i="4"/>
  <c r="L39" i="4"/>
  <c r="K39" i="4"/>
  <c r="J39" i="4"/>
  <c r="I39" i="4"/>
  <c r="G39" i="4"/>
  <c r="A39" i="4"/>
  <c r="P38" i="4"/>
  <c r="O38" i="4"/>
  <c r="N38" i="4"/>
  <c r="M38" i="4"/>
  <c r="L38" i="4"/>
  <c r="K38" i="4"/>
  <c r="J38" i="4"/>
  <c r="I38" i="4"/>
  <c r="G38" i="4"/>
  <c r="A38" i="4"/>
  <c r="P37" i="4"/>
  <c r="O37" i="4"/>
  <c r="N37" i="4"/>
  <c r="M37" i="4"/>
  <c r="L37" i="4"/>
  <c r="K37" i="4"/>
  <c r="J37" i="4"/>
  <c r="I37" i="4"/>
  <c r="G37" i="4"/>
  <c r="A37" i="4"/>
  <c r="P36" i="4"/>
  <c r="O36" i="4"/>
  <c r="N36" i="4"/>
  <c r="M36" i="4"/>
  <c r="L36" i="4"/>
  <c r="K36" i="4"/>
  <c r="J36" i="4"/>
  <c r="I36" i="4"/>
  <c r="G36" i="4"/>
  <c r="A36" i="4"/>
  <c r="P35" i="4"/>
  <c r="O35" i="4"/>
  <c r="N35" i="4"/>
  <c r="M35" i="4"/>
  <c r="L35" i="4"/>
  <c r="K35" i="4"/>
  <c r="J35" i="4"/>
  <c r="I35" i="4"/>
  <c r="G35" i="4"/>
  <c r="A35" i="4"/>
  <c r="P34" i="4"/>
  <c r="O34" i="4"/>
  <c r="N34" i="4"/>
  <c r="M34" i="4"/>
  <c r="L34" i="4"/>
  <c r="K34" i="4"/>
  <c r="J34" i="4"/>
  <c r="I34" i="4"/>
  <c r="G34" i="4"/>
  <c r="A34" i="4"/>
  <c r="P33" i="4"/>
  <c r="O33" i="4"/>
  <c r="N33" i="4"/>
  <c r="M33" i="4"/>
  <c r="L33" i="4"/>
  <c r="K33" i="4"/>
  <c r="J33" i="4"/>
  <c r="I33" i="4"/>
  <c r="G33" i="4"/>
  <c r="A33" i="4"/>
  <c r="P32" i="4"/>
  <c r="O32" i="4"/>
  <c r="N32" i="4"/>
  <c r="M32" i="4"/>
  <c r="L32" i="4"/>
  <c r="K32" i="4"/>
  <c r="J32" i="4"/>
  <c r="I32" i="4"/>
  <c r="G32" i="4"/>
  <c r="A32" i="4"/>
  <c r="P31" i="4"/>
  <c r="O31" i="4"/>
  <c r="N31" i="4"/>
  <c r="M31" i="4"/>
  <c r="L31" i="4"/>
  <c r="K31" i="4"/>
  <c r="J31" i="4"/>
  <c r="I31" i="4"/>
  <c r="G31" i="4"/>
  <c r="A31" i="4"/>
  <c r="P30" i="4"/>
  <c r="O30" i="4"/>
  <c r="N30" i="4"/>
  <c r="M30" i="4"/>
  <c r="L30" i="4"/>
  <c r="K30" i="4"/>
  <c r="J30" i="4"/>
  <c r="I30" i="4"/>
  <c r="G30" i="4"/>
  <c r="A30" i="4"/>
  <c r="P29" i="4"/>
  <c r="O29" i="4"/>
  <c r="N29" i="4"/>
  <c r="M29" i="4"/>
  <c r="L29" i="4"/>
  <c r="K29" i="4"/>
  <c r="J29" i="4"/>
  <c r="I29" i="4"/>
  <c r="G29" i="4"/>
  <c r="A29" i="4"/>
  <c r="P28" i="4"/>
  <c r="O28" i="4"/>
  <c r="N28" i="4"/>
  <c r="M28" i="4"/>
  <c r="L28" i="4"/>
  <c r="K28" i="4"/>
  <c r="J28" i="4"/>
  <c r="I28" i="4"/>
  <c r="G28" i="4"/>
  <c r="A28" i="4"/>
  <c r="P27" i="4"/>
  <c r="O27" i="4"/>
  <c r="N27" i="4"/>
  <c r="M27" i="4"/>
  <c r="L27" i="4"/>
  <c r="K27" i="4"/>
  <c r="J27" i="4"/>
  <c r="I27" i="4"/>
  <c r="G27" i="4"/>
  <c r="A27" i="4"/>
  <c r="P26" i="4"/>
  <c r="O26" i="4"/>
  <c r="N26" i="4"/>
  <c r="M26" i="4"/>
  <c r="L26" i="4"/>
  <c r="K26" i="4"/>
  <c r="J26" i="4"/>
  <c r="I26" i="4"/>
  <c r="G26" i="4"/>
  <c r="A26" i="4"/>
  <c r="P25" i="4"/>
  <c r="O25" i="4"/>
  <c r="N25" i="4"/>
  <c r="M25" i="4"/>
  <c r="L25" i="4"/>
  <c r="K25" i="4"/>
  <c r="J25" i="4"/>
  <c r="I25" i="4"/>
  <c r="G25" i="4"/>
  <c r="A25" i="4"/>
  <c r="P24" i="4"/>
  <c r="O24" i="4"/>
  <c r="N24" i="4"/>
  <c r="M24" i="4"/>
  <c r="L24" i="4"/>
  <c r="K24" i="4"/>
  <c r="J24" i="4"/>
  <c r="I24" i="4"/>
  <c r="G24" i="4"/>
  <c r="A24" i="4"/>
  <c r="P23" i="4"/>
  <c r="O23" i="4"/>
  <c r="N23" i="4"/>
  <c r="M23" i="4"/>
  <c r="L23" i="4"/>
  <c r="K23" i="4"/>
  <c r="J23" i="4"/>
  <c r="I23" i="4"/>
  <c r="G23" i="4"/>
  <c r="A23" i="4"/>
  <c r="P22" i="4"/>
  <c r="O22" i="4"/>
  <c r="N22" i="4"/>
  <c r="M22" i="4"/>
  <c r="L22" i="4"/>
  <c r="K22" i="4"/>
  <c r="J22" i="4"/>
  <c r="I22" i="4"/>
  <c r="G22" i="4"/>
  <c r="A22" i="4"/>
  <c r="P21" i="4"/>
  <c r="O21" i="4"/>
  <c r="N21" i="4"/>
  <c r="M21" i="4"/>
  <c r="L21" i="4"/>
  <c r="K21" i="4"/>
  <c r="J21" i="4"/>
  <c r="I21" i="4"/>
  <c r="G21" i="4"/>
  <c r="A21" i="4"/>
  <c r="P20" i="4"/>
  <c r="O20" i="4"/>
  <c r="N20" i="4"/>
  <c r="M20" i="4"/>
  <c r="L20" i="4"/>
  <c r="K20" i="4"/>
  <c r="J20" i="4"/>
  <c r="I20" i="4"/>
  <c r="G20" i="4"/>
  <c r="A20" i="4"/>
  <c r="P19" i="4"/>
  <c r="O19" i="4"/>
  <c r="N19" i="4"/>
  <c r="M19" i="4"/>
  <c r="L19" i="4"/>
  <c r="K19" i="4"/>
  <c r="J19" i="4"/>
  <c r="I19" i="4"/>
  <c r="G19" i="4"/>
  <c r="A19" i="4"/>
  <c r="P18" i="4"/>
  <c r="O18" i="4"/>
  <c r="N18" i="4"/>
  <c r="M18" i="4"/>
  <c r="L18" i="4"/>
  <c r="K18" i="4"/>
  <c r="J18" i="4"/>
  <c r="I18" i="4"/>
  <c r="G18" i="4"/>
  <c r="A18" i="4"/>
  <c r="P17" i="4"/>
  <c r="O17" i="4"/>
  <c r="N17" i="4"/>
  <c r="M17" i="4"/>
  <c r="L17" i="4"/>
  <c r="K17" i="4"/>
  <c r="J17" i="4"/>
  <c r="I17" i="4"/>
  <c r="G17" i="4"/>
  <c r="A17" i="4"/>
  <c r="P16" i="4"/>
  <c r="O16" i="4"/>
  <c r="N16" i="4"/>
  <c r="M16" i="4"/>
  <c r="L16" i="4"/>
  <c r="K16" i="4"/>
  <c r="J16" i="4"/>
  <c r="I16" i="4"/>
  <c r="G16" i="4"/>
  <c r="A16" i="4"/>
  <c r="P15" i="4"/>
  <c r="O15" i="4"/>
  <c r="N15" i="4"/>
  <c r="M15" i="4"/>
  <c r="L15" i="4"/>
  <c r="K15" i="4"/>
  <c r="J15" i="4"/>
  <c r="I15" i="4"/>
  <c r="G15" i="4"/>
  <c r="A15" i="4"/>
  <c r="P14" i="4"/>
  <c r="O14" i="4"/>
  <c r="N14" i="4"/>
  <c r="M14" i="4"/>
  <c r="L14" i="4"/>
  <c r="K14" i="4"/>
  <c r="J14" i="4"/>
  <c r="I14" i="4"/>
  <c r="G14" i="4"/>
  <c r="A14" i="4"/>
  <c r="P13" i="4"/>
  <c r="O13" i="4"/>
  <c r="N13" i="4"/>
  <c r="M13" i="4"/>
  <c r="L13" i="4"/>
  <c r="K13" i="4"/>
  <c r="J13" i="4"/>
  <c r="I13" i="4"/>
  <c r="G13" i="4"/>
  <c r="A13" i="4"/>
  <c r="P12" i="4"/>
  <c r="O12" i="4"/>
  <c r="N12" i="4"/>
  <c r="M12" i="4"/>
  <c r="L12" i="4"/>
  <c r="K12" i="4"/>
  <c r="J12" i="4"/>
  <c r="I12" i="4"/>
  <c r="G12" i="4"/>
  <c r="A12" i="4"/>
  <c r="P11" i="4"/>
  <c r="O11" i="4"/>
  <c r="N11" i="4"/>
  <c r="M11" i="4"/>
  <c r="L11" i="4"/>
  <c r="K11" i="4"/>
  <c r="J11" i="4"/>
  <c r="I11" i="4"/>
  <c r="G11" i="4"/>
  <c r="A11" i="4"/>
  <c r="P10" i="4"/>
  <c r="O10" i="4"/>
  <c r="N10" i="4"/>
  <c r="M10" i="4"/>
  <c r="L10" i="4"/>
  <c r="K10" i="4"/>
  <c r="J10" i="4"/>
  <c r="I10" i="4"/>
  <c r="G10" i="4"/>
  <c r="A10" i="4"/>
  <c r="P9" i="4"/>
  <c r="O9" i="4"/>
  <c r="N9" i="4"/>
  <c r="M9" i="4"/>
  <c r="L9" i="4"/>
  <c r="K9" i="4"/>
  <c r="J9" i="4"/>
  <c r="I9" i="4"/>
  <c r="G9" i="4"/>
  <c r="A9" i="4"/>
  <c r="P8" i="4"/>
  <c r="O8" i="4"/>
  <c r="N8" i="4"/>
  <c r="M8" i="4"/>
  <c r="L8" i="4"/>
  <c r="K8" i="4"/>
  <c r="J8" i="4"/>
  <c r="I8" i="4"/>
  <c r="G8" i="4"/>
  <c r="A8" i="4"/>
  <c r="P7" i="4"/>
  <c r="O7" i="4"/>
  <c r="N7" i="4"/>
  <c r="M7" i="4"/>
  <c r="L7" i="4"/>
  <c r="K7" i="4"/>
  <c r="J7" i="4"/>
  <c r="I7" i="4"/>
  <c r="G7" i="4"/>
  <c r="A7" i="4"/>
  <c r="P6" i="4"/>
  <c r="O6" i="4"/>
  <c r="N6" i="4"/>
  <c r="M6" i="4"/>
  <c r="L6" i="4"/>
  <c r="K6" i="4"/>
  <c r="J6" i="4"/>
  <c r="I6" i="4"/>
  <c r="G6" i="4"/>
  <c r="A6" i="4"/>
  <c r="P5" i="4"/>
  <c r="O5" i="4"/>
  <c r="N5" i="4"/>
  <c r="M5" i="4"/>
  <c r="L5" i="4"/>
  <c r="K5" i="4"/>
  <c r="J5" i="4"/>
  <c r="I5" i="4"/>
  <c r="G5" i="4"/>
  <c r="A5" i="4"/>
  <c r="P4" i="4"/>
  <c r="O4" i="4"/>
  <c r="N4" i="4"/>
  <c r="M4" i="4"/>
  <c r="L4" i="4"/>
  <c r="K4" i="4"/>
  <c r="J4" i="4"/>
  <c r="I4" i="4"/>
  <c r="G4" i="4"/>
  <c r="A4" i="4"/>
</calcChain>
</file>

<file path=xl/sharedStrings.xml><?xml version="1.0" encoding="utf-8"?>
<sst xmlns="http://schemas.openxmlformats.org/spreadsheetml/2006/main" count="700" uniqueCount="525">
  <si>
    <t>صفحة اعتماد نظام إدارة التدريب والكفاءة وسجل التعديلات - مستشفى صحة نفسية وعلاج إدمان</t>
  </si>
  <si>
    <t>البند</t>
  </si>
  <si>
    <t>التفاصيل</t>
  </si>
  <si>
    <t>اسم المنشأة</t>
  </si>
  <si>
    <t>مستشفى الصحة النفسية وعلاج الإدمان (نموذجي)</t>
  </si>
  <si>
    <t>عنوان النظام</t>
  </si>
  <si>
    <t>نظام إدارة التدريب والكفاءة ومطابقة معايير جهار (GAHAR)</t>
  </si>
  <si>
    <t>سنة الخطة</t>
  </si>
  <si>
    <t>إصدار الدليل المعتمد</t>
  </si>
  <si>
    <t>معايير اعتماد المستشفيات - الهيئة العامة للاعتماد والرقابة الصحية (GAHAR) - الإصدار الأحدث</t>
  </si>
  <si>
    <t>إعداد</t>
  </si>
  <si>
    <t>منسق التدريب ومسؤول الجودة</t>
  </si>
  <si>
    <t>مراجعة</t>
  </si>
  <si>
    <t>مدير الموارد البشرية ورئيس لجنة الجودة</t>
  </si>
  <si>
    <t>اعتماد</t>
  </si>
  <si>
    <t>المدير التنفيذي والمدير الطبي</t>
  </si>
  <si>
    <t>تاريخ الاعتماد</t>
  </si>
  <si>
    <t>حالة النظام</t>
  </si>
  <si>
    <t>معتمد ومفعل للعمل التشغيلي والزيارات المسحية</t>
  </si>
  <si>
    <t>سجل التعديلات والإصدارات</t>
  </si>
  <si>
    <t>رقم الإصدار</t>
  </si>
  <si>
    <t>التاريخ</t>
  </si>
  <si>
    <t>وصف التعديل</t>
  </si>
  <si>
    <t>سبب التعديل</t>
  </si>
  <si>
    <t>القائم بالتعديل</t>
  </si>
  <si>
    <t>الاعتماد</t>
  </si>
  <si>
    <t>v1.0</t>
  </si>
  <si>
    <t>الإنشاء الأولي للخطة والنظام</t>
  </si>
  <si>
    <t>بدء خطة 2026</t>
  </si>
  <si>
    <t>مسؤول الجودة</t>
  </si>
  <si>
    <t>معتمد</t>
  </si>
  <si>
    <t>v2.0</t>
  </si>
  <si>
    <t>إعادة البناء الشاملة وإضافة 15 برنامجًا تخصصيًا للنفسي والإدمان وتفعيل كود الجلسة والكفاءة العملية</t>
  </si>
  <si>
    <t>مطابقة معايير جهار وسد الفجوات</t>
  </si>
  <si>
    <t>استشاري الموارد البشرية والجودة</t>
  </si>
  <si>
    <t>إعدادات النظام، المستهدفات، والحدود الحاكمة للمعادلات</t>
  </si>
  <si>
    <t>المتغير / المعيار</t>
  </si>
  <si>
    <t>القيمة</t>
  </si>
  <si>
    <t>الوصف / الاستخدام في المعادلات</t>
  </si>
  <si>
    <t>مرجع جهار</t>
  </si>
  <si>
    <t>السنة المالية والتشغيلية للخطة</t>
  </si>
  <si>
    <t>WFM.06</t>
  </si>
  <si>
    <t>حد النجاح في الاختبار %</t>
  </si>
  <si>
    <t>الحد الأدنى لاجتياز الاختبار البعدي (70%)</t>
  </si>
  <si>
    <t>حد كفاءة التقييم العملي %</t>
  </si>
  <si>
    <t>الحد الأدنى لاجتياز التقييم العملي الميداني (80%)</t>
  </si>
  <si>
    <t>WFM.07</t>
  </si>
  <si>
    <t>مستهدف نسبة الحضور %</t>
  </si>
  <si>
    <t>المستهدف العام لحضور البرامج التدريبية (85%)</t>
  </si>
  <si>
    <t>مستهدف نسبة تنفيذ الخطة %</t>
  </si>
  <si>
    <t>المستهدف العام لإنجاز برامج الخطة (90%)</t>
  </si>
  <si>
    <t>مهلة التوجيه التعريفي (يوم)</t>
  </si>
  <si>
    <t>عدد الأيام المتاحة للموظف الجديد لإكمال التوجيه التعريفي</t>
  </si>
  <si>
    <t>WFM.05</t>
  </si>
  <si>
    <t>الساعات المطلوبة سنوياً/موظف</t>
  </si>
  <si>
    <t>الحد الأدنى لساعات التدريب سنوياً لكل موظف</t>
  </si>
  <si>
    <t>حد التحسن بين القبلي والبعدي %</t>
  </si>
  <si>
    <t>مستهدف نسبة تحسن المعرفة والمهارة</t>
  </si>
  <si>
    <t>أقصى عدد متدربين للجلسة</t>
  </si>
  <si>
    <t>المعيار المستخدم لتقدير عدد الجلسات المطلوبة</t>
  </si>
  <si>
    <t>كتالوج محاور ومعايير GAHAR المعتمدة للمستشفيات النفسية وعلاج الإدمان</t>
  </si>
  <si>
    <t>كود المحور</t>
  </si>
  <si>
    <t>اسم المحور</t>
  </si>
  <si>
    <t>أبرز متطلبات التدريب بالمعيار</t>
  </si>
  <si>
    <t>الفئات الوظيفية المعنية</t>
  </si>
  <si>
    <t>دليل الإثبات المتوقع أمام المراجع</t>
  </si>
  <si>
    <t>تكرار التدريب المقترح</t>
  </si>
  <si>
    <t>ملاحظات الامتثال</t>
  </si>
  <si>
    <t>PSY-SPEC</t>
  </si>
  <si>
    <t>1. الرعاية النفسية والإدمان المتخصصة</t>
  </si>
  <si>
    <t>الانتحار، خفض التصعيد، التقييد والعزل، أزمات الإدمان، الطوارئ النفسية</t>
  </si>
  <si>
    <t>الأطباء، التمريض، الأخصائيون النفسيون والاجتماعيون</t>
  </si>
  <si>
    <t>دليل التدريب، سجلات المحاكاة، تقييم الكفاءة العملية، ومراجع الحالات</t>
  </si>
  <si>
    <t>مستمر / نصف سنوي</t>
  </si>
  <si>
    <t>معيار إجباري حرج للمستشفيات النفسية</t>
  </si>
  <si>
    <t>WFM</t>
  </si>
  <si>
    <t>2. إدارة الموارد البشرية والكفاءات</t>
  </si>
  <si>
    <t>التوجيه التعريفي، التوصيف الوظيفي، تقييم الكفاءة، إعادة التدريب</t>
  </si>
  <si>
    <t>جميع الموظفين، المتعاقدين، والمتطوعين</t>
  </si>
  <si>
    <t>خطة التدريب، سجلات الحضور، نماذج التقييم، ومصفوفة الكفاءة</t>
  </si>
  <si>
    <t>سنوي / عند التعيين</t>
  </si>
  <si>
    <t>WFM.04, WFM.05, WFM.06, WFM.07</t>
  </si>
  <si>
    <t>PFR</t>
  </si>
  <si>
    <t>3. حقوق المريض والشرعة الأخلاقية</t>
  </si>
  <si>
    <t>حقوق المريض النفسي، الخصوصية، الموافقة المستنيرة، الأهلية، الشكاوى</t>
  </si>
  <si>
    <t>جميع المتعاملين مع المرضى</t>
  </si>
  <si>
    <t>مادة التدريب، اختبارات المعرفة، وسجلات معالجة الشكاوى</t>
  </si>
  <si>
    <t>سنوي</t>
  </si>
  <si>
    <t>PFR.01, PFR.02, PFR.05</t>
  </si>
  <si>
    <t>IPC</t>
  </si>
  <si>
    <t>4. الوقاية ومكافحة العدوى</t>
  </si>
  <si>
    <t>نظافة اليدين، الواقيات الشخصية، التعامل مع السوائل والنفايات الطبية</t>
  </si>
  <si>
    <t>الفئات السريرية والخدمات المعاونة والنظافة</t>
  </si>
  <si>
    <t>قوائم ملاحظة المهارة، كشوف الحضور، ونتائج التدقيق الميداني</t>
  </si>
  <si>
    <t>ربع سنوي / سنوي</t>
  </si>
  <si>
    <t>IPC.01, IPC.03, IPC.08</t>
  </si>
  <si>
    <t>MMU</t>
  </si>
  <si>
    <t>5. إدارة وإعطاء الدواء</t>
  </si>
  <si>
    <t>الأدوية النفسية، الأدوية عالية الخطورة، التحقق الخماسي، أخطاء الدواء</t>
  </si>
  <si>
    <t>الأطباء، التمريض، الصيدلة</t>
  </si>
  <si>
    <t>سجلات اختبارات الكفاءة، بلاغات الأخطاء الدوائية، وتقارير المحاكاة</t>
  </si>
  <si>
    <t>سنوي / عند الترقية</t>
  </si>
  <si>
    <t>MMU.04, MMU.06, MMU.07</t>
  </si>
  <si>
    <t>FMS</t>
  </si>
  <si>
    <t>6. السلامة وإدارة المنشأة</t>
  </si>
  <si>
    <t>إصابات العمل، خطة الحريق، الإخلاء، الطوارئ، السلامة المهنية</t>
  </si>
  <si>
    <t>جميع العاملين بالأقسام السريرية والإدارية والهندسية</t>
  </si>
  <si>
    <t>تقارير تمارين الإخلاء، زمن الاستجابة، وسجلات الحضور</t>
  </si>
  <si>
    <t>نصف سنوي / سنوي</t>
  </si>
  <si>
    <t>FMS.01, FMS.04, FMS.06</t>
  </si>
  <si>
    <t>QPS</t>
  </si>
  <si>
    <t>7. الجودة وتحسين الأداء</t>
  </si>
  <si>
    <t>إدارة المخاطر، الإبلاغ عن الأحداث العارضة، تحليل السبب الجذري RCA</t>
  </si>
  <si>
    <t>رؤساء الأقسام، فريق الجودة، وقادة الفرق</t>
  </si>
  <si>
    <t>محاضر التحليل، خطط التحسين PDSA، ومؤشرات الأداء</t>
  </si>
  <si>
    <t>مستمر</t>
  </si>
  <si>
    <t>QPS.01, QPS.04, QPS.06</t>
  </si>
  <si>
    <t>HIS</t>
  </si>
  <si>
    <t>8. إدارة المعلومات والسجلات</t>
  </si>
  <si>
    <t>التوثيق الطبي السليم، سرية الملف النفسي، أمن المعلومات والصلاحيات</t>
  </si>
  <si>
    <t>الأطباء، التمريض، السجلات الطبية، تقنية المعلومات</t>
  </si>
  <si>
    <t>تقارير مراجعة كفاءة الملفات الطبية وسجلات الالتزام بالسرية</t>
  </si>
  <si>
    <t>HIS.01, HIS.03, HIS.05</t>
  </si>
  <si>
    <t>GLD</t>
  </si>
  <si>
    <t>9. الحوكمة والقيادة</t>
  </si>
  <si>
    <t>القيادة التنفيذية، إدارة الأزمات، الأخلاقيات المؤسسية، استمرارية العمل</t>
  </si>
  <si>
    <t>المدير التنفيذي، المدراء الطبيين، ورؤساء الأقسام</t>
  </si>
  <si>
    <t>محاضر الاجتماعات، خطط الاستجابة، وتقارير متابعة الأداء</t>
  </si>
  <si>
    <t>GLD.01, GLD.04</t>
  </si>
  <si>
    <t>قاعدة بيانات الموظفين وتقييم الكفاءة السنوي الاحترافي</t>
  </si>
  <si>
    <t>م</t>
  </si>
  <si>
    <t>كود الموظف</t>
  </si>
  <si>
    <t>اسم الموظف</t>
  </si>
  <si>
    <t>الوظيفة</t>
  </si>
  <si>
    <t>الفئة الوظيفية</t>
  </si>
  <si>
    <t>تاريخ التعيين</t>
  </si>
  <si>
    <t>نوع الموظف</t>
  </si>
  <si>
    <t>التقييم السنوي %</t>
  </si>
  <si>
    <t>حالة التقييم</t>
  </si>
  <si>
    <t>مستوى الاحتياج التدريبي</t>
  </si>
  <si>
    <t>أولوية التدريب</t>
  </si>
  <si>
    <t>البرامج الإلزامية المطلوبة</t>
  </si>
  <si>
    <t>البرامج المنفذة فعلياً</t>
  </si>
  <si>
    <t>نسبة إكمال التدريب %</t>
  </si>
  <si>
    <t>إجمالي ساعات التدريب</t>
  </si>
  <si>
    <t>حالة التوجيه التعريفي</t>
  </si>
  <si>
    <t>EMP-101</t>
  </si>
  <si>
    <t>أحمد محمود علي</t>
  </si>
  <si>
    <t>طبيب نفسي مقيم</t>
  </si>
  <si>
    <t>أطباء</t>
  </si>
  <si>
    <t>EMP-102</t>
  </si>
  <si>
    <t>منى إبراهيم السيد</t>
  </si>
  <si>
    <t>أخصائي نفسي إكلينيكي</t>
  </si>
  <si>
    <t>أخصائيون نفسيون</t>
  </si>
  <si>
    <t>EMP-103</t>
  </si>
  <si>
    <t>محمد حسن عبدالرحمن</t>
  </si>
  <si>
    <t>مشرِف تمريض نفسي</t>
  </si>
  <si>
    <t>تمريض</t>
  </si>
  <si>
    <t>EMP-104</t>
  </si>
  <si>
    <t>سارة خالد مصطفى</t>
  </si>
  <si>
    <t>ممرض/ة قسم الإدمان</t>
  </si>
  <si>
    <t>EMP-105</t>
  </si>
  <si>
    <t>عمر فاروق الشريف</t>
  </si>
  <si>
    <t>أخصائي اجتماعي علاج إدمان</t>
  </si>
  <si>
    <t>أخصائيون اجتماعيون</t>
  </si>
  <si>
    <t>EMP-106</t>
  </si>
  <si>
    <t>ريم يوسف عبدالسلام</t>
  </si>
  <si>
    <t>صيدلي إكلينيكي نفسي</t>
  </si>
  <si>
    <t>صيدلة</t>
  </si>
  <si>
    <t>EMP-107</t>
  </si>
  <si>
    <t>مصطفى كمال الدين</t>
  </si>
  <si>
    <t>أخصائي تحاليل إدمان</t>
  </si>
  <si>
    <t>معمل</t>
  </si>
  <si>
    <t>EMP-108</t>
  </si>
  <si>
    <t>خالد يحيى عبدالله</t>
  </si>
  <si>
    <t>مشرف أمن وتفتيش بوابة</t>
  </si>
  <si>
    <t>أمن وصيانة</t>
  </si>
  <si>
    <t>EMP-109</t>
  </si>
  <si>
    <t>هبة طارق فؤاد</t>
  </si>
  <si>
    <t>أخصائي استقبال وإدخال</t>
  </si>
  <si>
    <t>استقبال وإدارة</t>
  </si>
  <si>
    <t>EMP-110</t>
  </si>
  <si>
    <t>ياسمين شريف العبد</t>
  </si>
  <si>
    <t>ممرض/ة طوارئ واستقبال نفسي</t>
  </si>
  <si>
    <t>تحليل الاحتياجات التدريبية والفجوات - مدخلات الخطة السنوية</t>
  </si>
  <si>
    <t>كود الفجوة</t>
  </si>
  <si>
    <t>القسم / الفئة</t>
  </si>
  <si>
    <t>وصف الفجوة أو الخطر السريري</t>
  </si>
  <si>
    <t>مصدر الاحتياج</t>
  </si>
  <si>
    <t>مستوى الخطر</t>
  </si>
  <si>
    <t>الأولوية</t>
  </si>
  <si>
    <t>الكفاءة المطلوب بناؤها</t>
  </si>
  <si>
    <t>البرنامج التدريبي المقترح</t>
  </si>
  <si>
    <t>المسؤول عن المتابعة</t>
  </si>
  <si>
    <t>التاريخ المستهدف لإغلاق الفجوة</t>
  </si>
  <si>
    <t>حالة معالجة الفجوة</t>
  </si>
  <si>
    <t>GAP-01</t>
  </si>
  <si>
    <t>الأطباء والتمريض</t>
  </si>
  <si>
    <t>ارتفاع حالات محاولات إيذاء النفس بالقسم الداخلي</t>
  </si>
  <si>
    <t>بلاغات الأحداث العارضة RCA</t>
  </si>
  <si>
    <t>حرج جداً</t>
  </si>
  <si>
    <t>قصوى</t>
  </si>
  <si>
    <t>تقييم مخاطر الانتحار وإدارة خطة الأمان</t>
  </si>
  <si>
    <t>PSY-01: تقييم وإدارة مخاطر الانتحار</t>
  </si>
  <si>
    <t>المدير الطبي ورئيس التمريض</t>
  </si>
  <si>
    <t>مفتوح</t>
  </si>
  <si>
    <t>GAP-02</t>
  </si>
  <si>
    <t>التمريض والأمن</t>
  </si>
  <si>
    <t>إصابات عمل أثناء التعامل مع حالات الهياج الحاد</t>
  </si>
  <si>
    <t>تقرير السلامة المهنية FMS</t>
  </si>
  <si>
    <t>مرتفع</t>
  </si>
  <si>
    <t>تقنيات خفض التصعيد والسيطرة الآمنة De-escalation</t>
  </si>
  <si>
    <t>PSY-02: خفض التصعيد والسيطرة الآمنة</t>
  </si>
  <si>
    <t>مشرف التمريض ومسؤول السلامة</t>
  </si>
  <si>
    <t>GAP-03</t>
  </si>
  <si>
    <t>التمريض والأطباء</t>
  </si>
  <si>
    <t>تفاوت توثيق دواع ومراقبة التقييد والعزل</t>
  </si>
  <si>
    <t>تدقيق مراجعة الملفات الطبية HIS</t>
  </si>
  <si>
    <t>عالية</t>
  </si>
  <si>
    <t>تطبيق ضوابط التقييد والتجريد العزلي وحقوق المريض</t>
  </si>
  <si>
    <t>PSY-03: سياسات التقييد والعزل الطبقي</t>
  </si>
  <si>
    <t>فريق الجودة والتمريض</t>
  </si>
  <si>
    <t>GAP-04</t>
  </si>
  <si>
    <t>الأطباء والصيدلة والتمريض</t>
  </si>
  <si>
    <t>رصد أعراض جانبية حادة للأدوية النفسية عالية الخطورة</t>
  </si>
  <si>
    <t>بلاغات الصيدلة الإكلينيكية MMU</t>
  </si>
  <si>
    <t>الاستخدام الآمن للأدوية النفسية ورصد المتلازمة الذهانية</t>
  </si>
  <si>
    <t>PSY-04: إدارة الأدوية النفسية الحرة</t>
  </si>
  <si>
    <t>الصيدلي الأول والمدير الطبي</t>
  </si>
  <si>
    <t>GAP-05</t>
  </si>
  <si>
    <t>جميع الفئات السريرية</t>
  </si>
  <si>
    <t>حاجة لتحديث مهارات التعامل مع أزمات الانسحاب والتسمم</t>
  </si>
  <si>
    <t>توصية لجنة الوفيات والمضاعفات</t>
  </si>
  <si>
    <t>إدارة أزمات علاج الإدمان والجرعات الزائدة والتسمم</t>
  </si>
  <si>
    <t>PSY-05: طوارئ علاج الإدمان والتعافي</t>
  </si>
  <si>
    <t>رئيس قسم الإدمان</t>
  </si>
  <si>
    <t>GAP-06</t>
  </si>
  <si>
    <t>جميع العاملين بالمنشأة</t>
  </si>
  <si>
    <t>تأخر الموظفين الجدد في إكمال التوجيه التعريفي خلال 30 يومًا</t>
  </si>
  <si>
    <t>مؤشر جهار WFM.05</t>
  </si>
  <si>
    <t>متوسط</t>
  </si>
  <si>
    <t>متوسطة</t>
  </si>
  <si>
    <t>استيفاء برنامج التوجيه التعريفي العام والخاص</t>
  </si>
  <si>
    <t>PSY-OR-01: البرنامج التعريفي الشامل</t>
  </si>
  <si>
    <t>إدارة الموارد البشرية</t>
  </si>
  <si>
    <t>قيد المعالجة</t>
  </si>
  <si>
    <t>الخطة السنوية المعتمدة للتدريب والتأهيل - مستشفى صحة نفسية وعلاج إدمان 2026</t>
  </si>
  <si>
    <t>كود البرنامج</t>
  </si>
  <si>
    <t>المحور الرئيسي (GAHAR)</t>
  </si>
  <si>
    <t>اسم البرنامج التدريبي التخصصي</t>
  </si>
  <si>
    <t>الهدف القابل للقياس</t>
  </si>
  <si>
    <t>الفئة المستهدفة</t>
  </si>
  <si>
    <t>عدد المستهدفين</t>
  </si>
  <si>
    <t>نوع التدريب</t>
  </si>
  <si>
    <t>أسلوب التقييم</t>
  </si>
  <si>
    <t>المدرب / الجهة</t>
  </si>
  <si>
    <t>الساعات</t>
  </si>
  <si>
    <t>التكرار</t>
  </si>
  <si>
    <t>الشهر المخطط</t>
  </si>
  <si>
    <t>حالة الخطة</t>
  </si>
  <si>
    <t>عدد الجلسات المخططة</t>
  </si>
  <si>
    <t>إجمالي الساعات المخططة</t>
  </si>
  <si>
    <t>سجلات الحضور الفعلية</t>
  </si>
  <si>
    <t>نسبة التغطية %</t>
  </si>
  <si>
    <t>حالة الاستيفاء</t>
  </si>
  <si>
    <t>PSY-01</t>
  </si>
  <si>
    <t>تقييم وإدارة مخاطر الانتحار وإيذاء النفس وخطة الأمان</t>
  </si>
  <si>
    <t>إتقان نموذج C-SSRS ووضع خطة أمان بنسبة 100%</t>
  </si>
  <si>
    <t>أطباء وتمريض وأخصائيون</t>
  </si>
  <si>
    <t>ورشة عمل ومحاكاة</t>
  </si>
  <si>
    <t>اختبار وتطبيق عملي</t>
  </si>
  <si>
    <t>استشاري الطب النفسي</t>
  </si>
  <si>
    <t>نصف سنوي</t>
  </si>
  <si>
    <t>يناير</t>
  </si>
  <si>
    <t>مخطط</t>
  </si>
  <si>
    <t>PSY-02</t>
  </si>
  <si>
    <t>خفض إصابات الهياج بنسبة 50% وتطبيق السيطرة آمنًا</t>
  </si>
  <si>
    <t>تمريض وأمن وأطباء</t>
  </si>
  <si>
    <t>تدريب عملي ميداني</t>
  </si>
  <si>
    <t>ملاحظة مهارية</t>
  </si>
  <si>
    <t>فريق السلامة والتمريض</t>
  </si>
  <si>
    <t>ربع سنوي</t>
  </si>
  <si>
    <t>PSY-03</t>
  </si>
  <si>
    <t>سياسات وضوابط التقييد الحركي والعزل الطبقي</t>
  </si>
  <si>
    <t>التطبيق المعتمد 100% للتقييد والتسلّم والتوثيق</t>
  </si>
  <si>
    <t>تمريض وأطباء قسم الإدمان</t>
  </si>
  <si>
    <t>محاكاة سيناريو</t>
  </si>
  <si>
    <t>تقييم نموذج التوثيق</t>
  </si>
  <si>
    <t>فبراير</t>
  </si>
  <si>
    <t>PSY-04</t>
  </si>
  <si>
    <t>إدارة الأدوية النفسية عالية الخطورة ورصد الأعراض الجانبية</t>
  </si>
  <si>
    <t>رخص التعامل والجرعات والرصد المبكر للسمية</t>
  </si>
  <si>
    <t>أطباء وتمريض وصيدلة</t>
  </si>
  <si>
    <t>محاضرة واختبار حالات</t>
  </si>
  <si>
    <t>اختبار تحصيلي</t>
  </si>
  <si>
    <t>الصيدلي الأول والإكلينيكي</t>
  </si>
  <si>
    <t>PSY-05</t>
  </si>
  <si>
    <t>طوارئ علاج الإدمان: أعراض الانسحاب، الجرعات الزائدة والتسمم</t>
  </si>
  <si>
    <t>الاستجابة الفورية لأزمات التسمم والانسحاب الحاد</t>
  </si>
  <si>
    <t>أطباء وتمريض طوارئ إدمان</t>
  </si>
  <si>
    <t>سيناريو طوارئ حقيقي</t>
  </si>
  <si>
    <t>تقييم أداء الطوارئ</t>
  </si>
  <si>
    <t>رئيس قسم علاج الإدمان</t>
  </si>
  <si>
    <t>مارس</t>
  </si>
  <si>
    <t>PSY-06</t>
  </si>
  <si>
    <t>التقييم النفسي الأولي وصياغة خطة العلاج الفردية</t>
  </si>
  <si>
    <t>توثيق خطة علاجية تكاملية لكل مريض خلال 24 ساعة</t>
  </si>
  <si>
    <t>أطباء وأخصائيون نفسيون</t>
  </si>
  <si>
    <t>ورشة مراجعة ملفات</t>
  </si>
  <si>
    <t>تدقيق ملفات مرجعي</t>
  </si>
  <si>
    <t>المدير الطبي</t>
  </si>
  <si>
    <t>PSY-07</t>
  </si>
  <si>
    <t>الشرعة الاخلاقية وحقوق المريض النفسي وتقليل الوصمة</t>
  </si>
  <si>
    <t>صفر شكاوى حول خرق خصوصية أو معاملة حاطة</t>
  </si>
  <si>
    <t>تفاعلي ولعب أدوار</t>
  </si>
  <si>
    <t>استبيان واختبار</t>
  </si>
  <si>
    <t>مسؤول حقوق المرضى</t>
  </si>
  <si>
    <t>أبريل</t>
  </si>
  <si>
    <t>PSY-08</t>
  </si>
  <si>
    <t>حماية المرضى النفسيين من الإساءة والإهمال والاستغلال</t>
  </si>
  <si>
    <t>الإبلاغ الفوري عن أي شبهة إساءة وحماية المريض</t>
  </si>
  <si>
    <t>توعوي وتطبيقي</t>
  </si>
  <si>
    <t>اختبار حالات</t>
  </si>
  <si>
    <t>مسؤول الحوكمة والجودة</t>
  </si>
  <si>
    <t>PSY-09</t>
  </si>
  <si>
    <t>إدارة الرعاية المزدوجة: اضطرابات النفسية المرافقة للإدمان</t>
  </si>
  <si>
    <t>رفع كفاءة تشخيص وعلاج الاضطراب المزدوج</t>
  </si>
  <si>
    <t>حلقة نقاش إكلينيكية</t>
  </si>
  <si>
    <t>تقييم حالة معقدة</t>
  </si>
  <si>
    <t>مايو</t>
  </si>
  <si>
    <t>PSY-10</t>
  </si>
  <si>
    <t>البروتوكول الآمن لمنع هروب المرضى وتتبع عالي الخطر</t>
  </si>
  <si>
    <t>منع حالات الهروب والاستجابة الفورية لخطة البحث</t>
  </si>
  <si>
    <t>تمريض وأمن واستقبال</t>
  </si>
  <si>
    <t>تمرين عملي مفاجئ</t>
  </si>
  <si>
    <t>تقييم زمن الاستجابة</t>
  </si>
  <si>
    <t>مشرف الأمن والتمريض</t>
  </si>
  <si>
    <t>PSY-11</t>
  </si>
  <si>
    <t>المقابلة التحفيزية Motivational Interviewing في الإدمان</t>
  </si>
  <si>
    <t>رفع التزام المرضى ببرنامج التعافي لمنع الانتكاس</t>
  </si>
  <si>
    <t>أخصائيون وتمريض وأطباء</t>
  </si>
  <si>
    <t>تدريب تطبيقي مكثف</t>
  </si>
  <si>
    <t>تقييم تسجيل جلسة</t>
  </si>
  <si>
    <t>استشاري علاج الإدمان</t>
  </si>
  <si>
    <t>يونيو</t>
  </si>
  <si>
    <t>PSY-12</t>
  </si>
  <si>
    <t>العلاج المعرفي السلوكي CBT لاضطرابات القلق والإدمان</t>
  </si>
  <si>
    <t>تطبيق الفنيات الأساسية بمهارة معتمدة</t>
  </si>
  <si>
    <t>أخصائيون نفسيون ورعاة</t>
  </si>
  <si>
    <t>ورشة عمل تخصصية</t>
  </si>
  <si>
    <t>تقديم حالة علاجية</t>
  </si>
  <si>
    <t>خبير CBT معتمد</t>
  </si>
  <si>
    <t>يوليو</t>
  </si>
  <si>
    <t>PSY-13</t>
  </si>
  <si>
    <t>التسليم السريري المنظم SBAR والتواصل في الأزمات</t>
  </si>
  <si>
    <t>دقة تسليم الشفتات وتقليل أخطاء التواصل بنسبة 100%</t>
  </si>
  <si>
    <t>أطباء وتمريض</t>
  </si>
  <si>
    <t>محاكاة تسليم شفت</t>
  </si>
  <si>
    <t>قائمة مراجعة SBAR</t>
  </si>
  <si>
    <t>رئيس التمريض</t>
  </si>
  <si>
    <t>أغسطس</t>
  </si>
  <si>
    <t>PSY-14</t>
  </si>
  <si>
    <t>الإسعافات النفسية الأولى وتخفيف صدمات الأزمات</t>
  </si>
  <si>
    <t>تقديم الدعم النفسي الأولي الفعال للمرضى وذويهم</t>
  </si>
  <si>
    <t>جميع العاملين المتعاملين</t>
  </si>
  <si>
    <t>تدريب تفاعلي</t>
  </si>
  <si>
    <t>تقييم محاكاة دعم</t>
  </si>
  <si>
    <t>أخصائي نفسي أول</t>
  </si>
  <si>
    <t>سبتمبر</t>
  </si>
  <si>
    <t>PSY-15</t>
  </si>
  <si>
    <t>تخطيط الخروج الآمن ومنع الانتكاسة والرعاية الممتدة</t>
  </si>
  <si>
    <t>تأمين متابعة 100% من مرخصي الخروج من الإدمان</t>
  </si>
  <si>
    <t>أطباء وأخصائيون وتمريض</t>
  </si>
  <si>
    <t>ورشة عمل إكلينيكية</t>
  </si>
  <si>
    <t>تدقيق خطط الخروج</t>
  </si>
  <si>
    <t>مسؤول الاستشعار الممتد</t>
  </si>
  <si>
    <t>أكتوبر</t>
  </si>
  <si>
    <t>PSY-OR-01</t>
  </si>
  <si>
    <t>البرنامج التعريفي الشامل للموظفين الجدد (WFM.05)</t>
  </si>
  <si>
    <t>استيفاء الموظف الجديد لكافة السياسات خلال 30 يومًا</t>
  </si>
  <si>
    <t>توجيهي شامل</t>
  </si>
  <si>
    <t>اختبار وقائمة تحقق</t>
  </si>
  <si>
    <t>الموارد البشرية والجودة</t>
  </si>
  <si>
    <t>عند التعيين</t>
  </si>
  <si>
    <t>GEN-IPC-01</t>
  </si>
  <si>
    <t>مكافحة العدوى ونظافة اليدين والتعامل مع النفايات الطبية</t>
  </si>
  <si>
    <t>اجتياز اختبار المهارة ونظافة اليدين بنسبة 100%</t>
  </si>
  <si>
    <t>عملي وميداني</t>
  </si>
  <si>
    <t>قائمة ملاحظة مهارة</t>
  </si>
  <si>
    <t>فريق مكافحة العدوى</t>
  </si>
  <si>
    <t>GEN-FMS-01</t>
  </si>
  <si>
    <t>السلامة والصحة المهنية وخطة الإخلاء والحريق (FMS.04)</t>
  </si>
  <si>
    <t>إخلاء المبنى خلال الزمن المعتمد دون حوادث</t>
  </si>
  <si>
    <t>تمرين إخلاء وهمي</t>
  </si>
  <si>
    <t>تقرير زمن الإخلاء</t>
  </si>
  <si>
    <t>مسؤول السلامة والمهنية</t>
  </si>
  <si>
    <t>GEN-BLS-01</t>
  </si>
  <si>
    <t>الإنعاش القلبي الرئوي الأساسي BLS معتمد</t>
  </si>
  <si>
    <t>حصول 100% من الكادر السريري على شهادة BLS سارية</t>
  </si>
  <si>
    <t>عملي على مجسمات</t>
  </si>
  <si>
    <t>اختبار عملي معتمد</t>
  </si>
  <si>
    <t>مدرب BLS معتمد</t>
  </si>
  <si>
    <t>كل سنتين</t>
  </si>
  <si>
    <t>GEN-QPS-01</t>
  </si>
  <si>
    <t>إدارة المخاطر وبلاغات الأحداث العارضة وتحليل RCA</t>
  </si>
  <si>
    <t>رفع معدل الإبلاغ وتطبيق التحسين المستمر PDSA</t>
  </si>
  <si>
    <t>رؤساء الأقسام والجودة</t>
  </si>
  <si>
    <t>ورشة تحليل حالات</t>
  </si>
  <si>
    <t>تطبيق حالة عملية</t>
  </si>
  <si>
    <t>مدير إدارة الجودة</t>
  </si>
  <si>
    <t>سجل الجلسات المنفذة والمفتوحة - الكود المستقل للجلسة</t>
  </si>
  <si>
    <t>كود الجلسة</t>
  </si>
  <si>
    <t>اسم البرنامج التدريبي</t>
  </si>
  <si>
    <t>تاريخ الجلسة</t>
  </si>
  <si>
    <t>الوقت والمكان</t>
  </si>
  <si>
    <t>المدرب المسؤول</t>
  </si>
  <si>
    <t>السعة القسوى</t>
  </si>
  <si>
    <t>عدد الحضور الفعلي</t>
  </si>
  <si>
    <t>نسبة الحضور %</t>
  </si>
  <si>
    <t>حالة الجلسة</t>
  </si>
  <si>
    <t>ملاحظات التنفيذ</t>
  </si>
  <si>
    <t>SES-2026-01</t>
  </si>
  <si>
    <t>قاعة التدريب الرئيسية</t>
  </si>
  <si>
    <t>منفذة</t>
  </si>
  <si>
    <t>SES-2026-02</t>
  </si>
  <si>
    <t>قاعة الاجتماعات الإكلينيكية</t>
  </si>
  <si>
    <t>SES-2026-03</t>
  </si>
  <si>
    <t>قاعة المحاكاة والميدان</t>
  </si>
  <si>
    <t>مجدولة</t>
  </si>
  <si>
    <t>SES-2026-04</t>
  </si>
  <si>
    <t>قسم الإدمان الداخلي</t>
  </si>
  <si>
    <t>سجل الحضور اليومي والاختبارات - ربط كود الجلسة بكود الموظف</t>
  </si>
  <si>
    <t>ساعات البرنامج</t>
  </si>
  <si>
    <t>حالة الحضور</t>
  </si>
  <si>
    <t>الاختبار القبلي (10)</t>
  </si>
  <si>
    <t>الاختبار البعدي (10)</t>
  </si>
  <si>
    <t>نسبة التحسن %</t>
  </si>
  <si>
    <t>نتيجة المعرفة</t>
  </si>
  <si>
    <t>تقييم المتدرب (5)</t>
  </si>
  <si>
    <t>ملاحظات المدرب</t>
  </si>
  <si>
    <t>حاضر</t>
  </si>
  <si>
    <t>مصفوفة التقييم العملي الميداني للكفاءة السريرية والتشغيلية</t>
  </si>
  <si>
    <t>رقم التقييم</t>
  </si>
  <si>
    <t>اسم الكفاءة الميدانية</t>
  </si>
  <si>
    <t>البرنامج المرتبط</t>
  </si>
  <si>
    <t>درجة التقييم العملي %</t>
  </si>
  <si>
    <t>النتيجة العملية</t>
  </si>
  <si>
    <t>تاريخ التقييم</t>
  </si>
  <si>
    <t>المقيم المعتمد</t>
  </si>
  <si>
    <t>موعد إعادة التقييم</t>
  </si>
  <si>
    <t>الإجراء التصحيحي عند الإخفاق</t>
  </si>
  <si>
    <t>رابط نموذج التقييم</t>
  </si>
  <si>
    <t>CMP-001</t>
  </si>
  <si>
    <t>تقييم مخاطر الانتحار C-SSRS وتطبيق خطة الأمان</t>
  </si>
  <si>
    <t>CMP-002</t>
  </si>
  <si>
    <t>CMP-003</t>
  </si>
  <si>
    <t>سجل الأدلة والوثائق التدريبية الجاهزة للمراجعة والمسح الميداني</t>
  </si>
  <si>
    <t>كود الدليل</t>
  </si>
  <si>
    <t>نوع الدليل المطلوب</t>
  </si>
  <si>
    <t>اسم الملف / الرابط الإلكتروني</t>
  </si>
  <si>
    <t>المسؤول عن الحفظ</t>
  </si>
  <si>
    <t>تاريخ الحفظ</t>
  </si>
  <si>
    <t>حالة الدليل</t>
  </si>
  <si>
    <t>نتيجة مراجعة الجودة</t>
  </si>
  <si>
    <t>تاريخ المراجعة</t>
  </si>
  <si>
    <t>ملاحظات فريق المسح</t>
  </si>
  <si>
    <t>EVD-01</t>
  </si>
  <si>
    <t>وثيقة الخطة المعتمدة والتوجيه التعريفي</t>
  </si>
  <si>
    <t>Doc_Orientation_2026.pdf</t>
  </si>
  <si>
    <t>الموارد البشرية</t>
  </si>
  <si>
    <t>مكتمل</t>
  </si>
  <si>
    <t>معتمد ومطابق</t>
  </si>
  <si>
    <t>EVD-02</t>
  </si>
  <si>
    <t>كشف الحضور الأصلي ونماذج التقييم</t>
  </si>
  <si>
    <t>Att_SES_2026_01.pdf</t>
  </si>
  <si>
    <t>منسق التدريب</t>
  </si>
  <si>
    <t>EVD-03</t>
  </si>
  <si>
    <t>المادة التدريبية واختبارات المعرفة C-SSRS</t>
  </si>
  <si>
    <t>Material_PSY_01.pdf</t>
  </si>
  <si>
    <t>إدارة الجودة</t>
  </si>
  <si>
    <t>EVD-04</t>
  </si>
  <si>
    <t>استمارات التقييم العملي الميداني لكفاءة الانتحار</t>
  </si>
  <si>
    <t>Comp_PSY_01_Eval.pdf</t>
  </si>
  <si>
    <t>EVD-05</t>
  </si>
  <si>
    <t>مادة التدريب وتقرير سيناريو خفض التصعيد</t>
  </si>
  <si>
    <t>مسؤول السلامة والتمريض</t>
  </si>
  <si>
    <t>قيد التجميع</t>
  </si>
  <si>
    <t>تحت المراجعة</t>
  </si>
  <si>
    <t>لوحة المؤشرات التنفيذية والاستراتيجية للتدريب والكفاءة</t>
  </si>
  <si>
    <t>المؤشر القياسي</t>
  </si>
  <si>
    <t>القيمة المحققة</t>
  </si>
  <si>
    <t>المستهدف القياسي</t>
  </si>
  <si>
    <t>الحالة والتقييم</t>
  </si>
  <si>
    <t>المصدر والمعادلة</t>
  </si>
  <si>
    <t>إجمالي العاملين المسجلين</t>
  </si>
  <si>
    <t>كل الكادر</t>
  </si>
  <si>
    <t>مستوفى</t>
  </si>
  <si>
    <t>شيت الموظفين</t>
  </si>
  <si>
    <t>WFM.04</t>
  </si>
  <si>
    <t>نسبة استكمال التقييم السنوي</t>
  </si>
  <si>
    <t>إجمالي البرامج التخصصية بالخطة</t>
  </si>
  <si>
    <t>حسب الاحتياج</t>
  </si>
  <si>
    <t>شيت الخطة</t>
  </si>
  <si>
    <t>نسبة تنفيذ الخطة التدريبية</t>
  </si>
  <si>
    <t>إجمالي سجلات الحضور المنجزة</t>
  </si>
  <si>
    <t>حسب المستهدف</t>
  </si>
  <si>
    <t>شيت الحضور</t>
  </si>
  <si>
    <t>نسبة الحضور الفعلي بالبرامج</t>
  </si>
  <si>
    <t>شيت الحضور والخطة</t>
  </si>
  <si>
    <t>متوسط التقييم المعرفي البعدي</t>
  </si>
  <si>
    <t>نسبة اجتياز التقييم العملي للمهارة</t>
  </si>
  <si>
    <t>شيت الكفاءة العملية</t>
  </si>
  <si>
    <t>عدد حالات إعادة التدريب الميداني</t>
  </si>
  <si>
    <t>نسبة الأدلة المكتملة والمراجعة</t>
  </si>
  <si>
    <t>شيت الأدلة</t>
  </si>
  <si>
    <t>التقرير الشهري التفاعلي للتدريب والأداء</t>
  </si>
  <si>
    <t>اختر الشهر:</t>
  </si>
  <si>
    <t>المؤشر الشهري</t>
  </si>
  <si>
    <t>القيمة المحققة بالشهر</t>
  </si>
  <si>
    <t>ملاحظات التقييم الشهري</t>
  </si>
  <si>
    <t>عدد البرامج المخططة بالشهر</t>
  </si>
  <si>
    <t>عدد الجلسات المنفذة بالشهر</t>
  </si>
  <si>
    <t>إجمالي الحضور الفعلي بالشهر</t>
  </si>
  <si>
    <t>متوسط درجة الاختبار البعدي بالشهر</t>
  </si>
  <si>
    <t>عدد حالات تقييم الكفاءة المنجزة بالشهر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</si>
</sst>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  <fill>
      <patternFill patternType="solid">
        <fgColor rgb="FF97552F"/>
        <bgColor indexed="64"/>
      </patternFill>
    </fill>
    <fill>
      <patternFill patternType="solid">
        <fgColor rgb="FFF2E1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11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dd/mm/yy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dd/mm/yy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dd/mm/yy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7552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5;&#1604;&#1582;&#1591;&#1577;%20&#1575;&#1604;&#1578;&#1583;&#1585;&#1610;&#1576;&#1610;&#1577;%20&#1575;&#1604;&#1605;&#1593;&#1578;&#1605;&#1583;&#1577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87;&#1580;&#1604;%20&#1575;&#1604;&#1581;&#1590;&#1608;&#1585;%20&#1608;&#1575;&#1604;&#1578;&#1606;&#1601;&#1610;&#158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خطة التدريبية المعتمدة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سجل الحضور والتنفيذ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F1DFBE-A761-4D59-9346-8EE182268BE2}" name="tblEvidence" displayName="tblEvidence" ref="A3:K8" totalsRowShown="0" headerRowDxfId="0" dataDxfId="12">
  <autoFilter ref="A3:K8" xr:uid="{1DF1DFBE-A761-4D59-9346-8EE182268BE2}"/>
  <tableColumns count="11">
    <tableColumn id="1" xr3:uid="{0DB6D2E6-53E4-433A-B799-67660DA96A10}" name="كود الدليل" dataDxfId="11"/>
    <tableColumn id="2" xr3:uid="{0F88F841-F865-4B18-9F26-B400FCF601BC}" name="كود البرنامج" dataDxfId="10"/>
    <tableColumn id="3" xr3:uid="{733ADA5F-61E1-41CB-A1A7-66C1E8ABBE24}" name="كود الجلسة" dataDxfId="9"/>
    <tableColumn id="4" xr3:uid="{41F1987B-D428-4624-92B1-46A85A43050E}" name="نوع الدليل المطلوب" dataDxfId="8"/>
    <tableColumn id="5" xr3:uid="{65738467-79B9-4AFC-AD35-FCB7D2E2B9D1}" name="اسم الملف / الرابط الإلكتروني" dataDxfId="7"/>
    <tableColumn id="6" xr3:uid="{ACA77DD2-CEFF-4868-AEDF-86537A6E3CFC}" name="المسؤول عن الحفظ" dataDxfId="6"/>
    <tableColumn id="7" xr3:uid="{CF3B998B-BBC9-40C8-8228-D7C7B7A321DA}" name="تاريخ الحفظ" dataDxfId="5"/>
    <tableColumn id="8" xr3:uid="{73A7F961-3D22-42EB-9E0A-6E2413FB8BCB}" name="حالة الدليل" dataDxfId="4"/>
    <tableColumn id="9" xr3:uid="{E797D488-2C1C-4D12-9A04-35C52581DB53}" name="نتيجة مراجعة الجودة" dataDxfId="3"/>
    <tableColumn id="10" xr3:uid="{70D90ECE-5D14-4D5E-A0BC-98DF3A881CE0}" name="تاريخ المراجعة" dataDxfId="2"/>
    <tableColumn id="11" xr3:uid="{91BF8638-0E15-4771-A833-A2DA327C9ED6}" name="ملاحظات فريق المسح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94A6B1-EA5A-4D00-B3E1-B1DA96DB51D3}" name="tblCompetency" displayName="tblCompetency" ref="A3:M203" totalsRowShown="0" headerRowDxfId="13" dataDxfId="27">
  <autoFilter ref="A3:M203" xr:uid="{8094A6B1-EA5A-4D00-B3E1-B1DA96DB51D3}"/>
  <tableColumns count="13">
    <tableColumn id="1" xr3:uid="{4F92688D-6343-46DB-811E-03709B46A8DB}" name="رقم التقييم" dataDxfId="26"/>
    <tableColumn id="2" xr3:uid="{19CD86BE-3B5E-428F-B2B2-32A40348B9CB}" name="كود الموظف" dataDxfId="25"/>
    <tableColumn id="3" xr3:uid="{921B468A-3C43-4EFA-A7A4-A32C47EC3FCB}" name="اسم الموظف" dataDxfId="24">
      <calculatedColumnFormula>IFERROR(VLOOKUP(B4,'سجل الموظفين والكفاءة'!B:C,2,FALSE),"")</calculatedColumnFormula>
    </tableColumn>
    <tableColumn id="4" xr3:uid="{7D7ABFDC-649B-4D7B-A6E5-7FDB7CC349D5}" name="الفئة الوظيفية" dataDxfId="23">
      <calculatedColumnFormula>IFERROR(VLOOKUP(B4,'سجل الموظفين والكفاءة'!B:E,4,FALSE),"")</calculatedColumnFormula>
    </tableColumn>
    <tableColumn id="5" xr3:uid="{5F645E01-5174-4E41-A015-E7EDD8231154}" name="اسم الكفاءة الميدانية" dataDxfId="22"/>
    <tableColumn id="6" xr3:uid="{BE87BABC-08D0-4239-B9C7-542F2CFC4C0F}" name="البرنامج المرتبط" dataDxfId="21"/>
    <tableColumn id="7" xr3:uid="{D69C8849-AC00-49D2-A044-19C49BEB98EA}" name="درجة التقييم العملي %" dataDxfId="20"/>
    <tableColumn id="8" xr3:uid="{7C718CDC-9CDD-415F-A8D6-68B4DE40751F}" name="النتيجة العملية" dataDxfId="19"/>
    <tableColumn id="9" xr3:uid="{ABCAF587-9EF4-47FF-ABE8-444909319767}" name="تاريخ التقييم" dataDxfId="18"/>
    <tableColumn id="10" xr3:uid="{F88AD4B0-AEE9-4A78-8B45-8F951050CA93}" name="المقيم المعتمد" dataDxfId="17"/>
    <tableColumn id="11" xr3:uid="{8CD7D3D9-44A1-4F45-9EC3-08F23A9450E9}" name="موعد إعادة التقييم" dataDxfId="16"/>
    <tableColumn id="12" xr3:uid="{7AE4D497-B3AF-46C0-9B95-1A01F5F79F9D}" name="الإجراء التصحيحي عند الإخفاق" dataDxfId="15"/>
    <tableColumn id="13" xr3:uid="{333B83F0-1363-406B-B709-525E4B339A24}" name="رابط نموذج التقييم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3A4DB5-F9A2-4FD9-BADE-0289EB82E9AA}" name="tblAttendance" displayName="tblAttendance" ref="A3:N1003" totalsRowShown="0" headerRowDxfId="28" dataDxfId="43">
  <autoFilter ref="A3:N1003" xr:uid="{053A4DB5-F9A2-4FD9-BADE-0289EB82E9AA}"/>
  <tableColumns count="14">
    <tableColumn id="1" xr3:uid="{B1E6DE80-A08E-4B25-8695-36CB500282C2}" name="كود البرنامج" dataDxfId="42">
      <calculatedColumnFormula>IFERROR(VLOOKUP(B4,'جدول الجلسات التدريبية'!A:B,2,FALSE),"")</calculatedColumnFormula>
    </tableColumn>
    <tableColumn id="2" xr3:uid="{66B7AE36-9DE1-449F-AA4B-2E19009155FE}" name="كود الجلسة" dataDxfId="41"/>
    <tableColumn id="3" xr3:uid="{F14C4E2C-9612-4AB3-973F-496A27B8FC93}" name="اسم البرنامج التدريبي" dataDxfId="40">
      <calculatedColumnFormula>IFERROR(VLOOKUP(A4,'الخطة التدريبية المعتمدة'!A:C,3,FALSE),"")</calculatedColumnFormula>
    </tableColumn>
    <tableColumn id="4" xr3:uid="{16F9C8BF-4040-4D56-B3A4-3106B8E80834}" name="تاريخ الجلسة" dataDxfId="39">
      <calculatedColumnFormula>IFERROR(VLOOKUP(B4,'جدول الجلسات التدريبية'!A:D,4,FALSE),"")</calculatedColumnFormula>
    </tableColumn>
    <tableColumn id="5" xr3:uid="{7D40E0DC-FB8A-40C5-BBC9-CB7A04910A2E}" name="كود الموظف" dataDxfId="38"/>
    <tableColumn id="6" xr3:uid="{7AB47CF9-0618-4118-B5C0-284E464AB87B}" name="اسم الموظف" dataDxfId="37">
      <calculatedColumnFormula>IFERROR(VLOOKUP(E4,'سجل الموظفين والكفاءة'!B:C,2,FALSE),"")</calculatedColumnFormula>
    </tableColumn>
    <tableColumn id="7" xr3:uid="{3A9F418E-3F80-4CE8-A736-2029471D321D}" name="ساعات البرنامج" dataDxfId="36">
      <calculatedColumnFormula>IFERROR(VLOOKUP(A4,'الخطة التدريبية المعتمدة'!A:J,10,FALSE),0)</calculatedColumnFormula>
    </tableColumn>
    <tableColumn id="8" xr3:uid="{9A91BBB3-FB6E-432D-9438-61AAC3710964}" name="حالة الحضور" dataDxfId="35"/>
    <tableColumn id="9" xr3:uid="{1DB1F7BA-029B-414C-9A99-A42C47DD3AD1}" name="الاختبار القبلي (10)" dataDxfId="34"/>
    <tableColumn id="10" xr3:uid="{712807A8-D018-441A-86D0-BB94179413E6}" name="الاختبار البعدي (10)" dataDxfId="33"/>
    <tableColumn id="11" xr3:uid="{D7325126-4EF1-46C2-B888-175353ED2993}" name="نسبة التحسن %" dataDxfId="32">
      <calculatedColumnFormula>IF(OR(I4="",J4="",I4=0),"",(J4-I4)/I4)</calculatedColumnFormula>
    </tableColumn>
    <tableColumn id="12" xr3:uid="{4D8A7201-3066-4899-9310-D3345831D761}" name="نتيجة المعرفة" dataDxfId="31"/>
    <tableColumn id="13" xr3:uid="{F80C99B3-0814-4846-8E68-F73078620D74}" name="تقييم المتدرب (5)" dataDxfId="30"/>
    <tableColumn id="14" xr3:uid="{FFD0668F-4846-4331-B765-E65CB3173968}" name="ملاحظات المدرب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469AF3-68F2-499C-A0F9-B7D3BE11AB22}" name="tblSessions" displayName="tblSessions" ref="A3:K203" totalsRowShown="0" headerRowDxfId="44" dataDxfId="56">
  <autoFilter ref="A3:K203" xr:uid="{B4469AF3-68F2-499C-A0F9-B7D3BE11AB22}"/>
  <tableColumns count="11">
    <tableColumn id="1" xr3:uid="{5D0D96BC-D075-4409-B678-31F2EF888E3C}" name="كود الجلسة" dataDxfId="55"/>
    <tableColumn id="2" xr3:uid="{AA08D225-CE89-4C91-AE18-B527487E3B71}" name="كود البرنامج" dataDxfId="54"/>
    <tableColumn id="3" xr3:uid="{DA8A407A-10A5-4280-A2CC-754F7A263C63}" name="اسم البرنامج التدريبي" dataDxfId="53">
      <calculatedColumnFormula>IFERROR(VLOOKUP(B4,'الخطة التدريبية المعتمدة'!A:C,3,FALSE),"")</calculatedColumnFormula>
    </tableColumn>
    <tableColumn id="4" xr3:uid="{97EE9FF8-9D45-46B1-A72A-9F9127D5AF3F}" name="تاريخ الجلسة" dataDxfId="52"/>
    <tableColumn id="5" xr3:uid="{8F4B4D03-71BE-4F40-87D4-A8EB4F802638}" name="الوقت والمكان" dataDxfId="51"/>
    <tableColumn id="6" xr3:uid="{745AFEB0-5FBC-447C-8637-022DF79FC700}" name="المدرب المسؤول" dataDxfId="50"/>
    <tableColumn id="7" xr3:uid="{363C608B-4E83-4638-9D16-BD795732CA95}" name="السعة القسوى" dataDxfId="49"/>
    <tableColumn id="8" xr3:uid="{1ACB3A68-6559-4919-9B24-EA8DE20E1295}" name="عدد الحضور الفعلي" dataDxfId="48">
      <calculatedColumnFormula>IF(A4="","",COUNTIFS('[2]سجل الحضور والتنفيذ'!B:B,A4,'[2]سجل الحضور والتنفيذ'!H:H,"حاضر"))</calculatedColumnFormula>
    </tableColumn>
    <tableColumn id="9" xr3:uid="{B368C1AC-AB67-4EE9-B74C-98E400531060}" name="نسبة الحضور %" dataDxfId="47">
      <calculatedColumnFormula>IF(OR(A4="",G4=0),"",H4/G4)</calculatedColumnFormula>
    </tableColumn>
    <tableColumn id="10" xr3:uid="{2F565934-D5DF-49F4-A8EE-1D4274286819}" name="حالة الجلسة" dataDxfId="46"/>
    <tableColumn id="11" xr3:uid="{0F03070E-4B1B-48D4-8774-E2572FDD229E}" name="ملاحظات التنفيذ" dataDxfId="4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584AEA-7319-47D5-9EDF-FB4B386AE0BE}" name="tblPlan" displayName="tblPlan" ref="A3:R103" totalsRowShown="0" headerRowDxfId="57" dataDxfId="76">
  <autoFilter ref="A3:R103" xr:uid="{6B584AEA-7319-47D5-9EDF-FB4B386AE0BE}"/>
  <tableColumns count="18">
    <tableColumn id="1" xr3:uid="{0C4C692C-43DD-4821-8295-7A6ED09633C8}" name="كود البرنامج" dataDxfId="75"/>
    <tableColumn id="2" xr3:uid="{65FCBDFB-0DE3-4570-B994-2519692A0614}" name="المحور الرئيسي (GAHAR)" dataDxfId="74"/>
    <tableColumn id="3" xr3:uid="{13DC2425-0024-401F-906D-51AE4FF1B717}" name="اسم البرنامج التدريبي التخصصي" dataDxfId="73"/>
    <tableColumn id="4" xr3:uid="{C223230F-B04D-499D-BD98-D33751588D5E}" name="الهدف القابل للقياس" dataDxfId="72"/>
    <tableColumn id="5" xr3:uid="{F3CFAB9F-03B7-4D7D-9863-EA28367698D0}" name="الفئة المستهدفة" dataDxfId="71"/>
    <tableColumn id="6" xr3:uid="{529DF6C5-1E17-4FC9-BA73-A68F8154222D}" name="عدد المستهدفين" dataDxfId="70"/>
    <tableColumn id="7" xr3:uid="{5B06A982-13FC-40A2-8E1C-E1EEA140141A}" name="نوع التدريب" dataDxfId="69"/>
    <tableColumn id="8" xr3:uid="{216B9189-9194-430F-8651-624D1D2622F2}" name="أسلوب التقييم" dataDxfId="68"/>
    <tableColumn id="9" xr3:uid="{72555A2C-67DB-4561-9F2D-4ED43F4E83F0}" name="المدرب / الجهة" dataDxfId="67"/>
    <tableColumn id="10" xr3:uid="{5A08E45A-2D32-46F0-9045-1A88AFA5B109}" name="الساعات" dataDxfId="66"/>
    <tableColumn id="11" xr3:uid="{2B02B9F6-6489-4233-93AA-FE54B88F6758}" name="التكرار" dataDxfId="65"/>
    <tableColumn id="12" xr3:uid="{C467C5FC-D490-4FC5-AC4D-6D38B3DC32F5}" name="الشهر المخطط" dataDxfId="64"/>
    <tableColumn id="13" xr3:uid="{15E13B4C-8A00-49C6-B152-164C00C55ED5}" name="حالة الخطة" dataDxfId="63"/>
    <tableColumn id="14" xr3:uid="{931D30A2-BC3A-403D-9A90-8CBBE05002B2}" name="عدد الجلسات المخططة" dataDxfId="62"/>
    <tableColumn id="15" xr3:uid="{75BFAEE1-EAD2-4FD6-A1F9-DD0BEF9CB1E5}" name="إجمالي الساعات المخططة" dataDxfId="61">
      <calculatedColumnFormula>IF(A4="","",F4*J4)</calculatedColumnFormula>
    </tableColumn>
    <tableColumn id="16" xr3:uid="{048CAB73-E880-4DAC-AFEC-DB2517DFC1D2}" name="سجلات الحضور الفعلية" dataDxfId="60">
      <calculatedColumnFormula>IF(A4="","",COUNTIFS('[2]سجل الحضور والتنفيذ'!A:A,A4,'[2]سجل الحضور والتنفيذ'!H:H,"حاضر"))</calculatedColumnFormula>
    </tableColumn>
    <tableColumn id="17" xr3:uid="{138CE75F-D035-431F-83F5-4318D5689FA5}" name="نسبة التغطية %" dataDxfId="59">
      <calculatedColumnFormula>IF(OR(A4="",F4=0),"",P4/F4)</calculatedColumnFormula>
    </tableColumn>
    <tableColumn id="18" xr3:uid="{B05B758A-CF31-489C-8715-265C87A8774B}" name="حالة الاستيفاء" dataDxfId="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A7E67-24CC-4F7F-BFBD-99CEB8535F5F}" name="tblNeeds" displayName="tblNeeds" ref="A3:K9" totalsRowShown="0" headerRowDxfId="77" dataDxfId="89">
  <autoFilter ref="A3:K9" xr:uid="{66EA7E67-24CC-4F7F-BFBD-99CEB8535F5F}"/>
  <tableColumns count="11">
    <tableColumn id="1" xr3:uid="{AFFD5D5E-DDB0-4729-B6F1-428C68BC5077}" name="كود الفجوة" dataDxfId="88"/>
    <tableColumn id="2" xr3:uid="{0CFA8F19-3DED-479F-B1C8-43BCC472ED65}" name="القسم / الفئة" dataDxfId="87"/>
    <tableColumn id="3" xr3:uid="{1F01254A-155F-4C1D-A0D2-A6185287061C}" name="وصف الفجوة أو الخطر السريري" dataDxfId="86"/>
    <tableColumn id="4" xr3:uid="{826B94E9-03ED-4D1B-8C0F-090DCA127B98}" name="مصدر الاحتياج" dataDxfId="85"/>
    <tableColumn id="5" xr3:uid="{2221235E-DBFB-4FF9-9749-0D05EAFC4E32}" name="مستوى الخطر" dataDxfId="84"/>
    <tableColumn id="6" xr3:uid="{D9E8AECE-650C-4443-B6FF-ED406AABE7DE}" name="الأولوية" dataDxfId="83"/>
    <tableColumn id="7" xr3:uid="{3991262E-AB85-48BB-9815-A0DE86D25371}" name="الكفاءة المطلوب بناؤها" dataDxfId="82"/>
    <tableColumn id="8" xr3:uid="{D6BDD9AE-7821-49DE-B2CA-182EC3C07CF6}" name="البرنامج التدريبي المقترح" dataDxfId="81"/>
    <tableColumn id="9" xr3:uid="{CE1F8C31-BADB-469F-9D61-ACCB9A13DAC2}" name="المسؤول عن المتابعة" dataDxfId="80"/>
    <tableColumn id="10" xr3:uid="{2BDFFE7A-8B54-47B1-8433-B1A991B589B4}" name="التاريخ المستهدف لإغلاق الفجوة" dataDxfId="79"/>
    <tableColumn id="11" xr3:uid="{17640D1F-0A89-4CD5-8836-FADC9BE8F50C}" name="حالة معالجة الفجوة" dataDxfId="7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92DCA9-01CF-474E-ABCA-6690325DB1ED}" name="tblEmployees" displayName="tblEmployees" ref="A3:P203" totalsRowShown="0" headerRowDxfId="90" dataDxfId="107">
  <autoFilter ref="A3:P203" xr:uid="{F692DCA9-01CF-474E-ABCA-6690325DB1ED}"/>
  <tableColumns count="16">
    <tableColumn id="1" xr3:uid="{DE257DB9-DB10-4AE0-842F-1F1098D68081}" name="م" dataDxfId="106">
      <calculatedColumnFormula>IF(C4="","",ROW()-3)</calculatedColumnFormula>
    </tableColumn>
    <tableColumn id="2" xr3:uid="{8EC2242E-BD7F-4DE4-B155-FC6E7FC49371}" name="كود الموظف" dataDxfId="105"/>
    <tableColumn id="3" xr3:uid="{13C6D901-93E8-436A-837E-DC6C18555563}" name="اسم الموظف" dataDxfId="104"/>
    <tableColumn id="4" xr3:uid="{2E64CA3E-2F76-4D7E-91D7-441737E5A896}" name="الوظيفة" dataDxfId="103"/>
    <tableColumn id="5" xr3:uid="{5EE10D41-0633-4E7D-86E1-09CE7BDA33C8}" name="الفئة الوظيفية" dataDxfId="102"/>
    <tableColumn id="6" xr3:uid="{79F2B5BB-850B-46D5-9E4A-53290B893FA8}" name="تاريخ التعيين" dataDxfId="101"/>
    <tableColumn id="7" xr3:uid="{9413CBD9-0CE6-4CD3-860B-3D2CC5300C45}" name="نوع الموظف" dataDxfId="100"/>
    <tableColumn id="8" xr3:uid="{C6F6CCC2-B9C6-4495-AD95-BDB1F6F9F6B2}" name="التقييم السنوي %" dataDxfId="99"/>
    <tableColumn id="9" xr3:uid="{711B5FA1-D588-4E6F-83F5-689674C367DD}" name="حالة التقييم" dataDxfId="98">
      <calculatedColumnFormula>IF(C4="","",IF(OR(H4="",H4=0),"لم يُقيَّم","مُقيَّم"))</calculatedColumnFormula>
    </tableColumn>
    <tableColumn id="10" xr3:uid="{CB2398B9-1695-4B04-9487-52BE98DC9F59}" name="مستوى الاحتياج التدريبي" dataDxfId="97"/>
    <tableColumn id="11" xr3:uid="{F5B8D7C0-A28D-4FE4-9D5C-E097FEE17D24}" name="أولوية التدريب" dataDxfId="96">
      <calculatedColumnFormula>IF(C4="","",IF(OR(J4="يحتاج تقييم عاجل",J4="احتياج مرتفع جداً"),"أولوية قصوى (1)",IF(J4="احتياج متوسط","أولوية متوسطة (2)","أولوية عادية (3)")))</calculatedColumnFormula>
    </tableColumn>
    <tableColumn id="12" xr3:uid="{4A05B9DB-1A29-4AA1-AFE4-6F5BCF51E901}" name="البرامج الإلزامية المطلوبة" dataDxfId="95">
      <calculatedColumnFormula>IF(C4="","",COUNTIF('[1]الخطة التدريبية المعتمدة'!E:E,E4)+COUNTIF('[1]الخطة التدريبية المعتمدة'!E:E,"جميع العاملين بالمنشأة"))</calculatedColumnFormula>
    </tableColumn>
    <tableColumn id="13" xr3:uid="{8A6D462D-6F37-4686-A238-81283F69EC41}" name="البرامج المنفذة فعلياً" dataDxfId="94">
      <calculatedColumnFormula>IF(C4="","",COUNTIFS('[2]سجل الحضور والتنفيذ'!E:E,B4,'[2]سجل الحضور والتنفيذ'!H:H,"حاضر"))</calculatedColumnFormula>
    </tableColumn>
    <tableColumn id="14" xr3:uid="{F1490374-57FE-481F-845C-CB32D1F94762}" name="نسبة إكمال التدريب %" dataDxfId="93">
      <calculatedColumnFormula>IF(OR(C4="",L4=0),"",M4/L4)</calculatedColumnFormula>
    </tableColumn>
    <tableColumn id="15" xr3:uid="{2832C42B-F337-4C8C-BE27-26214A70F9E3}" name="إجمالي ساعات التدريب" dataDxfId="92">
      <calculatedColumnFormula>IF(C4="","",SUMPRODUCT(('[2]سجل الحضور والتنفيذ'!E:E=B4)*('[2]سجل الحضور والتنفيذ'!H:H="حاضر")*('[2]سجل الحضور والتنفيذ'!G:G)))</calculatedColumnFormula>
    </tableColumn>
    <tableColumn id="16" xr3:uid="{E90F7392-14B5-4CFE-9C9C-128B6FE750C2}" name="حالة التوجيه التعريفي" dataDxfId="9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1F0F8-0F30-4D85-86B9-4BE5290E3BB1}" name="tblStandards" displayName="tblStandards" ref="A3:G12" totalsRowShown="0" headerRowDxfId="108" dataDxfId="116">
  <autoFilter ref="A3:G12" xr:uid="{2511F0F8-0F30-4D85-86B9-4BE5290E3BB1}"/>
  <tableColumns count="7">
    <tableColumn id="1" xr3:uid="{52581443-C1AD-4AB3-A3D2-CA5CDCA6E77B}" name="كود المحور" dataDxfId="115"/>
    <tableColumn id="2" xr3:uid="{BA6F85C1-969E-434E-8F34-569912967643}" name="اسم المحور" dataDxfId="114"/>
    <tableColumn id="3" xr3:uid="{ED14C23A-1641-4A78-BB0C-34446D974A05}" name="أبرز متطلبات التدريب بالمعيار" dataDxfId="113"/>
    <tableColumn id="4" xr3:uid="{B5BC1F73-DCE8-4838-84BB-FEBCFF8F703E}" name="الفئات الوظيفية المعنية" dataDxfId="112"/>
    <tableColumn id="5" xr3:uid="{06D8BF62-44B0-4602-AC17-4C379AEF88E1}" name="دليل الإثبات المتوقع أمام المراجع" dataDxfId="111"/>
    <tableColumn id="6" xr3:uid="{434A0534-801F-40E6-9E78-786D074339A4}" name="تكرار التدريب المقترح" dataDxfId="110"/>
    <tableColumn id="7" xr3:uid="{A08F030C-078C-4DD6-A491-D47B9F3CBF6D}" name="ملاحظات الامتثال" dataDxfId="10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2B77-94EF-4F6F-8EFE-B3CA5967A73F}">
  <dimension ref="A1:F10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24.42578125" style="1" bestFit="1" customWidth="1"/>
    <col min="2" max="2" width="14.42578125" style="1" bestFit="1" customWidth="1"/>
    <col min="3" max="3" width="16.28515625" style="1" bestFit="1" customWidth="1"/>
    <col min="4" max="16384" width="9.140625" style="1"/>
  </cols>
  <sheetData>
    <row r="1" spans="1:6" x14ac:dyDescent="0.2">
      <c r="A1" s="2" t="s">
        <v>515</v>
      </c>
      <c r="B1" s="2"/>
      <c r="C1" s="2"/>
      <c r="D1" s="2"/>
      <c r="E1" s="2"/>
      <c r="F1" s="2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3" t="s">
        <v>516</v>
      </c>
      <c r="B3" s="3" t="s">
        <v>273</v>
      </c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4" t="s">
        <v>517</v>
      </c>
      <c r="B5" s="4" t="s">
        <v>518</v>
      </c>
      <c r="C5" s="4" t="s">
        <v>519</v>
      </c>
      <c r="D5" s="3"/>
      <c r="E5" s="3"/>
      <c r="F5" s="3"/>
    </row>
    <row r="6" spans="1:6" x14ac:dyDescent="0.2">
      <c r="A6" s="3" t="s">
        <v>520</v>
      </c>
      <c r="B6" s="3">
        <f>COUNTIF('الخطة التدريبية المعتمدة'!L:L,B3)</f>
        <v>3</v>
      </c>
      <c r="C6" s="3"/>
      <c r="D6" s="3"/>
      <c r="E6" s="3"/>
      <c r="F6" s="3"/>
    </row>
    <row r="7" spans="1:6" x14ac:dyDescent="0.2">
      <c r="A7" s="3" t="s">
        <v>521</v>
      </c>
      <c r="B7" s="3">
        <f>COUNTIFS('جدول الجلسات التدريبية'!D:D,"&gt;=2026-01-01",'جدول الجلسات التدريبية'!J:J,"منفذة")</f>
        <v>2</v>
      </c>
      <c r="C7" s="3"/>
      <c r="D7" s="3"/>
      <c r="E7" s="3"/>
      <c r="F7" s="3"/>
    </row>
    <row r="8" spans="1:6" x14ac:dyDescent="0.2">
      <c r="A8" s="3" t="s">
        <v>522</v>
      </c>
      <c r="B8" s="3">
        <f>COUNTIFS('سجل الحضور والتنفيذ'!H:H,"حاضر")</f>
        <v>4</v>
      </c>
      <c r="C8" s="3"/>
      <c r="D8" s="3"/>
      <c r="E8" s="3"/>
      <c r="F8" s="3"/>
    </row>
    <row r="9" spans="1:6" x14ac:dyDescent="0.2">
      <c r="A9" s="3" t="s">
        <v>523</v>
      </c>
      <c r="B9" s="3">
        <f>IFERROR(AVERAGE('سجل الحضور والتنفيذ'!J:J),0)</f>
        <v>7.75</v>
      </c>
      <c r="C9" s="3"/>
      <c r="D9" s="3"/>
      <c r="E9" s="3"/>
      <c r="F9" s="3"/>
    </row>
    <row r="10" spans="1:6" x14ac:dyDescent="0.2">
      <c r="A10" s="3" t="s">
        <v>524</v>
      </c>
      <c r="B10" s="3">
        <f>COUNTIF('مصفوفة التقييم العملي للكفاءة'!I:I,"&gt;=2026-01-01")</f>
        <v>3</v>
      </c>
      <c r="C10" s="3"/>
      <c r="D10" s="3"/>
      <c r="E10" s="3"/>
      <c r="F10" s="3"/>
    </row>
  </sheetData>
  <mergeCells count="1">
    <mergeCell ref="A1:F1"/>
  </mergeCells>
  <dataValidations count="1">
    <dataValidation type="list" allowBlank="1" showInputMessage="1" showErrorMessage="1" sqref="B3" xr:uid="{7C0FA3A3-60EC-4560-8354-D9CEF8CB4EAF}">
      <formula1>"يناير,فبراير,مارس,أبريل,مايو,يونيو,يوليو,أغسطس,سبتمبر,أكتوبر,نوفمبر,ديسمبر"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E5CB-0AB2-430B-AE62-1B72C4EF7F40}">
  <dimension ref="A1:F13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22.28515625" style="1" bestFit="1" customWidth="1"/>
    <col min="2" max="2" width="9.42578125" style="1" bestFit="1" customWidth="1"/>
    <col min="3" max="3" width="12.42578125" style="1" bestFit="1" customWidth="1"/>
    <col min="4" max="4" width="16" style="1" bestFit="1" customWidth="1"/>
    <col min="5" max="5" width="14.7109375" style="1" bestFit="1" customWidth="1"/>
    <col min="6" max="6" width="8.140625" style="1" bestFit="1" customWidth="1"/>
    <col min="7" max="16384" width="9.140625" style="1"/>
  </cols>
  <sheetData>
    <row r="1" spans="1:6" x14ac:dyDescent="0.2">
      <c r="A1" s="2" t="s">
        <v>488</v>
      </c>
      <c r="B1" s="2"/>
      <c r="C1" s="2"/>
      <c r="D1" s="2"/>
      <c r="E1" s="2"/>
      <c r="F1" s="2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4" t="s">
        <v>489</v>
      </c>
      <c r="B3" s="4" t="s">
        <v>490</v>
      </c>
      <c r="C3" s="4" t="s">
        <v>491</v>
      </c>
      <c r="D3" s="4" t="s">
        <v>492</v>
      </c>
      <c r="E3" s="4" t="s">
        <v>493</v>
      </c>
      <c r="F3" s="4" t="s">
        <v>39</v>
      </c>
    </row>
    <row r="4" spans="1:6" x14ac:dyDescent="0.2">
      <c r="A4" s="3" t="s">
        <v>494</v>
      </c>
      <c r="B4" s="3">
        <f>COUNTA('سجل الموظفين والكفاءة'!C4:C203)</f>
        <v>10</v>
      </c>
      <c r="C4" s="3" t="s">
        <v>495</v>
      </c>
      <c r="D4" s="3" t="s">
        <v>496</v>
      </c>
      <c r="E4" s="3" t="s">
        <v>497</v>
      </c>
      <c r="F4" s="3" t="s">
        <v>498</v>
      </c>
    </row>
    <row r="5" spans="1:6" x14ac:dyDescent="0.2">
      <c r="A5" s="3" t="s">
        <v>499</v>
      </c>
      <c r="B5" s="7">
        <f>COUNTIF('سجل الموظفين والكفاءة'!I:I,"مُقيَّم")/B4</f>
        <v>0.9</v>
      </c>
      <c r="C5" s="7">
        <v>1</v>
      </c>
      <c r="D5" s="3" t="str">
        <f>IF(B5&gt;=C5,"مطابق","غير مطابق - يوجد فجوة")</f>
        <v>غير مطابق - يوجد فجوة</v>
      </c>
      <c r="E5" s="3" t="s">
        <v>497</v>
      </c>
      <c r="F5" s="3" t="s">
        <v>46</v>
      </c>
    </row>
    <row r="6" spans="1:6" x14ac:dyDescent="0.2">
      <c r="A6" s="3" t="s">
        <v>500</v>
      </c>
      <c r="B6" s="7">
        <f>COUNTA('الخطة التدريبية المعتمدة'!A4:A103)</f>
        <v>20</v>
      </c>
      <c r="C6" s="7" t="s">
        <v>501</v>
      </c>
      <c r="D6" s="3" t="s">
        <v>470</v>
      </c>
      <c r="E6" s="3" t="s">
        <v>502</v>
      </c>
      <c r="F6" s="3" t="s">
        <v>41</v>
      </c>
    </row>
    <row r="7" spans="1:6" x14ac:dyDescent="0.2">
      <c r="A7" s="3" t="s">
        <v>503</v>
      </c>
      <c r="B7" s="7">
        <f>COUNTIF('الخطة التدريبية المعتمدة'!R:R,"مستوفى بالكامل")/B6</f>
        <v>0</v>
      </c>
      <c r="C7" s="7">
        <v>0.9</v>
      </c>
      <c r="D7" s="3" t="str">
        <f>IF(B7&gt;=C7,"مطابق","قيد التنفيذ")</f>
        <v>قيد التنفيذ</v>
      </c>
      <c r="E7" s="3" t="s">
        <v>502</v>
      </c>
      <c r="F7" s="3" t="s">
        <v>41</v>
      </c>
    </row>
    <row r="8" spans="1:6" x14ac:dyDescent="0.2">
      <c r="A8" s="3" t="s">
        <v>504</v>
      </c>
      <c r="B8" s="7">
        <f>COUNTIF('سجل الحضور والتنفيذ'!H:H,"حاضر")</f>
        <v>4</v>
      </c>
      <c r="C8" s="7" t="s">
        <v>505</v>
      </c>
      <c r="D8" s="3" t="s">
        <v>496</v>
      </c>
      <c r="E8" s="3" t="s">
        <v>506</v>
      </c>
      <c r="F8" s="3" t="s">
        <v>41</v>
      </c>
    </row>
    <row r="9" spans="1:6" x14ac:dyDescent="0.2">
      <c r="A9" s="3" t="s">
        <v>507</v>
      </c>
      <c r="B9" s="7">
        <f>IFERROR(B8/SUM('الخطة التدريبية المعتمدة'!F4:F103),0)</f>
        <v>0.08</v>
      </c>
      <c r="C9" s="7">
        <v>0.85</v>
      </c>
      <c r="D9" s="3" t="str">
        <f>IF(B9&gt;=C9,"مطابق","يحتاج تحسين")</f>
        <v>يحتاج تحسين</v>
      </c>
      <c r="E9" s="3" t="s">
        <v>508</v>
      </c>
      <c r="F9" s="3" t="s">
        <v>41</v>
      </c>
    </row>
    <row r="10" spans="1:6" x14ac:dyDescent="0.2">
      <c r="A10" s="3" t="s">
        <v>509</v>
      </c>
      <c r="B10" s="7">
        <f>IFERROR(AVERAGE('سجل الحضور والتنفيذ'!J:J)/10,0)</f>
        <v>0.77500000000000002</v>
      </c>
      <c r="C10" s="7">
        <v>0.7</v>
      </c>
      <c r="D10" s="3" t="str">
        <f>IF(B10&gt;=C10,"مطابق ممتاز","يحتاج إعادة اختبار")</f>
        <v>مطابق ممتاز</v>
      </c>
      <c r="E10" s="3" t="s">
        <v>506</v>
      </c>
      <c r="F10" s="3" t="s">
        <v>41</v>
      </c>
    </row>
    <row r="11" spans="1:6" x14ac:dyDescent="0.2">
      <c r="A11" s="3" t="s">
        <v>510</v>
      </c>
      <c r="B11" s="7">
        <f>IFERROR(COUNTIF('مصفوفة التقييم العملي للكفاءة'!H:H,"كفء ومستوفى عملياً")/COUNTA('مصفوفة التقييم العملي للكفاءة'!A4:A203),0)</f>
        <v>0.66666666666666663</v>
      </c>
      <c r="C11" s="7">
        <v>0.8</v>
      </c>
      <c r="D11" s="3" t="str">
        <f>IF(B11&gt;=C11,"مطابق كفء","يوجد حالات إعادة تدريب")</f>
        <v>يوجد حالات إعادة تدريب</v>
      </c>
      <c r="E11" s="3" t="s">
        <v>511</v>
      </c>
      <c r="F11" s="3" t="s">
        <v>46</v>
      </c>
    </row>
    <row r="12" spans="1:6" x14ac:dyDescent="0.2">
      <c r="A12" s="3" t="s">
        <v>512</v>
      </c>
      <c r="B12" s="7">
        <f>COUNTIF('مصفوفة التقييم العملي للكفاءة'!H:H,"غير كفء - يلزم تدريب ميداني إضافي")</f>
        <v>1</v>
      </c>
      <c r="C12" s="7">
        <v>0</v>
      </c>
      <c r="D12" s="3" t="str">
        <f>IF(B12=0,"ممتاز - صفر إخفاق","يوجد حالات قيد المعالجة")</f>
        <v>يوجد حالات قيد المعالجة</v>
      </c>
      <c r="E12" s="3" t="s">
        <v>511</v>
      </c>
      <c r="F12" s="3" t="s">
        <v>46</v>
      </c>
    </row>
    <row r="13" spans="1:6" x14ac:dyDescent="0.2">
      <c r="A13" s="3" t="s">
        <v>513</v>
      </c>
      <c r="B13" s="7">
        <f>IFERROR(COUNTIF('سجل الأدلة وجاهزية جهار'!H:H,"مكتمل")/COUNTA('سجل الأدلة وجاهزية جهار'!A4:A203),0)</f>
        <v>0.8</v>
      </c>
      <c r="C13" s="7">
        <v>1</v>
      </c>
      <c r="D13" s="3" t="str">
        <f>IF(B13&gt;=C13,"جاهز لمسح جهار","غير جاهز لمسح جهار")</f>
        <v>غير جاهز لمسح جهار</v>
      </c>
      <c r="E13" s="3" t="s">
        <v>514</v>
      </c>
      <c r="F13" s="3" t="s">
        <v>41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0BA6-4675-4C14-8D25-BD84675DA726}">
  <dimension ref="A1:K8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1.5703125" style="1" bestFit="1" customWidth="1"/>
    <col min="2" max="2" width="13.28515625" style="1" bestFit="1" customWidth="1"/>
    <col min="3" max="3" width="12.42578125" style="1" bestFit="1" customWidth="1"/>
    <col min="4" max="4" width="17.42578125" style="1" bestFit="1" customWidth="1"/>
    <col min="5" max="5" width="24.5703125" style="1" bestFit="1" customWidth="1"/>
    <col min="6" max="6" width="17.42578125" style="1" bestFit="1" customWidth="1"/>
    <col min="7" max="7" width="13" style="1" bestFit="1" customWidth="1"/>
    <col min="8" max="8" width="12" style="1" bestFit="1" customWidth="1"/>
    <col min="9" max="9" width="18.5703125" style="1" bestFit="1" customWidth="1"/>
    <col min="10" max="10" width="14.85546875" style="1" bestFit="1" customWidth="1"/>
    <col min="11" max="11" width="19" style="1" bestFit="1" customWidth="1"/>
    <col min="12" max="16384" width="9.140625" style="1"/>
  </cols>
  <sheetData>
    <row r="1" spans="1:11" x14ac:dyDescent="0.2">
      <c r="A1" s="2" t="s">
        <v>456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">
      <c r="A3" s="4" t="s">
        <v>457</v>
      </c>
      <c r="B3" s="4" t="s">
        <v>247</v>
      </c>
      <c r="C3" s="4" t="s">
        <v>411</v>
      </c>
      <c r="D3" s="4" t="s">
        <v>458</v>
      </c>
      <c r="E3" s="4" t="s">
        <v>459</v>
      </c>
      <c r="F3" s="4" t="s">
        <v>460</v>
      </c>
      <c r="G3" s="4" t="s">
        <v>461</v>
      </c>
      <c r="H3" s="4" t="s">
        <v>462</v>
      </c>
      <c r="I3" s="4" t="s">
        <v>463</v>
      </c>
      <c r="J3" s="4" t="s">
        <v>464</v>
      </c>
      <c r="K3" s="4" t="s">
        <v>465</v>
      </c>
    </row>
    <row r="4" spans="1:11" ht="25.5" x14ac:dyDescent="0.2">
      <c r="A4" s="3" t="s">
        <v>466</v>
      </c>
      <c r="B4" s="3" t="s">
        <v>377</v>
      </c>
      <c r="C4" s="3" t="s">
        <v>421</v>
      </c>
      <c r="D4" s="3" t="s">
        <v>467</v>
      </c>
      <c r="E4" s="3" t="s">
        <v>468</v>
      </c>
      <c r="F4" s="3" t="s">
        <v>469</v>
      </c>
      <c r="G4" s="5">
        <v>46038</v>
      </c>
      <c r="H4" s="3" t="s">
        <v>470</v>
      </c>
      <c r="I4" s="3" t="s">
        <v>471</v>
      </c>
      <c r="J4" s="5">
        <v>46040</v>
      </c>
      <c r="K4" s="3"/>
    </row>
    <row r="5" spans="1:11" ht="25.5" x14ac:dyDescent="0.2">
      <c r="A5" s="3" t="s">
        <v>472</v>
      </c>
      <c r="B5" s="3" t="s">
        <v>377</v>
      </c>
      <c r="C5" s="3" t="s">
        <v>421</v>
      </c>
      <c r="D5" s="3" t="s">
        <v>473</v>
      </c>
      <c r="E5" s="3" t="s">
        <v>474</v>
      </c>
      <c r="F5" s="3" t="s">
        <v>475</v>
      </c>
      <c r="G5" s="5">
        <v>46038</v>
      </c>
      <c r="H5" s="3" t="s">
        <v>470</v>
      </c>
      <c r="I5" s="3" t="s">
        <v>471</v>
      </c>
      <c r="J5" s="5">
        <v>46040</v>
      </c>
      <c r="K5" s="3"/>
    </row>
    <row r="6" spans="1:11" ht="25.5" x14ac:dyDescent="0.2">
      <c r="A6" s="3" t="s">
        <v>476</v>
      </c>
      <c r="B6" s="3" t="s">
        <v>265</v>
      </c>
      <c r="C6" s="3" t="s">
        <v>424</v>
      </c>
      <c r="D6" s="3" t="s">
        <v>477</v>
      </c>
      <c r="E6" s="3" t="s">
        <v>478</v>
      </c>
      <c r="F6" s="3" t="s">
        <v>479</v>
      </c>
      <c r="G6" s="5">
        <v>46043</v>
      </c>
      <c r="H6" s="3" t="s">
        <v>470</v>
      </c>
      <c r="I6" s="3" t="s">
        <v>471</v>
      </c>
      <c r="J6" s="5">
        <v>46045</v>
      </c>
      <c r="K6" s="3"/>
    </row>
    <row r="7" spans="1:11" ht="25.5" x14ac:dyDescent="0.2">
      <c r="A7" s="3" t="s">
        <v>480</v>
      </c>
      <c r="B7" s="3" t="s">
        <v>265</v>
      </c>
      <c r="C7" s="3" t="s">
        <v>424</v>
      </c>
      <c r="D7" s="3" t="s">
        <v>481</v>
      </c>
      <c r="E7" s="3" t="s">
        <v>482</v>
      </c>
      <c r="F7" s="3" t="s">
        <v>310</v>
      </c>
      <c r="G7" s="5">
        <v>46045</v>
      </c>
      <c r="H7" s="3" t="s">
        <v>470</v>
      </c>
      <c r="I7" s="3" t="s">
        <v>471</v>
      </c>
      <c r="J7" s="5">
        <v>46047</v>
      </c>
      <c r="K7" s="3"/>
    </row>
    <row r="8" spans="1:11" ht="25.5" x14ac:dyDescent="0.2">
      <c r="A8" s="3" t="s">
        <v>483</v>
      </c>
      <c r="B8" s="3" t="s">
        <v>275</v>
      </c>
      <c r="C8" s="3" t="s">
        <v>426</v>
      </c>
      <c r="D8" s="3" t="s">
        <v>484</v>
      </c>
      <c r="E8" s="3"/>
      <c r="F8" s="3" t="s">
        <v>485</v>
      </c>
      <c r="G8" s="3"/>
      <c r="H8" s="3" t="s">
        <v>486</v>
      </c>
      <c r="I8" s="3" t="s">
        <v>487</v>
      </c>
      <c r="J8" s="3"/>
      <c r="K8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0AF3-BD09-41A1-9001-A4080BC7BDE7}">
  <dimension ref="A1:M203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2.140625" style="1" bestFit="1" customWidth="1"/>
    <col min="2" max="2" width="13.140625" style="1" bestFit="1" customWidth="1"/>
    <col min="3" max="3" width="13.28515625" style="1" bestFit="1" customWidth="1"/>
    <col min="4" max="4" width="14" style="1" bestFit="1" customWidth="1"/>
    <col min="5" max="5" width="18.140625" style="1" bestFit="1" customWidth="1"/>
    <col min="6" max="6" width="15.7109375" style="1" bestFit="1" customWidth="1"/>
    <col min="7" max="7" width="19.7109375" style="1" bestFit="1" customWidth="1"/>
    <col min="8" max="8" width="14.42578125" style="1" bestFit="1" customWidth="1"/>
    <col min="9" max="9" width="13.42578125" style="1" bestFit="1" customWidth="1"/>
    <col min="10" max="10" width="13.7109375" style="1" bestFit="1" customWidth="1"/>
    <col min="11" max="11" width="16.7109375" style="1" bestFit="1" customWidth="1"/>
    <col min="12" max="12" width="25.140625" style="1" bestFit="1" customWidth="1"/>
    <col min="13" max="13" width="17.28515625" style="1" bestFit="1" customWidth="1"/>
    <col min="14" max="16384" width="9.140625" style="1"/>
  </cols>
  <sheetData>
    <row r="1" spans="1:13" x14ac:dyDescent="0.2">
      <c r="A1" s="2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">
      <c r="A3" s="4" t="s">
        <v>442</v>
      </c>
      <c r="B3" s="4" t="s">
        <v>131</v>
      </c>
      <c r="C3" s="4" t="s">
        <v>132</v>
      </c>
      <c r="D3" s="4" t="s">
        <v>134</v>
      </c>
      <c r="E3" s="4" t="s">
        <v>443</v>
      </c>
      <c r="F3" s="4" t="s">
        <v>444</v>
      </c>
      <c r="G3" s="4" t="s">
        <v>445</v>
      </c>
      <c r="H3" s="4" t="s">
        <v>446</v>
      </c>
      <c r="I3" s="4" t="s">
        <v>447</v>
      </c>
      <c r="J3" s="4" t="s">
        <v>448</v>
      </c>
      <c r="K3" s="4" t="s">
        <v>449</v>
      </c>
      <c r="L3" s="4" t="s">
        <v>450</v>
      </c>
      <c r="M3" s="4" t="s">
        <v>451</v>
      </c>
    </row>
    <row r="4" spans="1:13" ht="38.25" x14ac:dyDescent="0.2">
      <c r="A4" s="3" t="s">
        <v>452</v>
      </c>
      <c r="B4" s="3" t="s">
        <v>146</v>
      </c>
      <c r="C4" s="3" t="str">
        <f>IFERROR(VLOOKUP(B4,'سجل الموظفين والكفاءة'!B:C,2,FALSE),"")</f>
        <v>أحمد محمود علي</v>
      </c>
      <c r="D4" s="3" t="str">
        <f>IFERROR(VLOOKUP(B4,'سجل الموظفين والكفاءة'!B:E,4,FALSE),"")</f>
        <v>أطباء</v>
      </c>
      <c r="E4" s="3" t="s">
        <v>453</v>
      </c>
      <c r="F4" s="3" t="s">
        <v>265</v>
      </c>
      <c r="G4" s="7">
        <v>0.9</v>
      </c>
      <c r="H4" s="3" t="str">
        <f>IF(G4="","",IF(G4&gt;='الإعدادات والمستهدفات'!B6,"كفء ومستوفى عملياً","غير كفء - يلزم تدريب ميداني إضافي"))</f>
        <v>كفء ومستوفى عملياً</v>
      </c>
      <c r="I4" s="5">
        <v>46044</v>
      </c>
      <c r="J4" s="3" t="s">
        <v>271</v>
      </c>
      <c r="K4" s="3" t="str">
        <f>IF(G4="","",IF(G4&lt;'الإعدادات والمستهدفات'!B6,I4+14,"—"))</f>
        <v>—</v>
      </c>
      <c r="L4" s="3" t="str">
        <f>IF(G4="","",IF(G4&lt;'الإعدادات والمستهدفات'!B6,"إعادة تدريب ميداني خلال 14 يوم ومراجعة مع المشرف","لا يوجد"))</f>
        <v>لا يوجد</v>
      </c>
      <c r="M4" s="3"/>
    </row>
    <row r="5" spans="1:13" ht="38.25" x14ac:dyDescent="0.2">
      <c r="A5" s="3" t="s">
        <v>454</v>
      </c>
      <c r="B5" s="3" t="s">
        <v>154</v>
      </c>
      <c r="C5" s="3" t="str">
        <f>IFERROR(VLOOKUP(B5,'سجل الموظفين والكفاءة'!B:C,2,FALSE),"")</f>
        <v>محمد حسن عبدالرحمن</v>
      </c>
      <c r="D5" s="3" t="str">
        <f>IFERROR(VLOOKUP(B5,'سجل الموظفين والكفاءة'!B:E,4,FALSE),"")</f>
        <v>تمريض</v>
      </c>
      <c r="E5" s="3" t="s">
        <v>453</v>
      </c>
      <c r="F5" s="3" t="s">
        <v>265</v>
      </c>
      <c r="G5" s="7">
        <v>0.85</v>
      </c>
      <c r="H5" s="3" t="str">
        <f>IF(G5="","",IF(G5&gt;='الإعدادات والمستهدفات'!B6,"كفء ومستوفى عملياً","غير كفء - يلزم تدريب ميداني إضافي"))</f>
        <v>كفء ومستوفى عملياً</v>
      </c>
      <c r="I5" s="5">
        <v>46044</v>
      </c>
      <c r="J5" s="3" t="s">
        <v>271</v>
      </c>
      <c r="K5" s="3" t="str">
        <f>IF(G5="","",IF(G5&lt;'الإعدادات والمستهدفات'!B6,I5+14,"—"))</f>
        <v>—</v>
      </c>
      <c r="L5" s="3" t="str">
        <f>IF(G5="","",IF(G5&lt;'الإعدادات والمستهدفات'!B6,"إعادة تدريب ميداني خلال 14 يوم ومراجعة مع المشرف","لا يوجد"))</f>
        <v>لا يوجد</v>
      </c>
      <c r="M5" s="3"/>
    </row>
    <row r="6" spans="1:13" ht="38.25" x14ac:dyDescent="0.2">
      <c r="A6" s="3" t="s">
        <v>455</v>
      </c>
      <c r="B6" s="3" t="s">
        <v>158</v>
      </c>
      <c r="C6" s="3" t="str">
        <f>IFERROR(VLOOKUP(B6,'سجل الموظفين والكفاءة'!B:C,2,FALSE),"")</f>
        <v>سارة خالد مصطفى</v>
      </c>
      <c r="D6" s="3" t="str">
        <f>IFERROR(VLOOKUP(B6,'سجل الموظفين والكفاءة'!B:E,4,FALSE),"")</f>
        <v>تمريض</v>
      </c>
      <c r="E6" s="3" t="s">
        <v>211</v>
      </c>
      <c r="F6" s="3" t="s">
        <v>275</v>
      </c>
      <c r="G6" s="7">
        <v>0.65</v>
      </c>
      <c r="H6" s="3" t="str">
        <f>IF(G6="","",IF(G6&gt;='الإعدادات والمستهدفات'!B6,"كفء ومستوفى عملياً","غير كفء - يلزم تدريب ميداني إضافي"))</f>
        <v>غير كفء - يلزم تدريب ميداني إضافي</v>
      </c>
      <c r="I6" s="5">
        <v>46048</v>
      </c>
      <c r="J6" s="3" t="s">
        <v>359</v>
      </c>
      <c r="K6" s="3">
        <f>IF(G6="","",IF(G6&lt;'الإعدادات والمستهدفات'!B6,I6+14,"—"))</f>
        <v>46062</v>
      </c>
      <c r="L6" s="3" t="str">
        <f>IF(G6="","",IF(G6&lt;'الإعدادات والمستهدفات'!B6,"إعادة تدريب ميداني خلال 14 يوم ومراجعة مع المشرف","لا يوجد"))</f>
        <v>إعادة تدريب ميداني خلال 14 يوم ومراجعة مع المشرف</v>
      </c>
      <c r="M6" s="3"/>
    </row>
    <row r="7" spans="1:13" x14ac:dyDescent="0.2">
      <c r="A7" s="3"/>
      <c r="B7" s="3"/>
      <c r="C7" s="3" t="str">
        <f>IFERROR(VLOOKUP(B7,'سجل الموظفين والكفاءة'!B:C,2,FALSE),"")</f>
        <v/>
      </c>
      <c r="D7" s="3" t="str">
        <f>IFERROR(VLOOKUP(B7,'سجل الموظفين والكفاءة'!B:E,4,FALSE),"")</f>
        <v/>
      </c>
      <c r="E7" s="3"/>
      <c r="F7" s="3"/>
      <c r="G7" s="7"/>
      <c r="H7" s="3" t="str">
        <f>IF(G7="","",IF(G7&gt;='الإعدادات والمستهدفات'!B6,"كفء ومستوفى عملياً","غير كفء - يلزم تدريب ميداني إضافي"))</f>
        <v/>
      </c>
      <c r="I7" s="3"/>
      <c r="J7" s="3"/>
      <c r="K7" s="3" t="str">
        <f>IF(G7="","",IF(G7&lt;'الإعدادات والمستهدفات'!B6,I7+14,"—"))</f>
        <v/>
      </c>
      <c r="L7" s="3" t="str">
        <f>IF(G7="","",IF(G7&lt;'الإعدادات والمستهدفات'!B6,"إعادة تدريب ميداني خلال 14 يوم ومراجعة مع المشرف","لا يوجد"))</f>
        <v/>
      </c>
      <c r="M7" s="3"/>
    </row>
    <row r="8" spans="1:13" x14ac:dyDescent="0.2">
      <c r="A8" s="3"/>
      <c r="B8" s="3"/>
      <c r="C8" s="3" t="str">
        <f>IFERROR(VLOOKUP(B8,'سجل الموظفين والكفاءة'!B:C,2,FALSE),"")</f>
        <v/>
      </c>
      <c r="D8" s="3" t="str">
        <f>IFERROR(VLOOKUP(B8,'سجل الموظفين والكفاءة'!B:E,4,FALSE),"")</f>
        <v/>
      </c>
      <c r="E8" s="3"/>
      <c r="F8" s="3"/>
      <c r="G8" s="7"/>
      <c r="H8" s="3" t="str">
        <f>IF(G8="","",IF(G8&gt;='الإعدادات والمستهدفات'!B6,"كفء ومستوفى عملياً","غير كفء - يلزم تدريب ميداني إضافي"))</f>
        <v/>
      </c>
      <c r="I8" s="3"/>
      <c r="J8" s="3"/>
      <c r="K8" s="3" t="str">
        <f>IF(G8="","",IF(G8&lt;'الإعدادات والمستهدفات'!B6,I8+14,"—"))</f>
        <v/>
      </c>
      <c r="L8" s="3" t="str">
        <f>IF(G8="","",IF(G8&lt;'الإعدادات والمستهدفات'!B6,"إعادة تدريب ميداني خلال 14 يوم ومراجعة مع المشرف","لا يوجد"))</f>
        <v/>
      </c>
      <c r="M8" s="3"/>
    </row>
    <row r="9" spans="1:13" x14ac:dyDescent="0.2">
      <c r="A9" s="3"/>
      <c r="B9" s="3"/>
      <c r="C9" s="3" t="str">
        <f>IFERROR(VLOOKUP(B9,'سجل الموظفين والكفاءة'!B:C,2,FALSE),"")</f>
        <v/>
      </c>
      <c r="D9" s="3" t="str">
        <f>IFERROR(VLOOKUP(B9,'سجل الموظفين والكفاءة'!B:E,4,FALSE),"")</f>
        <v/>
      </c>
      <c r="E9" s="3"/>
      <c r="F9" s="3"/>
      <c r="G9" s="7"/>
      <c r="H9" s="3" t="str">
        <f>IF(G9="","",IF(G9&gt;='الإعدادات والمستهدفات'!B6,"كفء ومستوفى عملياً","غير كفء - يلزم تدريب ميداني إضافي"))</f>
        <v/>
      </c>
      <c r="I9" s="3"/>
      <c r="J9" s="3"/>
      <c r="K9" s="3" t="str">
        <f>IF(G9="","",IF(G9&lt;'الإعدادات والمستهدفات'!B6,I9+14,"—"))</f>
        <v/>
      </c>
      <c r="L9" s="3" t="str">
        <f>IF(G9="","",IF(G9&lt;'الإعدادات والمستهدفات'!B6,"إعادة تدريب ميداني خلال 14 يوم ومراجعة مع المشرف","لا يوجد"))</f>
        <v/>
      </c>
      <c r="M9" s="3"/>
    </row>
    <row r="10" spans="1:13" x14ac:dyDescent="0.2">
      <c r="A10" s="3"/>
      <c r="B10" s="3"/>
      <c r="C10" s="3" t="str">
        <f>IFERROR(VLOOKUP(B10,'سجل الموظفين والكفاءة'!B:C,2,FALSE),"")</f>
        <v/>
      </c>
      <c r="D10" s="3" t="str">
        <f>IFERROR(VLOOKUP(B10,'سجل الموظفين والكفاءة'!B:E,4,FALSE),"")</f>
        <v/>
      </c>
      <c r="E10" s="3"/>
      <c r="F10" s="3"/>
      <c r="G10" s="7"/>
      <c r="H10" s="3" t="str">
        <f>IF(G10="","",IF(G10&gt;='الإعدادات والمستهدفات'!B6,"كفء ومستوفى عملياً","غير كفء - يلزم تدريب ميداني إضافي"))</f>
        <v/>
      </c>
      <c r="I10" s="3"/>
      <c r="J10" s="3"/>
      <c r="K10" s="3" t="str">
        <f>IF(G10="","",IF(G10&lt;'الإعدادات والمستهدفات'!B6,I10+14,"—"))</f>
        <v/>
      </c>
      <c r="L10" s="3" t="str">
        <f>IF(G10="","",IF(G10&lt;'الإعدادات والمستهدفات'!B6,"إعادة تدريب ميداني خلال 14 يوم ومراجعة مع المشرف","لا يوجد"))</f>
        <v/>
      </c>
      <c r="M10" s="3"/>
    </row>
    <row r="11" spans="1:13" x14ac:dyDescent="0.2">
      <c r="A11" s="3"/>
      <c r="B11" s="3"/>
      <c r="C11" s="3" t="str">
        <f>IFERROR(VLOOKUP(B11,'سجل الموظفين والكفاءة'!B:C,2,FALSE),"")</f>
        <v/>
      </c>
      <c r="D11" s="3" t="str">
        <f>IFERROR(VLOOKUP(B11,'سجل الموظفين والكفاءة'!B:E,4,FALSE),"")</f>
        <v/>
      </c>
      <c r="E11" s="3"/>
      <c r="F11" s="3"/>
      <c r="G11" s="7"/>
      <c r="H11" s="3" t="str">
        <f>IF(G11="","",IF(G11&gt;='الإعدادات والمستهدفات'!B6,"كفء ومستوفى عملياً","غير كفء - يلزم تدريب ميداني إضافي"))</f>
        <v/>
      </c>
      <c r="I11" s="3"/>
      <c r="J11" s="3"/>
      <c r="K11" s="3" t="str">
        <f>IF(G11="","",IF(G11&lt;'الإعدادات والمستهدفات'!B6,I11+14,"—"))</f>
        <v/>
      </c>
      <c r="L11" s="3" t="str">
        <f>IF(G11="","",IF(G11&lt;'الإعدادات والمستهدفات'!B6,"إعادة تدريب ميداني خلال 14 يوم ومراجعة مع المشرف","لا يوجد"))</f>
        <v/>
      </c>
      <c r="M11" s="3"/>
    </row>
    <row r="12" spans="1:13" x14ac:dyDescent="0.2">
      <c r="A12" s="3"/>
      <c r="B12" s="3"/>
      <c r="C12" s="3" t="str">
        <f>IFERROR(VLOOKUP(B12,'سجل الموظفين والكفاءة'!B:C,2,FALSE),"")</f>
        <v/>
      </c>
      <c r="D12" s="3" t="str">
        <f>IFERROR(VLOOKUP(B12,'سجل الموظفين والكفاءة'!B:E,4,FALSE),"")</f>
        <v/>
      </c>
      <c r="E12" s="3"/>
      <c r="F12" s="3"/>
      <c r="G12" s="7"/>
      <c r="H12" s="3" t="str">
        <f>IF(G12="","",IF(G12&gt;='الإعدادات والمستهدفات'!B6,"كفء ومستوفى عملياً","غير كفء - يلزم تدريب ميداني إضافي"))</f>
        <v/>
      </c>
      <c r="I12" s="3"/>
      <c r="J12" s="3"/>
      <c r="K12" s="3" t="str">
        <f>IF(G12="","",IF(G12&lt;'الإعدادات والمستهدفات'!B6,I12+14,"—"))</f>
        <v/>
      </c>
      <c r="L12" s="3" t="str">
        <f>IF(G12="","",IF(G12&lt;'الإعدادات والمستهدفات'!B6,"إعادة تدريب ميداني خلال 14 يوم ومراجعة مع المشرف","لا يوجد"))</f>
        <v/>
      </c>
      <c r="M12" s="3"/>
    </row>
    <row r="13" spans="1:13" x14ac:dyDescent="0.2">
      <c r="A13" s="3"/>
      <c r="B13" s="3"/>
      <c r="C13" s="3" t="str">
        <f>IFERROR(VLOOKUP(B13,'سجل الموظفين والكفاءة'!B:C,2,FALSE),"")</f>
        <v/>
      </c>
      <c r="D13" s="3" t="str">
        <f>IFERROR(VLOOKUP(B13,'سجل الموظفين والكفاءة'!B:E,4,FALSE),"")</f>
        <v/>
      </c>
      <c r="E13" s="3"/>
      <c r="F13" s="3"/>
      <c r="G13" s="7"/>
      <c r="H13" s="3" t="str">
        <f>IF(G13="","",IF(G13&gt;='الإعدادات والمستهدفات'!B6,"كفء ومستوفى عملياً","غير كفء - يلزم تدريب ميداني إضافي"))</f>
        <v/>
      </c>
      <c r="I13" s="3"/>
      <c r="J13" s="3"/>
      <c r="K13" s="3" t="str">
        <f>IF(G13="","",IF(G13&lt;'الإعدادات والمستهدفات'!B6,I13+14,"—"))</f>
        <v/>
      </c>
      <c r="L13" s="3" t="str">
        <f>IF(G13="","",IF(G13&lt;'الإعدادات والمستهدفات'!B6,"إعادة تدريب ميداني خلال 14 يوم ومراجعة مع المشرف","لا يوجد"))</f>
        <v/>
      </c>
      <c r="M13" s="3"/>
    </row>
    <row r="14" spans="1:13" x14ac:dyDescent="0.2">
      <c r="A14" s="3"/>
      <c r="B14" s="3"/>
      <c r="C14" s="3" t="str">
        <f>IFERROR(VLOOKUP(B14,'سجل الموظفين والكفاءة'!B:C,2,FALSE),"")</f>
        <v/>
      </c>
      <c r="D14" s="3" t="str">
        <f>IFERROR(VLOOKUP(B14,'سجل الموظفين والكفاءة'!B:E,4,FALSE),"")</f>
        <v/>
      </c>
      <c r="E14" s="3"/>
      <c r="F14" s="3"/>
      <c r="G14" s="7"/>
      <c r="H14" s="3" t="str">
        <f>IF(G14="","",IF(G14&gt;='الإعدادات والمستهدفات'!B6,"كفء ومستوفى عملياً","غير كفء - يلزم تدريب ميداني إضافي"))</f>
        <v/>
      </c>
      <c r="I14" s="3"/>
      <c r="J14" s="3"/>
      <c r="K14" s="3" t="str">
        <f>IF(G14="","",IF(G14&lt;'الإعدادات والمستهدفات'!B6,I14+14,"—"))</f>
        <v/>
      </c>
      <c r="L14" s="3" t="str">
        <f>IF(G14="","",IF(G14&lt;'الإعدادات والمستهدفات'!B6,"إعادة تدريب ميداني خلال 14 يوم ومراجعة مع المشرف","لا يوجد"))</f>
        <v/>
      </c>
      <c r="M14" s="3"/>
    </row>
    <row r="15" spans="1:13" x14ac:dyDescent="0.2">
      <c r="A15" s="3"/>
      <c r="B15" s="3"/>
      <c r="C15" s="3" t="str">
        <f>IFERROR(VLOOKUP(B15,'سجل الموظفين والكفاءة'!B:C,2,FALSE),"")</f>
        <v/>
      </c>
      <c r="D15" s="3" t="str">
        <f>IFERROR(VLOOKUP(B15,'سجل الموظفين والكفاءة'!B:E,4,FALSE),"")</f>
        <v/>
      </c>
      <c r="E15" s="3"/>
      <c r="F15" s="3"/>
      <c r="G15" s="7"/>
      <c r="H15" s="3" t="str">
        <f>IF(G15="","",IF(G15&gt;='الإعدادات والمستهدفات'!B6,"كفء ومستوفى عملياً","غير كفء - يلزم تدريب ميداني إضافي"))</f>
        <v/>
      </c>
      <c r="I15" s="3"/>
      <c r="J15" s="3"/>
      <c r="K15" s="3" t="str">
        <f>IF(G15="","",IF(G15&lt;'الإعدادات والمستهدفات'!B6,I15+14,"—"))</f>
        <v/>
      </c>
      <c r="L15" s="3" t="str">
        <f>IF(G15="","",IF(G15&lt;'الإعدادات والمستهدفات'!B6,"إعادة تدريب ميداني خلال 14 يوم ومراجعة مع المشرف","لا يوجد"))</f>
        <v/>
      </c>
      <c r="M15" s="3"/>
    </row>
    <row r="16" spans="1:13" x14ac:dyDescent="0.2">
      <c r="A16" s="3"/>
      <c r="B16" s="3"/>
      <c r="C16" s="3" t="str">
        <f>IFERROR(VLOOKUP(B16,'سجل الموظفين والكفاءة'!B:C,2,FALSE),"")</f>
        <v/>
      </c>
      <c r="D16" s="3" t="str">
        <f>IFERROR(VLOOKUP(B16,'سجل الموظفين والكفاءة'!B:E,4,FALSE),"")</f>
        <v/>
      </c>
      <c r="E16" s="3"/>
      <c r="F16" s="3"/>
      <c r="G16" s="7"/>
      <c r="H16" s="3" t="str">
        <f>IF(G16="","",IF(G16&gt;='الإعدادات والمستهدفات'!B6,"كفء ومستوفى عملياً","غير كفء - يلزم تدريب ميداني إضافي"))</f>
        <v/>
      </c>
      <c r="I16" s="3"/>
      <c r="J16" s="3"/>
      <c r="K16" s="3" t="str">
        <f>IF(G16="","",IF(G16&lt;'الإعدادات والمستهدفات'!B6,I16+14,"—"))</f>
        <v/>
      </c>
      <c r="L16" s="3" t="str">
        <f>IF(G16="","",IF(G16&lt;'الإعدادات والمستهدفات'!B6,"إعادة تدريب ميداني خلال 14 يوم ومراجعة مع المشرف","لا يوجد"))</f>
        <v/>
      </c>
      <c r="M16" s="3"/>
    </row>
    <row r="17" spans="1:13" x14ac:dyDescent="0.2">
      <c r="A17" s="3"/>
      <c r="B17" s="3"/>
      <c r="C17" s="3" t="str">
        <f>IFERROR(VLOOKUP(B17,'سجل الموظفين والكفاءة'!B:C,2,FALSE),"")</f>
        <v/>
      </c>
      <c r="D17" s="3" t="str">
        <f>IFERROR(VLOOKUP(B17,'سجل الموظفين والكفاءة'!B:E,4,FALSE),"")</f>
        <v/>
      </c>
      <c r="E17" s="3"/>
      <c r="F17" s="3"/>
      <c r="G17" s="7"/>
      <c r="H17" s="3" t="str">
        <f>IF(G17="","",IF(G17&gt;='الإعدادات والمستهدفات'!B6,"كفء ومستوفى عملياً","غير كفء - يلزم تدريب ميداني إضافي"))</f>
        <v/>
      </c>
      <c r="I17" s="3"/>
      <c r="J17" s="3"/>
      <c r="K17" s="3" t="str">
        <f>IF(G17="","",IF(G17&lt;'الإعدادات والمستهدفات'!B6,I17+14,"—"))</f>
        <v/>
      </c>
      <c r="L17" s="3" t="str">
        <f>IF(G17="","",IF(G17&lt;'الإعدادات والمستهدفات'!B6,"إعادة تدريب ميداني خلال 14 يوم ومراجعة مع المشرف","لا يوجد"))</f>
        <v/>
      </c>
      <c r="M17" s="3"/>
    </row>
    <row r="18" spans="1:13" x14ac:dyDescent="0.2">
      <c r="A18" s="3"/>
      <c r="B18" s="3"/>
      <c r="C18" s="3" t="str">
        <f>IFERROR(VLOOKUP(B18,'سجل الموظفين والكفاءة'!B:C,2,FALSE),"")</f>
        <v/>
      </c>
      <c r="D18" s="3" t="str">
        <f>IFERROR(VLOOKUP(B18,'سجل الموظفين والكفاءة'!B:E,4,FALSE),"")</f>
        <v/>
      </c>
      <c r="E18" s="3"/>
      <c r="F18" s="3"/>
      <c r="G18" s="7"/>
      <c r="H18" s="3" t="str">
        <f>IF(G18="","",IF(G18&gt;='الإعدادات والمستهدفات'!B6,"كفء ومستوفى عملياً","غير كفء - يلزم تدريب ميداني إضافي"))</f>
        <v/>
      </c>
      <c r="I18" s="3"/>
      <c r="J18" s="3"/>
      <c r="K18" s="3" t="str">
        <f>IF(G18="","",IF(G18&lt;'الإعدادات والمستهدفات'!B6,I18+14,"—"))</f>
        <v/>
      </c>
      <c r="L18" s="3" t="str">
        <f>IF(G18="","",IF(G18&lt;'الإعدادات والمستهدفات'!B6,"إعادة تدريب ميداني خلال 14 يوم ومراجعة مع المشرف","لا يوجد"))</f>
        <v/>
      </c>
      <c r="M18" s="3"/>
    </row>
    <row r="19" spans="1:13" x14ac:dyDescent="0.2">
      <c r="A19" s="3"/>
      <c r="B19" s="3"/>
      <c r="C19" s="3" t="str">
        <f>IFERROR(VLOOKUP(B19,'سجل الموظفين والكفاءة'!B:C,2,FALSE),"")</f>
        <v/>
      </c>
      <c r="D19" s="3" t="str">
        <f>IFERROR(VLOOKUP(B19,'سجل الموظفين والكفاءة'!B:E,4,FALSE),"")</f>
        <v/>
      </c>
      <c r="E19" s="3"/>
      <c r="F19" s="3"/>
      <c r="G19" s="7"/>
      <c r="H19" s="3" t="str">
        <f>IF(G19="","",IF(G19&gt;='الإعدادات والمستهدفات'!B6,"كفء ومستوفى عملياً","غير كفء - يلزم تدريب ميداني إضافي"))</f>
        <v/>
      </c>
      <c r="I19" s="3"/>
      <c r="J19" s="3"/>
      <c r="K19" s="3" t="str">
        <f>IF(G19="","",IF(G19&lt;'الإعدادات والمستهدفات'!B6,I19+14,"—"))</f>
        <v/>
      </c>
      <c r="L19" s="3" t="str">
        <f>IF(G19="","",IF(G19&lt;'الإعدادات والمستهدفات'!B6,"إعادة تدريب ميداني خلال 14 يوم ومراجعة مع المشرف","لا يوجد"))</f>
        <v/>
      </c>
      <c r="M19" s="3"/>
    </row>
    <row r="20" spans="1:13" x14ac:dyDescent="0.2">
      <c r="A20" s="3"/>
      <c r="B20" s="3"/>
      <c r="C20" s="3" t="str">
        <f>IFERROR(VLOOKUP(B20,'سجل الموظفين والكفاءة'!B:C,2,FALSE),"")</f>
        <v/>
      </c>
      <c r="D20" s="3" t="str">
        <f>IFERROR(VLOOKUP(B20,'سجل الموظفين والكفاءة'!B:E,4,FALSE),"")</f>
        <v/>
      </c>
      <c r="E20" s="3"/>
      <c r="F20" s="3"/>
      <c r="G20" s="7"/>
      <c r="H20" s="3" t="str">
        <f>IF(G20="","",IF(G20&gt;='الإعدادات والمستهدفات'!B6,"كفء ومستوفى عملياً","غير كفء - يلزم تدريب ميداني إضافي"))</f>
        <v/>
      </c>
      <c r="I20" s="3"/>
      <c r="J20" s="3"/>
      <c r="K20" s="3" t="str">
        <f>IF(G20="","",IF(G20&lt;'الإعدادات والمستهدفات'!B6,I20+14,"—"))</f>
        <v/>
      </c>
      <c r="L20" s="3" t="str">
        <f>IF(G20="","",IF(G20&lt;'الإعدادات والمستهدفات'!B6,"إعادة تدريب ميداني خلال 14 يوم ومراجعة مع المشرف","لا يوجد"))</f>
        <v/>
      </c>
      <c r="M20" s="3"/>
    </row>
    <row r="21" spans="1:13" x14ac:dyDescent="0.2">
      <c r="A21" s="3"/>
      <c r="B21" s="3"/>
      <c r="C21" s="3" t="str">
        <f>IFERROR(VLOOKUP(B21,'سجل الموظفين والكفاءة'!B:C,2,FALSE),"")</f>
        <v/>
      </c>
      <c r="D21" s="3" t="str">
        <f>IFERROR(VLOOKUP(B21,'سجل الموظفين والكفاءة'!B:E,4,FALSE),"")</f>
        <v/>
      </c>
      <c r="E21" s="3"/>
      <c r="F21" s="3"/>
      <c r="G21" s="7"/>
      <c r="H21" s="3" t="str">
        <f>IF(G21="","",IF(G21&gt;='الإعدادات والمستهدفات'!B6,"كفء ومستوفى عملياً","غير كفء - يلزم تدريب ميداني إضافي"))</f>
        <v/>
      </c>
      <c r="I21" s="3"/>
      <c r="J21" s="3"/>
      <c r="K21" s="3" t="str">
        <f>IF(G21="","",IF(G21&lt;'الإعدادات والمستهدفات'!B6,I21+14,"—"))</f>
        <v/>
      </c>
      <c r="L21" s="3" t="str">
        <f>IF(G21="","",IF(G21&lt;'الإعدادات والمستهدفات'!B6,"إعادة تدريب ميداني خلال 14 يوم ومراجعة مع المشرف","لا يوجد"))</f>
        <v/>
      </c>
      <c r="M21" s="3"/>
    </row>
    <row r="22" spans="1:13" x14ac:dyDescent="0.2">
      <c r="A22" s="3"/>
      <c r="B22" s="3"/>
      <c r="C22" s="3" t="str">
        <f>IFERROR(VLOOKUP(B22,'سجل الموظفين والكفاءة'!B:C,2,FALSE),"")</f>
        <v/>
      </c>
      <c r="D22" s="3" t="str">
        <f>IFERROR(VLOOKUP(B22,'سجل الموظفين والكفاءة'!B:E,4,FALSE),"")</f>
        <v/>
      </c>
      <c r="E22" s="3"/>
      <c r="F22" s="3"/>
      <c r="G22" s="7"/>
      <c r="H22" s="3" t="str">
        <f>IF(G22="","",IF(G22&gt;='الإعدادات والمستهدفات'!B6,"كفء ومستوفى عملياً","غير كفء - يلزم تدريب ميداني إضافي"))</f>
        <v/>
      </c>
      <c r="I22" s="3"/>
      <c r="J22" s="3"/>
      <c r="K22" s="3" t="str">
        <f>IF(G22="","",IF(G22&lt;'الإعدادات والمستهدفات'!B6,I22+14,"—"))</f>
        <v/>
      </c>
      <c r="L22" s="3" t="str">
        <f>IF(G22="","",IF(G22&lt;'الإعدادات والمستهدفات'!B6,"إعادة تدريب ميداني خلال 14 يوم ومراجعة مع المشرف","لا يوجد"))</f>
        <v/>
      </c>
      <c r="M22" s="3"/>
    </row>
    <row r="23" spans="1:13" x14ac:dyDescent="0.2">
      <c r="A23" s="3"/>
      <c r="B23" s="3"/>
      <c r="C23" s="3" t="str">
        <f>IFERROR(VLOOKUP(B23,'سجل الموظفين والكفاءة'!B:C,2,FALSE),"")</f>
        <v/>
      </c>
      <c r="D23" s="3" t="str">
        <f>IFERROR(VLOOKUP(B23,'سجل الموظفين والكفاءة'!B:E,4,FALSE),"")</f>
        <v/>
      </c>
      <c r="E23" s="3"/>
      <c r="F23" s="3"/>
      <c r="G23" s="7"/>
      <c r="H23" s="3" t="str">
        <f>IF(G23="","",IF(G23&gt;='الإعدادات والمستهدفات'!B6,"كفء ومستوفى عملياً","غير كفء - يلزم تدريب ميداني إضافي"))</f>
        <v/>
      </c>
      <c r="I23" s="3"/>
      <c r="J23" s="3"/>
      <c r="K23" s="3" t="str">
        <f>IF(G23="","",IF(G23&lt;'الإعدادات والمستهدفات'!B6,I23+14,"—"))</f>
        <v/>
      </c>
      <c r="L23" s="3" t="str">
        <f>IF(G23="","",IF(G23&lt;'الإعدادات والمستهدفات'!B6,"إعادة تدريب ميداني خلال 14 يوم ومراجعة مع المشرف","لا يوجد"))</f>
        <v/>
      </c>
      <c r="M23" s="3"/>
    </row>
    <row r="24" spans="1:13" x14ac:dyDescent="0.2">
      <c r="A24" s="3"/>
      <c r="B24" s="3"/>
      <c r="C24" s="3" t="str">
        <f>IFERROR(VLOOKUP(B24,'سجل الموظفين والكفاءة'!B:C,2,FALSE),"")</f>
        <v/>
      </c>
      <c r="D24" s="3" t="str">
        <f>IFERROR(VLOOKUP(B24,'سجل الموظفين والكفاءة'!B:E,4,FALSE),"")</f>
        <v/>
      </c>
      <c r="E24" s="3"/>
      <c r="F24" s="3"/>
      <c r="G24" s="7"/>
      <c r="H24" s="3" t="str">
        <f>IF(G24="","",IF(G24&gt;='الإعدادات والمستهدفات'!B6,"كفء ومستوفى عملياً","غير كفء - يلزم تدريب ميداني إضافي"))</f>
        <v/>
      </c>
      <c r="I24" s="3"/>
      <c r="J24" s="3"/>
      <c r="K24" s="3" t="str">
        <f>IF(G24="","",IF(G24&lt;'الإعدادات والمستهدفات'!B6,I24+14,"—"))</f>
        <v/>
      </c>
      <c r="L24" s="3" t="str">
        <f>IF(G24="","",IF(G24&lt;'الإعدادات والمستهدفات'!B6,"إعادة تدريب ميداني خلال 14 يوم ومراجعة مع المشرف","لا يوجد"))</f>
        <v/>
      </c>
      <c r="M24" s="3"/>
    </row>
    <row r="25" spans="1:13" x14ac:dyDescent="0.2">
      <c r="A25" s="3"/>
      <c r="B25" s="3"/>
      <c r="C25" s="3" t="str">
        <f>IFERROR(VLOOKUP(B25,'سجل الموظفين والكفاءة'!B:C,2,FALSE),"")</f>
        <v/>
      </c>
      <c r="D25" s="3" t="str">
        <f>IFERROR(VLOOKUP(B25,'سجل الموظفين والكفاءة'!B:E,4,FALSE),"")</f>
        <v/>
      </c>
      <c r="E25" s="3"/>
      <c r="F25" s="3"/>
      <c r="G25" s="7"/>
      <c r="H25" s="3" t="str">
        <f>IF(G25="","",IF(G25&gt;='الإعدادات والمستهدفات'!B6,"كفء ومستوفى عملياً","غير كفء - يلزم تدريب ميداني إضافي"))</f>
        <v/>
      </c>
      <c r="I25" s="3"/>
      <c r="J25" s="3"/>
      <c r="K25" s="3" t="str">
        <f>IF(G25="","",IF(G25&lt;'الإعدادات والمستهدفات'!B6,I25+14,"—"))</f>
        <v/>
      </c>
      <c r="L25" s="3" t="str">
        <f>IF(G25="","",IF(G25&lt;'الإعدادات والمستهدفات'!B6,"إعادة تدريب ميداني خلال 14 يوم ومراجعة مع المشرف","لا يوجد"))</f>
        <v/>
      </c>
      <c r="M25" s="3"/>
    </row>
    <row r="26" spans="1:13" x14ac:dyDescent="0.2">
      <c r="A26" s="3"/>
      <c r="B26" s="3"/>
      <c r="C26" s="3" t="str">
        <f>IFERROR(VLOOKUP(B26,'سجل الموظفين والكفاءة'!B:C,2,FALSE),"")</f>
        <v/>
      </c>
      <c r="D26" s="3" t="str">
        <f>IFERROR(VLOOKUP(B26,'سجل الموظفين والكفاءة'!B:E,4,FALSE),"")</f>
        <v/>
      </c>
      <c r="E26" s="3"/>
      <c r="F26" s="3"/>
      <c r="G26" s="7"/>
      <c r="H26" s="3" t="str">
        <f>IF(G26="","",IF(G26&gt;='الإعدادات والمستهدفات'!B6,"كفء ومستوفى عملياً","غير كفء - يلزم تدريب ميداني إضافي"))</f>
        <v/>
      </c>
      <c r="I26" s="3"/>
      <c r="J26" s="3"/>
      <c r="K26" s="3" t="str">
        <f>IF(G26="","",IF(G26&lt;'الإعدادات والمستهدفات'!B6,I26+14,"—"))</f>
        <v/>
      </c>
      <c r="L26" s="3" t="str">
        <f>IF(G26="","",IF(G26&lt;'الإعدادات والمستهدفات'!B6,"إعادة تدريب ميداني خلال 14 يوم ومراجعة مع المشرف","لا يوجد"))</f>
        <v/>
      </c>
      <c r="M26" s="3"/>
    </row>
    <row r="27" spans="1:13" x14ac:dyDescent="0.2">
      <c r="A27" s="3"/>
      <c r="B27" s="3"/>
      <c r="C27" s="3" t="str">
        <f>IFERROR(VLOOKUP(B27,'سجل الموظفين والكفاءة'!B:C,2,FALSE),"")</f>
        <v/>
      </c>
      <c r="D27" s="3" t="str">
        <f>IFERROR(VLOOKUP(B27,'سجل الموظفين والكفاءة'!B:E,4,FALSE),"")</f>
        <v/>
      </c>
      <c r="E27" s="3"/>
      <c r="F27" s="3"/>
      <c r="G27" s="7"/>
      <c r="H27" s="3" t="str">
        <f>IF(G27="","",IF(G27&gt;='الإعدادات والمستهدفات'!B6,"كفء ومستوفى عملياً","غير كفء - يلزم تدريب ميداني إضافي"))</f>
        <v/>
      </c>
      <c r="I27" s="3"/>
      <c r="J27" s="3"/>
      <c r="K27" s="3" t="str">
        <f>IF(G27="","",IF(G27&lt;'الإعدادات والمستهدفات'!B6,I27+14,"—"))</f>
        <v/>
      </c>
      <c r="L27" s="3" t="str">
        <f>IF(G27="","",IF(G27&lt;'الإعدادات والمستهدفات'!B6,"إعادة تدريب ميداني خلال 14 يوم ومراجعة مع المشرف","لا يوجد"))</f>
        <v/>
      </c>
      <c r="M27" s="3"/>
    </row>
    <row r="28" spans="1:13" x14ac:dyDescent="0.2">
      <c r="A28" s="3"/>
      <c r="B28" s="3"/>
      <c r="C28" s="3" t="str">
        <f>IFERROR(VLOOKUP(B28,'سجل الموظفين والكفاءة'!B:C,2,FALSE),"")</f>
        <v/>
      </c>
      <c r="D28" s="3" t="str">
        <f>IFERROR(VLOOKUP(B28,'سجل الموظفين والكفاءة'!B:E,4,FALSE),"")</f>
        <v/>
      </c>
      <c r="E28" s="3"/>
      <c r="F28" s="3"/>
      <c r="G28" s="7"/>
      <c r="H28" s="3" t="str">
        <f>IF(G28="","",IF(G28&gt;='الإعدادات والمستهدفات'!B6,"كفء ومستوفى عملياً","غير كفء - يلزم تدريب ميداني إضافي"))</f>
        <v/>
      </c>
      <c r="I28" s="3"/>
      <c r="J28" s="3"/>
      <c r="K28" s="3" t="str">
        <f>IF(G28="","",IF(G28&lt;'الإعدادات والمستهدفات'!B6,I28+14,"—"))</f>
        <v/>
      </c>
      <c r="L28" s="3" t="str">
        <f>IF(G28="","",IF(G28&lt;'الإعدادات والمستهدفات'!B6,"إعادة تدريب ميداني خلال 14 يوم ومراجعة مع المشرف","لا يوجد"))</f>
        <v/>
      </c>
      <c r="M28" s="3"/>
    </row>
    <row r="29" spans="1:13" x14ac:dyDescent="0.2">
      <c r="A29" s="3"/>
      <c r="B29" s="3"/>
      <c r="C29" s="3" t="str">
        <f>IFERROR(VLOOKUP(B29,'سجل الموظفين والكفاءة'!B:C,2,FALSE),"")</f>
        <v/>
      </c>
      <c r="D29" s="3" t="str">
        <f>IFERROR(VLOOKUP(B29,'سجل الموظفين والكفاءة'!B:E,4,FALSE),"")</f>
        <v/>
      </c>
      <c r="E29" s="3"/>
      <c r="F29" s="3"/>
      <c r="G29" s="7"/>
      <c r="H29" s="3" t="str">
        <f>IF(G29="","",IF(G29&gt;='الإعدادات والمستهدفات'!B6,"كفء ومستوفى عملياً","غير كفء - يلزم تدريب ميداني إضافي"))</f>
        <v/>
      </c>
      <c r="I29" s="3"/>
      <c r="J29" s="3"/>
      <c r="K29" s="3" t="str">
        <f>IF(G29="","",IF(G29&lt;'الإعدادات والمستهدفات'!B6,I29+14,"—"))</f>
        <v/>
      </c>
      <c r="L29" s="3" t="str">
        <f>IF(G29="","",IF(G29&lt;'الإعدادات والمستهدفات'!B6,"إعادة تدريب ميداني خلال 14 يوم ومراجعة مع المشرف","لا يوجد"))</f>
        <v/>
      </c>
      <c r="M29" s="3"/>
    </row>
    <row r="30" spans="1:13" x14ac:dyDescent="0.2">
      <c r="A30" s="3"/>
      <c r="B30" s="3"/>
      <c r="C30" s="3" t="str">
        <f>IFERROR(VLOOKUP(B30,'سجل الموظفين والكفاءة'!B:C,2,FALSE),"")</f>
        <v/>
      </c>
      <c r="D30" s="3" t="str">
        <f>IFERROR(VLOOKUP(B30,'سجل الموظفين والكفاءة'!B:E,4,FALSE),"")</f>
        <v/>
      </c>
      <c r="E30" s="3"/>
      <c r="F30" s="3"/>
      <c r="G30" s="7"/>
      <c r="H30" s="3" t="str">
        <f>IF(G30="","",IF(G30&gt;='الإعدادات والمستهدفات'!B6,"كفء ومستوفى عملياً","غير كفء - يلزم تدريب ميداني إضافي"))</f>
        <v/>
      </c>
      <c r="I30" s="3"/>
      <c r="J30" s="3"/>
      <c r="K30" s="3" t="str">
        <f>IF(G30="","",IF(G30&lt;'الإعدادات والمستهدفات'!B6,I30+14,"—"))</f>
        <v/>
      </c>
      <c r="L30" s="3" t="str">
        <f>IF(G30="","",IF(G30&lt;'الإعدادات والمستهدفات'!B6,"إعادة تدريب ميداني خلال 14 يوم ومراجعة مع المشرف","لا يوجد"))</f>
        <v/>
      </c>
      <c r="M30" s="3"/>
    </row>
    <row r="31" spans="1:13" x14ac:dyDescent="0.2">
      <c r="A31" s="3"/>
      <c r="B31" s="3"/>
      <c r="C31" s="3" t="str">
        <f>IFERROR(VLOOKUP(B31,'سجل الموظفين والكفاءة'!B:C,2,FALSE),"")</f>
        <v/>
      </c>
      <c r="D31" s="3" t="str">
        <f>IFERROR(VLOOKUP(B31,'سجل الموظفين والكفاءة'!B:E,4,FALSE),"")</f>
        <v/>
      </c>
      <c r="E31" s="3"/>
      <c r="F31" s="3"/>
      <c r="G31" s="7"/>
      <c r="H31" s="3" t="str">
        <f>IF(G31="","",IF(G31&gt;='الإعدادات والمستهدفات'!B6,"كفء ومستوفى عملياً","غير كفء - يلزم تدريب ميداني إضافي"))</f>
        <v/>
      </c>
      <c r="I31" s="3"/>
      <c r="J31" s="3"/>
      <c r="K31" s="3" t="str">
        <f>IF(G31="","",IF(G31&lt;'الإعدادات والمستهدفات'!B6,I31+14,"—"))</f>
        <v/>
      </c>
      <c r="L31" s="3" t="str">
        <f>IF(G31="","",IF(G31&lt;'الإعدادات والمستهدفات'!B6,"إعادة تدريب ميداني خلال 14 يوم ومراجعة مع المشرف","لا يوجد"))</f>
        <v/>
      </c>
      <c r="M31" s="3"/>
    </row>
    <row r="32" spans="1:13" x14ac:dyDescent="0.2">
      <c r="A32" s="3"/>
      <c r="B32" s="3"/>
      <c r="C32" s="3" t="str">
        <f>IFERROR(VLOOKUP(B32,'سجل الموظفين والكفاءة'!B:C,2,FALSE),"")</f>
        <v/>
      </c>
      <c r="D32" s="3" t="str">
        <f>IFERROR(VLOOKUP(B32,'سجل الموظفين والكفاءة'!B:E,4,FALSE),"")</f>
        <v/>
      </c>
      <c r="E32" s="3"/>
      <c r="F32" s="3"/>
      <c r="G32" s="7"/>
      <c r="H32" s="3" t="str">
        <f>IF(G32="","",IF(G32&gt;='الإعدادات والمستهدفات'!B6,"كفء ومستوفى عملياً","غير كفء - يلزم تدريب ميداني إضافي"))</f>
        <v/>
      </c>
      <c r="I32" s="3"/>
      <c r="J32" s="3"/>
      <c r="K32" s="3" t="str">
        <f>IF(G32="","",IF(G32&lt;'الإعدادات والمستهدفات'!B6,I32+14,"—"))</f>
        <v/>
      </c>
      <c r="L32" s="3" t="str">
        <f>IF(G32="","",IF(G32&lt;'الإعدادات والمستهدفات'!B6,"إعادة تدريب ميداني خلال 14 يوم ومراجعة مع المشرف","لا يوجد"))</f>
        <v/>
      </c>
      <c r="M32" s="3"/>
    </row>
    <row r="33" spans="1:13" x14ac:dyDescent="0.2">
      <c r="A33" s="3"/>
      <c r="B33" s="3"/>
      <c r="C33" s="3" t="str">
        <f>IFERROR(VLOOKUP(B33,'سجل الموظفين والكفاءة'!B:C,2,FALSE),"")</f>
        <v/>
      </c>
      <c r="D33" s="3" t="str">
        <f>IFERROR(VLOOKUP(B33,'سجل الموظفين والكفاءة'!B:E,4,FALSE),"")</f>
        <v/>
      </c>
      <c r="E33" s="3"/>
      <c r="F33" s="3"/>
      <c r="G33" s="7"/>
      <c r="H33" s="3" t="str">
        <f>IF(G33="","",IF(G33&gt;='الإعدادات والمستهدفات'!B6,"كفء ومستوفى عملياً","غير كفء - يلزم تدريب ميداني إضافي"))</f>
        <v/>
      </c>
      <c r="I33" s="3"/>
      <c r="J33" s="3"/>
      <c r="K33" s="3" t="str">
        <f>IF(G33="","",IF(G33&lt;'الإعدادات والمستهدفات'!B6,I33+14,"—"))</f>
        <v/>
      </c>
      <c r="L33" s="3" t="str">
        <f>IF(G33="","",IF(G33&lt;'الإعدادات والمستهدفات'!B6,"إعادة تدريب ميداني خلال 14 يوم ومراجعة مع المشرف","لا يوجد"))</f>
        <v/>
      </c>
      <c r="M33" s="3"/>
    </row>
    <row r="34" spans="1:13" x14ac:dyDescent="0.2">
      <c r="A34" s="3"/>
      <c r="B34" s="3"/>
      <c r="C34" s="3" t="str">
        <f>IFERROR(VLOOKUP(B34,'سجل الموظفين والكفاءة'!B:C,2,FALSE),"")</f>
        <v/>
      </c>
      <c r="D34" s="3" t="str">
        <f>IFERROR(VLOOKUP(B34,'سجل الموظفين والكفاءة'!B:E,4,FALSE),"")</f>
        <v/>
      </c>
      <c r="E34" s="3"/>
      <c r="F34" s="3"/>
      <c r="G34" s="7"/>
      <c r="H34" s="3" t="str">
        <f>IF(G34="","",IF(G34&gt;='الإعدادات والمستهدفات'!B6,"كفء ومستوفى عملياً","غير كفء - يلزم تدريب ميداني إضافي"))</f>
        <v/>
      </c>
      <c r="I34" s="3"/>
      <c r="J34" s="3"/>
      <c r="K34" s="3" t="str">
        <f>IF(G34="","",IF(G34&lt;'الإعدادات والمستهدفات'!B6,I34+14,"—"))</f>
        <v/>
      </c>
      <c r="L34" s="3" t="str">
        <f>IF(G34="","",IF(G34&lt;'الإعدادات والمستهدفات'!B6,"إعادة تدريب ميداني خلال 14 يوم ومراجعة مع المشرف","لا يوجد"))</f>
        <v/>
      </c>
      <c r="M34" s="3"/>
    </row>
    <row r="35" spans="1:13" x14ac:dyDescent="0.2">
      <c r="A35" s="3"/>
      <c r="B35" s="3"/>
      <c r="C35" s="3" t="str">
        <f>IFERROR(VLOOKUP(B35,'سجل الموظفين والكفاءة'!B:C,2,FALSE),"")</f>
        <v/>
      </c>
      <c r="D35" s="3" t="str">
        <f>IFERROR(VLOOKUP(B35,'سجل الموظفين والكفاءة'!B:E,4,FALSE),"")</f>
        <v/>
      </c>
      <c r="E35" s="3"/>
      <c r="F35" s="3"/>
      <c r="G35" s="7"/>
      <c r="H35" s="3" t="str">
        <f>IF(G35="","",IF(G35&gt;='الإعدادات والمستهدفات'!B6,"كفء ومستوفى عملياً","غير كفء - يلزم تدريب ميداني إضافي"))</f>
        <v/>
      </c>
      <c r="I35" s="3"/>
      <c r="J35" s="3"/>
      <c r="K35" s="3" t="str">
        <f>IF(G35="","",IF(G35&lt;'الإعدادات والمستهدفات'!B6,I35+14,"—"))</f>
        <v/>
      </c>
      <c r="L35" s="3" t="str">
        <f>IF(G35="","",IF(G35&lt;'الإعدادات والمستهدفات'!B6,"إعادة تدريب ميداني خلال 14 يوم ومراجعة مع المشرف","لا يوجد"))</f>
        <v/>
      </c>
      <c r="M35" s="3"/>
    </row>
    <row r="36" spans="1:13" x14ac:dyDescent="0.2">
      <c r="A36" s="3"/>
      <c r="B36" s="3"/>
      <c r="C36" s="3" t="str">
        <f>IFERROR(VLOOKUP(B36,'سجل الموظفين والكفاءة'!B:C,2,FALSE),"")</f>
        <v/>
      </c>
      <c r="D36" s="3" t="str">
        <f>IFERROR(VLOOKUP(B36,'سجل الموظفين والكفاءة'!B:E,4,FALSE),"")</f>
        <v/>
      </c>
      <c r="E36" s="3"/>
      <c r="F36" s="3"/>
      <c r="G36" s="7"/>
      <c r="H36" s="3" t="str">
        <f>IF(G36="","",IF(G36&gt;='الإعدادات والمستهدفات'!B6,"كفء ومستوفى عملياً","غير كفء - يلزم تدريب ميداني إضافي"))</f>
        <v/>
      </c>
      <c r="I36" s="3"/>
      <c r="J36" s="3"/>
      <c r="K36" s="3" t="str">
        <f>IF(G36="","",IF(G36&lt;'الإعدادات والمستهدفات'!B6,I36+14,"—"))</f>
        <v/>
      </c>
      <c r="L36" s="3" t="str">
        <f>IF(G36="","",IF(G36&lt;'الإعدادات والمستهدفات'!B6,"إعادة تدريب ميداني خلال 14 يوم ومراجعة مع المشرف","لا يوجد"))</f>
        <v/>
      </c>
      <c r="M36" s="3"/>
    </row>
    <row r="37" spans="1:13" x14ac:dyDescent="0.2">
      <c r="A37" s="3"/>
      <c r="B37" s="3"/>
      <c r="C37" s="3" t="str">
        <f>IFERROR(VLOOKUP(B37,'سجل الموظفين والكفاءة'!B:C,2,FALSE),"")</f>
        <v/>
      </c>
      <c r="D37" s="3" t="str">
        <f>IFERROR(VLOOKUP(B37,'سجل الموظفين والكفاءة'!B:E,4,FALSE),"")</f>
        <v/>
      </c>
      <c r="E37" s="3"/>
      <c r="F37" s="3"/>
      <c r="G37" s="7"/>
      <c r="H37" s="3" t="str">
        <f>IF(G37="","",IF(G37&gt;='الإعدادات والمستهدفات'!B6,"كفء ومستوفى عملياً","غير كفء - يلزم تدريب ميداني إضافي"))</f>
        <v/>
      </c>
      <c r="I37" s="3"/>
      <c r="J37" s="3"/>
      <c r="K37" s="3" t="str">
        <f>IF(G37="","",IF(G37&lt;'الإعدادات والمستهدفات'!B6,I37+14,"—"))</f>
        <v/>
      </c>
      <c r="L37" s="3" t="str">
        <f>IF(G37="","",IF(G37&lt;'الإعدادات والمستهدفات'!B6,"إعادة تدريب ميداني خلال 14 يوم ومراجعة مع المشرف","لا يوجد"))</f>
        <v/>
      </c>
      <c r="M37" s="3"/>
    </row>
    <row r="38" spans="1:13" x14ac:dyDescent="0.2">
      <c r="A38" s="3"/>
      <c r="B38" s="3"/>
      <c r="C38" s="3" t="str">
        <f>IFERROR(VLOOKUP(B38,'سجل الموظفين والكفاءة'!B:C,2,FALSE),"")</f>
        <v/>
      </c>
      <c r="D38" s="3" t="str">
        <f>IFERROR(VLOOKUP(B38,'سجل الموظفين والكفاءة'!B:E,4,FALSE),"")</f>
        <v/>
      </c>
      <c r="E38" s="3"/>
      <c r="F38" s="3"/>
      <c r="G38" s="7"/>
      <c r="H38" s="3" t="str">
        <f>IF(G38="","",IF(G38&gt;='الإعدادات والمستهدفات'!B6,"كفء ومستوفى عملياً","غير كفء - يلزم تدريب ميداني إضافي"))</f>
        <v/>
      </c>
      <c r="I38" s="3"/>
      <c r="J38" s="3"/>
      <c r="K38" s="3" t="str">
        <f>IF(G38="","",IF(G38&lt;'الإعدادات والمستهدفات'!B6,I38+14,"—"))</f>
        <v/>
      </c>
      <c r="L38" s="3" t="str">
        <f>IF(G38="","",IF(G38&lt;'الإعدادات والمستهدفات'!B6,"إعادة تدريب ميداني خلال 14 يوم ومراجعة مع المشرف","لا يوجد"))</f>
        <v/>
      </c>
      <c r="M38" s="3"/>
    </row>
    <row r="39" spans="1:13" x14ac:dyDescent="0.2">
      <c r="A39" s="3"/>
      <c r="B39" s="3"/>
      <c r="C39" s="3" t="str">
        <f>IFERROR(VLOOKUP(B39,'سجل الموظفين والكفاءة'!B:C,2,FALSE),"")</f>
        <v/>
      </c>
      <c r="D39" s="3" t="str">
        <f>IFERROR(VLOOKUP(B39,'سجل الموظفين والكفاءة'!B:E,4,FALSE),"")</f>
        <v/>
      </c>
      <c r="E39" s="3"/>
      <c r="F39" s="3"/>
      <c r="G39" s="7"/>
      <c r="H39" s="3" t="str">
        <f>IF(G39="","",IF(G39&gt;='الإعدادات والمستهدفات'!B6,"كفء ومستوفى عملياً","غير كفء - يلزم تدريب ميداني إضافي"))</f>
        <v/>
      </c>
      <c r="I39" s="3"/>
      <c r="J39" s="3"/>
      <c r="K39" s="3" t="str">
        <f>IF(G39="","",IF(G39&lt;'الإعدادات والمستهدفات'!B6,I39+14,"—"))</f>
        <v/>
      </c>
      <c r="L39" s="3" t="str">
        <f>IF(G39="","",IF(G39&lt;'الإعدادات والمستهدفات'!B6,"إعادة تدريب ميداني خلال 14 يوم ومراجعة مع المشرف","لا يوجد"))</f>
        <v/>
      </c>
      <c r="M39" s="3"/>
    </row>
    <row r="40" spans="1:13" x14ac:dyDescent="0.2">
      <c r="A40" s="3"/>
      <c r="B40" s="3"/>
      <c r="C40" s="3" t="str">
        <f>IFERROR(VLOOKUP(B40,'سجل الموظفين والكفاءة'!B:C,2,FALSE),"")</f>
        <v/>
      </c>
      <c r="D40" s="3" t="str">
        <f>IFERROR(VLOOKUP(B40,'سجل الموظفين والكفاءة'!B:E,4,FALSE),"")</f>
        <v/>
      </c>
      <c r="E40" s="3"/>
      <c r="F40" s="3"/>
      <c r="G40" s="7"/>
      <c r="H40" s="3" t="str">
        <f>IF(G40="","",IF(G40&gt;='الإعدادات والمستهدفات'!B6,"كفء ومستوفى عملياً","غير كفء - يلزم تدريب ميداني إضافي"))</f>
        <v/>
      </c>
      <c r="I40" s="3"/>
      <c r="J40" s="3"/>
      <c r="K40" s="3" t="str">
        <f>IF(G40="","",IF(G40&lt;'الإعدادات والمستهدفات'!B6,I40+14,"—"))</f>
        <v/>
      </c>
      <c r="L40" s="3" t="str">
        <f>IF(G40="","",IF(G40&lt;'الإعدادات والمستهدفات'!B6,"إعادة تدريب ميداني خلال 14 يوم ومراجعة مع المشرف","لا يوجد"))</f>
        <v/>
      </c>
      <c r="M40" s="3"/>
    </row>
    <row r="41" spans="1:13" x14ac:dyDescent="0.2">
      <c r="A41" s="3"/>
      <c r="B41" s="3"/>
      <c r="C41" s="3" t="str">
        <f>IFERROR(VLOOKUP(B41,'سجل الموظفين والكفاءة'!B:C,2,FALSE),"")</f>
        <v/>
      </c>
      <c r="D41" s="3" t="str">
        <f>IFERROR(VLOOKUP(B41,'سجل الموظفين والكفاءة'!B:E,4,FALSE),"")</f>
        <v/>
      </c>
      <c r="E41" s="3"/>
      <c r="F41" s="3"/>
      <c r="G41" s="7"/>
      <c r="H41" s="3" t="str">
        <f>IF(G41="","",IF(G41&gt;='الإعدادات والمستهدفات'!B6,"كفء ومستوفى عملياً","غير كفء - يلزم تدريب ميداني إضافي"))</f>
        <v/>
      </c>
      <c r="I41" s="3"/>
      <c r="J41" s="3"/>
      <c r="K41" s="3" t="str">
        <f>IF(G41="","",IF(G41&lt;'الإعدادات والمستهدفات'!B6,I41+14,"—"))</f>
        <v/>
      </c>
      <c r="L41" s="3" t="str">
        <f>IF(G41="","",IF(G41&lt;'الإعدادات والمستهدفات'!B6,"إعادة تدريب ميداني خلال 14 يوم ومراجعة مع المشرف","لا يوجد"))</f>
        <v/>
      </c>
      <c r="M41" s="3"/>
    </row>
    <row r="42" spans="1:13" x14ac:dyDescent="0.2">
      <c r="A42" s="3"/>
      <c r="B42" s="3"/>
      <c r="C42" s="3" t="str">
        <f>IFERROR(VLOOKUP(B42,'سجل الموظفين والكفاءة'!B:C,2,FALSE),"")</f>
        <v/>
      </c>
      <c r="D42" s="3" t="str">
        <f>IFERROR(VLOOKUP(B42,'سجل الموظفين والكفاءة'!B:E,4,FALSE),"")</f>
        <v/>
      </c>
      <c r="E42" s="3"/>
      <c r="F42" s="3"/>
      <c r="G42" s="7"/>
      <c r="H42" s="3" t="str">
        <f>IF(G42="","",IF(G42&gt;='الإعدادات والمستهدفات'!B6,"كفء ومستوفى عملياً","غير كفء - يلزم تدريب ميداني إضافي"))</f>
        <v/>
      </c>
      <c r="I42" s="3"/>
      <c r="J42" s="3"/>
      <c r="K42" s="3" t="str">
        <f>IF(G42="","",IF(G42&lt;'الإعدادات والمستهدفات'!B6,I42+14,"—"))</f>
        <v/>
      </c>
      <c r="L42" s="3" t="str">
        <f>IF(G42="","",IF(G42&lt;'الإعدادات والمستهدفات'!B6,"إعادة تدريب ميداني خلال 14 يوم ومراجعة مع المشرف","لا يوجد"))</f>
        <v/>
      </c>
      <c r="M42" s="3"/>
    </row>
    <row r="43" spans="1:13" x14ac:dyDescent="0.2">
      <c r="A43" s="3"/>
      <c r="B43" s="3"/>
      <c r="C43" s="3" t="str">
        <f>IFERROR(VLOOKUP(B43,'سجل الموظفين والكفاءة'!B:C,2,FALSE),"")</f>
        <v/>
      </c>
      <c r="D43" s="3" t="str">
        <f>IFERROR(VLOOKUP(B43,'سجل الموظفين والكفاءة'!B:E,4,FALSE),"")</f>
        <v/>
      </c>
      <c r="E43" s="3"/>
      <c r="F43" s="3"/>
      <c r="G43" s="7"/>
      <c r="H43" s="3" t="str">
        <f>IF(G43="","",IF(G43&gt;='الإعدادات والمستهدفات'!B6,"كفء ومستوفى عملياً","غير كفء - يلزم تدريب ميداني إضافي"))</f>
        <v/>
      </c>
      <c r="I43" s="3"/>
      <c r="J43" s="3"/>
      <c r="K43" s="3" t="str">
        <f>IF(G43="","",IF(G43&lt;'الإعدادات والمستهدفات'!B6,I43+14,"—"))</f>
        <v/>
      </c>
      <c r="L43" s="3" t="str">
        <f>IF(G43="","",IF(G43&lt;'الإعدادات والمستهدفات'!B6,"إعادة تدريب ميداني خلال 14 يوم ومراجعة مع المشرف","لا يوجد"))</f>
        <v/>
      </c>
      <c r="M43" s="3"/>
    </row>
    <row r="44" spans="1:13" x14ac:dyDescent="0.2">
      <c r="A44" s="3"/>
      <c r="B44" s="3"/>
      <c r="C44" s="3" t="str">
        <f>IFERROR(VLOOKUP(B44,'سجل الموظفين والكفاءة'!B:C,2,FALSE),"")</f>
        <v/>
      </c>
      <c r="D44" s="3" t="str">
        <f>IFERROR(VLOOKUP(B44,'سجل الموظفين والكفاءة'!B:E,4,FALSE),"")</f>
        <v/>
      </c>
      <c r="E44" s="3"/>
      <c r="F44" s="3"/>
      <c r="G44" s="7"/>
      <c r="H44" s="3" t="str">
        <f>IF(G44="","",IF(G44&gt;='الإعدادات والمستهدفات'!B6,"كفء ومستوفى عملياً","غير كفء - يلزم تدريب ميداني إضافي"))</f>
        <v/>
      </c>
      <c r="I44" s="3"/>
      <c r="J44" s="3"/>
      <c r="K44" s="3" t="str">
        <f>IF(G44="","",IF(G44&lt;'الإعدادات والمستهدفات'!B6,I44+14,"—"))</f>
        <v/>
      </c>
      <c r="L44" s="3" t="str">
        <f>IF(G44="","",IF(G44&lt;'الإعدادات والمستهدفات'!B6,"إعادة تدريب ميداني خلال 14 يوم ومراجعة مع المشرف","لا يوجد"))</f>
        <v/>
      </c>
      <c r="M44" s="3"/>
    </row>
    <row r="45" spans="1:13" x14ac:dyDescent="0.2">
      <c r="A45" s="3"/>
      <c r="B45" s="3"/>
      <c r="C45" s="3" t="str">
        <f>IFERROR(VLOOKUP(B45,'سجل الموظفين والكفاءة'!B:C,2,FALSE),"")</f>
        <v/>
      </c>
      <c r="D45" s="3" t="str">
        <f>IFERROR(VLOOKUP(B45,'سجل الموظفين والكفاءة'!B:E,4,FALSE),"")</f>
        <v/>
      </c>
      <c r="E45" s="3"/>
      <c r="F45" s="3"/>
      <c r="G45" s="7"/>
      <c r="H45" s="3" t="str">
        <f>IF(G45="","",IF(G45&gt;='الإعدادات والمستهدفات'!B6,"كفء ومستوفى عملياً","غير كفء - يلزم تدريب ميداني إضافي"))</f>
        <v/>
      </c>
      <c r="I45" s="3"/>
      <c r="J45" s="3"/>
      <c r="K45" s="3" t="str">
        <f>IF(G45="","",IF(G45&lt;'الإعدادات والمستهدفات'!B6,I45+14,"—"))</f>
        <v/>
      </c>
      <c r="L45" s="3" t="str">
        <f>IF(G45="","",IF(G45&lt;'الإعدادات والمستهدفات'!B6,"إعادة تدريب ميداني خلال 14 يوم ومراجعة مع المشرف","لا يوجد"))</f>
        <v/>
      </c>
      <c r="M45" s="3"/>
    </row>
    <row r="46" spans="1:13" x14ac:dyDescent="0.2">
      <c r="A46" s="3"/>
      <c r="B46" s="3"/>
      <c r="C46" s="3" t="str">
        <f>IFERROR(VLOOKUP(B46,'سجل الموظفين والكفاءة'!B:C,2,FALSE),"")</f>
        <v/>
      </c>
      <c r="D46" s="3" t="str">
        <f>IFERROR(VLOOKUP(B46,'سجل الموظفين والكفاءة'!B:E,4,FALSE),"")</f>
        <v/>
      </c>
      <c r="E46" s="3"/>
      <c r="F46" s="3"/>
      <c r="G46" s="7"/>
      <c r="H46" s="3" t="str">
        <f>IF(G46="","",IF(G46&gt;='الإعدادات والمستهدفات'!B6,"كفء ومستوفى عملياً","غير كفء - يلزم تدريب ميداني إضافي"))</f>
        <v/>
      </c>
      <c r="I46" s="3"/>
      <c r="J46" s="3"/>
      <c r="K46" s="3" t="str">
        <f>IF(G46="","",IF(G46&lt;'الإعدادات والمستهدفات'!B6,I46+14,"—"))</f>
        <v/>
      </c>
      <c r="L46" s="3" t="str">
        <f>IF(G46="","",IF(G46&lt;'الإعدادات والمستهدفات'!B6,"إعادة تدريب ميداني خلال 14 يوم ومراجعة مع المشرف","لا يوجد"))</f>
        <v/>
      </c>
      <c r="M46" s="3"/>
    </row>
    <row r="47" spans="1:13" x14ac:dyDescent="0.2">
      <c r="A47" s="3"/>
      <c r="B47" s="3"/>
      <c r="C47" s="3" t="str">
        <f>IFERROR(VLOOKUP(B47,'سجل الموظفين والكفاءة'!B:C,2,FALSE),"")</f>
        <v/>
      </c>
      <c r="D47" s="3" t="str">
        <f>IFERROR(VLOOKUP(B47,'سجل الموظفين والكفاءة'!B:E,4,FALSE),"")</f>
        <v/>
      </c>
      <c r="E47" s="3"/>
      <c r="F47" s="3"/>
      <c r="G47" s="7"/>
      <c r="H47" s="3" t="str">
        <f>IF(G47="","",IF(G47&gt;='الإعدادات والمستهدفات'!B6,"كفء ومستوفى عملياً","غير كفء - يلزم تدريب ميداني إضافي"))</f>
        <v/>
      </c>
      <c r="I47" s="3"/>
      <c r="J47" s="3"/>
      <c r="K47" s="3" t="str">
        <f>IF(G47="","",IF(G47&lt;'الإعدادات والمستهدفات'!B6,I47+14,"—"))</f>
        <v/>
      </c>
      <c r="L47" s="3" t="str">
        <f>IF(G47="","",IF(G47&lt;'الإعدادات والمستهدفات'!B6,"إعادة تدريب ميداني خلال 14 يوم ومراجعة مع المشرف","لا يوجد"))</f>
        <v/>
      </c>
      <c r="M47" s="3"/>
    </row>
    <row r="48" spans="1:13" x14ac:dyDescent="0.2">
      <c r="A48" s="3"/>
      <c r="B48" s="3"/>
      <c r="C48" s="3" t="str">
        <f>IFERROR(VLOOKUP(B48,'سجل الموظفين والكفاءة'!B:C,2,FALSE),"")</f>
        <v/>
      </c>
      <c r="D48" s="3" t="str">
        <f>IFERROR(VLOOKUP(B48,'سجل الموظفين والكفاءة'!B:E,4,FALSE),"")</f>
        <v/>
      </c>
      <c r="E48" s="3"/>
      <c r="F48" s="3"/>
      <c r="G48" s="7"/>
      <c r="H48" s="3" t="str">
        <f>IF(G48="","",IF(G48&gt;='الإعدادات والمستهدفات'!B6,"كفء ومستوفى عملياً","غير كفء - يلزم تدريب ميداني إضافي"))</f>
        <v/>
      </c>
      <c r="I48" s="3"/>
      <c r="J48" s="3"/>
      <c r="K48" s="3" t="str">
        <f>IF(G48="","",IF(G48&lt;'الإعدادات والمستهدفات'!B6,I48+14,"—"))</f>
        <v/>
      </c>
      <c r="L48" s="3" t="str">
        <f>IF(G48="","",IF(G48&lt;'الإعدادات والمستهدفات'!B6,"إعادة تدريب ميداني خلال 14 يوم ومراجعة مع المشرف","لا يوجد"))</f>
        <v/>
      </c>
      <c r="M48" s="3"/>
    </row>
    <row r="49" spans="1:13" x14ac:dyDescent="0.2">
      <c r="A49" s="3"/>
      <c r="B49" s="3"/>
      <c r="C49" s="3" t="str">
        <f>IFERROR(VLOOKUP(B49,'سجل الموظفين والكفاءة'!B:C,2,FALSE),"")</f>
        <v/>
      </c>
      <c r="D49" s="3" t="str">
        <f>IFERROR(VLOOKUP(B49,'سجل الموظفين والكفاءة'!B:E,4,FALSE),"")</f>
        <v/>
      </c>
      <c r="E49" s="3"/>
      <c r="F49" s="3"/>
      <c r="G49" s="7"/>
      <c r="H49" s="3" t="str">
        <f>IF(G49="","",IF(G49&gt;='الإعدادات والمستهدفات'!B6,"كفء ومستوفى عملياً","غير كفء - يلزم تدريب ميداني إضافي"))</f>
        <v/>
      </c>
      <c r="I49" s="3"/>
      <c r="J49" s="3"/>
      <c r="K49" s="3" t="str">
        <f>IF(G49="","",IF(G49&lt;'الإعدادات والمستهدفات'!B6,I49+14,"—"))</f>
        <v/>
      </c>
      <c r="L49" s="3" t="str">
        <f>IF(G49="","",IF(G49&lt;'الإعدادات والمستهدفات'!B6,"إعادة تدريب ميداني خلال 14 يوم ومراجعة مع المشرف","لا يوجد"))</f>
        <v/>
      </c>
      <c r="M49" s="3"/>
    </row>
    <row r="50" spans="1:13" x14ac:dyDescent="0.2">
      <c r="A50" s="3"/>
      <c r="B50" s="3"/>
      <c r="C50" s="3" t="str">
        <f>IFERROR(VLOOKUP(B50,'سجل الموظفين والكفاءة'!B:C,2,FALSE),"")</f>
        <v/>
      </c>
      <c r="D50" s="3" t="str">
        <f>IFERROR(VLOOKUP(B50,'سجل الموظفين والكفاءة'!B:E,4,FALSE),"")</f>
        <v/>
      </c>
      <c r="E50" s="3"/>
      <c r="F50" s="3"/>
      <c r="G50" s="7"/>
      <c r="H50" s="3" t="str">
        <f>IF(G50="","",IF(G50&gt;='الإعدادات والمستهدفات'!B6,"كفء ومستوفى عملياً","غير كفء - يلزم تدريب ميداني إضافي"))</f>
        <v/>
      </c>
      <c r="I50" s="3"/>
      <c r="J50" s="3"/>
      <c r="K50" s="3" t="str">
        <f>IF(G50="","",IF(G50&lt;'الإعدادات والمستهدفات'!B6,I50+14,"—"))</f>
        <v/>
      </c>
      <c r="L50" s="3" t="str">
        <f>IF(G50="","",IF(G50&lt;'الإعدادات والمستهدفات'!B6,"إعادة تدريب ميداني خلال 14 يوم ومراجعة مع المشرف","لا يوجد"))</f>
        <v/>
      </c>
      <c r="M50" s="3"/>
    </row>
    <row r="51" spans="1:13" x14ac:dyDescent="0.2">
      <c r="A51" s="3"/>
      <c r="B51" s="3"/>
      <c r="C51" s="3" t="str">
        <f>IFERROR(VLOOKUP(B51,'سجل الموظفين والكفاءة'!B:C,2,FALSE),"")</f>
        <v/>
      </c>
      <c r="D51" s="3" t="str">
        <f>IFERROR(VLOOKUP(B51,'سجل الموظفين والكفاءة'!B:E,4,FALSE),"")</f>
        <v/>
      </c>
      <c r="E51" s="3"/>
      <c r="F51" s="3"/>
      <c r="G51" s="7"/>
      <c r="H51" s="3" t="str">
        <f>IF(G51="","",IF(G51&gt;='الإعدادات والمستهدفات'!B6,"كفء ومستوفى عملياً","غير كفء - يلزم تدريب ميداني إضافي"))</f>
        <v/>
      </c>
      <c r="I51" s="3"/>
      <c r="J51" s="3"/>
      <c r="K51" s="3" t="str">
        <f>IF(G51="","",IF(G51&lt;'الإعدادات والمستهدفات'!B6,I51+14,"—"))</f>
        <v/>
      </c>
      <c r="L51" s="3" t="str">
        <f>IF(G51="","",IF(G51&lt;'الإعدادات والمستهدفات'!B6,"إعادة تدريب ميداني خلال 14 يوم ومراجعة مع المشرف","لا يوجد"))</f>
        <v/>
      </c>
      <c r="M51" s="3"/>
    </row>
    <row r="52" spans="1:13" x14ac:dyDescent="0.2">
      <c r="A52" s="3"/>
      <c r="B52" s="3"/>
      <c r="C52" s="3" t="str">
        <f>IFERROR(VLOOKUP(B52,'سجل الموظفين والكفاءة'!B:C,2,FALSE),"")</f>
        <v/>
      </c>
      <c r="D52" s="3" t="str">
        <f>IFERROR(VLOOKUP(B52,'سجل الموظفين والكفاءة'!B:E,4,FALSE),"")</f>
        <v/>
      </c>
      <c r="E52" s="3"/>
      <c r="F52" s="3"/>
      <c r="G52" s="7"/>
      <c r="H52" s="3" t="str">
        <f>IF(G52="","",IF(G52&gt;='الإعدادات والمستهدفات'!B6,"كفء ومستوفى عملياً","غير كفء - يلزم تدريب ميداني إضافي"))</f>
        <v/>
      </c>
      <c r="I52" s="3"/>
      <c r="J52" s="3"/>
      <c r="K52" s="3" t="str">
        <f>IF(G52="","",IF(G52&lt;'الإعدادات والمستهدفات'!B6,I52+14,"—"))</f>
        <v/>
      </c>
      <c r="L52" s="3" t="str">
        <f>IF(G52="","",IF(G52&lt;'الإعدادات والمستهدفات'!B6,"إعادة تدريب ميداني خلال 14 يوم ومراجعة مع المشرف","لا يوجد"))</f>
        <v/>
      </c>
      <c r="M52" s="3"/>
    </row>
    <row r="53" spans="1:13" x14ac:dyDescent="0.2">
      <c r="A53" s="3"/>
      <c r="B53" s="3"/>
      <c r="C53" s="3" t="str">
        <f>IFERROR(VLOOKUP(B53,'سجل الموظفين والكفاءة'!B:C,2,FALSE),"")</f>
        <v/>
      </c>
      <c r="D53" s="3" t="str">
        <f>IFERROR(VLOOKUP(B53,'سجل الموظفين والكفاءة'!B:E,4,FALSE),"")</f>
        <v/>
      </c>
      <c r="E53" s="3"/>
      <c r="F53" s="3"/>
      <c r="G53" s="7"/>
      <c r="H53" s="3" t="str">
        <f>IF(G53="","",IF(G53&gt;='الإعدادات والمستهدفات'!B6,"كفء ومستوفى عملياً","غير كفء - يلزم تدريب ميداني إضافي"))</f>
        <v/>
      </c>
      <c r="I53" s="3"/>
      <c r="J53" s="3"/>
      <c r="K53" s="3" t="str">
        <f>IF(G53="","",IF(G53&lt;'الإعدادات والمستهدفات'!B6,I53+14,"—"))</f>
        <v/>
      </c>
      <c r="L53" s="3" t="str">
        <f>IF(G53="","",IF(G53&lt;'الإعدادات والمستهدفات'!B6,"إعادة تدريب ميداني خلال 14 يوم ومراجعة مع المشرف","لا يوجد"))</f>
        <v/>
      </c>
      <c r="M53" s="3"/>
    </row>
    <row r="54" spans="1:13" x14ac:dyDescent="0.2">
      <c r="A54" s="3"/>
      <c r="B54" s="3"/>
      <c r="C54" s="3" t="str">
        <f>IFERROR(VLOOKUP(B54,'سجل الموظفين والكفاءة'!B:C,2,FALSE),"")</f>
        <v/>
      </c>
      <c r="D54" s="3" t="str">
        <f>IFERROR(VLOOKUP(B54,'سجل الموظفين والكفاءة'!B:E,4,FALSE),"")</f>
        <v/>
      </c>
      <c r="E54" s="3"/>
      <c r="F54" s="3"/>
      <c r="G54" s="7"/>
      <c r="H54" s="3" t="str">
        <f>IF(G54="","",IF(G54&gt;='الإعدادات والمستهدفات'!B6,"كفء ومستوفى عملياً","غير كفء - يلزم تدريب ميداني إضافي"))</f>
        <v/>
      </c>
      <c r="I54" s="3"/>
      <c r="J54" s="3"/>
      <c r="K54" s="3" t="str">
        <f>IF(G54="","",IF(G54&lt;'الإعدادات والمستهدفات'!B6,I54+14,"—"))</f>
        <v/>
      </c>
      <c r="L54" s="3" t="str">
        <f>IF(G54="","",IF(G54&lt;'الإعدادات والمستهدفات'!B6,"إعادة تدريب ميداني خلال 14 يوم ومراجعة مع المشرف","لا يوجد"))</f>
        <v/>
      </c>
      <c r="M54" s="3"/>
    </row>
    <row r="55" spans="1:13" x14ac:dyDescent="0.2">
      <c r="A55" s="3"/>
      <c r="B55" s="3"/>
      <c r="C55" s="3" t="str">
        <f>IFERROR(VLOOKUP(B55,'سجل الموظفين والكفاءة'!B:C,2,FALSE),"")</f>
        <v/>
      </c>
      <c r="D55" s="3" t="str">
        <f>IFERROR(VLOOKUP(B55,'سجل الموظفين والكفاءة'!B:E,4,FALSE),"")</f>
        <v/>
      </c>
      <c r="E55" s="3"/>
      <c r="F55" s="3"/>
      <c r="G55" s="7"/>
      <c r="H55" s="3" t="str">
        <f>IF(G55="","",IF(G55&gt;='الإعدادات والمستهدفات'!B6,"كفء ومستوفى عملياً","غير كفء - يلزم تدريب ميداني إضافي"))</f>
        <v/>
      </c>
      <c r="I55" s="3"/>
      <c r="J55" s="3"/>
      <c r="K55" s="3" t="str">
        <f>IF(G55="","",IF(G55&lt;'الإعدادات والمستهدفات'!B6,I55+14,"—"))</f>
        <v/>
      </c>
      <c r="L55" s="3" t="str">
        <f>IF(G55="","",IF(G55&lt;'الإعدادات والمستهدفات'!B6,"إعادة تدريب ميداني خلال 14 يوم ومراجعة مع المشرف","لا يوجد"))</f>
        <v/>
      </c>
      <c r="M55" s="3"/>
    </row>
    <row r="56" spans="1:13" x14ac:dyDescent="0.2">
      <c r="A56" s="3"/>
      <c r="B56" s="3"/>
      <c r="C56" s="3" t="str">
        <f>IFERROR(VLOOKUP(B56,'سجل الموظفين والكفاءة'!B:C,2,FALSE),"")</f>
        <v/>
      </c>
      <c r="D56" s="3" t="str">
        <f>IFERROR(VLOOKUP(B56,'سجل الموظفين والكفاءة'!B:E,4,FALSE),"")</f>
        <v/>
      </c>
      <c r="E56" s="3"/>
      <c r="F56" s="3"/>
      <c r="G56" s="7"/>
      <c r="H56" s="3" t="str">
        <f>IF(G56="","",IF(G56&gt;='الإعدادات والمستهدفات'!B6,"كفء ومستوفى عملياً","غير كفء - يلزم تدريب ميداني إضافي"))</f>
        <v/>
      </c>
      <c r="I56" s="3"/>
      <c r="J56" s="3"/>
      <c r="K56" s="3" t="str">
        <f>IF(G56="","",IF(G56&lt;'الإعدادات والمستهدفات'!B6,I56+14,"—"))</f>
        <v/>
      </c>
      <c r="L56" s="3" t="str">
        <f>IF(G56="","",IF(G56&lt;'الإعدادات والمستهدفات'!B6,"إعادة تدريب ميداني خلال 14 يوم ومراجعة مع المشرف","لا يوجد"))</f>
        <v/>
      </c>
      <c r="M56" s="3"/>
    </row>
    <row r="57" spans="1:13" x14ac:dyDescent="0.2">
      <c r="A57" s="3"/>
      <c r="B57" s="3"/>
      <c r="C57" s="3" t="str">
        <f>IFERROR(VLOOKUP(B57,'سجل الموظفين والكفاءة'!B:C,2,FALSE),"")</f>
        <v/>
      </c>
      <c r="D57" s="3" t="str">
        <f>IFERROR(VLOOKUP(B57,'سجل الموظفين والكفاءة'!B:E,4,FALSE),"")</f>
        <v/>
      </c>
      <c r="E57" s="3"/>
      <c r="F57" s="3"/>
      <c r="G57" s="7"/>
      <c r="H57" s="3" t="str">
        <f>IF(G57="","",IF(G57&gt;='الإعدادات والمستهدفات'!B6,"كفء ومستوفى عملياً","غير كفء - يلزم تدريب ميداني إضافي"))</f>
        <v/>
      </c>
      <c r="I57" s="3"/>
      <c r="J57" s="3"/>
      <c r="K57" s="3" t="str">
        <f>IF(G57="","",IF(G57&lt;'الإعدادات والمستهدفات'!B6,I57+14,"—"))</f>
        <v/>
      </c>
      <c r="L57" s="3" t="str">
        <f>IF(G57="","",IF(G57&lt;'الإعدادات والمستهدفات'!B6,"إعادة تدريب ميداني خلال 14 يوم ومراجعة مع المشرف","لا يوجد"))</f>
        <v/>
      </c>
      <c r="M57" s="3"/>
    </row>
    <row r="58" spans="1:13" x14ac:dyDescent="0.2">
      <c r="A58" s="3"/>
      <c r="B58" s="3"/>
      <c r="C58" s="3" t="str">
        <f>IFERROR(VLOOKUP(B58,'سجل الموظفين والكفاءة'!B:C,2,FALSE),"")</f>
        <v/>
      </c>
      <c r="D58" s="3" t="str">
        <f>IFERROR(VLOOKUP(B58,'سجل الموظفين والكفاءة'!B:E,4,FALSE),"")</f>
        <v/>
      </c>
      <c r="E58" s="3"/>
      <c r="F58" s="3"/>
      <c r="G58" s="7"/>
      <c r="H58" s="3" t="str">
        <f>IF(G58="","",IF(G58&gt;='الإعدادات والمستهدفات'!B6,"كفء ومستوفى عملياً","غير كفء - يلزم تدريب ميداني إضافي"))</f>
        <v/>
      </c>
      <c r="I58" s="3"/>
      <c r="J58" s="3"/>
      <c r="K58" s="3" t="str">
        <f>IF(G58="","",IF(G58&lt;'الإعدادات والمستهدفات'!B6,I58+14,"—"))</f>
        <v/>
      </c>
      <c r="L58" s="3" t="str">
        <f>IF(G58="","",IF(G58&lt;'الإعدادات والمستهدفات'!B6,"إعادة تدريب ميداني خلال 14 يوم ومراجعة مع المشرف","لا يوجد"))</f>
        <v/>
      </c>
      <c r="M58" s="3"/>
    </row>
    <row r="59" spans="1:13" x14ac:dyDescent="0.2">
      <c r="A59" s="3"/>
      <c r="B59" s="3"/>
      <c r="C59" s="3" t="str">
        <f>IFERROR(VLOOKUP(B59,'سجل الموظفين والكفاءة'!B:C,2,FALSE),"")</f>
        <v/>
      </c>
      <c r="D59" s="3" t="str">
        <f>IFERROR(VLOOKUP(B59,'سجل الموظفين والكفاءة'!B:E,4,FALSE),"")</f>
        <v/>
      </c>
      <c r="E59" s="3"/>
      <c r="F59" s="3"/>
      <c r="G59" s="7"/>
      <c r="H59" s="3" t="str">
        <f>IF(G59="","",IF(G59&gt;='الإعدادات والمستهدفات'!B6,"كفء ومستوفى عملياً","غير كفء - يلزم تدريب ميداني إضافي"))</f>
        <v/>
      </c>
      <c r="I59" s="3"/>
      <c r="J59" s="3"/>
      <c r="K59" s="3" t="str">
        <f>IF(G59="","",IF(G59&lt;'الإعدادات والمستهدفات'!B6,I59+14,"—"))</f>
        <v/>
      </c>
      <c r="L59" s="3" t="str">
        <f>IF(G59="","",IF(G59&lt;'الإعدادات والمستهدفات'!B6,"إعادة تدريب ميداني خلال 14 يوم ومراجعة مع المشرف","لا يوجد"))</f>
        <v/>
      </c>
      <c r="M59" s="3"/>
    </row>
    <row r="60" spans="1:13" x14ac:dyDescent="0.2">
      <c r="A60" s="3"/>
      <c r="B60" s="3"/>
      <c r="C60" s="3" t="str">
        <f>IFERROR(VLOOKUP(B60,'سجل الموظفين والكفاءة'!B:C,2,FALSE),"")</f>
        <v/>
      </c>
      <c r="D60" s="3" t="str">
        <f>IFERROR(VLOOKUP(B60,'سجل الموظفين والكفاءة'!B:E,4,FALSE),"")</f>
        <v/>
      </c>
      <c r="E60" s="3"/>
      <c r="F60" s="3"/>
      <c r="G60" s="7"/>
      <c r="H60" s="3" t="str">
        <f>IF(G60="","",IF(G60&gt;='الإعدادات والمستهدفات'!B6,"كفء ومستوفى عملياً","غير كفء - يلزم تدريب ميداني إضافي"))</f>
        <v/>
      </c>
      <c r="I60" s="3"/>
      <c r="J60" s="3"/>
      <c r="K60" s="3" t="str">
        <f>IF(G60="","",IF(G60&lt;'الإعدادات والمستهدفات'!B6,I60+14,"—"))</f>
        <v/>
      </c>
      <c r="L60" s="3" t="str">
        <f>IF(G60="","",IF(G60&lt;'الإعدادات والمستهدفات'!B6,"إعادة تدريب ميداني خلال 14 يوم ومراجعة مع المشرف","لا يوجد"))</f>
        <v/>
      </c>
      <c r="M60" s="3"/>
    </row>
    <row r="61" spans="1:13" x14ac:dyDescent="0.2">
      <c r="A61" s="3"/>
      <c r="B61" s="3"/>
      <c r="C61" s="3" t="str">
        <f>IFERROR(VLOOKUP(B61,'سجل الموظفين والكفاءة'!B:C,2,FALSE),"")</f>
        <v/>
      </c>
      <c r="D61" s="3" t="str">
        <f>IFERROR(VLOOKUP(B61,'سجل الموظفين والكفاءة'!B:E,4,FALSE),"")</f>
        <v/>
      </c>
      <c r="E61" s="3"/>
      <c r="F61" s="3"/>
      <c r="G61" s="7"/>
      <c r="H61" s="3" t="str">
        <f>IF(G61="","",IF(G61&gt;='الإعدادات والمستهدفات'!B6,"كفء ومستوفى عملياً","غير كفء - يلزم تدريب ميداني إضافي"))</f>
        <v/>
      </c>
      <c r="I61" s="3"/>
      <c r="J61" s="3"/>
      <c r="K61" s="3" t="str">
        <f>IF(G61="","",IF(G61&lt;'الإعدادات والمستهدفات'!B6,I61+14,"—"))</f>
        <v/>
      </c>
      <c r="L61" s="3" t="str">
        <f>IF(G61="","",IF(G61&lt;'الإعدادات والمستهدفات'!B6,"إعادة تدريب ميداني خلال 14 يوم ومراجعة مع المشرف","لا يوجد"))</f>
        <v/>
      </c>
      <c r="M61" s="3"/>
    </row>
    <row r="62" spans="1:13" x14ac:dyDescent="0.2">
      <c r="A62" s="3"/>
      <c r="B62" s="3"/>
      <c r="C62" s="3" t="str">
        <f>IFERROR(VLOOKUP(B62,'سجل الموظفين والكفاءة'!B:C,2,FALSE),"")</f>
        <v/>
      </c>
      <c r="D62" s="3" t="str">
        <f>IFERROR(VLOOKUP(B62,'سجل الموظفين والكفاءة'!B:E,4,FALSE),"")</f>
        <v/>
      </c>
      <c r="E62" s="3"/>
      <c r="F62" s="3"/>
      <c r="G62" s="7"/>
      <c r="H62" s="3" t="str">
        <f>IF(G62="","",IF(G62&gt;='الإعدادات والمستهدفات'!B6,"كفء ومستوفى عملياً","غير كفء - يلزم تدريب ميداني إضافي"))</f>
        <v/>
      </c>
      <c r="I62" s="3"/>
      <c r="J62" s="3"/>
      <c r="K62" s="3" t="str">
        <f>IF(G62="","",IF(G62&lt;'الإعدادات والمستهدفات'!B6,I62+14,"—"))</f>
        <v/>
      </c>
      <c r="L62" s="3" t="str">
        <f>IF(G62="","",IF(G62&lt;'الإعدادات والمستهدفات'!B6,"إعادة تدريب ميداني خلال 14 يوم ومراجعة مع المشرف","لا يوجد"))</f>
        <v/>
      </c>
      <c r="M62" s="3"/>
    </row>
    <row r="63" spans="1:13" x14ac:dyDescent="0.2">
      <c r="A63" s="3"/>
      <c r="B63" s="3"/>
      <c r="C63" s="3" t="str">
        <f>IFERROR(VLOOKUP(B63,'سجل الموظفين والكفاءة'!B:C,2,FALSE),"")</f>
        <v/>
      </c>
      <c r="D63" s="3" t="str">
        <f>IFERROR(VLOOKUP(B63,'سجل الموظفين والكفاءة'!B:E,4,FALSE),"")</f>
        <v/>
      </c>
      <c r="E63" s="3"/>
      <c r="F63" s="3"/>
      <c r="G63" s="7"/>
      <c r="H63" s="3" t="str">
        <f>IF(G63="","",IF(G63&gt;='الإعدادات والمستهدفات'!B6,"كفء ومستوفى عملياً","غير كفء - يلزم تدريب ميداني إضافي"))</f>
        <v/>
      </c>
      <c r="I63" s="3"/>
      <c r="J63" s="3"/>
      <c r="K63" s="3" t="str">
        <f>IF(G63="","",IF(G63&lt;'الإعدادات والمستهدفات'!B6,I63+14,"—"))</f>
        <v/>
      </c>
      <c r="L63" s="3" t="str">
        <f>IF(G63="","",IF(G63&lt;'الإعدادات والمستهدفات'!B6,"إعادة تدريب ميداني خلال 14 يوم ومراجعة مع المشرف","لا يوجد"))</f>
        <v/>
      </c>
      <c r="M63" s="3"/>
    </row>
    <row r="64" spans="1:13" x14ac:dyDescent="0.2">
      <c r="A64" s="3"/>
      <c r="B64" s="3"/>
      <c r="C64" s="3" t="str">
        <f>IFERROR(VLOOKUP(B64,'سجل الموظفين والكفاءة'!B:C,2,FALSE),"")</f>
        <v/>
      </c>
      <c r="D64" s="3" t="str">
        <f>IFERROR(VLOOKUP(B64,'سجل الموظفين والكفاءة'!B:E,4,FALSE),"")</f>
        <v/>
      </c>
      <c r="E64" s="3"/>
      <c r="F64" s="3"/>
      <c r="G64" s="7"/>
      <c r="H64" s="3" t="str">
        <f>IF(G64="","",IF(G64&gt;='الإعدادات والمستهدفات'!B6,"كفء ومستوفى عملياً","غير كفء - يلزم تدريب ميداني إضافي"))</f>
        <v/>
      </c>
      <c r="I64" s="3"/>
      <c r="J64" s="3"/>
      <c r="K64" s="3" t="str">
        <f>IF(G64="","",IF(G64&lt;'الإعدادات والمستهدفات'!B6,I64+14,"—"))</f>
        <v/>
      </c>
      <c r="L64" s="3" t="str">
        <f>IF(G64="","",IF(G64&lt;'الإعدادات والمستهدفات'!B6,"إعادة تدريب ميداني خلال 14 يوم ومراجعة مع المشرف","لا يوجد"))</f>
        <v/>
      </c>
      <c r="M64" s="3"/>
    </row>
    <row r="65" spans="1:13" x14ac:dyDescent="0.2">
      <c r="A65" s="3"/>
      <c r="B65" s="3"/>
      <c r="C65" s="3" t="str">
        <f>IFERROR(VLOOKUP(B65,'سجل الموظفين والكفاءة'!B:C,2,FALSE),"")</f>
        <v/>
      </c>
      <c r="D65" s="3" t="str">
        <f>IFERROR(VLOOKUP(B65,'سجل الموظفين والكفاءة'!B:E,4,FALSE),"")</f>
        <v/>
      </c>
      <c r="E65" s="3"/>
      <c r="F65" s="3"/>
      <c r="G65" s="7"/>
      <c r="H65" s="3" t="str">
        <f>IF(G65="","",IF(G65&gt;='الإعدادات والمستهدفات'!B6,"كفء ومستوفى عملياً","غير كفء - يلزم تدريب ميداني إضافي"))</f>
        <v/>
      </c>
      <c r="I65" s="3"/>
      <c r="J65" s="3"/>
      <c r="K65" s="3" t="str">
        <f>IF(G65="","",IF(G65&lt;'الإعدادات والمستهدفات'!B6,I65+14,"—"))</f>
        <v/>
      </c>
      <c r="L65" s="3" t="str">
        <f>IF(G65="","",IF(G65&lt;'الإعدادات والمستهدفات'!B6,"إعادة تدريب ميداني خلال 14 يوم ومراجعة مع المشرف","لا يوجد"))</f>
        <v/>
      </c>
      <c r="M65" s="3"/>
    </row>
    <row r="66" spans="1:13" x14ac:dyDescent="0.2">
      <c r="A66" s="3"/>
      <c r="B66" s="3"/>
      <c r="C66" s="3" t="str">
        <f>IFERROR(VLOOKUP(B66,'سجل الموظفين والكفاءة'!B:C,2,FALSE),"")</f>
        <v/>
      </c>
      <c r="D66" s="3" t="str">
        <f>IFERROR(VLOOKUP(B66,'سجل الموظفين والكفاءة'!B:E,4,FALSE),"")</f>
        <v/>
      </c>
      <c r="E66" s="3"/>
      <c r="F66" s="3"/>
      <c r="G66" s="7"/>
      <c r="H66" s="3" t="str">
        <f>IF(G66="","",IF(G66&gt;='الإعدادات والمستهدفات'!B6,"كفء ومستوفى عملياً","غير كفء - يلزم تدريب ميداني إضافي"))</f>
        <v/>
      </c>
      <c r="I66" s="3"/>
      <c r="J66" s="3"/>
      <c r="K66" s="3" t="str">
        <f>IF(G66="","",IF(G66&lt;'الإعدادات والمستهدفات'!B6,I66+14,"—"))</f>
        <v/>
      </c>
      <c r="L66" s="3" t="str">
        <f>IF(G66="","",IF(G66&lt;'الإعدادات والمستهدفات'!B6,"إعادة تدريب ميداني خلال 14 يوم ومراجعة مع المشرف","لا يوجد"))</f>
        <v/>
      </c>
      <c r="M66" s="3"/>
    </row>
    <row r="67" spans="1:13" x14ac:dyDescent="0.2">
      <c r="A67" s="3"/>
      <c r="B67" s="3"/>
      <c r="C67" s="3" t="str">
        <f>IFERROR(VLOOKUP(B67,'سجل الموظفين والكفاءة'!B:C,2,FALSE),"")</f>
        <v/>
      </c>
      <c r="D67" s="3" t="str">
        <f>IFERROR(VLOOKUP(B67,'سجل الموظفين والكفاءة'!B:E,4,FALSE),"")</f>
        <v/>
      </c>
      <c r="E67" s="3"/>
      <c r="F67" s="3"/>
      <c r="G67" s="7"/>
      <c r="H67" s="3" t="str">
        <f>IF(G67="","",IF(G67&gt;='الإعدادات والمستهدفات'!B6,"كفء ومستوفى عملياً","غير كفء - يلزم تدريب ميداني إضافي"))</f>
        <v/>
      </c>
      <c r="I67" s="3"/>
      <c r="J67" s="3"/>
      <c r="K67" s="3" t="str">
        <f>IF(G67="","",IF(G67&lt;'الإعدادات والمستهدفات'!B6,I67+14,"—"))</f>
        <v/>
      </c>
      <c r="L67" s="3" t="str">
        <f>IF(G67="","",IF(G67&lt;'الإعدادات والمستهدفات'!B6,"إعادة تدريب ميداني خلال 14 يوم ومراجعة مع المشرف","لا يوجد"))</f>
        <v/>
      </c>
      <c r="M67" s="3"/>
    </row>
    <row r="68" spans="1:13" x14ac:dyDescent="0.2">
      <c r="A68" s="3"/>
      <c r="B68" s="3"/>
      <c r="C68" s="3" t="str">
        <f>IFERROR(VLOOKUP(B68,'سجل الموظفين والكفاءة'!B:C,2,FALSE),"")</f>
        <v/>
      </c>
      <c r="D68" s="3" t="str">
        <f>IFERROR(VLOOKUP(B68,'سجل الموظفين والكفاءة'!B:E,4,FALSE),"")</f>
        <v/>
      </c>
      <c r="E68" s="3"/>
      <c r="F68" s="3"/>
      <c r="G68" s="7"/>
      <c r="H68" s="3" t="str">
        <f>IF(G68="","",IF(G68&gt;='الإعدادات والمستهدفات'!B6,"كفء ومستوفى عملياً","غير كفء - يلزم تدريب ميداني إضافي"))</f>
        <v/>
      </c>
      <c r="I68" s="3"/>
      <c r="J68" s="3"/>
      <c r="K68" s="3" t="str">
        <f>IF(G68="","",IF(G68&lt;'الإعدادات والمستهدفات'!B6,I68+14,"—"))</f>
        <v/>
      </c>
      <c r="L68" s="3" t="str">
        <f>IF(G68="","",IF(G68&lt;'الإعدادات والمستهدفات'!B6,"إعادة تدريب ميداني خلال 14 يوم ومراجعة مع المشرف","لا يوجد"))</f>
        <v/>
      </c>
      <c r="M68" s="3"/>
    </row>
    <row r="69" spans="1:13" x14ac:dyDescent="0.2">
      <c r="A69" s="3"/>
      <c r="B69" s="3"/>
      <c r="C69" s="3" t="str">
        <f>IFERROR(VLOOKUP(B69,'سجل الموظفين والكفاءة'!B:C,2,FALSE),"")</f>
        <v/>
      </c>
      <c r="D69" s="3" t="str">
        <f>IFERROR(VLOOKUP(B69,'سجل الموظفين والكفاءة'!B:E,4,FALSE),"")</f>
        <v/>
      </c>
      <c r="E69" s="3"/>
      <c r="F69" s="3"/>
      <c r="G69" s="7"/>
      <c r="H69" s="3" t="str">
        <f>IF(G69="","",IF(G69&gt;='الإعدادات والمستهدفات'!B6,"كفء ومستوفى عملياً","غير كفء - يلزم تدريب ميداني إضافي"))</f>
        <v/>
      </c>
      <c r="I69" s="3"/>
      <c r="J69" s="3"/>
      <c r="K69" s="3" t="str">
        <f>IF(G69="","",IF(G69&lt;'الإعدادات والمستهدفات'!B6,I69+14,"—"))</f>
        <v/>
      </c>
      <c r="L69" s="3" t="str">
        <f>IF(G69="","",IF(G69&lt;'الإعدادات والمستهدفات'!B6,"إعادة تدريب ميداني خلال 14 يوم ومراجعة مع المشرف","لا يوجد"))</f>
        <v/>
      </c>
      <c r="M69" s="3"/>
    </row>
    <row r="70" spans="1:13" x14ac:dyDescent="0.2">
      <c r="A70" s="3"/>
      <c r="B70" s="3"/>
      <c r="C70" s="3" t="str">
        <f>IFERROR(VLOOKUP(B70,'سجل الموظفين والكفاءة'!B:C,2,FALSE),"")</f>
        <v/>
      </c>
      <c r="D70" s="3" t="str">
        <f>IFERROR(VLOOKUP(B70,'سجل الموظفين والكفاءة'!B:E,4,FALSE),"")</f>
        <v/>
      </c>
      <c r="E70" s="3"/>
      <c r="F70" s="3"/>
      <c r="G70" s="7"/>
      <c r="H70" s="3" t="str">
        <f>IF(G70="","",IF(G70&gt;='الإعدادات والمستهدفات'!B6,"كفء ومستوفى عملياً","غير كفء - يلزم تدريب ميداني إضافي"))</f>
        <v/>
      </c>
      <c r="I70" s="3"/>
      <c r="J70" s="3"/>
      <c r="K70" s="3" t="str">
        <f>IF(G70="","",IF(G70&lt;'الإعدادات والمستهدفات'!B6,I70+14,"—"))</f>
        <v/>
      </c>
      <c r="L70" s="3" t="str">
        <f>IF(G70="","",IF(G70&lt;'الإعدادات والمستهدفات'!B6,"إعادة تدريب ميداني خلال 14 يوم ومراجعة مع المشرف","لا يوجد"))</f>
        <v/>
      </c>
      <c r="M70" s="3"/>
    </row>
    <row r="71" spans="1:13" x14ac:dyDescent="0.2">
      <c r="A71" s="3"/>
      <c r="B71" s="3"/>
      <c r="C71" s="3" t="str">
        <f>IFERROR(VLOOKUP(B71,'سجل الموظفين والكفاءة'!B:C,2,FALSE),"")</f>
        <v/>
      </c>
      <c r="D71" s="3" t="str">
        <f>IFERROR(VLOOKUP(B71,'سجل الموظفين والكفاءة'!B:E,4,FALSE),"")</f>
        <v/>
      </c>
      <c r="E71" s="3"/>
      <c r="F71" s="3"/>
      <c r="G71" s="7"/>
      <c r="H71" s="3" t="str">
        <f>IF(G71="","",IF(G71&gt;='الإعدادات والمستهدفات'!B6,"كفء ومستوفى عملياً","غير كفء - يلزم تدريب ميداني إضافي"))</f>
        <v/>
      </c>
      <c r="I71" s="3"/>
      <c r="J71" s="3"/>
      <c r="K71" s="3" t="str">
        <f>IF(G71="","",IF(G71&lt;'الإعدادات والمستهدفات'!B6,I71+14,"—"))</f>
        <v/>
      </c>
      <c r="L71" s="3" t="str">
        <f>IF(G71="","",IF(G71&lt;'الإعدادات والمستهدفات'!B6,"إعادة تدريب ميداني خلال 14 يوم ومراجعة مع المشرف","لا يوجد"))</f>
        <v/>
      </c>
      <c r="M71" s="3"/>
    </row>
    <row r="72" spans="1:13" x14ac:dyDescent="0.2">
      <c r="A72" s="3"/>
      <c r="B72" s="3"/>
      <c r="C72" s="3" t="str">
        <f>IFERROR(VLOOKUP(B72,'سجل الموظفين والكفاءة'!B:C,2,FALSE),"")</f>
        <v/>
      </c>
      <c r="D72" s="3" t="str">
        <f>IFERROR(VLOOKUP(B72,'سجل الموظفين والكفاءة'!B:E,4,FALSE),"")</f>
        <v/>
      </c>
      <c r="E72" s="3"/>
      <c r="F72" s="3"/>
      <c r="G72" s="7"/>
      <c r="H72" s="3" t="str">
        <f>IF(G72="","",IF(G72&gt;='الإعدادات والمستهدفات'!B6,"كفء ومستوفى عملياً","غير كفء - يلزم تدريب ميداني إضافي"))</f>
        <v/>
      </c>
      <c r="I72" s="3"/>
      <c r="J72" s="3"/>
      <c r="K72" s="3" t="str">
        <f>IF(G72="","",IF(G72&lt;'الإعدادات والمستهدفات'!B6,I72+14,"—"))</f>
        <v/>
      </c>
      <c r="L72" s="3" t="str">
        <f>IF(G72="","",IF(G72&lt;'الإعدادات والمستهدفات'!B6,"إعادة تدريب ميداني خلال 14 يوم ومراجعة مع المشرف","لا يوجد"))</f>
        <v/>
      </c>
      <c r="M72" s="3"/>
    </row>
    <row r="73" spans="1:13" x14ac:dyDescent="0.2">
      <c r="A73" s="3"/>
      <c r="B73" s="3"/>
      <c r="C73" s="3" t="str">
        <f>IFERROR(VLOOKUP(B73,'سجل الموظفين والكفاءة'!B:C,2,FALSE),"")</f>
        <v/>
      </c>
      <c r="D73" s="3" t="str">
        <f>IFERROR(VLOOKUP(B73,'سجل الموظفين والكفاءة'!B:E,4,FALSE),"")</f>
        <v/>
      </c>
      <c r="E73" s="3"/>
      <c r="F73" s="3"/>
      <c r="G73" s="7"/>
      <c r="H73" s="3" t="str">
        <f>IF(G73="","",IF(G73&gt;='الإعدادات والمستهدفات'!B6,"كفء ومستوفى عملياً","غير كفء - يلزم تدريب ميداني إضافي"))</f>
        <v/>
      </c>
      <c r="I73" s="3"/>
      <c r="J73" s="3"/>
      <c r="K73" s="3" t="str">
        <f>IF(G73="","",IF(G73&lt;'الإعدادات والمستهدفات'!B6,I73+14,"—"))</f>
        <v/>
      </c>
      <c r="L73" s="3" t="str">
        <f>IF(G73="","",IF(G73&lt;'الإعدادات والمستهدفات'!B6,"إعادة تدريب ميداني خلال 14 يوم ومراجعة مع المشرف","لا يوجد"))</f>
        <v/>
      </c>
      <c r="M73" s="3"/>
    </row>
    <row r="74" spans="1:13" x14ac:dyDescent="0.2">
      <c r="A74" s="3"/>
      <c r="B74" s="3"/>
      <c r="C74" s="3" t="str">
        <f>IFERROR(VLOOKUP(B74,'سجل الموظفين والكفاءة'!B:C,2,FALSE),"")</f>
        <v/>
      </c>
      <c r="D74" s="3" t="str">
        <f>IFERROR(VLOOKUP(B74,'سجل الموظفين والكفاءة'!B:E,4,FALSE),"")</f>
        <v/>
      </c>
      <c r="E74" s="3"/>
      <c r="F74" s="3"/>
      <c r="G74" s="7"/>
      <c r="H74" s="3" t="str">
        <f>IF(G74="","",IF(G74&gt;='الإعدادات والمستهدفات'!B6,"كفء ومستوفى عملياً","غير كفء - يلزم تدريب ميداني إضافي"))</f>
        <v/>
      </c>
      <c r="I74" s="3"/>
      <c r="J74" s="3"/>
      <c r="K74" s="3" t="str">
        <f>IF(G74="","",IF(G74&lt;'الإعدادات والمستهدفات'!B6,I74+14,"—"))</f>
        <v/>
      </c>
      <c r="L74" s="3" t="str">
        <f>IF(G74="","",IF(G74&lt;'الإعدادات والمستهدفات'!B6,"إعادة تدريب ميداني خلال 14 يوم ومراجعة مع المشرف","لا يوجد"))</f>
        <v/>
      </c>
      <c r="M74" s="3"/>
    </row>
    <row r="75" spans="1:13" x14ac:dyDescent="0.2">
      <c r="A75" s="3"/>
      <c r="B75" s="3"/>
      <c r="C75" s="3" t="str">
        <f>IFERROR(VLOOKUP(B75,'سجل الموظفين والكفاءة'!B:C,2,FALSE),"")</f>
        <v/>
      </c>
      <c r="D75" s="3" t="str">
        <f>IFERROR(VLOOKUP(B75,'سجل الموظفين والكفاءة'!B:E,4,FALSE),"")</f>
        <v/>
      </c>
      <c r="E75" s="3"/>
      <c r="F75" s="3"/>
      <c r="G75" s="7"/>
      <c r="H75" s="3" t="str">
        <f>IF(G75="","",IF(G75&gt;='الإعدادات والمستهدفات'!B6,"كفء ومستوفى عملياً","غير كفء - يلزم تدريب ميداني إضافي"))</f>
        <v/>
      </c>
      <c r="I75" s="3"/>
      <c r="J75" s="3"/>
      <c r="K75" s="3" t="str">
        <f>IF(G75="","",IF(G75&lt;'الإعدادات والمستهدفات'!B6,I75+14,"—"))</f>
        <v/>
      </c>
      <c r="L75" s="3" t="str">
        <f>IF(G75="","",IF(G75&lt;'الإعدادات والمستهدفات'!B6,"إعادة تدريب ميداني خلال 14 يوم ومراجعة مع المشرف","لا يوجد"))</f>
        <v/>
      </c>
      <c r="M75" s="3"/>
    </row>
    <row r="76" spans="1:13" x14ac:dyDescent="0.2">
      <c r="A76" s="3"/>
      <c r="B76" s="3"/>
      <c r="C76" s="3" t="str">
        <f>IFERROR(VLOOKUP(B76,'سجل الموظفين والكفاءة'!B:C,2,FALSE),"")</f>
        <v/>
      </c>
      <c r="D76" s="3" t="str">
        <f>IFERROR(VLOOKUP(B76,'سجل الموظفين والكفاءة'!B:E,4,FALSE),"")</f>
        <v/>
      </c>
      <c r="E76" s="3"/>
      <c r="F76" s="3"/>
      <c r="G76" s="7"/>
      <c r="H76" s="3" t="str">
        <f>IF(G76="","",IF(G76&gt;='الإعدادات والمستهدفات'!B6,"كفء ومستوفى عملياً","غير كفء - يلزم تدريب ميداني إضافي"))</f>
        <v/>
      </c>
      <c r="I76" s="3"/>
      <c r="J76" s="3"/>
      <c r="K76" s="3" t="str">
        <f>IF(G76="","",IF(G76&lt;'الإعدادات والمستهدفات'!B6,I76+14,"—"))</f>
        <v/>
      </c>
      <c r="L76" s="3" t="str">
        <f>IF(G76="","",IF(G76&lt;'الإعدادات والمستهدفات'!B6,"إعادة تدريب ميداني خلال 14 يوم ومراجعة مع المشرف","لا يوجد"))</f>
        <v/>
      </c>
      <c r="M76" s="3"/>
    </row>
    <row r="77" spans="1:13" x14ac:dyDescent="0.2">
      <c r="A77" s="3"/>
      <c r="B77" s="3"/>
      <c r="C77" s="3" t="str">
        <f>IFERROR(VLOOKUP(B77,'سجل الموظفين والكفاءة'!B:C,2,FALSE),"")</f>
        <v/>
      </c>
      <c r="D77" s="3" t="str">
        <f>IFERROR(VLOOKUP(B77,'سجل الموظفين والكفاءة'!B:E,4,FALSE),"")</f>
        <v/>
      </c>
      <c r="E77" s="3"/>
      <c r="F77" s="3"/>
      <c r="G77" s="7"/>
      <c r="H77" s="3" t="str">
        <f>IF(G77="","",IF(G77&gt;='الإعدادات والمستهدفات'!B6,"كفء ومستوفى عملياً","غير كفء - يلزم تدريب ميداني إضافي"))</f>
        <v/>
      </c>
      <c r="I77" s="3"/>
      <c r="J77" s="3"/>
      <c r="K77" s="3" t="str">
        <f>IF(G77="","",IF(G77&lt;'الإعدادات والمستهدفات'!B6,I77+14,"—"))</f>
        <v/>
      </c>
      <c r="L77" s="3" t="str">
        <f>IF(G77="","",IF(G77&lt;'الإعدادات والمستهدفات'!B6,"إعادة تدريب ميداني خلال 14 يوم ومراجعة مع المشرف","لا يوجد"))</f>
        <v/>
      </c>
      <c r="M77" s="3"/>
    </row>
    <row r="78" spans="1:13" x14ac:dyDescent="0.2">
      <c r="A78" s="3"/>
      <c r="B78" s="3"/>
      <c r="C78" s="3" t="str">
        <f>IFERROR(VLOOKUP(B78,'سجل الموظفين والكفاءة'!B:C,2,FALSE),"")</f>
        <v/>
      </c>
      <c r="D78" s="3" t="str">
        <f>IFERROR(VLOOKUP(B78,'سجل الموظفين والكفاءة'!B:E,4,FALSE),"")</f>
        <v/>
      </c>
      <c r="E78" s="3"/>
      <c r="F78" s="3"/>
      <c r="G78" s="7"/>
      <c r="H78" s="3" t="str">
        <f>IF(G78="","",IF(G78&gt;='الإعدادات والمستهدفات'!B6,"كفء ومستوفى عملياً","غير كفء - يلزم تدريب ميداني إضافي"))</f>
        <v/>
      </c>
      <c r="I78" s="3"/>
      <c r="J78" s="3"/>
      <c r="K78" s="3" t="str">
        <f>IF(G78="","",IF(G78&lt;'الإعدادات والمستهدفات'!B6,I78+14,"—"))</f>
        <v/>
      </c>
      <c r="L78" s="3" t="str">
        <f>IF(G78="","",IF(G78&lt;'الإعدادات والمستهدفات'!B6,"إعادة تدريب ميداني خلال 14 يوم ومراجعة مع المشرف","لا يوجد"))</f>
        <v/>
      </c>
      <c r="M78" s="3"/>
    </row>
    <row r="79" spans="1:13" x14ac:dyDescent="0.2">
      <c r="A79" s="3"/>
      <c r="B79" s="3"/>
      <c r="C79" s="3" t="str">
        <f>IFERROR(VLOOKUP(B79,'سجل الموظفين والكفاءة'!B:C,2,FALSE),"")</f>
        <v/>
      </c>
      <c r="D79" s="3" t="str">
        <f>IFERROR(VLOOKUP(B79,'سجل الموظفين والكفاءة'!B:E,4,FALSE),"")</f>
        <v/>
      </c>
      <c r="E79" s="3"/>
      <c r="F79" s="3"/>
      <c r="G79" s="7"/>
      <c r="H79" s="3" t="str">
        <f>IF(G79="","",IF(G79&gt;='الإعدادات والمستهدفات'!B6,"كفء ومستوفى عملياً","غير كفء - يلزم تدريب ميداني إضافي"))</f>
        <v/>
      </c>
      <c r="I79" s="3"/>
      <c r="J79" s="3"/>
      <c r="K79" s="3" t="str">
        <f>IF(G79="","",IF(G79&lt;'الإعدادات والمستهدفات'!B6,I79+14,"—"))</f>
        <v/>
      </c>
      <c r="L79" s="3" t="str">
        <f>IF(G79="","",IF(G79&lt;'الإعدادات والمستهدفات'!B6,"إعادة تدريب ميداني خلال 14 يوم ومراجعة مع المشرف","لا يوجد"))</f>
        <v/>
      </c>
      <c r="M79" s="3"/>
    </row>
    <row r="80" spans="1:13" x14ac:dyDescent="0.2">
      <c r="A80" s="3"/>
      <c r="B80" s="3"/>
      <c r="C80" s="3" t="str">
        <f>IFERROR(VLOOKUP(B80,'سجل الموظفين والكفاءة'!B:C,2,FALSE),"")</f>
        <v/>
      </c>
      <c r="D80" s="3" t="str">
        <f>IFERROR(VLOOKUP(B80,'سجل الموظفين والكفاءة'!B:E,4,FALSE),"")</f>
        <v/>
      </c>
      <c r="E80" s="3"/>
      <c r="F80" s="3"/>
      <c r="G80" s="7"/>
      <c r="H80" s="3" t="str">
        <f>IF(G80="","",IF(G80&gt;='الإعدادات والمستهدفات'!B6,"كفء ومستوفى عملياً","غير كفء - يلزم تدريب ميداني إضافي"))</f>
        <v/>
      </c>
      <c r="I80" s="3"/>
      <c r="J80" s="3"/>
      <c r="K80" s="3" t="str">
        <f>IF(G80="","",IF(G80&lt;'الإعدادات والمستهدفات'!B6,I80+14,"—"))</f>
        <v/>
      </c>
      <c r="L80" s="3" t="str">
        <f>IF(G80="","",IF(G80&lt;'الإعدادات والمستهدفات'!B6,"إعادة تدريب ميداني خلال 14 يوم ومراجعة مع المشرف","لا يوجد"))</f>
        <v/>
      </c>
      <c r="M80" s="3"/>
    </row>
    <row r="81" spans="1:13" x14ac:dyDescent="0.2">
      <c r="A81" s="3"/>
      <c r="B81" s="3"/>
      <c r="C81" s="3" t="str">
        <f>IFERROR(VLOOKUP(B81,'سجل الموظفين والكفاءة'!B:C,2,FALSE),"")</f>
        <v/>
      </c>
      <c r="D81" s="3" t="str">
        <f>IFERROR(VLOOKUP(B81,'سجل الموظفين والكفاءة'!B:E,4,FALSE),"")</f>
        <v/>
      </c>
      <c r="E81" s="3"/>
      <c r="F81" s="3"/>
      <c r="G81" s="7"/>
      <c r="H81" s="3" t="str">
        <f>IF(G81="","",IF(G81&gt;='الإعدادات والمستهدفات'!B6,"كفء ومستوفى عملياً","غير كفء - يلزم تدريب ميداني إضافي"))</f>
        <v/>
      </c>
      <c r="I81" s="3"/>
      <c r="J81" s="3"/>
      <c r="K81" s="3" t="str">
        <f>IF(G81="","",IF(G81&lt;'الإعدادات والمستهدفات'!B6,I81+14,"—"))</f>
        <v/>
      </c>
      <c r="L81" s="3" t="str">
        <f>IF(G81="","",IF(G81&lt;'الإعدادات والمستهدفات'!B6,"إعادة تدريب ميداني خلال 14 يوم ومراجعة مع المشرف","لا يوجد"))</f>
        <v/>
      </c>
      <c r="M81" s="3"/>
    </row>
    <row r="82" spans="1:13" x14ac:dyDescent="0.2">
      <c r="A82" s="3"/>
      <c r="B82" s="3"/>
      <c r="C82" s="3" t="str">
        <f>IFERROR(VLOOKUP(B82,'سجل الموظفين والكفاءة'!B:C,2,FALSE),"")</f>
        <v/>
      </c>
      <c r="D82" s="3" t="str">
        <f>IFERROR(VLOOKUP(B82,'سجل الموظفين والكفاءة'!B:E,4,FALSE),"")</f>
        <v/>
      </c>
      <c r="E82" s="3"/>
      <c r="F82" s="3"/>
      <c r="G82" s="7"/>
      <c r="H82" s="3" t="str">
        <f>IF(G82="","",IF(G82&gt;='الإعدادات والمستهدفات'!B6,"كفء ومستوفى عملياً","غير كفء - يلزم تدريب ميداني إضافي"))</f>
        <v/>
      </c>
      <c r="I82" s="3"/>
      <c r="J82" s="3"/>
      <c r="K82" s="3" t="str">
        <f>IF(G82="","",IF(G82&lt;'الإعدادات والمستهدفات'!B6,I82+14,"—"))</f>
        <v/>
      </c>
      <c r="L82" s="3" t="str">
        <f>IF(G82="","",IF(G82&lt;'الإعدادات والمستهدفات'!B6,"إعادة تدريب ميداني خلال 14 يوم ومراجعة مع المشرف","لا يوجد"))</f>
        <v/>
      </c>
      <c r="M82" s="3"/>
    </row>
    <row r="83" spans="1:13" x14ac:dyDescent="0.2">
      <c r="A83" s="3"/>
      <c r="B83" s="3"/>
      <c r="C83" s="3" t="str">
        <f>IFERROR(VLOOKUP(B83,'سجل الموظفين والكفاءة'!B:C,2,FALSE),"")</f>
        <v/>
      </c>
      <c r="D83" s="3" t="str">
        <f>IFERROR(VLOOKUP(B83,'سجل الموظفين والكفاءة'!B:E,4,FALSE),"")</f>
        <v/>
      </c>
      <c r="E83" s="3"/>
      <c r="F83" s="3"/>
      <c r="G83" s="7"/>
      <c r="H83" s="3" t="str">
        <f>IF(G83="","",IF(G83&gt;='الإعدادات والمستهدفات'!B6,"كفء ومستوفى عملياً","غير كفء - يلزم تدريب ميداني إضافي"))</f>
        <v/>
      </c>
      <c r="I83" s="3"/>
      <c r="J83" s="3"/>
      <c r="K83" s="3" t="str">
        <f>IF(G83="","",IF(G83&lt;'الإعدادات والمستهدفات'!B6,I83+14,"—"))</f>
        <v/>
      </c>
      <c r="L83" s="3" t="str">
        <f>IF(G83="","",IF(G83&lt;'الإعدادات والمستهدفات'!B6,"إعادة تدريب ميداني خلال 14 يوم ومراجعة مع المشرف","لا يوجد"))</f>
        <v/>
      </c>
      <c r="M83" s="3"/>
    </row>
    <row r="84" spans="1:13" x14ac:dyDescent="0.2">
      <c r="A84" s="3"/>
      <c r="B84" s="3"/>
      <c r="C84" s="3" t="str">
        <f>IFERROR(VLOOKUP(B84,'سجل الموظفين والكفاءة'!B:C,2,FALSE),"")</f>
        <v/>
      </c>
      <c r="D84" s="3" t="str">
        <f>IFERROR(VLOOKUP(B84,'سجل الموظفين والكفاءة'!B:E,4,FALSE),"")</f>
        <v/>
      </c>
      <c r="E84" s="3"/>
      <c r="F84" s="3"/>
      <c r="G84" s="7"/>
      <c r="H84" s="3" t="str">
        <f>IF(G84="","",IF(G84&gt;='الإعدادات والمستهدفات'!B6,"كفء ومستوفى عملياً","غير كفء - يلزم تدريب ميداني إضافي"))</f>
        <v/>
      </c>
      <c r="I84" s="3"/>
      <c r="J84" s="3"/>
      <c r="K84" s="3" t="str">
        <f>IF(G84="","",IF(G84&lt;'الإعدادات والمستهدفات'!B6,I84+14,"—"))</f>
        <v/>
      </c>
      <c r="L84" s="3" t="str">
        <f>IF(G84="","",IF(G84&lt;'الإعدادات والمستهدفات'!B6,"إعادة تدريب ميداني خلال 14 يوم ومراجعة مع المشرف","لا يوجد"))</f>
        <v/>
      </c>
      <c r="M84" s="3"/>
    </row>
    <row r="85" spans="1:13" x14ac:dyDescent="0.2">
      <c r="A85" s="3"/>
      <c r="B85" s="3"/>
      <c r="C85" s="3" t="str">
        <f>IFERROR(VLOOKUP(B85,'سجل الموظفين والكفاءة'!B:C,2,FALSE),"")</f>
        <v/>
      </c>
      <c r="D85" s="3" t="str">
        <f>IFERROR(VLOOKUP(B85,'سجل الموظفين والكفاءة'!B:E,4,FALSE),"")</f>
        <v/>
      </c>
      <c r="E85" s="3"/>
      <c r="F85" s="3"/>
      <c r="G85" s="7"/>
      <c r="H85" s="3" t="str">
        <f>IF(G85="","",IF(G85&gt;='الإعدادات والمستهدفات'!B6,"كفء ومستوفى عملياً","غير كفء - يلزم تدريب ميداني إضافي"))</f>
        <v/>
      </c>
      <c r="I85" s="3"/>
      <c r="J85" s="3"/>
      <c r="K85" s="3" t="str">
        <f>IF(G85="","",IF(G85&lt;'الإعدادات والمستهدفات'!B6,I85+14,"—"))</f>
        <v/>
      </c>
      <c r="L85" s="3" t="str">
        <f>IF(G85="","",IF(G85&lt;'الإعدادات والمستهدفات'!B6,"إعادة تدريب ميداني خلال 14 يوم ومراجعة مع المشرف","لا يوجد"))</f>
        <v/>
      </c>
      <c r="M85" s="3"/>
    </row>
    <row r="86" spans="1:13" x14ac:dyDescent="0.2">
      <c r="A86" s="3"/>
      <c r="B86" s="3"/>
      <c r="C86" s="3" t="str">
        <f>IFERROR(VLOOKUP(B86,'سجل الموظفين والكفاءة'!B:C,2,FALSE),"")</f>
        <v/>
      </c>
      <c r="D86" s="3" t="str">
        <f>IFERROR(VLOOKUP(B86,'سجل الموظفين والكفاءة'!B:E,4,FALSE),"")</f>
        <v/>
      </c>
      <c r="E86" s="3"/>
      <c r="F86" s="3"/>
      <c r="G86" s="7"/>
      <c r="H86" s="3" t="str">
        <f>IF(G86="","",IF(G86&gt;='الإعدادات والمستهدفات'!B6,"كفء ومستوفى عملياً","غير كفء - يلزم تدريب ميداني إضافي"))</f>
        <v/>
      </c>
      <c r="I86" s="3"/>
      <c r="J86" s="3"/>
      <c r="K86" s="3" t="str">
        <f>IF(G86="","",IF(G86&lt;'الإعدادات والمستهدفات'!B6,I86+14,"—"))</f>
        <v/>
      </c>
      <c r="L86" s="3" t="str">
        <f>IF(G86="","",IF(G86&lt;'الإعدادات والمستهدفات'!B6,"إعادة تدريب ميداني خلال 14 يوم ومراجعة مع المشرف","لا يوجد"))</f>
        <v/>
      </c>
      <c r="M86" s="3"/>
    </row>
    <row r="87" spans="1:13" x14ac:dyDescent="0.2">
      <c r="A87" s="3"/>
      <c r="B87" s="3"/>
      <c r="C87" s="3" t="str">
        <f>IFERROR(VLOOKUP(B87,'سجل الموظفين والكفاءة'!B:C,2,FALSE),"")</f>
        <v/>
      </c>
      <c r="D87" s="3" t="str">
        <f>IFERROR(VLOOKUP(B87,'سجل الموظفين والكفاءة'!B:E,4,FALSE),"")</f>
        <v/>
      </c>
      <c r="E87" s="3"/>
      <c r="F87" s="3"/>
      <c r="G87" s="7"/>
      <c r="H87" s="3" t="str">
        <f>IF(G87="","",IF(G87&gt;='الإعدادات والمستهدفات'!B6,"كفء ومستوفى عملياً","غير كفء - يلزم تدريب ميداني إضافي"))</f>
        <v/>
      </c>
      <c r="I87" s="3"/>
      <c r="J87" s="3"/>
      <c r="K87" s="3" t="str">
        <f>IF(G87="","",IF(G87&lt;'الإعدادات والمستهدفات'!B6,I87+14,"—"))</f>
        <v/>
      </c>
      <c r="L87" s="3" t="str">
        <f>IF(G87="","",IF(G87&lt;'الإعدادات والمستهدفات'!B6,"إعادة تدريب ميداني خلال 14 يوم ومراجعة مع المشرف","لا يوجد"))</f>
        <v/>
      </c>
      <c r="M87" s="3"/>
    </row>
    <row r="88" spans="1:13" x14ac:dyDescent="0.2">
      <c r="A88" s="3"/>
      <c r="B88" s="3"/>
      <c r="C88" s="3" t="str">
        <f>IFERROR(VLOOKUP(B88,'سجل الموظفين والكفاءة'!B:C,2,FALSE),"")</f>
        <v/>
      </c>
      <c r="D88" s="3" t="str">
        <f>IFERROR(VLOOKUP(B88,'سجل الموظفين والكفاءة'!B:E,4,FALSE),"")</f>
        <v/>
      </c>
      <c r="E88" s="3"/>
      <c r="F88" s="3"/>
      <c r="G88" s="7"/>
      <c r="H88" s="3" t="str">
        <f>IF(G88="","",IF(G88&gt;='الإعدادات والمستهدفات'!B6,"كفء ومستوفى عملياً","غير كفء - يلزم تدريب ميداني إضافي"))</f>
        <v/>
      </c>
      <c r="I88" s="3"/>
      <c r="J88" s="3"/>
      <c r="K88" s="3" t="str">
        <f>IF(G88="","",IF(G88&lt;'الإعدادات والمستهدفات'!B6,I88+14,"—"))</f>
        <v/>
      </c>
      <c r="L88" s="3" t="str">
        <f>IF(G88="","",IF(G88&lt;'الإعدادات والمستهدفات'!B6,"إعادة تدريب ميداني خلال 14 يوم ومراجعة مع المشرف","لا يوجد"))</f>
        <v/>
      </c>
      <c r="M88" s="3"/>
    </row>
    <row r="89" spans="1:13" x14ac:dyDescent="0.2">
      <c r="A89" s="3"/>
      <c r="B89" s="3"/>
      <c r="C89" s="3" t="str">
        <f>IFERROR(VLOOKUP(B89,'سجل الموظفين والكفاءة'!B:C,2,FALSE),"")</f>
        <v/>
      </c>
      <c r="D89" s="3" t="str">
        <f>IFERROR(VLOOKUP(B89,'سجل الموظفين والكفاءة'!B:E,4,FALSE),"")</f>
        <v/>
      </c>
      <c r="E89" s="3"/>
      <c r="F89" s="3"/>
      <c r="G89" s="7"/>
      <c r="H89" s="3" t="str">
        <f>IF(G89="","",IF(G89&gt;='الإعدادات والمستهدفات'!B6,"كفء ومستوفى عملياً","غير كفء - يلزم تدريب ميداني إضافي"))</f>
        <v/>
      </c>
      <c r="I89" s="3"/>
      <c r="J89" s="3"/>
      <c r="K89" s="3" t="str">
        <f>IF(G89="","",IF(G89&lt;'الإعدادات والمستهدفات'!B6,I89+14,"—"))</f>
        <v/>
      </c>
      <c r="L89" s="3" t="str">
        <f>IF(G89="","",IF(G89&lt;'الإعدادات والمستهدفات'!B6,"إعادة تدريب ميداني خلال 14 يوم ومراجعة مع المشرف","لا يوجد"))</f>
        <v/>
      </c>
      <c r="M89" s="3"/>
    </row>
    <row r="90" spans="1:13" x14ac:dyDescent="0.2">
      <c r="A90" s="3"/>
      <c r="B90" s="3"/>
      <c r="C90" s="3" t="str">
        <f>IFERROR(VLOOKUP(B90,'سجل الموظفين والكفاءة'!B:C,2,FALSE),"")</f>
        <v/>
      </c>
      <c r="D90" s="3" t="str">
        <f>IFERROR(VLOOKUP(B90,'سجل الموظفين والكفاءة'!B:E,4,FALSE),"")</f>
        <v/>
      </c>
      <c r="E90" s="3"/>
      <c r="F90" s="3"/>
      <c r="G90" s="7"/>
      <c r="H90" s="3" t="str">
        <f>IF(G90="","",IF(G90&gt;='الإعدادات والمستهدفات'!B6,"كفء ومستوفى عملياً","غير كفء - يلزم تدريب ميداني إضافي"))</f>
        <v/>
      </c>
      <c r="I90" s="3"/>
      <c r="J90" s="3"/>
      <c r="K90" s="3" t="str">
        <f>IF(G90="","",IF(G90&lt;'الإعدادات والمستهدفات'!B6,I90+14,"—"))</f>
        <v/>
      </c>
      <c r="L90" s="3" t="str">
        <f>IF(G90="","",IF(G90&lt;'الإعدادات والمستهدفات'!B6,"إعادة تدريب ميداني خلال 14 يوم ومراجعة مع المشرف","لا يوجد"))</f>
        <v/>
      </c>
      <c r="M90" s="3"/>
    </row>
    <row r="91" spans="1:13" x14ac:dyDescent="0.2">
      <c r="A91" s="3"/>
      <c r="B91" s="3"/>
      <c r="C91" s="3" t="str">
        <f>IFERROR(VLOOKUP(B91,'سجل الموظفين والكفاءة'!B:C,2,FALSE),"")</f>
        <v/>
      </c>
      <c r="D91" s="3" t="str">
        <f>IFERROR(VLOOKUP(B91,'سجل الموظفين والكفاءة'!B:E,4,FALSE),"")</f>
        <v/>
      </c>
      <c r="E91" s="3"/>
      <c r="F91" s="3"/>
      <c r="G91" s="7"/>
      <c r="H91" s="3" t="str">
        <f>IF(G91="","",IF(G91&gt;='الإعدادات والمستهدفات'!B6,"كفء ومستوفى عملياً","غير كفء - يلزم تدريب ميداني إضافي"))</f>
        <v/>
      </c>
      <c r="I91" s="3"/>
      <c r="J91" s="3"/>
      <c r="K91" s="3" t="str">
        <f>IF(G91="","",IF(G91&lt;'الإعدادات والمستهدفات'!B6,I91+14,"—"))</f>
        <v/>
      </c>
      <c r="L91" s="3" t="str">
        <f>IF(G91="","",IF(G91&lt;'الإعدادات والمستهدفات'!B6,"إعادة تدريب ميداني خلال 14 يوم ومراجعة مع المشرف","لا يوجد"))</f>
        <v/>
      </c>
      <c r="M91" s="3"/>
    </row>
    <row r="92" spans="1:13" x14ac:dyDescent="0.2">
      <c r="A92" s="3"/>
      <c r="B92" s="3"/>
      <c r="C92" s="3" t="str">
        <f>IFERROR(VLOOKUP(B92,'سجل الموظفين والكفاءة'!B:C,2,FALSE),"")</f>
        <v/>
      </c>
      <c r="D92" s="3" t="str">
        <f>IFERROR(VLOOKUP(B92,'سجل الموظفين والكفاءة'!B:E,4,FALSE),"")</f>
        <v/>
      </c>
      <c r="E92" s="3"/>
      <c r="F92" s="3"/>
      <c r="G92" s="7"/>
      <c r="H92" s="3" t="str">
        <f>IF(G92="","",IF(G92&gt;='الإعدادات والمستهدفات'!B6,"كفء ومستوفى عملياً","غير كفء - يلزم تدريب ميداني إضافي"))</f>
        <v/>
      </c>
      <c r="I92" s="3"/>
      <c r="J92" s="3"/>
      <c r="K92" s="3" t="str">
        <f>IF(G92="","",IF(G92&lt;'الإعدادات والمستهدفات'!B6,I92+14,"—"))</f>
        <v/>
      </c>
      <c r="L92" s="3" t="str">
        <f>IF(G92="","",IF(G92&lt;'الإعدادات والمستهدفات'!B6,"إعادة تدريب ميداني خلال 14 يوم ومراجعة مع المشرف","لا يوجد"))</f>
        <v/>
      </c>
      <c r="M92" s="3"/>
    </row>
    <row r="93" spans="1:13" x14ac:dyDescent="0.2">
      <c r="A93" s="3"/>
      <c r="B93" s="3"/>
      <c r="C93" s="3" t="str">
        <f>IFERROR(VLOOKUP(B93,'سجل الموظفين والكفاءة'!B:C,2,FALSE),"")</f>
        <v/>
      </c>
      <c r="D93" s="3" t="str">
        <f>IFERROR(VLOOKUP(B93,'سجل الموظفين والكفاءة'!B:E,4,FALSE),"")</f>
        <v/>
      </c>
      <c r="E93" s="3"/>
      <c r="F93" s="3"/>
      <c r="G93" s="7"/>
      <c r="H93" s="3" t="str">
        <f>IF(G93="","",IF(G93&gt;='الإعدادات والمستهدفات'!B6,"كفء ومستوفى عملياً","غير كفء - يلزم تدريب ميداني إضافي"))</f>
        <v/>
      </c>
      <c r="I93" s="3"/>
      <c r="J93" s="3"/>
      <c r="K93" s="3" t="str">
        <f>IF(G93="","",IF(G93&lt;'الإعدادات والمستهدفات'!B6,I93+14,"—"))</f>
        <v/>
      </c>
      <c r="L93" s="3" t="str">
        <f>IF(G93="","",IF(G93&lt;'الإعدادات والمستهدفات'!B6,"إعادة تدريب ميداني خلال 14 يوم ومراجعة مع المشرف","لا يوجد"))</f>
        <v/>
      </c>
      <c r="M93" s="3"/>
    </row>
    <row r="94" spans="1:13" x14ac:dyDescent="0.2">
      <c r="A94" s="3"/>
      <c r="B94" s="3"/>
      <c r="C94" s="3" t="str">
        <f>IFERROR(VLOOKUP(B94,'سجل الموظفين والكفاءة'!B:C,2,FALSE),"")</f>
        <v/>
      </c>
      <c r="D94" s="3" t="str">
        <f>IFERROR(VLOOKUP(B94,'سجل الموظفين والكفاءة'!B:E,4,FALSE),"")</f>
        <v/>
      </c>
      <c r="E94" s="3"/>
      <c r="F94" s="3"/>
      <c r="G94" s="7"/>
      <c r="H94" s="3" t="str">
        <f>IF(G94="","",IF(G94&gt;='الإعدادات والمستهدفات'!B6,"كفء ومستوفى عملياً","غير كفء - يلزم تدريب ميداني إضافي"))</f>
        <v/>
      </c>
      <c r="I94" s="3"/>
      <c r="J94" s="3"/>
      <c r="K94" s="3" t="str">
        <f>IF(G94="","",IF(G94&lt;'الإعدادات والمستهدفات'!B6,I94+14,"—"))</f>
        <v/>
      </c>
      <c r="L94" s="3" t="str">
        <f>IF(G94="","",IF(G94&lt;'الإعدادات والمستهدفات'!B6,"إعادة تدريب ميداني خلال 14 يوم ومراجعة مع المشرف","لا يوجد"))</f>
        <v/>
      </c>
      <c r="M94" s="3"/>
    </row>
    <row r="95" spans="1:13" x14ac:dyDescent="0.2">
      <c r="A95" s="3"/>
      <c r="B95" s="3"/>
      <c r="C95" s="3" t="str">
        <f>IFERROR(VLOOKUP(B95,'سجل الموظفين والكفاءة'!B:C,2,FALSE),"")</f>
        <v/>
      </c>
      <c r="D95" s="3" t="str">
        <f>IFERROR(VLOOKUP(B95,'سجل الموظفين والكفاءة'!B:E,4,FALSE),"")</f>
        <v/>
      </c>
      <c r="E95" s="3"/>
      <c r="F95" s="3"/>
      <c r="G95" s="7"/>
      <c r="H95" s="3" t="str">
        <f>IF(G95="","",IF(G95&gt;='الإعدادات والمستهدفات'!B6,"كفء ومستوفى عملياً","غير كفء - يلزم تدريب ميداني إضافي"))</f>
        <v/>
      </c>
      <c r="I95" s="3"/>
      <c r="J95" s="3"/>
      <c r="K95" s="3" t="str">
        <f>IF(G95="","",IF(G95&lt;'الإعدادات والمستهدفات'!B6,I95+14,"—"))</f>
        <v/>
      </c>
      <c r="L95" s="3" t="str">
        <f>IF(G95="","",IF(G95&lt;'الإعدادات والمستهدفات'!B6,"إعادة تدريب ميداني خلال 14 يوم ومراجعة مع المشرف","لا يوجد"))</f>
        <v/>
      </c>
      <c r="M95" s="3"/>
    </row>
    <row r="96" spans="1:13" x14ac:dyDescent="0.2">
      <c r="A96" s="3"/>
      <c r="B96" s="3"/>
      <c r="C96" s="3" t="str">
        <f>IFERROR(VLOOKUP(B96,'سجل الموظفين والكفاءة'!B:C,2,FALSE),"")</f>
        <v/>
      </c>
      <c r="D96" s="3" t="str">
        <f>IFERROR(VLOOKUP(B96,'سجل الموظفين والكفاءة'!B:E,4,FALSE),"")</f>
        <v/>
      </c>
      <c r="E96" s="3"/>
      <c r="F96" s="3"/>
      <c r="G96" s="7"/>
      <c r="H96" s="3" t="str">
        <f>IF(G96="","",IF(G96&gt;='الإعدادات والمستهدفات'!B6,"كفء ومستوفى عملياً","غير كفء - يلزم تدريب ميداني إضافي"))</f>
        <v/>
      </c>
      <c r="I96" s="3"/>
      <c r="J96" s="3"/>
      <c r="K96" s="3" t="str">
        <f>IF(G96="","",IF(G96&lt;'الإعدادات والمستهدفات'!B6,I96+14,"—"))</f>
        <v/>
      </c>
      <c r="L96" s="3" t="str">
        <f>IF(G96="","",IF(G96&lt;'الإعدادات والمستهدفات'!B6,"إعادة تدريب ميداني خلال 14 يوم ومراجعة مع المشرف","لا يوجد"))</f>
        <v/>
      </c>
      <c r="M96" s="3"/>
    </row>
    <row r="97" spans="1:13" x14ac:dyDescent="0.2">
      <c r="A97" s="3"/>
      <c r="B97" s="3"/>
      <c r="C97" s="3" t="str">
        <f>IFERROR(VLOOKUP(B97,'سجل الموظفين والكفاءة'!B:C,2,FALSE),"")</f>
        <v/>
      </c>
      <c r="D97" s="3" t="str">
        <f>IFERROR(VLOOKUP(B97,'سجل الموظفين والكفاءة'!B:E,4,FALSE),"")</f>
        <v/>
      </c>
      <c r="E97" s="3"/>
      <c r="F97" s="3"/>
      <c r="G97" s="7"/>
      <c r="H97" s="3" t="str">
        <f>IF(G97="","",IF(G97&gt;='الإعدادات والمستهدفات'!B6,"كفء ومستوفى عملياً","غير كفء - يلزم تدريب ميداني إضافي"))</f>
        <v/>
      </c>
      <c r="I97" s="3"/>
      <c r="J97" s="3"/>
      <c r="K97" s="3" t="str">
        <f>IF(G97="","",IF(G97&lt;'الإعدادات والمستهدفات'!B6,I97+14,"—"))</f>
        <v/>
      </c>
      <c r="L97" s="3" t="str">
        <f>IF(G97="","",IF(G97&lt;'الإعدادات والمستهدفات'!B6,"إعادة تدريب ميداني خلال 14 يوم ومراجعة مع المشرف","لا يوجد"))</f>
        <v/>
      </c>
      <c r="M97" s="3"/>
    </row>
    <row r="98" spans="1:13" x14ac:dyDescent="0.2">
      <c r="A98" s="3"/>
      <c r="B98" s="3"/>
      <c r="C98" s="3" t="str">
        <f>IFERROR(VLOOKUP(B98,'سجل الموظفين والكفاءة'!B:C,2,FALSE),"")</f>
        <v/>
      </c>
      <c r="D98" s="3" t="str">
        <f>IFERROR(VLOOKUP(B98,'سجل الموظفين والكفاءة'!B:E,4,FALSE),"")</f>
        <v/>
      </c>
      <c r="E98" s="3"/>
      <c r="F98" s="3"/>
      <c r="G98" s="7"/>
      <c r="H98" s="3" t="str">
        <f>IF(G98="","",IF(G98&gt;='الإعدادات والمستهدفات'!B6,"كفء ومستوفى عملياً","غير كفء - يلزم تدريب ميداني إضافي"))</f>
        <v/>
      </c>
      <c r="I98" s="3"/>
      <c r="J98" s="3"/>
      <c r="K98" s="3" t="str">
        <f>IF(G98="","",IF(G98&lt;'الإعدادات والمستهدفات'!B6,I98+14,"—"))</f>
        <v/>
      </c>
      <c r="L98" s="3" t="str">
        <f>IF(G98="","",IF(G98&lt;'الإعدادات والمستهدفات'!B6,"إعادة تدريب ميداني خلال 14 يوم ومراجعة مع المشرف","لا يوجد"))</f>
        <v/>
      </c>
      <c r="M98" s="3"/>
    </row>
    <row r="99" spans="1:13" x14ac:dyDescent="0.2">
      <c r="A99" s="3"/>
      <c r="B99" s="3"/>
      <c r="C99" s="3" t="str">
        <f>IFERROR(VLOOKUP(B99,'سجل الموظفين والكفاءة'!B:C,2,FALSE),"")</f>
        <v/>
      </c>
      <c r="D99" s="3" t="str">
        <f>IFERROR(VLOOKUP(B99,'سجل الموظفين والكفاءة'!B:E,4,FALSE),"")</f>
        <v/>
      </c>
      <c r="E99" s="3"/>
      <c r="F99" s="3"/>
      <c r="G99" s="7"/>
      <c r="H99" s="3" t="str">
        <f>IF(G99="","",IF(G99&gt;='الإعدادات والمستهدفات'!B6,"كفء ومستوفى عملياً","غير كفء - يلزم تدريب ميداني إضافي"))</f>
        <v/>
      </c>
      <c r="I99" s="3"/>
      <c r="J99" s="3"/>
      <c r="K99" s="3" t="str">
        <f>IF(G99="","",IF(G99&lt;'الإعدادات والمستهدفات'!B6,I99+14,"—"))</f>
        <v/>
      </c>
      <c r="L99" s="3" t="str">
        <f>IF(G99="","",IF(G99&lt;'الإعدادات والمستهدفات'!B6,"إعادة تدريب ميداني خلال 14 يوم ومراجعة مع المشرف","لا يوجد"))</f>
        <v/>
      </c>
      <c r="M99" s="3"/>
    </row>
    <row r="100" spans="1:13" x14ac:dyDescent="0.2">
      <c r="A100" s="3"/>
      <c r="B100" s="3"/>
      <c r="C100" s="3" t="str">
        <f>IFERROR(VLOOKUP(B100,'سجل الموظفين والكفاءة'!B:C,2,FALSE),"")</f>
        <v/>
      </c>
      <c r="D100" s="3" t="str">
        <f>IFERROR(VLOOKUP(B100,'سجل الموظفين والكفاءة'!B:E,4,FALSE),"")</f>
        <v/>
      </c>
      <c r="E100" s="3"/>
      <c r="F100" s="3"/>
      <c r="G100" s="7"/>
      <c r="H100" s="3" t="str">
        <f>IF(G100="","",IF(G100&gt;='الإعدادات والمستهدفات'!B6,"كفء ومستوفى عملياً","غير كفء - يلزم تدريب ميداني إضافي"))</f>
        <v/>
      </c>
      <c r="I100" s="3"/>
      <c r="J100" s="3"/>
      <c r="K100" s="3" t="str">
        <f>IF(G100="","",IF(G100&lt;'الإعدادات والمستهدفات'!B6,I100+14,"—"))</f>
        <v/>
      </c>
      <c r="L100" s="3" t="str">
        <f>IF(G100="","",IF(G100&lt;'الإعدادات والمستهدفات'!B6,"إعادة تدريب ميداني خلال 14 يوم ومراجعة مع المشرف","لا يوجد"))</f>
        <v/>
      </c>
      <c r="M100" s="3"/>
    </row>
    <row r="101" spans="1:13" x14ac:dyDescent="0.2">
      <c r="A101" s="3"/>
      <c r="B101" s="3"/>
      <c r="C101" s="3" t="str">
        <f>IFERROR(VLOOKUP(B101,'سجل الموظفين والكفاءة'!B:C,2,FALSE),"")</f>
        <v/>
      </c>
      <c r="D101" s="3" t="str">
        <f>IFERROR(VLOOKUP(B101,'سجل الموظفين والكفاءة'!B:E,4,FALSE),"")</f>
        <v/>
      </c>
      <c r="E101" s="3"/>
      <c r="F101" s="3"/>
      <c r="G101" s="7"/>
      <c r="H101" s="3" t="str">
        <f>IF(G101="","",IF(G101&gt;='الإعدادات والمستهدفات'!B6,"كفء ومستوفى عملياً","غير كفء - يلزم تدريب ميداني إضافي"))</f>
        <v/>
      </c>
      <c r="I101" s="3"/>
      <c r="J101" s="3"/>
      <c r="K101" s="3" t="str">
        <f>IF(G101="","",IF(G101&lt;'الإعدادات والمستهدفات'!B6,I101+14,"—"))</f>
        <v/>
      </c>
      <c r="L101" s="3" t="str">
        <f>IF(G101="","",IF(G101&lt;'الإعدادات والمستهدفات'!B6,"إعادة تدريب ميداني خلال 14 يوم ومراجعة مع المشرف","لا يوجد"))</f>
        <v/>
      </c>
      <c r="M101" s="3"/>
    </row>
    <row r="102" spans="1:13" x14ac:dyDescent="0.2">
      <c r="A102" s="3"/>
      <c r="B102" s="3"/>
      <c r="C102" s="3" t="str">
        <f>IFERROR(VLOOKUP(B102,'سجل الموظفين والكفاءة'!B:C,2,FALSE),"")</f>
        <v/>
      </c>
      <c r="D102" s="3" t="str">
        <f>IFERROR(VLOOKUP(B102,'سجل الموظفين والكفاءة'!B:E,4,FALSE),"")</f>
        <v/>
      </c>
      <c r="E102" s="3"/>
      <c r="F102" s="3"/>
      <c r="G102" s="7"/>
      <c r="H102" s="3" t="str">
        <f>IF(G102="","",IF(G102&gt;='الإعدادات والمستهدفات'!B6,"كفء ومستوفى عملياً","غير كفء - يلزم تدريب ميداني إضافي"))</f>
        <v/>
      </c>
      <c r="I102" s="3"/>
      <c r="J102" s="3"/>
      <c r="K102" s="3" t="str">
        <f>IF(G102="","",IF(G102&lt;'الإعدادات والمستهدفات'!B6,I102+14,"—"))</f>
        <v/>
      </c>
      <c r="L102" s="3" t="str">
        <f>IF(G102="","",IF(G102&lt;'الإعدادات والمستهدفات'!B6,"إعادة تدريب ميداني خلال 14 يوم ومراجعة مع المشرف","لا يوجد"))</f>
        <v/>
      </c>
      <c r="M102" s="3"/>
    </row>
    <row r="103" spans="1:13" x14ac:dyDescent="0.2">
      <c r="A103" s="3"/>
      <c r="B103" s="3"/>
      <c r="C103" s="3" t="str">
        <f>IFERROR(VLOOKUP(B103,'سجل الموظفين والكفاءة'!B:C,2,FALSE),"")</f>
        <v/>
      </c>
      <c r="D103" s="3" t="str">
        <f>IFERROR(VLOOKUP(B103,'سجل الموظفين والكفاءة'!B:E,4,FALSE),"")</f>
        <v/>
      </c>
      <c r="E103" s="3"/>
      <c r="F103" s="3"/>
      <c r="G103" s="7"/>
      <c r="H103" s="3" t="str">
        <f>IF(G103="","",IF(G103&gt;='الإعدادات والمستهدفات'!B6,"كفء ومستوفى عملياً","غير كفء - يلزم تدريب ميداني إضافي"))</f>
        <v/>
      </c>
      <c r="I103" s="3"/>
      <c r="J103" s="3"/>
      <c r="K103" s="3" t="str">
        <f>IF(G103="","",IF(G103&lt;'الإعدادات والمستهدفات'!B6,I103+14,"—"))</f>
        <v/>
      </c>
      <c r="L103" s="3" t="str">
        <f>IF(G103="","",IF(G103&lt;'الإعدادات والمستهدفات'!B6,"إعادة تدريب ميداني خلال 14 يوم ومراجعة مع المشرف","لا يوجد"))</f>
        <v/>
      </c>
      <c r="M103" s="3"/>
    </row>
    <row r="104" spans="1:13" x14ac:dyDescent="0.2">
      <c r="A104" s="3"/>
      <c r="B104" s="3"/>
      <c r="C104" s="3" t="str">
        <f>IFERROR(VLOOKUP(B104,'سجل الموظفين والكفاءة'!B:C,2,FALSE),"")</f>
        <v/>
      </c>
      <c r="D104" s="3" t="str">
        <f>IFERROR(VLOOKUP(B104,'سجل الموظفين والكفاءة'!B:E,4,FALSE),"")</f>
        <v/>
      </c>
      <c r="E104" s="3"/>
      <c r="F104" s="3"/>
      <c r="G104" s="7"/>
      <c r="H104" s="3" t="str">
        <f>IF(G104="","",IF(G104&gt;='الإعدادات والمستهدفات'!B6,"كفء ومستوفى عملياً","غير كفء - يلزم تدريب ميداني إضافي"))</f>
        <v/>
      </c>
      <c r="I104" s="3"/>
      <c r="J104" s="3"/>
      <c r="K104" s="3" t="str">
        <f>IF(G104="","",IF(G104&lt;'الإعدادات والمستهدفات'!B6,I104+14,"—"))</f>
        <v/>
      </c>
      <c r="L104" s="3" t="str">
        <f>IF(G104="","",IF(G104&lt;'الإعدادات والمستهدفات'!B6,"إعادة تدريب ميداني خلال 14 يوم ومراجعة مع المشرف","لا يوجد"))</f>
        <v/>
      </c>
      <c r="M104" s="3"/>
    </row>
    <row r="105" spans="1:13" x14ac:dyDescent="0.2">
      <c r="A105" s="3"/>
      <c r="B105" s="3"/>
      <c r="C105" s="3" t="str">
        <f>IFERROR(VLOOKUP(B105,'سجل الموظفين والكفاءة'!B:C,2,FALSE),"")</f>
        <v/>
      </c>
      <c r="D105" s="3" t="str">
        <f>IFERROR(VLOOKUP(B105,'سجل الموظفين والكفاءة'!B:E,4,FALSE),"")</f>
        <v/>
      </c>
      <c r="E105" s="3"/>
      <c r="F105" s="3"/>
      <c r="G105" s="7"/>
      <c r="H105" s="3" t="str">
        <f>IF(G105="","",IF(G105&gt;='الإعدادات والمستهدفات'!B6,"كفء ومستوفى عملياً","غير كفء - يلزم تدريب ميداني إضافي"))</f>
        <v/>
      </c>
      <c r="I105" s="3"/>
      <c r="J105" s="3"/>
      <c r="K105" s="3" t="str">
        <f>IF(G105="","",IF(G105&lt;'الإعدادات والمستهدفات'!B6,I105+14,"—"))</f>
        <v/>
      </c>
      <c r="L105" s="3" t="str">
        <f>IF(G105="","",IF(G105&lt;'الإعدادات والمستهدفات'!B6,"إعادة تدريب ميداني خلال 14 يوم ومراجعة مع المشرف","لا يوجد"))</f>
        <v/>
      </c>
      <c r="M105" s="3"/>
    </row>
    <row r="106" spans="1:13" x14ac:dyDescent="0.2">
      <c r="A106" s="3"/>
      <c r="B106" s="3"/>
      <c r="C106" s="3" t="str">
        <f>IFERROR(VLOOKUP(B106,'سجل الموظفين والكفاءة'!B:C,2,FALSE),"")</f>
        <v/>
      </c>
      <c r="D106" s="3" t="str">
        <f>IFERROR(VLOOKUP(B106,'سجل الموظفين والكفاءة'!B:E,4,FALSE),"")</f>
        <v/>
      </c>
      <c r="E106" s="3"/>
      <c r="F106" s="3"/>
      <c r="G106" s="7"/>
      <c r="H106" s="3" t="str">
        <f>IF(G106="","",IF(G106&gt;='الإعدادات والمستهدفات'!B6,"كفء ومستوفى عملياً","غير كفء - يلزم تدريب ميداني إضافي"))</f>
        <v/>
      </c>
      <c r="I106" s="3"/>
      <c r="J106" s="3"/>
      <c r="K106" s="3" t="str">
        <f>IF(G106="","",IF(G106&lt;'الإعدادات والمستهدفات'!B6,I106+14,"—"))</f>
        <v/>
      </c>
      <c r="L106" s="3" t="str">
        <f>IF(G106="","",IF(G106&lt;'الإعدادات والمستهدفات'!B6,"إعادة تدريب ميداني خلال 14 يوم ومراجعة مع المشرف","لا يوجد"))</f>
        <v/>
      </c>
      <c r="M106" s="3"/>
    </row>
    <row r="107" spans="1:13" x14ac:dyDescent="0.2">
      <c r="A107" s="3"/>
      <c r="B107" s="3"/>
      <c r="C107" s="3" t="str">
        <f>IFERROR(VLOOKUP(B107,'سجل الموظفين والكفاءة'!B:C,2,FALSE),"")</f>
        <v/>
      </c>
      <c r="D107" s="3" t="str">
        <f>IFERROR(VLOOKUP(B107,'سجل الموظفين والكفاءة'!B:E,4,FALSE),"")</f>
        <v/>
      </c>
      <c r="E107" s="3"/>
      <c r="F107" s="3"/>
      <c r="G107" s="7"/>
      <c r="H107" s="3" t="str">
        <f>IF(G107="","",IF(G107&gt;='الإعدادات والمستهدفات'!B6,"كفء ومستوفى عملياً","غير كفء - يلزم تدريب ميداني إضافي"))</f>
        <v/>
      </c>
      <c r="I107" s="3"/>
      <c r="J107" s="3"/>
      <c r="K107" s="3" t="str">
        <f>IF(G107="","",IF(G107&lt;'الإعدادات والمستهدفات'!B6,I107+14,"—"))</f>
        <v/>
      </c>
      <c r="L107" s="3" t="str">
        <f>IF(G107="","",IF(G107&lt;'الإعدادات والمستهدفات'!B6,"إعادة تدريب ميداني خلال 14 يوم ومراجعة مع المشرف","لا يوجد"))</f>
        <v/>
      </c>
      <c r="M107" s="3"/>
    </row>
    <row r="108" spans="1:13" x14ac:dyDescent="0.2">
      <c r="A108" s="3"/>
      <c r="B108" s="3"/>
      <c r="C108" s="3" t="str">
        <f>IFERROR(VLOOKUP(B108,'سجل الموظفين والكفاءة'!B:C,2,FALSE),"")</f>
        <v/>
      </c>
      <c r="D108" s="3" t="str">
        <f>IFERROR(VLOOKUP(B108,'سجل الموظفين والكفاءة'!B:E,4,FALSE),"")</f>
        <v/>
      </c>
      <c r="E108" s="3"/>
      <c r="F108" s="3"/>
      <c r="G108" s="7"/>
      <c r="H108" s="3" t="str">
        <f>IF(G108="","",IF(G108&gt;='الإعدادات والمستهدفات'!B6,"كفء ومستوفى عملياً","غير كفء - يلزم تدريب ميداني إضافي"))</f>
        <v/>
      </c>
      <c r="I108" s="3"/>
      <c r="J108" s="3"/>
      <c r="K108" s="3" t="str">
        <f>IF(G108="","",IF(G108&lt;'الإعدادات والمستهدفات'!B6,I108+14,"—"))</f>
        <v/>
      </c>
      <c r="L108" s="3" t="str">
        <f>IF(G108="","",IF(G108&lt;'الإعدادات والمستهدفات'!B6,"إعادة تدريب ميداني خلال 14 يوم ومراجعة مع المشرف","لا يوجد"))</f>
        <v/>
      </c>
      <c r="M108" s="3"/>
    </row>
    <row r="109" spans="1:13" x14ac:dyDescent="0.2">
      <c r="A109" s="3"/>
      <c r="B109" s="3"/>
      <c r="C109" s="3" t="str">
        <f>IFERROR(VLOOKUP(B109,'سجل الموظفين والكفاءة'!B:C,2,FALSE),"")</f>
        <v/>
      </c>
      <c r="D109" s="3" t="str">
        <f>IFERROR(VLOOKUP(B109,'سجل الموظفين والكفاءة'!B:E,4,FALSE),"")</f>
        <v/>
      </c>
      <c r="E109" s="3"/>
      <c r="F109" s="3"/>
      <c r="G109" s="7"/>
      <c r="H109" s="3" t="str">
        <f>IF(G109="","",IF(G109&gt;='الإعدادات والمستهدفات'!B6,"كفء ومستوفى عملياً","غير كفء - يلزم تدريب ميداني إضافي"))</f>
        <v/>
      </c>
      <c r="I109" s="3"/>
      <c r="J109" s="3"/>
      <c r="K109" s="3" t="str">
        <f>IF(G109="","",IF(G109&lt;'الإعدادات والمستهدفات'!B6,I109+14,"—"))</f>
        <v/>
      </c>
      <c r="L109" s="3" t="str">
        <f>IF(G109="","",IF(G109&lt;'الإعدادات والمستهدفات'!B6,"إعادة تدريب ميداني خلال 14 يوم ومراجعة مع المشرف","لا يوجد"))</f>
        <v/>
      </c>
      <c r="M109" s="3"/>
    </row>
    <row r="110" spans="1:13" x14ac:dyDescent="0.2">
      <c r="A110" s="3"/>
      <c r="B110" s="3"/>
      <c r="C110" s="3" t="str">
        <f>IFERROR(VLOOKUP(B110,'سجل الموظفين والكفاءة'!B:C,2,FALSE),"")</f>
        <v/>
      </c>
      <c r="D110" s="3" t="str">
        <f>IFERROR(VLOOKUP(B110,'سجل الموظفين والكفاءة'!B:E,4,FALSE),"")</f>
        <v/>
      </c>
      <c r="E110" s="3"/>
      <c r="F110" s="3"/>
      <c r="G110" s="7"/>
      <c r="H110" s="3" t="str">
        <f>IF(G110="","",IF(G110&gt;='الإعدادات والمستهدفات'!B6,"كفء ومستوفى عملياً","غير كفء - يلزم تدريب ميداني إضافي"))</f>
        <v/>
      </c>
      <c r="I110" s="3"/>
      <c r="J110" s="3"/>
      <c r="K110" s="3" t="str">
        <f>IF(G110="","",IF(G110&lt;'الإعدادات والمستهدفات'!B6,I110+14,"—"))</f>
        <v/>
      </c>
      <c r="L110" s="3" t="str">
        <f>IF(G110="","",IF(G110&lt;'الإعدادات والمستهدفات'!B6,"إعادة تدريب ميداني خلال 14 يوم ومراجعة مع المشرف","لا يوجد"))</f>
        <v/>
      </c>
      <c r="M110" s="3"/>
    </row>
    <row r="111" spans="1:13" x14ac:dyDescent="0.2">
      <c r="A111" s="3"/>
      <c r="B111" s="3"/>
      <c r="C111" s="3" t="str">
        <f>IFERROR(VLOOKUP(B111,'سجل الموظفين والكفاءة'!B:C,2,FALSE),"")</f>
        <v/>
      </c>
      <c r="D111" s="3" t="str">
        <f>IFERROR(VLOOKUP(B111,'سجل الموظفين والكفاءة'!B:E,4,FALSE),"")</f>
        <v/>
      </c>
      <c r="E111" s="3"/>
      <c r="F111" s="3"/>
      <c r="G111" s="7"/>
      <c r="H111" s="3" t="str">
        <f>IF(G111="","",IF(G111&gt;='الإعدادات والمستهدفات'!B6,"كفء ومستوفى عملياً","غير كفء - يلزم تدريب ميداني إضافي"))</f>
        <v/>
      </c>
      <c r="I111" s="3"/>
      <c r="J111" s="3"/>
      <c r="K111" s="3" t="str">
        <f>IF(G111="","",IF(G111&lt;'الإعدادات والمستهدفات'!B6,I111+14,"—"))</f>
        <v/>
      </c>
      <c r="L111" s="3" t="str">
        <f>IF(G111="","",IF(G111&lt;'الإعدادات والمستهدفات'!B6,"إعادة تدريب ميداني خلال 14 يوم ومراجعة مع المشرف","لا يوجد"))</f>
        <v/>
      </c>
      <c r="M111" s="3"/>
    </row>
    <row r="112" spans="1:13" x14ac:dyDescent="0.2">
      <c r="A112" s="3"/>
      <c r="B112" s="3"/>
      <c r="C112" s="3" t="str">
        <f>IFERROR(VLOOKUP(B112,'سجل الموظفين والكفاءة'!B:C,2,FALSE),"")</f>
        <v/>
      </c>
      <c r="D112" s="3" t="str">
        <f>IFERROR(VLOOKUP(B112,'سجل الموظفين والكفاءة'!B:E,4,FALSE),"")</f>
        <v/>
      </c>
      <c r="E112" s="3"/>
      <c r="F112" s="3"/>
      <c r="G112" s="7"/>
      <c r="H112" s="3" t="str">
        <f>IF(G112="","",IF(G112&gt;='الإعدادات والمستهدفات'!B6,"كفء ومستوفى عملياً","غير كفء - يلزم تدريب ميداني إضافي"))</f>
        <v/>
      </c>
      <c r="I112" s="3"/>
      <c r="J112" s="3"/>
      <c r="K112" s="3" t="str">
        <f>IF(G112="","",IF(G112&lt;'الإعدادات والمستهدفات'!B6,I112+14,"—"))</f>
        <v/>
      </c>
      <c r="L112" s="3" t="str">
        <f>IF(G112="","",IF(G112&lt;'الإعدادات والمستهدفات'!B6,"إعادة تدريب ميداني خلال 14 يوم ومراجعة مع المشرف","لا يوجد"))</f>
        <v/>
      </c>
      <c r="M112" s="3"/>
    </row>
    <row r="113" spans="1:13" x14ac:dyDescent="0.2">
      <c r="A113" s="3"/>
      <c r="B113" s="3"/>
      <c r="C113" s="3" t="str">
        <f>IFERROR(VLOOKUP(B113,'سجل الموظفين والكفاءة'!B:C,2,FALSE),"")</f>
        <v/>
      </c>
      <c r="D113" s="3" t="str">
        <f>IFERROR(VLOOKUP(B113,'سجل الموظفين والكفاءة'!B:E,4,FALSE),"")</f>
        <v/>
      </c>
      <c r="E113" s="3"/>
      <c r="F113" s="3"/>
      <c r="G113" s="7"/>
      <c r="H113" s="3" t="str">
        <f>IF(G113="","",IF(G113&gt;='الإعدادات والمستهدفات'!B6,"كفء ومستوفى عملياً","غير كفء - يلزم تدريب ميداني إضافي"))</f>
        <v/>
      </c>
      <c r="I113" s="3"/>
      <c r="J113" s="3"/>
      <c r="K113" s="3" t="str">
        <f>IF(G113="","",IF(G113&lt;'الإعدادات والمستهدفات'!B6,I113+14,"—"))</f>
        <v/>
      </c>
      <c r="L113" s="3" t="str">
        <f>IF(G113="","",IF(G113&lt;'الإعدادات والمستهدفات'!B6,"إعادة تدريب ميداني خلال 14 يوم ومراجعة مع المشرف","لا يوجد"))</f>
        <v/>
      </c>
      <c r="M113" s="3"/>
    </row>
    <row r="114" spans="1:13" x14ac:dyDescent="0.2">
      <c r="A114" s="3"/>
      <c r="B114" s="3"/>
      <c r="C114" s="3" t="str">
        <f>IFERROR(VLOOKUP(B114,'سجل الموظفين والكفاءة'!B:C,2,FALSE),"")</f>
        <v/>
      </c>
      <c r="D114" s="3" t="str">
        <f>IFERROR(VLOOKUP(B114,'سجل الموظفين والكفاءة'!B:E,4,FALSE),"")</f>
        <v/>
      </c>
      <c r="E114" s="3"/>
      <c r="F114" s="3"/>
      <c r="G114" s="7"/>
      <c r="H114" s="3" t="str">
        <f>IF(G114="","",IF(G114&gt;='الإعدادات والمستهدفات'!B6,"كفء ومستوفى عملياً","غير كفء - يلزم تدريب ميداني إضافي"))</f>
        <v/>
      </c>
      <c r="I114" s="3"/>
      <c r="J114" s="3"/>
      <c r="K114" s="3" t="str">
        <f>IF(G114="","",IF(G114&lt;'الإعدادات والمستهدفات'!B6,I114+14,"—"))</f>
        <v/>
      </c>
      <c r="L114" s="3" t="str">
        <f>IF(G114="","",IF(G114&lt;'الإعدادات والمستهدفات'!B6,"إعادة تدريب ميداني خلال 14 يوم ومراجعة مع المشرف","لا يوجد"))</f>
        <v/>
      </c>
      <c r="M114" s="3"/>
    </row>
    <row r="115" spans="1:13" x14ac:dyDescent="0.2">
      <c r="A115" s="3"/>
      <c r="B115" s="3"/>
      <c r="C115" s="3" t="str">
        <f>IFERROR(VLOOKUP(B115,'سجل الموظفين والكفاءة'!B:C,2,FALSE),"")</f>
        <v/>
      </c>
      <c r="D115" s="3" t="str">
        <f>IFERROR(VLOOKUP(B115,'سجل الموظفين والكفاءة'!B:E,4,FALSE),"")</f>
        <v/>
      </c>
      <c r="E115" s="3"/>
      <c r="F115" s="3"/>
      <c r="G115" s="7"/>
      <c r="H115" s="3" t="str">
        <f>IF(G115="","",IF(G115&gt;='الإعدادات والمستهدفات'!B6,"كفء ومستوفى عملياً","غير كفء - يلزم تدريب ميداني إضافي"))</f>
        <v/>
      </c>
      <c r="I115" s="3"/>
      <c r="J115" s="3"/>
      <c r="K115" s="3" t="str">
        <f>IF(G115="","",IF(G115&lt;'الإعدادات والمستهدفات'!B6,I115+14,"—"))</f>
        <v/>
      </c>
      <c r="L115" s="3" t="str">
        <f>IF(G115="","",IF(G115&lt;'الإعدادات والمستهدفات'!B6,"إعادة تدريب ميداني خلال 14 يوم ومراجعة مع المشرف","لا يوجد"))</f>
        <v/>
      </c>
      <c r="M115" s="3"/>
    </row>
    <row r="116" spans="1:13" x14ac:dyDescent="0.2">
      <c r="A116" s="3"/>
      <c r="B116" s="3"/>
      <c r="C116" s="3" t="str">
        <f>IFERROR(VLOOKUP(B116,'سجل الموظفين والكفاءة'!B:C,2,FALSE),"")</f>
        <v/>
      </c>
      <c r="D116" s="3" t="str">
        <f>IFERROR(VLOOKUP(B116,'سجل الموظفين والكفاءة'!B:E,4,FALSE),"")</f>
        <v/>
      </c>
      <c r="E116" s="3"/>
      <c r="F116" s="3"/>
      <c r="G116" s="7"/>
      <c r="H116" s="3" t="str">
        <f>IF(G116="","",IF(G116&gt;='الإعدادات والمستهدفات'!B6,"كفء ومستوفى عملياً","غير كفء - يلزم تدريب ميداني إضافي"))</f>
        <v/>
      </c>
      <c r="I116" s="3"/>
      <c r="J116" s="3"/>
      <c r="K116" s="3" t="str">
        <f>IF(G116="","",IF(G116&lt;'الإعدادات والمستهدفات'!B6,I116+14,"—"))</f>
        <v/>
      </c>
      <c r="L116" s="3" t="str">
        <f>IF(G116="","",IF(G116&lt;'الإعدادات والمستهدفات'!B6,"إعادة تدريب ميداني خلال 14 يوم ومراجعة مع المشرف","لا يوجد"))</f>
        <v/>
      </c>
      <c r="M116" s="3"/>
    </row>
    <row r="117" spans="1:13" x14ac:dyDescent="0.2">
      <c r="A117" s="3"/>
      <c r="B117" s="3"/>
      <c r="C117" s="3" t="str">
        <f>IFERROR(VLOOKUP(B117,'سجل الموظفين والكفاءة'!B:C,2,FALSE),"")</f>
        <v/>
      </c>
      <c r="D117" s="3" t="str">
        <f>IFERROR(VLOOKUP(B117,'سجل الموظفين والكفاءة'!B:E,4,FALSE),"")</f>
        <v/>
      </c>
      <c r="E117" s="3"/>
      <c r="F117" s="3"/>
      <c r="G117" s="7"/>
      <c r="H117" s="3" t="str">
        <f>IF(G117="","",IF(G117&gt;='الإعدادات والمستهدفات'!B6,"كفء ومستوفى عملياً","غير كفء - يلزم تدريب ميداني إضافي"))</f>
        <v/>
      </c>
      <c r="I117" s="3"/>
      <c r="J117" s="3"/>
      <c r="K117" s="3" t="str">
        <f>IF(G117="","",IF(G117&lt;'الإعدادات والمستهدفات'!B6,I117+14,"—"))</f>
        <v/>
      </c>
      <c r="L117" s="3" t="str">
        <f>IF(G117="","",IF(G117&lt;'الإعدادات والمستهدفات'!B6,"إعادة تدريب ميداني خلال 14 يوم ومراجعة مع المشرف","لا يوجد"))</f>
        <v/>
      </c>
      <c r="M117" s="3"/>
    </row>
    <row r="118" spans="1:13" x14ac:dyDescent="0.2">
      <c r="A118" s="3"/>
      <c r="B118" s="3"/>
      <c r="C118" s="3" t="str">
        <f>IFERROR(VLOOKUP(B118,'سجل الموظفين والكفاءة'!B:C,2,FALSE),"")</f>
        <v/>
      </c>
      <c r="D118" s="3" t="str">
        <f>IFERROR(VLOOKUP(B118,'سجل الموظفين والكفاءة'!B:E,4,FALSE),"")</f>
        <v/>
      </c>
      <c r="E118" s="3"/>
      <c r="F118" s="3"/>
      <c r="G118" s="7"/>
      <c r="H118" s="3" t="str">
        <f>IF(G118="","",IF(G118&gt;='الإعدادات والمستهدفات'!B6,"كفء ومستوفى عملياً","غير كفء - يلزم تدريب ميداني إضافي"))</f>
        <v/>
      </c>
      <c r="I118" s="3"/>
      <c r="J118" s="3"/>
      <c r="K118" s="3" t="str">
        <f>IF(G118="","",IF(G118&lt;'الإعدادات والمستهدفات'!B6,I118+14,"—"))</f>
        <v/>
      </c>
      <c r="L118" s="3" t="str">
        <f>IF(G118="","",IF(G118&lt;'الإعدادات والمستهدفات'!B6,"إعادة تدريب ميداني خلال 14 يوم ومراجعة مع المشرف","لا يوجد"))</f>
        <v/>
      </c>
      <c r="M118" s="3"/>
    </row>
    <row r="119" spans="1:13" x14ac:dyDescent="0.2">
      <c r="A119" s="3"/>
      <c r="B119" s="3"/>
      <c r="C119" s="3" t="str">
        <f>IFERROR(VLOOKUP(B119,'سجل الموظفين والكفاءة'!B:C,2,FALSE),"")</f>
        <v/>
      </c>
      <c r="D119" s="3" t="str">
        <f>IFERROR(VLOOKUP(B119,'سجل الموظفين والكفاءة'!B:E,4,FALSE),"")</f>
        <v/>
      </c>
      <c r="E119" s="3"/>
      <c r="F119" s="3"/>
      <c r="G119" s="7"/>
      <c r="H119" s="3" t="str">
        <f>IF(G119="","",IF(G119&gt;='الإعدادات والمستهدفات'!B6,"كفء ومستوفى عملياً","غير كفء - يلزم تدريب ميداني إضافي"))</f>
        <v/>
      </c>
      <c r="I119" s="3"/>
      <c r="J119" s="3"/>
      <c r="K119" s="3" t="str">
        <f>IF(G119="","",IF(G119&lt;'الإعدادات والمستهدفات'!B6,I119+14,"—"))</f>
        <v/>
      </c>
      <c r="L119" s="3" t="str">
        <f>IF(G119="","",IF(G119&lt;'الإعدادات والمستهدفات'!B6,"إعادة تدريب ميداني خلال 14 يوم ومراجعة مع المشرف","لا يوجد"))</f>
        <v/>
      </c>
      <c r="M119" s="3"/>
    </row>
    <row r="120" spans="1:13" x14ac:dyDescent="0.2">
      <c r="A120" s="3"/>
      <c r="B120" s="3"/>
      <c r="C120" s="3" t="str">
        <f>IFERROR(VLOOKUP(B120,'سجل الموظفين والكفاءة'!B:C,2,FALSE),"")</f>
        <v/>
      </c>
      <c r="D120" s="3" t="str">
        <f>IFERROR(VLOOKUP(B120,'سجل الموظفين والكفاءة'!B:E,4,FALSE),"")</f>
        <v/>
      </c>
      <c r="E120" s="3"/>
      <c r="F120" s="3"/>
      <c r="G120" s="7"/>
      <c r="H120" s="3" t="str">
        <f>IF(G120="","",IF(G120&gt;='الإعدادات والمستهدفات'!B6,"كفء ومستوفى عملياً","غير كفء - يلزم تدريب ميداني إضافي"))</f>
        <v/>
      </c>
      <c r="I120" s="3"/>
      <c r="J120" s="3"/>
      <c r="K120" s="3" t="str">
        <f>IF(G120="","",IF(G120&lt;'الإعدادات والمستهدفات'!B6,I120+14,"—"))</f>
        <v/>
      </c>
      <c r="L120" s="3" t="str">
        <f>IF(G120="","",IF(G120&lt;'الإعدادات والمستهدفات'!B6,"إعادة تدريب ميداني خلال 14 يوم ومراجعة مع المشرف","لا يوجد"))</f>
        <v/>
      </c>
      <c r="M120" s="3"/>
    </row>
    <row r="121" spans="1:13" x14ac:dyDescent="0.2">
      <c r="A121" s="3"/>
      <c r="B121" s="3"/>
      <c r="C121" s="3" t="str">
        <f>IFERROR(VLOOKUP(B121,'سجل الموظفين والكفاءة'!B:C,2,FALSE),"")</f>
        <v/>
      </c>
      <c r="D121" s="3" t="str">
        <f>IFERROR(VLOOKUP(B121,'سجل الموظفين والكفاءة'!B:E,4,FALSE),"")</f>
        <v/>
      </c>
      <c r="E121" s="3"/>
      <c r="F121" s="3"/>
      <c r="G121" s="7"/>
      <c r="H121" s="3" t="str">
        <f>IF(G121="","",IF(G121&gt;='الإعدادات والمستهدفات'!B6,"كفء ومستوفى عملياً","غير كفء - يلزم تدريب ميداني إضافي"))</f>
        <v/>
      </c>
      <c r="I121" s="3"/>
      <c r="J121" s="3"/>
      <c r="K121" s="3" t="str">
        <f>IF(G121="","",IF(G121&lt;'الإعدادات والمستهدفات'!B6,I121+14,"—"))</f>
        <v/>
      </c>
      <c r="L121" s="3" t="str">
        <f>IF(G121="","",IF(G121&lt;'الإعدادات والمستهدفات'!B6,"إعادة تدريب ميداني خلال 14 يوم ومراجعة مع المشرف","لا يوجد"))</f>
        <v/>
      </c>
      <c r="M121" s="3"/>
    </row>
    <row r="122" spans="1:13" x14ac:dyDescent="0.2">
      <c r="A122" s="3"/>
      <c r="B122" s="3"/>
      <c r="C122" s="3" t="str">
        <f>IFERROR(VLOOKUP(B122,'سجل الموظفين والكفاءة'!B:C,2,FALSE),"")</f>
        <v/>
      </c>
      <c r="D122" s="3" t="str">
        <f>IFERROR(VLOOKUP(B122,'سجل الموظفين والكفاءة'!B:E,4,FALSE),"")</f>
        <v/>
      </c>
      <c r="E122" s="3"/>
      <c r="F122" s="3"/>
      <c r="G122" s="7"/>
      <c r="H122" s="3" t="str">
        <f>IF(G122="","",IF(G122&gt;='الإعدادات والمستهدفات'!B6,"كفء ومستوفى عملياً","غير كفء - يلزم تدريب ميداني إضافي"))</f>
        <v/>
      </c>
      <c r="I122" s="3"/>
      <c r="J122" s="3"/>
      <c r="K122" s="3" t="str">
        <f>IF(G122="","",IF(G122&lt;'الإعدادات والمستهدفات'!B6,I122+14,"—"))</f>
        <v/>
      </c>
      <c r="L122" s="3" t="str">
        <f>IF(G122="","",IF(G122&lt;'الإعدادات والمستهدفات'!B6,"إعادة تدريب ميداني خلال 14 يوم ومراجعة مع المشرف","لا يوجد"))</f>
        <v/>
      </c>
      <c r="M122" s="3"/>
    </row>
    <row r="123" spans="1:13" x14ac:dyDescent="0.2">
      <c r="A123" s="3"/>
      <c r="B123" s="3"/>
      <c r="C123" s="3" t="str">
        <f>IFERROR(VLOOKUP(B123,'سجل الموظفين والكفاءة'!B:C,2,FALSE),"")</f>
        <v/>
      </c>
      <c r="D123" s="3" t="str">
        <f>IFERROR(VLOOKUP(B123,'سجل الموظفين والكفاءة'!B:E,4,FALSE),"")</f>
        <v/>
      </c>
      <c r="E123" s="3"/>
      <c r="F123" s="3"/>
      <c r="G123" s="7"/>
      <c r="H123" s="3" t="str">
        <f>IF(G123="","",IF(G123&gt;='الإعدادات والمستهدفات'!B6,"كفء ومستوفى عملياً","غير كفء - يلزم تدريب ميداني إضافي"))</f>
        <v/>
      </c>
      <c r="I123" s="3"/>
      <c r="J123" s="3"/>
      <c r="K123" s="3" t="str">
        <f>IF(G123="","",IF(G123&lt;'الإعدادات والمستهدفات'!B6,I123+14,"—"))</f>
        <v/>
      </c>
      <c r="L123" s="3" t="str">
        <f>IF(G123="","",IF(G123&lt;'الإعدادات والمستهدفات'!B6,"إعادة تدريب ميداني خلال 14 يوم ومراجعة مع المشرف","لا يوجد"))</f>
        <v/>
      </c>
      <c r="M123" s="3"/>
    </row>
    <row r="124" spans="1:13" x14ac:dyDescent="0.2">
      <c r="A124" s="3"/>
      <c r="B124" s="3"/>
      <c r="C124" s="3" t="str">
        <f>IFERROR(VLOOKUP(B124,'سجل الموظفين والكفاءة'!B:C,2,FALSE),"")</f>
        <v/>
      </c>
      <c r="D124" s="3" t="str">
        <f>IFERROR(VLOOKUP(B124,'سجل الموظفين والكفاءة'!B:E,4,FALSE),"")</f>
        <v/>
      </c>
      <c r="E124" s="3"/>
      <c r="F124" s="3"/>
      <c r="G124" s="7"/>
      <c r="H124" s="3" t="str">
        <f>IF(G124="","",IF(G124&gt;='الإعدادات والمستهدفات'!B6,"كفء ومستوفى عملياً","غير كفء - يلزم تدريب ميداني إضافي"))</f>
        <v/>
      </c>
      <c r="I124" s="3"/>
      <c r="J124" s="3"/>
      <c r="K124" s="3" t="str">
        <f>IF(G124="","",IF(G124&lt;'الإعدادات والمستهدفات'!B6,I124+14,"—"))</f>
        <v/>
      </c>
      <c r="L124" s="3" t="str">
        <f>IF(G124="","",IF(G124&lt;'الإعدادات والمستهدفات'!B6,"إعادة تدريب ميداني خلال 14 يوم ومراجعة مع المشرف","لا يوجد"))</f>
        <v/>
      </c>
      <c r="M124" s="3"/>
    </row>
    <row r="125" spans="1:13" x14ac:dyDescent="0.2">
      <c r="A125" s="3"/>
      <c r="B125" s="3"/>
      <c r="C125" s="3" t="str">
        <f>IFERROR(VLOOKUP(B125,'سجل الموظفين والكفاءة'!B:C,2,FALSE),"")</f>
        <v/>
      </c>
      <c r="D125" s="3" t="str">
        <f>IFERROR(VLOOKUP(B125,'سجل الموظفين والكفاءة'!B:E,4,FALSE),"")</f>
        <v/>
      </c>
      <c r="E125" s="3"/>
      <c r="F125" s="3"/>
      <c r="G125" s="7"/>
      <c r="H125" s="3" t="str">
        <f>IF(G125="","",IF(G125&gt;='الإعدادات والمستهدفات'!B6,"كفء ومستوفى عملياً","غير كفء - يلزم تدريب ميداني إضافي"))</f>
        <v/>
      </c>
      <c r="I125" s="3"/>
      <c r="J125" s="3"/>
      <c r="K125" s="3" t="str">
        <f>IF(G125="","",IF(G125&lt;'الإعدادات والمستهدفات'!B6,I125+14,"—"))</f>
        <v/>
      </c>
      <c r="L125" s="3" t="str">
        <f>IF(G125="","",IF(G125&lt;'الإعدادات والمستهدفات'!B6,"إعادة تدريب ميداني خلال 14 يوم ومراجعة مع المشرف","لا يوجد"))</f>
        <v/>
      </c>
      <c r="M125" s="3"/>
    </row>
    <row r="126" spans="1:13" x14ac:dyDescent="0.2">
      <c r="A126" s="3"/>
      <c r="B126" s="3"/>
      <c r="C126" s="3" t="str">
        <f>IFERROR(VLOOKUP(B126,'سجل الموظفين والكفاءة'!B:C,2,FALSE),"")</f>
        <v/>
      </c>
      <c r="D126" s="3" t="str">
        <f>IFERROR(VLOOKUP(B126,'سجل الموظفين والكفاءة'!B:E,4,FALSE),"")</f>
        <v/>
      </c>
      <c r="E126" s="3"/>
      <c r="F126" s="3"/>
      <c r="G126" s="7"/>
      <c r="H126" s="3" t="str">
        <f>IF(G126="","",IF(G126&gt;='الإعدادات والمستهدفات'!B6,"كفء ومستوفى عملياً","غير كفء - يلزم تدريب ميداني إضافي"))</f>
        <v/>
      </c>
      <c r="I126" s="3"/>
      <c r="J126" s="3"/>
      <c r="K126" s="3" t="str">
        <f>IF(G126="","",IF(G126&lt;'الإعدادات والمستهدفات'!B6,I126+14,"—"))</f>
        <v/>
      </c>
      <c r="L126" s="3" t="str">
        <f>IF(G126="","",IF(G126&lt;'الإعدادات والمستهدفات'!B6,"إعادة تدريب ميداني خلال 14 يوم ومراجعة مع المشرف","لا يوجد"))</f>
        <v/>
      </c>
      <c r="M126" s="3"/>
    </row>
    <row r="127" spans="1:13" x14ac:dyDescent="0.2">
      <c r="A127" s="3"/>
      <c r="B127" s="3"/>
      <c r="C127" s="3" t="str">
        <f>IFERROR(VLOOKUP(B127,'سجل الموظفين والكفاءة'!B:C,2,FALSE),"")</f>
        <v/>
      </c>
      <c r="D127" s="3" t="str">
        <f>IFERROR(VLOOKUP(B127,'سجل الموظفين والكفاءة'!B:E,4,FALSE),"")</f>
        <v/>
      </c>
      <c r="E127" s="3"/>
      <c r="F127" s="3"/>
      <c r="G127" s="7"/>
      <c r="H127" s="3" t="str">
        <f>IF(G127="","",IF(G127&gt;='الإعدادات والمستهدفات'!B6,"كفء ومستوفى عملياً","غير كفء - يلزم تدريب ميداني إضافي"))</f>
        <v/>
      </c>
      <c r="I127" s="3"/>
      <c r="J127" s="3"/>
      <c r="K127" s="3" t="str">
        <f>IF(G127="","",IF(G127&lt;'الإعدادات والمستهدفات'!B6,I127+14,"—"))</f>
        <v/>
      </c>
      <c r="L127" s="3" t="str">
        <f>IF(G127="","",IF(G127&lt;'الإعدادات والمستهدفات'!B6,"إعادة تدريب ميداني خلال 14 يوم ومراجعة مع المشرف","لا يوجد"))</f>
        <v/>
      </c>
      <c r="M127" s="3"/>
    </row>
    <row r="128" spans="1:13" x14ac:dyDescent="0.2">
      <c r="A128" s="3"/>
      <c r="B128" s="3"/>
      <c r="C128" s="3" t="str">
        <f>IFERROR(VLOOKUP(B128,'سجل الموظفين والكفاءة'!B:C,2,FALSE),"")</f>
        <v/>
      </c>
      <c r="D128" s="3" t="str">
        <f>IFERROR(VLOOKUP(B128,'سجل الموظفين والكفاءة'!B:E,4,FALSE),"")</f>
        <v/>
      </c>
      <c r="E128" s="3"/>
      <c r="F128" s="3"/>
      <c r="G128" s="7"/>
      <c r="H128" s="3" t="str">
        <f>IF(G128="","",IF(G128&gt;='الإعدادات والمستهدفات'!B6,"كفء ومستوفى عملياً","غير كفء - يلزم تدريب ميداني إضافي"))</f>
        <v/>
      </c>
      <c r="I128" s="3"/>
      <c r="J128" s="3"/>
      <c r="K128" s="3" t="str">
        <f>IF(G128="","",IF(G128&lt;'الإعدادات والمستهدفات'!B6,I128+14,"—"))</f>
        <v/>
      </c>
      <c r="L128" s="3" t="str">
        <f>IF(G128="","",IF(G128&lt;'الإعدادات والمستهدفات'!B6,"إعادة تدريب ميداني خلال 14 يوم ومراجعة مع المشرف","لا يوجد"))</f>
        <v/>
      </c>
      <c r="M128" s="3"/>
    </row>
    <row r="129" spans="1:13" x14ac:dyDescent="0.2">
      <c r="A129" s="3"/>
      <c r="B129" s="3"/>
      <c r="C129" s="3" t="str">
        <f>IFERROR(VLOOKUP(B129,'سجل الموظفين والكفاءة'!B:C,2,FALSE),"")</f>
        <v/>
      </c>
      <c r="D129" s="3" t="str">
        <f>IFERROR(VLOOKUP(B129,'سجل الموظفين والكفاءة'!B:E,4,FALSE),"")</f>
        <v/>
      </c>
      <c r="E129" s="3"/>
      <c r="F129" s="3"/>
      <c r="G129" s="7"/>
      <c r="H129" s="3" t="str">
        <f>IF(G129="","",IF(G129&gt;='الإعدادات والمستهدفات'!B6,"كفء ومستوفى عملياً","غير كفء - يلزم تدريب ميداني إضافي"))</f>
        <v/>
      </c>
      <c r="I129" s="3"/>
      <c r="J129" s="3"/>
      <c r="K129" s="3" t="str">
        <f>IF(G129="","",IF(G129&lt;'الإعدادات والمستهدفات'!B6,I129+14,"—"))</f>
        <v/>
      </c>
      <c r="L129" s="3" t="str">
        <f>IF(G129="","",IF(G129&lt;'الإعدادات والمستهدفات'!B6,"إعادة تدريب ميداني خلال 14 يوم ومراجعة مع المشرف","لا يوجد"))</f>
        <v/>
      </c>
      <c r="M129" s="3"/>
    </row>
    <row r="130" spans="1:13" x14ac:dyDescent="0.2">
      <c r="A130" s="3"/>
      <c r="B130" s="3"/>
      <c r="C130" s="3" t="str">
        <f>IFERROR(VLOOKUP(B130,'سجل الموظفين والكفاءة'!B:C,2,FALSE),"")</f>
        <v/>
      </c>
      <c r="D130" s="3" t="str">
        <f>IFERROR(VLOOKUP(B130,'سجل الموظفين والكفاءة'!B:E,4,FALSE),"")</f>
        <v/>
      </c>
      <c r="E130" s="3"/>
      <c r="F130" s="3"/>
      <c r="G130" s="7"/>
      <c r="H130" s="3" t="str">
        <f>IF(G130="","",IF(G130&gt;='الإعدادات والمستهدفات'!B6,"كفء ومستوفى عملياً","غير كفء - يلزم تدريب ميداني إضافي"))</f>
        <v/>
      </c>
      <c r="I130" s="3"/>
      <c r="J130" s="3"/>
      <c r="K130" s="3" t="str">
        <f>IF(G130="","",IF(G130&lt;'الإعدادات والمستهدفات'!B6,I130+14,"—"))</f>
        <v/>
      </c>
      <c r="L130" s="3" t="str">
        <f>IF(G130="","",IF(G130&lt;'الإعدادات والمستهدفات'!B6,"إعادة تدريب ميداني خلال 14 يوم ومراجعة مع المشرف","لا يوجد"))</f>
        <v/>
      </c>
      <c r="M130" s="3"/>
    </row>
    <row r="131" spans="1:13" x14ac:dyDescent="0.2">
      <c r="A131" s="3"/>
      <c r="B131" s="3"/>
      <c r="C131" s="3" t="str">
        <f>IFERROR(VLOOKUP(B131,'سجل الموظفين والكفاءة'!B:C,2,FALSE),"")</f>
        <v/>
      </c>
      <c r="D131" s="3" t="str">
        <f>IFERROR(VLOOKUP(B131,'سجل الموظفين والكفاءة'!B:E,4,FALSE),"")</f>
        <v/>
      </c>
      <c r="E131" s="3"/>
      <c r="F131" s="3"/>
      <c r="G131" s="7"/>
      <c r="H131" s="3" t="str">
        <f>IF(G131="","",IF(G131&gt;='الإعدادات والمستهدفات'!B6,"كفء ومستوفى عملياً","غير كفء - يلزم تدريب ميداني إضافي"))</f>
        <v/>
      </c>
      <c r="I131" s="3"/>
      <c r="J131" s="3"/>
      <c r="K131" s="3" t="str">
        <f>IF(G131="","",IF(G131&lt;'الإعدادات والمستهدفات'!B6,I131+14,"—"))</f>
        <v/>
      </c>
      <c r="L131" s="3" t="str">
        <f>IF(G131="","",IF(G131&lt;'الإعدادات والمستهدفات'!B6,"إعادة تدريب ميداني خلال 14 يوم ومراجعة مع المشرف","لا يوجد"))</f>
        <v/>
      </c>
      <c r="M131" s="3"/>
    </row>
    <row r="132" spans="1:13" x14ac:dyDescent="0.2">
      <c r="A132" s="3"/>
      <c r="B132" s="3"/>
      <c r="C132" s="3" t="str">
        <f>IFERROR(VLOOKUP(B132,'سجل الموظفين والكفاءة'!B:C,2,FALSE),"")</f>
        <v/>
      </c>
      <c r="D132" s="3" t="str">
        <f>IFERROR(VLOOKUP(B132,'سجل الموظفين والكفاءة'!B:E,4,FALSE),"")</f>
        <v/>
      </c>
      <c r="E132" s="3"/>
      <c r="F132" s="3"/>
      <c r="G132" s="7"/>
      <c r="H132" s="3" t="str">
        <f>IF(G132="","",IF(G132&gt;='الإعدادات والمستهدفات'!B6,"كفء ومستوفى عملياً","غير كفء - يلزم تدريب ميداني إضافي"))</f>
        <v/>
      </c>
      <c r="I132" s="3"/>
      <c r="J132" s="3"/>
      <c r="K132" s="3" t="str">
        <f>IF(G132="","",IF(G132&lt;'الإعدادات والمستهدفات'!B6,I132+14,"—"))</f>
        <v/>
      </c>
      <c r="L132" s="3" t="str">
        <f>IF(G132="","",IF(G132&lt;'الإعدادات والمستهدفات'!B6,"إعادة تدريب ميداني خلال 14 يوم ومراجعة مع المشرف","لا يوجد"))</f>
        <v/>
      </c>
      <c r="M132" s="3"/>
    </row>
    <row r="133" spans="1:13" x14ac:dyDescent="0.2">
      <c r="A133" s="3"/>
      <c r="B133" s="3"/>
      <c r="C133" s="3" t="str">
        <f>IFERROR(VLOOKUP(B133,'سجل الموظفين والكفاءة'!B:C,2,FALSE),"")</f>
        <v/>
      </c>
      <c r="D133" s="3" t="str">
        <f>IFERROR(VLOOKUP(B133,'سجل الموظفين والكفاءة'!B:E,4,FALSE),"")</f>
        <v/>
      </c>
      <c r="E133" s="3"/>
      <c r="F133" s="3"/>
      <c r="G133" s="7"/>
      <c r="H133" s="3" t="str">
        <f>IF(G133="","",IF(G133&gt;='الإعدادات والمستهدفات'!B6,"كفء ومستوفى عملياً","غير كفء - يلزم تدريب ميداني إضافي"))</f>
        <v/>
      </c>
      <c r="I133" s="3"/>
      <c r="J133" s="3"/>
      <c r="K133" s="3" t="str">
        <f>IF(G133="","",IF(G133&lt;'الإعدادات والمستهدفات'!B6,I133+14,"—"))</f>
        <v/>
      </c>
      <c r="L133" s="3" t="str">
        <f>IF(G133="","",IF(G133&lt;'الإعدادات والمستهدفات'!B6,"إعادة تدريب ميداني خلال 14 يوم ومراجعة مع المشرف","لا يوجد"))</f>
        <v/>
      </c>
      <c r="M133" s="3"/>
    </row>
    <row r="134" spans="1:13" x14ac:dyDescent="0.2">
      <c r="A134" s="3"/>
      <c r="B134" s="3"/>
      <c r="C134" s="3" t="str">
        <f>IFERROR(VLOOKUP(B134,'سجل الموظفين والكفاءة'!B:C,2,FALSE),"")</f>
        <v/>
      </c>
      <c r="D134" s="3" t="str">
        <f>IFERROR(VLOOKUP(B134,'سجل الموظفين والكفاءة'!B:E,4,FALSE),"")</f>
        <v/>
      </c>
      <c r="E134" s="3"/>
      <c r="F134" s="3"/>
      <c r="G134" s="7"/>
      <c r="H134" s="3" t="str">
        <f>IF(G134="","",IF(G134&gt;='الإعدادات والمستهدفات'!B6,"كفء ومستوفى عملياً","غير كفء - يلزم تدريب ميداني إضافي"))</f>
        <v/>
      </c>
      <c r="I134" s="3"/>
      <c r="J134" s="3"/>
      <c r="K134" s="3" t="str">
        <f>IF(G134="","",IF(G134&lt;'الإعدادات والمستهدفات'!B6,I134+14,"—"))</f>
        <v/>
      </c>
      <c r="L134" s="3" t="str">
        <f>IF(G134="","",IF(G134&lt;'الإعدادات والمستهدفات'!B6,"إعادة تدريب ميداني خلال 14 يوم ومراجعة مع المشرف","لا يوجد"))</f>
        <v/>
      </c>
      <c r="M134" s="3"/>
    </row>
    <row r="135" spans="1:13" x14ac:dyDescent="0.2">
      <c r="A135" s="3"/>
      <c r="B135" s="3"/>
      <c r="C135" s="3" t="str">
        <f>IFERROR(VLOOKUP(B135,'سجل الموظفين والكفاءة'!B:C,2,FALSE),"")</f>
        <v/>
      </c>
      <c r="D135" s="3" t="str">
        <f>IFERROR(VLOOKUP(B135,'سجل الموظفين والكفاءة'!B:E,4,FALSE),"")</f>
        <v/>
      </c>
      <c r="E135" s="3"/>
      <c r="F135" s="3"/>
      <c r="G135" s="7"/>
      <c r="H135" s="3" t="str">
        <f>IF(G135="","",IF(G135&gt;='الإعدادات والمستهدفات'!B6,"كفء ومستوفى عملياً","غير كفء - يلزم تدريب ميداني إضافي"))</f>
        <v/>
      </c>
      <c r="I135" s="3"/>
      <c r="J135" s="3"/>
      <c r="K135" s="3" t="str">
        <f>IF(G135="","",IF(G135&lt;'الإعدادات والمستهدفات'!B6,I135+14,"—"))</f>
        <v/>
      </c>
      <c r="L135" s="3" t="str">
        <f>IF(G135="","",IF(G135&lt;'الإعدادات والمستهدفات'!B6,"إعادة تدريب ميداني خلال 14 يوم ومراجعة مع المشرف","لا يوجد"))</f>
        <v/>
      </c>
      <c r="M135" s="3"/>
    </row>
    <row r="136" spans="1:13" x14ac:dyDescent="0.2">
      <c r="A136" s="3"/>
      <c r="B136" s="3"/>
      <c r="C136" s="3" t="str">
        <f>IFERROR(VLOOKUP(B136,'سجل الموظفين والكفاءة'!B:C,2,FALSE),"")</f>
        <v/>
      </c>
      <c r="D136" s="3" t="str">
        <f>IFERROR(VLOOKUP(B136,'سجل الموظفين والكفاءة'!B:E,4,FALSE),"")</f>
        <v/>
      </c>
      <c r="E136" s="3"/>
      <c r="F136" s="3"/>
      <c r="G136" s="7"/>
      <c r="H136" s="3" t="str">
        <f>IF(G136="","",IF(G136&gt;='الإعدادات والمستهدفات'!B6,"كفء ومستوفى عملياً","غير كفء - يلزم تدريب ميداني إضافي"))</f>
        <v/>
      </c>
      <c r="I136" s="3"/>
      <c r="J136" s="3"/>
      <c r="K136" s="3" t="str">
        <f>IF(G136="","",IF(G136&lt;'الإعدادات والمستهدفات'!B6,I136+14,"—"))</f>
        <v/>
      </c>
      <c r="L136" s="3" t="str">
        <f>IF(G136="","",IF(G136&lt;'الإعدادات والمستهدفات'!B6,"إعادة تدريب ميداني خلال 14 يوم ومراجعة مع المشرف","لا يوجد"))</f>
        <v/>
      </c>
      <c r="M136" s="3"/>
    </row>
    <row r="137" spans="1:13" x14ac:dyDescent="0.2">
      <c r="A137" s="3"/>
      <c r="B137" s="3"/>
      <c r="C137" s="3" t="str">
        <f>IFERROR(VLOOKUP(B137,'سجل الموظفين والكفاءة'!B:C,2,FALSE),"")</f>
        <v/>
      </c>
      <c r="D137" s="3" t="str">
        <f>IFERROR(VLOOKUP(B137,'سجل الموظفين والكفاءة'!B:E,4,FALSE),"")</f>
        <v/>
      </c>
      <c r="E137" s="3"/>
      <c r="F137" s="3"/>
      <c r="G137" s="7"/>
      <c r="H137" s="3" t="str">
        <f>IF(G137="","",IF(G137&gt;='الإعدادات والمستهدفات'!B6,"كفء ومستوفى عملياً","غير كفء - يلزم تدريب ميداني إضافي"))</f>
        <v/>
      </c>
      <c r="I137" s="3"/>
      <c r="J137" s="3"/>
      <c r="K137" s="3" t="str">
        <f>IF(G137="","",IF(G137&lt;'الإعدادات والمستهدفات'!B6,I137+14,"—"))</f>
        <v/>
      </c>
      <c r="L137" s="3" t="str">
        <f>IF(G137="","",IF(G137&lt;'الإعدادات والمستهدفات'!B6,"إعادة تدريب ميداني خلال 14 يوم ومراجعة مع المشرف","لا يوجد"))</f>
        <v/>
      </c>
      <c r="M137" s="3"/>
    </row>
    <row r="138" spans="1:13" x14ac:dyDescent="0.2">
      <c r="A138" s="3"/>
      <c r="B138" s="3"/>
      <c r="C138" s="3" t="str">
        <f>IFERROR(VLOOKUP(B138,'سجل الموظفين والكفاءة'!B:C,2,FALSE),"")</f>
        <v/>
      </c>
      <c r="D138" s="3" t="str">
        <f>IFERROR(VLOOKUP(B138,'سجل الموظفين والكفاءة'!B:E,4,FALSE),"")</f>
        <v/>
      </c>
      <c r="E138" s="3"/>
      <c r="F138" s="3"/>
      <c r="G138" s="7"/>
      <c r="H138" s="3" t="str">
        <f>IF(G138="","",IF(G138&gt;='الإعدادات والمستهدفات'!B6,"كفء ومستوفى عملياً","غير كفء - يلزم تدريب ميداني إضافي"))</f>
        <v/>
      </c>
      <c r="I138" s="3"/>
      <c r="J138" s="3"/>
      <c r="K138" s="3" t="str">
        <f>IF(G138="","",IF(G138&lt;'الإعدادات والمستهدفات'!B6,I138+14,"—"))</f>
        <v/>
      </c>
      <c r="L138" s="3" t="str">
        <f>IF(G138="","",IF(G138&lt;'الإعدادات والمستهدفات'!B6,"إعادة تدريب ميداني خلال 14 يوم ومراجعة مع المشرف","لا يوجد"))</f>
        <v/>
      </c>
      <c r="M138" s="3"/>
    </row>
    <row r="139" spans="1:13" x14ac:dyDescent="0.2">
      <c r="A139" s="3"/>
      <c r="B139" s="3"/>
      <c r="C139" s="3" t="str">
        <f>IFERROR(VLOOKUP(B139,'سجل الموظفين والكفاءة'!B:C,2,FALSE),"")</f>
        <v/>
      </c>
      <c r="D139" s="3" t="str">
        <f>IFERROR(VLOOKUP(B139,'سجل الموظفين والكفاءة'!B:E,4,FALSE),"")</f>
        <v/>
      </c>
      <c r="E139" s="3"/>
      <c r="F139" s="3"/>
      <c r="G139" s="7"/>
      <c r="H139" s="3" t="str">
        <f>IF(G139="","",IF(G139&gt;='الإعدادات والمستهدفات'!B6,"كفء ومستوفى عملياً","غير كفء - يلزم تدريب ميداني إضافي"))</f>
        <v/>
      </c>
      <c r="I139" s="3"/>
      <c r="J139" s="3"/>
      <c r="K139" s="3" t="str">
        <f>IF(G139="","",IF(G139&lt;'الإعدادات والمستهدفات'!B6,I139+14,"—"))</f>
        <v/>
      </c>
      <c r="L139" s="3" t="str">
        <f>IF(G139="","",IF(G139&lt;'الإعدادات والمستهدفات'!B6,"إعادة تدريب ميداني خلال 14 يوم ومراجعة مع المشرف","لا يوجد"))</f>
        <v/>
      </c>
      <c r="M139" s="3"/>
    </row>
    <row r="140" spans="1:13" x14ac:dyDescent="0.2">
      <c r="A140" s="3"/>
      <c r="B140" s="3"/>
      <c r="C140" s="3" t="str">
        <f>IFERROR(VLOOKUP(B140,'سجل الموظفين والكفاءة'!B:C,2,FALSE),"")</f>
        <v/>
      </c>
      <c r="D140" s="3" t="str">
        <f>IFERROR(VLOOKUP(B140,'سجل الموظفين والكفاءة'!B:E,4,FALSE),"")</f>
        <v/>
      </c>
      <c r="E140" s="3"/>
      <c r="F140" s="3"/>
      <c r="G140" s="7"/>
      <c r="H140" s="3" t="str">
        <f>IF(G140="","",IF(G140&gt;='الإعدادات والمستهدفات'!B6,"كفء ومستوفى عملياً","غير كفء - يلزم تدريب ميداني إضافي"))</f>
        <v/>
      </c>
      <c r="I140" s="3"/>
      <c r="J140" s="3"/>
      <c r="K140" s="3" t="str">
        <f>IF(G140="","",IF(G140&lt;'الإعدادات والمستهدفات'!B6,I140+14,"—"))</f>
        <v/>
      </c>
      <c r="L140" s="3" t="str">
        <f>IF(G140="","",IF(G140&lt;'الإعدادات والمستهدفات'!B6,"إعادة تدريب ميداني خلال 14 يوم ومراجعة مع المشرف","لا يوجد"))</f>
        <v/>
      </c>
      <c r="M140" s="3"/>
    </row>
    <row r="141" spans="1:13" x14ac:dyDescent="0.2">
      <c r="A141" s="3"/>
      <c r="B141" s="3"/>
      <c r="C141" s="3" t="str">
        <f>IFERROR(VLOOKUP(B141,'سجل الموظفين والكفاءة'!B:C,2,FALSE),"")</f>
        <v/>
      </c>
      <c r="D141" s="3" t="str">
        <f>IFERROR(VLOOKUP(B141,'سجل الموظفين والكفاءة'!B:E,4,FALSE),"")</f>
        <v/>
      </c>
      <c r="E141" s="3"/>
      <c r="F141" s="3"/>
      <c r="G141" s="7"/>
      <c r="H141" s="3" t="str">
        <f>IF(G141="","",IF(G141&gt;='الإعدادات والمستهدفات'!B6,"كفء ومستوفى عملياً","غير كفء - يلزم تدريب ميداني إضافي"))</f>
        <v/>
      </c>
      <c r="I141" s="3"/>
      <c r="J141" s="3"/>
      <c r="K141" s="3" t="str">
        <f>IF(G141="","",IF(G141&lt;'الإعدادات والمستهدفات'!B6,I141+14,"—"))</f>
        <v/>
      </c>
      <c r="L141" s="3" t="str">
        <f>IF(G141="","",IF(G141&lt;'الإعدادات والمستهدفات'!B6,"إعادة تدريب ميداني خلال 14 يوم ومراجعة مع المشرف","لا يوجد"))</f>
        <v/>
      </c>
      <c r="M141" s="3"/>
    </row>
    <row r="142" spans="1:13" x14ac:dyDescent="0.2">
      <c r="A142" s="3"/>
      <c r="B142" s="3"/>
      <c r="C142" s="3" t="str">
        <f>IFERROR(VLOOKUP(B142,'سجل الموظفين والكفاءة'!B:C,2,FALSE),"")</f>
        <v/>
      </c>
      <c r="D142" s="3" t="str">
        <f>IFERROR(VLOOKUP(B142,'سجل الموظفين والكفاءة'!B:E,4,FALSE),"")</f>
        <v/>
      </c>
      <c r="E142" s="3"/>
      <c r="F142" s="3"/>
      <c r="G142" s="7"/>
      <c r="H142" s="3" t="str">
        <f>IF(G142="","",IF(G142&gt;='الإعدادات والمستهدفات'!B6,"كفء ومستوفى عملياً","غير كفء - يلزم تدريب ميداني إضافي"))</f>
        <v/>
      </c>
      <c r="I142" s="3"/>
      <c r="J142" s="3"/>
      <c r="K142" s="3" t="str">
        <f>IF(G142="","",IF(G142&lt;'الإعدادات والمستهدفات'!B6,I142+14,"—"))</f>
        <v/>
      </c>
      <c r="L142" s="3" t="str">
        <f>IF(G142="","",IF(G142&lt;'الإعدادات والمستهدفات'!B6,"إعادة تدريب ميداني خلال 14 يوم ومراجعة مع المشرف","لا يوجد"))</f>
        <v/>
      </c>
      <c r="M142" s="3"/>
    </row>
    <row r="143" spans="1:13" x14ac:dyDescent="0.2">
      <c r="A143" s="3"/>
      <c r="B143" s="3"/>
      <c r="C143" s="3" t="str">
        <f>IFERROR(VLOOKUP(B143,'سجل الموظفين والكفاءة'!B:C,2,FALSE),"")</f>
        <v/>
      </c>
      <c r="D143" s="3" t="str">
        <f>IFERROR(VLOOKUP(B143,'سجل الموظفين والكفاءة'!B:E,4,FALSE),"")</f>
        <v/>
      </c>
      <c r="E143" s="3"/>
      <c r="F143" s="3"/>
      <c r="G143" s="7"/>
      <c r="H143" s="3" t="str">
        <f>IF(G143="","",IF(G143&gt;='الإعدادات والمستهدفات'!B6,"كفء ومستوفى عملياً","غير كفء - يلزم تدريب ميداني إضافي"))</f>
        <v/>
      </c>
      <c r="I143" s="3"/>
      <c r="J143" s="3"/>
      <c r="K143" s="3" t="str">
        <f>IF(G143="","",IF(G143&lt;'الإعدادات والمستهدفات'!B6,I143+14,"—"))</f>
        <v/>
      </c>
      <c r="L143" s="3" t="str">
        <f>IF(G143="","",IF(G143&lt;'الإعدادات والمستهدفات'!B6,"إعادة تدريب ميداني خلال 14 يوم ومراجعة مع المشرف","لا يوجد"))</f>
        <v/>
      </c>
      <c r="M143" s="3"/>
    </row>
    <row r="144" spans="1:13" x14ac:dyDescent="0.2">
      <c r="A144" s="3"/>
      <c r="B144" s="3"/>
      <c r="C144" s="3" t="str">
        <f>IFERROR(VLOOKUP(B144,'سجل الموظفين والكفاءة'!B:C,2,FALSE),"")</f>
        <v/>
      </c>
      <c r="D144" s="3" t="str">
        <f>IFERROR(VLOOKUP(B144,'سجل الموظفين والكفاءة'!B:E,4,FALSE),"")</f>
        <v/>
      </c>
      <c r="E144" s="3"/>
      <c r="F144" s="3"/>
      <c r="G144" s="7"/>
      <c r="H144" s="3" t="str">
        <f>IF(G144="","",IF(G144&gt;='الإعدادات والمستهدفات'!B6,"كفء ومستوفى عملياً","غير كفء - يلزم تدريب ميداني إضافي"))</f>
        <v/>
      </c>
      <c r="I144" s="3"/>
      <c r="J144" s="3"/>
      <c r="K144" s="3" t="str">
        <f>IF(G144="","",IF(G144&lt;'الإعدادات والمستهدفات'!B6,I144+14,"—"))</f>
        <v/>
      </c>
      <c r="L144" s="3" t="str">
        <f>IF(G144="","",IF(G144&lt;'الإعدادات والمستهدفات'!B6,"إعادة تدريب ميداني خلال 14 يوم ومراجعة مع المشرف","لا يوجد"))</f>
        <v/>
      </c>
      <c r="M144" s="3"/>
    </row>
    <row r="145" spans="1:13" x14ac:dyDescent="0.2">
      <c r="A145" s="3"/>
      <c r="B145" s="3"/>
      <c r="C145" s="3" t="str">
        <f>IFERROR(VLOOKUP(B145,'سجل الموظفين والكفاءة'!B:C,2,FALSE),"")</f>
        <v/>
      </c>
      <c r="D145" s="3" t="str">
        <f>IFERROR(VLOOKUP(B145,'سجل الموظفين والكفاءة'!B:E,4,FALSE),"")</f>
        <v/>
      </c>
      <c r="E145" s="3"/>
      <c r="F145" s="3"/>
      <c r="G145" s="7"/>
      <c r="H145" s="3" t="str">
        <f>IF(G145="","",IF(G145&gt;='الإعدادات والمستهدفات'!B6,"كفء ومستوفى عملياً","غير كفء - يلزم تدريب ميداني إضافي"))</f>
        <v/>
      </c>
      <c r="I145" s="3"/>
      <c r="J145" s="3"/>
      <c r="K145" s="3" t="str">
        <f>IF(G145="","",IF(G145&lt;'الإعدادات والمستهدفات'!B6,I145+14,"—"))</f>
        <v/>
      </c>
      <c r="L145" s="3" t="str">
        <f>IF(G145="","",IF(G145&lt;'الإعدادات والمستهدفات'!B6,"إعادة تدريب ميداني خلال 14 يوم ومراجعة مع المشرف","لا يوجد"))</f>
        <v/>
      </c>
      <c r="M145" s="3"/>
    </row>
    <row r="146" spans="1:13" x14ac:dyDescent="0.2">
      <c r="A146" s="3"/>
      <c r="B146" s="3"/>
      <c r="C146" s="3" t="str">
        <f>IFERROR(VLOOKUP(B146,'سجل الموظفين والكفاءة'!B:C,2,FALSE),"")</f>
        <v/>
      </c>
      <c r="D146" s="3" t="str">
        <f>IFERROR(VLOOKUP(B146,'سجل الموظفين والكفاءة'!B:E,4,FALSE),"")</f>
        <v/>
      </c>
      <c r="E146" s="3"/>
      <c r="F146" s="3"/>
      <c r="G146" s="7"/>
      <c r="H146" s="3" t="str">
        <f>IF(G146="","",IF(G146&gt;='الإعدادات والمستهدفات'!B6,"كفء ومستوفى عملياً","غير كفء - يلزم تدريب ميداني إضافي"))</f>
        <v/>
      </c>
      <c r="I146" s="3"/>
      <c r="J146" s="3"/>
      <c r="K146" s="3" t="str">
        <f>IF(G146="","",IF(G146&lt;'الإعدادات والمستهدفات'!B6,I146+14,"—"))</f>
        <v/>
      </c>
      <c r="L146" s="3" t="str">
        <f>IF(G146="","",IF(G146&lt;'الإعدادات والمستهدفات'!B6,"إعادة تدريب ميداني خلال 14 يوم ومراجعة مع المشرف","لا يوجد"))</f>
        <v/>
      </c>
      <c r="M146" s="3"/>
    </row>
    <row r="147" spans="1:13" x14ac:dyDescent="0.2">
      <c r="A147" s="3"/>
      <c r="B147" s="3"/>
      <c r="C147" s="3" t="str">
        <f>IFERROR(VLOOKUP(B147,'سجل الموظفين والكفاءة'!B:C,2,FALSE),"")</f>
        <v/>
      </c>
      <c r="D147" s="3" t="str">
        <f>IFERROR(VLOOKUP(B147,'سجل الموظفين والكفاءة'!B:E,4,FALSE),"")</f>
        <v/>
      </c>
      <c r="E147" s="3"/>
      <c r="F147" s="3"/>
      <c r="G147" s="7"/>
      <c r="H147" s="3" t="str">
        <f>IF(G147="","",IF(G147&gt;='الإعدادات والمستهدفات'!B6,"كفء ومستوفى عملياً","غير كفء - يلزم تدريب ميداني إضافي"))</f>
        <v/>
      </c>
      <c r="I147" s="3"/>
      <c r="J147" s="3"/>
      <c r="K147" s="3" t="str">
        <f>IF(G147="","",IF(G147&lt;'الإعدادات والمستهدفات'!B6,I147+14,"—"))</f>
        <v/>
      </c>
      <c r="L147" s="3" t="str">
        <f>IF(G147="","",IF(G147&lt;'الإعدادات والمستهدفات'!B6,"إعادة تدريب ميداني خلال 14 يوم ومراجعة مع المشرف","لا يوجد"))</f>
        <v/>
      </c>
      <c r="M147" s="3"/>
    </row>
    <row r="148" spans="1:13" x14ac:dyDescent="0.2">
      <c r="A148" s="3"/>
      <c r="B148" s="3"/>
      <c r="C148" s="3" t="str">
        <f>IFERROR(VLOOKUP(B148,'سجل الموظفين والكفاءة'!B:C,2,FALSE),"")</f>
        <v/>
      </c>
      <c r="D148" s="3" t="str">
        <f>IFERROR(VLOOKUP(B148,'سجل الموظفين والكفاءة'!B:E,4,FALSE),"")</f>
        <v/>
      </c>
      <c r="E148" s="3"/>
      <c r="F148" s="3"/>
      <c r="G148" s="7"/>
      <c r="H148" s="3" t="str">
        <f>IF(G148="","",IF(G148&gt;='الإعدادات والمستهدفات'!B6,"كفء ومستوفى عملياً","غير كفء - يلزم تدريب ميداني إضافي"))</f>
        <v/>
      </c>
      <c r="I148" s="3"/>
      <c r="J148" s="3"/>
      <c r="K148" s="3" t="str">
        <f>IF(G148="","",IF(G148&lt;'الإعدادات والمستهدفات'!B6,I148+14,"—"))</f>
        <v/>
      </c>
      <c r="L148" s="3" t="str">
        <f>IF(G148="","",IF(G148&lt;'الإعدادات والمستهدفات'!B6,"إعادة تدريب ميداني خلال 14 يوم ومراجعة مع المشرف","لا يوجد"))</f>
        <v/>
      </c>
      <c r="M148" s="3"/>
    </row>
    <row r="149" spans="1:13" x14ac:dyDescent="0.2">
      <c r="A149" s="3"/>
      <c r="B149" s="3"/>
      <c r="C149" s="3" t="str">
        <f>IFERROR(VLOOKUP(B149,'سجل الموظفين والكفاءة'!B:C,2,FALSE),"")</f>
        <v/>
      </c>
      <c r="D149" s="3" t="str">
        <f>IFERROR(VLOOKUP(B149,'سجل الموظفين والكفاءة'!B:E,4,FALSE),"")</f>
        <v/>
      </c>
      <c r="E149" s="3"/>
      <c r="F149" s="3"/>
      <c r="G149" s="7"/>
      <c r="H149" s="3" t="str">
        <f>IF(G149="","",IF(G149&gt;='الإعدادات والمستهدفات'!B6,"كفء ومستوفى عملياً","غير كفء - يلزم تدريب ميداني إضافي"))</f>
        <v/>
      </c>
      <c r="I149" s="3"/>
      <c r="J149" s="3"/>
      <c r="K149" s="3" t="str">
        <f>IF(G149="","",IF(G149&lt;'الإعدادات والمستهدفات'!B6,I149+14,"—"))</f>
        <v/>
      </c>
      <c r="L149" s="3" t="str">
        <f>IF(G149="","",IF(G149&lt;'الإعدادات والمستهدفات'!B6,"إعادة تدريب ميداني خلال 14 يوم ومراجعة مع المشرف","لا يوجد"))</f>
        <v/>
      </c>
      <c r="M149" s="3"/>
    </row>
    <row r="150" spans="1:13" x14ac:dyDescent="0.2">
      <c r="A150" s="3"/>
      <c r="B150" s="3"/>
      <c r="C150" s="3" t="str">
        <f>IFERROR(VLOOKUP(B150,'سجل الموظفين والكفاءة'!B:C,2,FALSE),"")</f>
        <v/>
      </c>
      <c r="D150" s="3" t="str">
        <f>IFERROR(VLOOKUP(B150,'سجل الموظفين والكفاءة'!B:E,4,FALSE),"")</f>
        <v/>
      </c>
      <c r="E150" s="3"/>
      <c r="F150" s="3"/>
      <c r="G150" s="7"/>
      <c r="H150" s="3" t="str">
        <f>IF(G150="","",IF(G150&gt;='الإعدادات والمستهدفات'!B6,"كفء ومستوفى عملياً","غير كفء - يلزم تدريب ميداني إضافي"))</f>
        <v/>
      </c>
      <c r="I150" s="3"/>
      <c r="J150" s="3"/>
      <c r="K150" s="3" t="str">
        <f>IF(G150="","",IF(G150&lt;'الإعدادات والمستهدفات'!B6,I150+14,"—"))</f>
        <v/>
      </c>
      <c r="L150" s="3" t="str">
        <f>IF(G150="","",IF(G150&lt;'الإعدادات والمستهدفات'!B6,"إعادة تدريب ميداني خلال 14 يوم ومراجعة مع المشرف","لا يوجد"))</f>
        <v/>
      </c>
      <c r="M150" s="3"/>
    </row>
    <row r="151" spans="1:13" x14ac:dyDescent="0.2">
      <c r="A151" s="3"/>
      <c r="B151" s="3"/>
      <c r="C151" s="3" t="str">
        <f>IFERROR(VLOOKUP(B151,'سجل الموظفين والكفاءة'!B:C,2,FALSE),"")</f>
        <v/>
      </c>
      <c r="D151" s="3" t="str">
        <f>IFERROR(VLOOKUP(B151,'سجل الموظفين والكفاءة'!B:E,4,FALSE),"")</f>
        <v/>
      </c>
      <c r="E151" s="3"/>
      <c r="F151" s="3"/>
      <c r="G151" s="7"/>
      <c r="H151" s="3" t="str">
        <f>IF(G151="","",IF(G151&gt;='الإعدادات والمستهدفات'!B6,"كفء ومستوفى عملياً","غير كفء - يلزم تدريب ميداني إضافي"))</f>
        <v/>
      </c>
      <c r="I151" s="3"/>
      <c r="J151" s="3"/>
      <c r="K151" s="3" t="str">
        <f>IF(G151="","",IF(G151&lt;'الإعدادات والمستهدفات'!B6,I151+14,"—"))</f>
        <v/>
      </c>
      <c r="L151" s="3" t="str">
        <f>IF(G151="","",IF(G151&lt;'الإعدادات والمستهدفات'!B6,"إعادة تدريب ميداني خلال 14 يوم ومراجعة مع المشرف","لا يوجد"))</f>
        <v/>
      </c>
      <c r="M151" s="3"/>
    </row>
    <row r="152" spans="1:13" x14ac:dyDescent="0.2">
      <c r="A152" s="3"/>
      <c r="B152" s="3"/>
      <c r="C152" s="3" t="str">
        <f>IFERROR(VLOOKUP(B152,'سجل الموظفين والكفاءة'!B:C,2,FALSE),"")</f>
        <v/>
      </c>
      <c r="D152" s="3" t="str">
        <f>IFERROR(VLOOKUP(B152,'سجل الموظفين والكفاءة'!B:E,4,FALSE),"")</f>
        <v/>
      </c>
      <c r="E152" s="3"/>
      <c r="F152" s="3"/>
      <c r="G152" s="7"/>
      <c r="H152" s="3" t="str">
        <f>IF(G152="","",IF(G152&gt;='الإعدادات والمستهدفات'!B6,"كفء ومستوفى عملياً","غير كفء - يلزم تدريب ميداني إضافي"))</f>
        <v/>
      </c>
      <c r="I152" s="3"/>
      <c r="J152" s="3"/>
      <c r="K152" s="3" t="str">
        <f>IF(G152="","",IF(G152&lt;'الإعدادات والمستهدفات'!B6,I152+14,"—"))</f>
        <v/>
      </c>
      <c r="L152" s="3" t="str">
        <f>IF(G152="","",IF(G152&lt;'الإعدادات والمستهدفات'!B6,"إعادة تدريب ميداني خلال 14 يوم ومراجعة مع المشرف","لا يوجد"))</f>
        <v/>
      </c>
      <c r="M152" s="3"/>
    </row>
    <row r="153" spans="1:13" x14ac:dyDescent="0.2">
      <c r="A153" s="3"/>
      <c r="B153" s="3"/>
      <c r="C153" s="3" t="str">
        <f>IFERROR(VLOOKUP(B153,'سجل الموظفين والكفاءة'!B:C,2,FALSE),"")</f>
        <v/>
      </c>
      <c r="D153" s="3" t="str">
        <f>IFERROR(VLOOKUP(B153,'سجل الموظفين والكفاءة'!B:E,4,FALSE),"")</f>
        <v/>
      </c>
      <c r="E153" s="3"/>
      <c r="F153" s="3"/>
      <c r="G153" s="7"/>
      <c r="H153" s="3" t="str">
        <f>IF(G153="","",IF(G153&gt;='الإعدادات والمستهدفات'!B6,"كفء ومستوفى عملياً","غير كفء - يلزم تدريب ميداني إضافي"))</f>
        <v/>
      </c>
      <c r="I153" s="3"/>
      <c r="J153" s="3"/>
      <c r="K153" s="3" t="str">
        <f>IF(G153="","",IF(G153&lt;'الإعدادات والمستهدفات'!B6,I153+14,"—"))</f>
        <v/>
      </c>
      <c r="L153" s="3" t="str">
        <f>IF(G153="","",IF(G153&lt;'الإعدادات والمستهدفات'!B6,"إعادة تدريب ميداني خلال 14 يوم ومراجعة مع المشرف","لا يوجد"))</f>
        <v/>
      </c>
      <c r="M153" s="3"/>
    </row>
    <row r="154" spans="1:13" x14ac:dyDescent="0.2">
      <c r="A154" s="3"/>
      <c r="B154" s="3"/>
      <c r="C154" s="3" t="str">
        <f>IFERROR(VLOOKUP(B154,'سجل الموظفين والكفاءة'!B:C,2,FALSE),"")</f>
        <v/>
      </c>
      <c r="D154" s="3" t="str">
        <f>IFERROR(VLOOKUP(B154,'سجل الموظفين والكفاءة'!B:E,4,FALSE),"")</f>
        <v/>
      </c>
      <c r="E154" s="3"/>
      <c r="F154" s="3"/>
      <c r="G154" s="7"/>
      <c r="H154" s="3" t="str">
        <f>IF(G154="","",IF(G154&gt;='الإعدادات والمستهدفات'!B6,"كفء ومستوفى عملياً","غير كفء - يلزم تدريب ميداني إضافي"))</f>
        <v/>
      </c>
      <c r="I154" s="3"/>
      <c r="J154" s="3"/>
      <c r="K154" s="3" t="str">
        <f>IF(G154="","",IF(G154&lt;'الإعدادات والمستهدفات'!B6,I154+14,"—"))</f>
        <v/>
      </c>
      <c r="L154" s="3" t="str">
        <f>IF(G154="","",IF(G154&lt;'الإعدادات والمستهدفات'!B6,"إعادة تدريب ميداني خلال 14 يوم ومراجعة مع المشرف","لا يوجد"))</f>
        <v/>
      </c>
      <c r="M154" s="3"/>
    </row>
    <row r="155" spans="1:13" x14ac:dyDescent="0.2">
      <c r="A155" s="3"/>
      <c r="B155" s="3"/>
      <c r="C155" s="3" t="str">
        <f>IFERROR(VLOOKUP(B155,'سجل الموظفين والكفاءة'!B:C,2,FALSE),"")</f>
        <v/>
      </c>
      <c r="D155" s="3" t="str">
        <f>IFERROR(VLOOKUP(B155,'سجل الموظفين والكفاءة'!B:E,4,FALSE),"")</f>
        <v/>
      </c>
      <c r="E155" s="3"/>
      <c r="F155" s="3"/>
      <c r="G155" s="7"/>
      <c r="H155" s="3" t="str">
        <f>IF(G155="","",IF(G155&gt;='الإعدادات والمستهدفات'!B6,"كفء ومستوفى عملياً","غير كفء - يلزم تدريب ميداني إضافي"))</f>
        <v/>
      </c>
      <c r="I155" s="3"/>
      <c r="J155" s="3"/>
      <c r="K155" s="3" t="str">
        <f>IF(G155="","",IF(G155&lt;'الإعدادات والمستهدفات'!B6,I155+14,"—"))</f>
        <v/>
      </c>
      <c r="L155" s="3" t="str">
        <f>IF(G155="","",IF(G155&lt;'الإعدادات والمستهدفات'!B6,"إعادة تدريب ميداني خلال 14 يوم ومراجعة مع المشرف","لا يوجد"))</f>
        <v/>
      </c>
      <c r="M155" s="3"/>
    </row>
    <row r="156" spans="1:13" x14ac:dyDescent="0.2">
      <c r="A156" s="3"/>
      <c r="B156" s="3"/>
      <c r="C156" s="3" t="str">
        <f>IFERROR(VLOOKUP(B156,'سجل الموظفين والكفاءة'!B:C,2,FALSE),"")</f>
        <v/>
      </c>
      <c r="D156" s="3" t="str">
        <f>IFERROR(VLOOKUP(B156,'سجل الموظفين والكفاءة'!B:E,4,FALSE),"")</f>
        <v/>
      </c>
      <c r="E156" s="3"/>
      <c r="F156" s="3"/>
      <c r="G156" s="7"/>
      <c r="H156" s="3" t="str">
        <f>IF(G156="","",IF(G156&gt;='الإعدادات والمستهدفات'!B6,"كفء ومستوفى عملياً","غير كفء - يلزم تدريب ميداني إضافي"))</f>
        <v/>
      </c>
      <c r="I156" s="3"/>
      <c r="J156" s="3"/>
      <c r="K156" s="3" t="str">
        <f>IF(G156="","",IF(G156&lt;'الإعدادات والمستهدفات'!B6,I156+14,"—"))</f>
        <v/>
      </c>
      <c r="L156" s="3" t="str">
        <f>IF(G156="","",IF(G156&lt;'الإعدادات والمستهدفات'!B6,"إعادة تدريب ميداني خلال 14 يوم ومراجعة مع المشرف","لا يوجد"))</f>
        <v/>
      </c>
      <c r="M156" s="3"/>
    </row>
    <row r="157" spans="1:13" x14ac:dyDescent="0.2">
      <c r="A157" s="3"/>
      <c r="B157" s="3"/>
      <c r="C157" s="3" t="str">
        <f>IFERROR(VLOOKUP(B157,'سجل الموظفين والكفاءة'!B:C,2,FALSE),"")</f>
        <v/>
      </c>
      <c r="D157" s="3" t="str">
        <f>IFERROR(VLOOKUP(B157,'سجل الموظفين والكفاءة'!B:E,4,FALSE),"")</f>
        <v/>
      </c>
      <c r="E157" s="3"/>
      <c r="F157" s="3"/>
      <c r="G157" s="7"/>
      <c r="H157" s="3" t="str">
        <f>IF(G157="","",IF(G157&gt;='الإعدادات والمستهدفات'!B6,"كفء ومستوفى عملياً","غير كفء - يلزم تدريب ميداني إضافي"))</f>
        <v/>
      </c>
      <c r="I157" s="3"/>
      <c r="J157" s="3"/>
      <c r="K157" s="3" t="str">
        <f>IF(G157="","",IF(G157&lt;'الإعدادات والمستهدفات'!B6,I157+14,"—"))</f>
        <v/>
      </c>
      <c r="L157" s="3" t="str">
        <f>IF(G157="","",IF(G157&lt;'الإعدادات والمستهدفات'!B6,"إعادة تدريب ميداني خلال 14 يوم ومراجعة مع المشرف","لا يوجد"))</f>
        <v/>
      </c>
      <c r="M157" s="3"/>
    </row>
    <row r="158" spans="1:13" x14ac:dyDescent="0.2">
      <c r="A158" s="3"/>
      <c r="B158" s="3"/>
      <c r="C158" s="3" t="str">
        <f>IFERROR(VLOOKUP(B158,'سجل الموظفين والكفاءة'!B:C,2,FALSE),"")</f>
        <v/>
      </c>
      <c r="D158" s="3" t="str">
        <f>IFERROR(VLOOKUP(B158,'سجل الموظفين والكفاءة'!B:E,4,FALSE),"")</f>
        <v/>
      </c>
      <c r="E158" s="3"/>
      <c r="F158" s="3"/>
      <c r="G158" s="7"/>
      <c r="H158" s="3" t="str">
        <f>IF(G158="","",IF(G158&gt;='الإعدادات والمستهدفات'!B6,"كفء ومستوفى عملياً","غير كفء - يلزم تدريب ميداني إضافي"))</f>
        <v/>
      </c>
      <c r="I158" s="3"/>
      <c r="J158" s="3"/>
      <c r="K158" s="3" t="str">
        <f>IF(G158="","",IF(G158&lt;'الإعدادات والمستهدفات'!B6,I158+14,"—"))</f>
        <v/>
      </c>
      <c r="L158" s="3" t="str">
        <f>IF(G158="","",IF(G158&lt;'الإعدادات والمستهدفات'!B6,"إعادة تدريب ميداني خلال 14 يوم ومراجعة مع المشرف","لا يوجد"))</f>
        <v/>
      </c>
      <c r="M158" s="3"/>
    </row>
    <row r="159" spans="1:13" x14ac:dyDescent="0.2">
      <c r="A159" s="3"/>
      <c r="B159" s="3"/>
      <c r="C159" s="3" t="str">
        <f>IFERROR(VLOOKUP(B159,'سجل الموظفين والكفاءة'!B:C,2,FALSE),"")</f>
        <v/>
      </c>
      <c r="D159" s="3" t="str">
        <f>IFERROR(VLOOKUP(B159,'سجل الموظفين والكفاءة'!B:E,4,FALSE),"")</f>
        <v/>
      </c>
      <c r="E159" s="3"/>
      <c r="F159" s="3"/>
      <c r="G159" s="7"/>
      <c r="H159" s="3" t="str">
        <f>IF(G159="","",IF(G159&gt;='الإعدادات والمستهدفات'!B6,"كفء ومستوفى عملياً","غير كفء - يلزم تدريب ميداني إضافي"))</f>
        <v/>
      </c>
      <c r="I159" s="3"/>
      <c r="J159" s="3"/>
      <c r="K159" s="3" t="str">
        <f>IF(G159="","",IF(G159&lt;'الإعدادات والمستهدفات'!B6,I159+14,"—"))</f>
        <v/>
      </c>
      <c r="L159" s="3" t="str">
        <f>IF(G159="","",IF(G159&lt;'الإعدادات والمستهدفات'!B6,"إعادة تدريب ميداني خلال 14 يوم ومراجعة مع المشرف","لا يوجد"))</f>
        <v/>
      </c>
      <c r="M159" s="3"/>
    </row>
    <row r="160" spans="1:13" x14ac:dyDescent="0.2">
      <c r="A160" s="3"/>
      <c r="B160" s="3"/>
      <c r="C160" s="3" t="str">
        <f>IFERROR(VLOOKUP(B160,'سجل الموظفين والكفاءة'!B:C,2,FALSE),"")</f>
        <v/>
      </c>
      <c r="D160" s="3" t="str">
        <f>IFERROR(VLOOKUP(B160,'سجل الموظفين والكفاءة'!B:E,4,FALSE),"")</f>
        <v/>
      </c>
      <c r="E160" s="3"/>
      <c r="F160" s="3"/>
      <c r="G160" s="7"/>
      <c r="H160" s="3" t="str">
        <f>IF(G160="","",IF(G160&gt;='الإعدادات والمستهدفات'!B6,"كفء ومستوفى عملياً","غير كفء - يلزم تدريب ميداني إضافي"))</f>
        <v/>
      </c>
      <c r="I160" s="3"/>
      <c r="J160" s="3"/>
      <c r="K160" s="3" t="str">
        <f>IF(G160="","",IF(G160&lt;'الإعدادات والمستهدفات'!B6,I160+14,"—"))</f>
        <v/>
      </c>
      <c r="L160" s="3" t="str">
        <f>IF(G160="","",IF(G160&lt;'الإعدادات والمستهدفات'!B6,"إعادة تدريب ميداني خلال 14 يوم ومراجعة مع المشرف","لا يوجد"))</f>
        <v/>
      </c>
      <c r="M160" s="3"/>
    </row>
    <row r="161" spans="1:13" x14ac:dyDescent="0.2">
      <c r="A161" s="3"/>
      <c r="B161" s="3"/>
      <c r="C161" s="3" t="str">
        <f>IFERROR(VLOOKUP(B161,'سجل الموظفين والكفاءة'!B:C,2,FALSE),"")</f>
        <v/>
      </c>
      <c r="D161" s="3" t="str">
        <f>IFERROR(VLOOKUP(B161,'سجل الموظفين والكفاءة'!B:E,4,FALSE),"")</f>
        <v/>
      </c>
      <c r="E161" s="3"/>
      <c r="F161" s="3"/>
      <c r="G161" s="7"/>
      <c r="H161" s="3" t="str">
        <f>IF(G161="","",IF(G161&gt;='الإعدادات والمستهدفات'!B6,"كفء ومستوفى عملياً","غير كفء - يلزم تدريب ميداني إضافي"))</f>
        <v/>
      </c>
      <c r="I161" s="3"/>
      <c r="J161" s="3"/>
      <c r="K161" s="3" t="str">
        <f>IF(G161="","",IF(G161&lt;'الإعدادات والمستهدفات'!B6,I161+14,"—"))</f>
        <v/>
      </c>
      <c r="L161" s="3" t="str">
        <f>IF(G161="","",IF(G161&lt;'الإعدادات والمستهدفات'!B6,"إعادة تدريب ميداني خلال 14 يوم ومراجعة مع المشرف","لا يوجد"))</f>
        <v/>
      </c>
      <c r="M161" s="3"/>
    </row>
    <row r="162" spans="1:13" x14ac:dyDescent="0.2">
      <c r="A162" s="3"/>
      <c r="B162" s="3"/>
      <c r="C162" s="3" t="str">
        <f>IFERROR(VLOOKUP(B162,'سجل الموظفين والكفاءة'!B:C,2,FALSE),"")</f>
        <v/>
      </c>
      <c r="D162" s="3" t="str">
        <f>IFERROR(VLOOKUP(B162,'سجل الموظفين والكفاءة'!B:E,4,FALSE),"")</f>
        <v/>
      </c>
      <c r="E162" s="3"/>
      <c r="F162" s="3"/>
      <c r="G162" s="7"/>
      <c r="H162" s="3" t="str">
        <f>IF(G162="","",IF(G162&gt;='الإعدادات والمستهدفات'!B6,"كفء ومستوفى عملياً","غير كفء - يلزم تدريب ميداني إضافي"))</f>
        <v/>
      </c>
      <c r="I162" s="3"/>
      <c r="J162" s="3"/>
      <c r="K162" s="3" t="str">
        <f>IF(G162="","",IF(G162&lt;'الإعدادات والمستهدفات'!B6,I162+14,"—"))</f>
        <v/>
      </c>
      <c r="L162" s="3" t="str">
        <f>IF(G162="","",IF(G162&lt;'الإعدادات والمستهدفات'!B6,"إعادة تدريب ميداني خلال 14 يوم ومراجعة مع المشرف","لا يوجد"))</f>
        <v/>
      </c>
      <c r="M162" s="3"/>
    </row>
    <row r="163" spans="1:13" x14ac:dyDescent="0.2">
      <c r="A163" s="3"/>
      <c r="B163" s="3"/>
      <c r="C163" s="3" t="str">
        <f>IFERROR(VLOOKUP(B163,'سجل الموظفين والكفاءة'!B:C,2,FALSE),"")</f>
        <v/>
      </c>
      <c r="D163" s="3" t="str">
        <f>IFERROR(VLOOKUP(B163,'سجل الموظفين والكفاءة'!B:E,4,FALSE),"")</f>
        <v/>
      </c>
      <c r="E163" s="3"/>
      <c r="F163" s="3"/>
      <c r="G163" s="7"/>
      <c r="H163" s="3" t="str">
        <f>IF(G163="","",IF(G163&gt;='الإعدادات والمستهدفات'!B6,"كفء ومستوفى عملياً","غير كفء - يلزم تدريب ميداني إضافي"))</f>
        <v/>
      </c>
      <c r="I163" s="3"/>
      <c r="J163" s="3"/>
      <c r="K163" s="3" t="str">
        <f>IF(G163="","",IF(G163&lt;'الإعدادات والمستهدفات'!B6,I163+14,"—"))</f>
        <v/>
      </c>
      <c r="L163" s="3" t="str">
        <f>IF(G163="","",IF(G163&lt;'الإعدادات والمستهدفات'!B6,"إعادة تدريب ميداني خلال 14 يوم ومراجعة مع المشرف","لا يوجد"))</f>
        <v/>
      </c>
      <c r="M163" s="3"/>
    </row>
    <row r="164" spans="1:13" x14ac:dyDescent="0.2">
      <c r="A164" s="3"/>
      <c r="B164" s="3"/>
      <c r="C164" s="3" t="str">
        <f>IFERROR(VLOOKUP(B164,'سجل الموظفين والكفاءة'!B:C,2,FALSE),"")</f>
        <v/>
      </c>
      <c r="D164" s="3" t="str">
        <f>IFERROR(VLOOKUP(B164,'سجل الموظفين والكفاءة'!B:E,4,FALSE),"")</f>
        <v/>
      </c>
      <c r="E164" s="3"/>
      <c r="F164" s="3"/>
      <c r="G164" s="7"/>
      <c r="H164" s="3" t="str">
        <f>IF(G164="","",IF(G164&gt;='الإعدادات والمستهدفات'!B6,"كفء ومستوفى عملياً","غير كفء - يلزم تدريب ميداني إضافي"))</f>
        <v/>
      </c>
      <c r="I164" s="3"/>
      <c r="J164" s="3"/>
      <c r="K164" s="3" t="str">
        <f>IF(G164="","",IF(G164&lt;'الإعدادات والمستهدفات'!B6,I164+14,"—"))</f>
        <v/>
      </c>
      <c r="L164" s="3" t="str">
        <f>IF(G164="","",IF(G164&lt;'الإعدادات والمستهدفات'!B6,"إعادة تدريب ميداني خلال 14 يوم ومراجعة مع المشرف","لا يوجد"))</f>
        <v/>
      </c>
      <c r="M164" s="3"/>
    </row>
    <row r="165" spans="1:13" x14ac:dyDescent="0.2">
      <c r="A165" s="3"/>
      <c r="B165" s="3"/>
      <c r="C165" s="3" t="str">
        <f>IFERROR(VLOOKUP(B165,'سجل الموظفين والكفاءة'!B:C,2,FALSE),"")</f>
        <v/>
      </c>
      <c r="D165" s="3" t="str">
        <f>IFERROR(VLOOKUP(B165,'سجل الموظفين والكفاءة'!B:E,4,FALSE),"")</f>
        <v/>
      </c>
      <c r="E165" s="3"/>
      <c r="F165" s="3"/>
      <c r="G165" s="7"/>
      <c r="H165" s="3" t="str">
        <f>IF(G165="","",IF(G165&gt;='الإعدادات والمستهدفات'!B6,"كفء ومستوفى عملياً","غير كفء - يلزم تدريب ميداني إضافي"))</f>
        <v/>
      </c>
      <c r="I165" s="3"/>
      <c r="J165" s="3"/>
      <c r="K165" s="3" t="str">
        <f>IF(G165="","",IF(G165&lt;'الإعدادات والمستهدفات'!B6,I165+14,"—"))</f>
        <v/>
      </c>
      <c r="L165" s="3" t="str">
        <f>IF(G165="","",IF(G165&lt;'الإعدادات والمستهدفات'!B6,"إعادة تدريب ميداني خلال 14 يوم ومراجعة مع المشرف","لا يوجد"))</f>
        <v/>
      </c>
      <c r="M165" s="3"/>
    </row>
    <row r="166" spans="1:13" x14ac:dyDescent="0.2">
      <c r="A166" s="3"/>
      <c r="B166" s="3"/>
      <c r="C166" s="3" t="str">
        <f>IFERROR(VLOOKUP(B166,'سجل الموظفين والكفاءة'!B:C,2,FALSE),"")</f>
        <v/>
      </c>
      <c r="D166" s="3" t="str">
        <f>IFERROR(VLOOKUP(B166,'سجل الموظفين والكفاءة'!B:E,4,FALSE),"")</f>
        <v/>
      </c>
      <c r="E166" s="3"/>
      <c r="F166" s="3"/>
      <c r="G166" s="7"/>
      <c r="H166" s="3" t="str">
        <f>IF(G166="","",IF(G166&gt;='الإعدادات والمستهدفات'!B6,"كفء ومستوفى عملياً","غير كفء - يلزم تدريب ميداني إضافي"))</f>
        <v/>
      </c>
      <c r="I166" s="3"/>
      <c r="J166" s="3"/>
      <c r="K166" s="3" t="str">
        <f>IF(G166="","",IF(G166&lt;'الإعدادات والمستهدفات'!B6,I166+14,"—"))</f>
        <v/>
      </c>
      <c r="L166" s="3" t="str">
        <f>IF(G166="","",IF(G166&lt;'الإعدادات والمستهدفات'!B6,"إعادة تدريب ميداني خلال 14 يوم ومراجعة مع المشرف","لا يوجد"))</f>
        <v/>
      </c>
      <c r="M166" s="3"/>
    </row>
    <row r="167" spans="1:13" x14ac:dyDescent="0.2">
      <c r="A167" s="3"/>
      <c r="B167" s="3"/>
      <c r="C167" s="3" t="str">
        <f>IFERROR(VLOOKUP(B167,'سجل الموظفين والكفاءة'!B:C,2,FALSE),"")</f>
        <v/>
      </c>
      <c r="D167" s="3" t="str">
        <f>IFERROR(VLOOKUP(B167,'سجل الموظفين والكفاءة'!B:E,4,FALSE),"")</f>
        <v/>
      </c>
      <c r="E167" s="3"/>
      <c r="F167" s="3"/>
      <c r="G167" s="7"/>
      <c r="H167" s="3" t="str">
        <f>IF(G167="","",IF(G167&gt;='الإعدادات والمستهدفات'!B6,"كفء ومستوفى عملياً","غير كفء - يلزم تدريب ميداني إضافي"))</f>
        <v/>
      </c>
      <c r="I167" s="3"/>
      <c r="J167" s="3"/>
      <c r="K167" s="3" t="str">
        <f>IF(G167="","",IF(G167&lt;'الإعدادات والمستهدفات'!B6,I167+14,"—"))</f>
        <v/>
      </c>
      <c r="L167" s="3" t="str">
        <f>IF(G167="","",IF(G167&lt;'الإعدادات والمستهدفات'!B6,"إعادة تدريب ميداني خلال 14 يوم ومراجعة مع المشرف","لا يوجد"))</f>
        <v/>
      </c>
      <c r="M167" s="3"/>
    </row>
    <row r="168" spans="1:13" x14ac:dyDescent="0.2">
      <c r="A168" s="3"/>
      <c r="B168" s="3"/>
      <c r="C168" s="3" t="str">
        <f>IFERROR(VLOOKUP(B168,'سجل الموظفين والكفاءة'!B:C,2,FALSE),"")</f>
        <v/>
      </c>
      <c r="D168" s="3" t="str">
        <f>IFERROR(VLOOKUP(B168,'سجل الموظفين والكفاءة'!B:E,4,FALSE),"")</f>
        <v/>
      </c>
      <c r="E168" s="3"/>
      <c r="F168" s="3"/>
      <c r="G168" s="7"/>
      <c r="H168" s="3" t="str">
        <f>IF(G168="","",IF(G168&gt;='الإعدادات والمستهدفات'!B6,"كفء ومستوفى عملياً","غير كفء - يلزم تدريب ميداني إضافي"))</f>
        <v/>
      </c>
      <c r="I168" s="3"/>
      <c r="J168" s="3"/>
      <c r="K168" s="3" t="str">
        <f>IF(G168="","",IF(G168&lt;'الإعدادات والمستهدفات'!B6,I168+14,"—"))</f>
        <v/>
      </c>
      <c r="L168" s="3" t="str">
        <f>IF(G168="","",IF(G168&lt;'الإعدادات والمستهدفات'!B6,"إعادة تدريب ميداني خلال 14 يوم ومراجعة مع المشرف","لا يوجد"))</f>
        <v/>
      </c>
      <c r="M168" s="3"/>
    </row>
    <row r="169" spans="1:13" x14ac:dyDescent="0.2">
      <c r="A169" s="3"/>
      <c r="B169" s="3"/>
      <c r="C169" s="3" t="str">
        <f>IFERROR(VLOOKUP(B169,'سجل الموظفين والكفاءة'!B:C,2,FALSE),"")</f>
        <v/>
      </c>
      <c r="D169" s="3" t="str">
        <f>IFERROR(VLOOKUP(B169,'سجل الموظفين والكفاءة'!B:E,4,FALSE),"")</f>
        <v/>
      </c>
      <c r="E169" s="3"/>
      <c r="F169" s="3"/>
      <c r="G169" s="7"/>
      <c r="H169" s="3" t="str">
        <f>IF(G169="","",IF(G169&gt;='الإعدادات والمستهدفات'!B6,"كفء ومستوفى عملياً","غير كفء - يلزم تدريب ميداني إضافي"))</f>
        <v/>
      </c>
      <c r="I169" s="3"/>
      <c r="J169" s="3"/>
      <c r="K169" s="3" t="str">
        <f>IF(G169="","",IF(G169&lt;'الإعدادات والمستهدفات'!B6,I169+14,"—"))</f>
        <v/>
      </c>
      <c r="L169" s="3" t="str">
        <f>IF(G169="","",IF(G169&lt;'الإعدادات والمستهدفات'!B6,"إعادة تدريب ميداني خلال 14 يوم ومراجعة مع المشرف","لا يوجد"))</f>
        <v/>
      </c>
      <c r="M169" s="3"/>
    </row>
    <row r="170" spans="1:13" x14ac:dyDescent="0.2">
      <c r="A170" s="3"/>
      <c r="B170" s="3"/>
      <c r="C170" s="3" t="str">
        <f>IFERROR(VLOOKUP(B170,'سجل الموظفين والكفاءة'!B:C,2,FALSE),"")</f>
        <v/>
      </c>
      <c r="D170" s="3" t="str">
        <f>IFERROR(VLOOKUP(B170,'سجل الموظفين والكفاءة'!B:E,4,FALSE),"")</f>
        <v/>
      </c>
      <c r="E170" s="3"/>
      <c r="F170" s="3"/>
      <c r="G170" s="7"/>
      <c r="H170" s="3" t="str">
        <f>IF(G170="","",IF(G170&gt;='الإعدادات والمستهدفات'!B6,"كفء ومستوفى عملياً","غير كفء - يلزم تدريب ميداني إضافي"))</f>
        <v/>
      </c>
      <c r="I170" s="3"/>
      <c r="J170" s="3"/>
      <c r="K170" s="3" t="str">
        <f>IF(G170="","",IF(G170&lt;'الإعدادات والمستهدفات'!B6,I170+14,"—"))</f>
        <v/>
      </c>
      <c r="L170" s="3" t="str">
        <f>IF(G170="","",IF(G170&lt;'الإعدادات والمستهدفات'!B6,"إعادة تدريب ميداني خلال 14 يوم ومراجعة مع المشرف","لا يوجد"))</f>
        <v/>
      </c>
      <c r="M170" s="3"/>
    </row>
    <row r="171" spans="1:13" x14ac:dyDescent="0.2">
      <c r="A171" s="3"/>
      <c r="B171" s="3"/>
      <c r="C171" s="3" t="str">
        <f>IFERROR(VLOOKUP(B171,'سجل الموظفين والكفاءة'!B:C,2,FALSE),"")</f>
        <v/>
      </c>
      <c r="D171" s="3" t="str">
        <f>IFERROR(VLOOKUP(B171,'سجل الموظفين والكفاءة'!B:E,4,FALSE),"")</f>
        <v/>
      </c>
      <c r="E171" s="3"/>
      <c r="F171" s="3"/>
      <c r="G171" s="7"/>
      <c r="H171" s="3" t="str">
        <f>IF(G171="","",IF(G171&gt;='الإعدادات والمستهدفات'!B6,"كفء ومستوفى عملياً","غير كفء - يلزم تدريب ميداني إضافي"))</f>
        <v/>
      </c>
      <c r="I171" s="3"/>
      <c r="J171" s="3"/>
      <c r="K171" s="3" t="str">
        <f>IF(G171="","",IF(G171&lt;'الإعدادات والمستهدفات'!B6,I171+14,"—"))</f>
        <v/>
      </c>
      <c r="L171" s="3" t="str">
        <f>IF(G171="","",IF(G171&lt;'الإعدادات والمستهدفات'!B6,"إعادة تدريب ميداني خلال 14 يوم ومراجعة مع المشرف","لا يوجد"))</f>
        <v/>
      </c>
      <c r="M171" s="3"/>
    </row>
    <row r="172" spans="1:13" x14ac:dyDescent="0.2">
      <c r="A172" s="3"/>
      <c r="B172" s="3"/>
      <c r="C172" s="3" t="str">
        <f>IFERROR(VLOOKUP(B172,'سجل الموظفين والكفاءة'!B:C,2,FALSE),"")</f>
        <v/>
      </c>
      <c r="D172" s="3" t="str">
        <f>IFERROR(VLOOKUP(B172,'سجل الموظفين والكفاءة'!B:E,4,FALSE),"")</f>
        <v/>
      </c>
      <c r="E172" s="3"/>
      <c r="F172" s="3"/>
      <c r="G172" s="7"/>
      <c r="H172" s="3" t="str">
        <f>IF(G172="","",IF(G172&gt;='الإعدادات والمستهدفات'!B6,"كفء ومستوفى عملياً","غير كفء - يلزم تدريب ميداني إضافي"))</f>
        <v/>
      </c>
      <c r="I172" s="3"/>
      <c r="J172" s="3"/>
      <c r="K172" s="3" t="str">
        <f>IF(G172="","",IF(G172&lt;'الإعدادات والمستهدفات'!B6,I172+14,"—"))</f>
        <v/>
      </c>
      <c r="L172" s="3" t="str">
        <f>IF(G172="","",IF(G172&lt;'الإعدادات والمستهدفات'!B6,"إعادة تدريب ميداني خلال 14 يوم ومراجعة مع المشرف","لا يوجد"))</f>
        <v/>
      </c>
      <c r="M172" s="3"/>
    </row>
    <row r="173" spans="1:13" x14ac:dyDescent="0.2">
      <c r="A173" s="3"/>
      <c r="B173" s="3"/>
      <c r="C173" s="3" t="str">
        <f>IFERROR(VLOOKUP(B173,'سجل الموظفين والكفاءة'!B:C,2,FALSE),"")</f>
        <v/>
      </c>
      <c r="D173" s="3" t="str">
        <f>IFERROR(VLOOKUP(B173,'سجل الموظفين والكفاءة'!B:E,4,FALSE),"")</f>
        <v/>
      </c>
      <c r="E173" s="3"/>
      <c r="F173" s="3"/>
      <c r="G173" s="7"/>
      <c r="H173" s="3" t="str">
        <f>IF(G173="","",IF(G173&gt;='الإعدادات والمستهدفات'!B6,"كفء ومستوفى عملياً","غير كفء - يلزم تدريب ميداني إضافي"))</f>
        <v/>
      </c>
      <c r="I173" s="3"/>
      <c r="J173" s="3"/>
      <c r="K173" s="3" t="str">
        <f>IF(G173="","",IF(G173&lt;'الإعدادات والمستهدفات'!B6,I173+14,"—"))</f>
        <v/>
      </c>
      <c r="L173" s="3" t="str">
        <f>IF(G173="","",IF(G173&lt;'الإعدادات والمستهدفات'!B6,"إعادة تدريب ميداني خلال 14 يوم ومراجعة مع المشرف","لا يوجد"))</f>
        <v/>
      </c>
      <c r="M173" s="3"/>
    </row>
    <row r="174" spans="1:13" x14ac:dyDescent="0.2">
      <c r="A174" s="3"/>
      <c r="B174" s="3"/>
      <c r="C174" s="3" t="str">
        <f>IFERROR(VLOOKUP(B174,'سجل الموظفين والكفاءة'!B:C,2,FALSE),"")</f>
        <v/>
      </c>
      <c r="D174" s="3" t="str">
        <f>IFERROR(VLOOKUP(B174,'سجل الموظفين والكفاءة'!B:E,4,FALSE),"")</f>
        <v/>
      </c>
      <c r="E174" s="3"/>
      <c r="F174" s="3"/>
      <c r="G174" s="7"/>
      <c r="H174" s="3" t="str">
        <f>IF(G174="","",IF(G174&gt;='الإعدادات والمستهدفات'!B6,"كفء ومستوفى عملياً","غير كفء - يلزم تدريب ميداني إضافي"))</f>
        <v/>
      </c>
      <c r="I174" s="3"/>
      <c r="J174" s="3"/>
      <c r="K174" s="3" t="str">
        <f>IF(G174="","",IF(G174&lt;'الإعدادات والمستهدفات'!B6,I174+14,"—"))</f>
        <v/>
      </c>
      <c r="L174" s="3" t="str">
        <f>IF(G174="","",IF(G174&lt;'الإعدادات والمستهدفات'!B6,"إعادة تدريب ميداني خلال 14 يوم ومراجعة مع المشرف","لا يوجد"))</f>
        <v/>
      </c>
      <c r="M174" s="3"/>
    </row>
    <row r="175" spans="1:13" x14ac:dyDescent="0.2">
      <c r="A175" s="3"/>
      <c r="B175" s="3"/>
      <c r="C175" s="3" t="str">
        <f>IFERROR(VLOOKUP(B175,'سجل الموظفين والكفاءة'!B:C,2,FALSE),"")</f>
        <v/>
      </c>
      <c r="D175" s="3" t="str">
        <f>IFERROR(VLOOKUP(B175,'سجل الموظفين والكفاءة'!B:E,4,FALSE),"")</f>
        <v/>
      </c>
      <c r="E175" s="3"/>
      <c r="F175" s="3"/>
      <c r="G175" s="7"/>
      <c r="H175" s="3" t="str">
        <f>IF(G175="","",IF(G175&gt;='الإعدادات والمستهدفات'!B6,"كفء ومستوفى عملياً","غير كفء - يلزم تدريب ميداني إضافي"))</f>
        <v/>
      </c>
      <c r="I175" s="3"/>
      <c r="J175" s="3"/>
      <c r="K175" s="3" t="str">
        <f>IF(G175="","",IF(G175&lt;'الإعدادات والمستهدفات'!B6,I175+14,"—"))</f>
        <v/>
      </c>
      <c r="L175" s="3" t="str">
        <f>IF(G175="","",IF(G175&lt;'الإعدادات والمستهدفات'!B6,"إعادة تدريب ميداني خلال 14 يوم ومراجعة مع المشرف","لا يوجد"))</f>
        <v/>
      </c>
      <c r="M175" s="3"/>
    </row>
    <row r="176" spans="1:13" x14ac:dyDescent="0.2">
      <c r="A176" s="3"/>
      <c r="B176" s="3"/>
      <c r="C176" s="3" t="str">
        <f>IFERROR(VLOOKUP(B176,'سجل الموظفين والكفاءة'!B:C,2,FALSE),"")</f>
        <v/>
      </c>
      <c r="D176" s="3" t="str">
        <f>IFERROR(VLOOKUP(B176,'سجل الموظفين والكفاءة'!B:E,4,FALSE),"")</f>
        <v/>
      </c>
      <c r="E176" s="3"/>
      <c r="F176" s="3"/>
      <c r="G176" s="7"/>
      <c r="H176" s="3" t="str">
        <f>IF(G176="","",IF(G176&gt;='الإعدادات والمستهدفات'!B6,"كفء ومستوفى عملياً","غير كفء - يلزم تدريب ميداني إضافي"))</f>
        <v/>
      </c>
      <c r="I176" s="3"/>
      <c r="J176" s="3"/>
      <c r="K176" s="3" t="str">
        <f>IF(G176="","",IF(G176&lt;'الإعدادات والمستهدفات'!B6,I176+14,"—"))</f>
        <v/>
      </c>
      <c r="L176" s="3" t="str">
        <f>IF(G176="","",IF(G176&lt;'الإعدادات والمستهدفات'!B6,"إعادة تدريب ميداني خلال 14 يوم ومراجعة مع المشرف","لا يوجد"))</f>
        <v/>
      </c>
      <c r="M176" s="3"/>
    </row>
    <row r="177" spans="1:13" x14ac:dyDescent="0.2">
      <c r="A177" s="3"/>
      <c r="B177" s="3"/>
      <c r="C177" s="3" t="str">
        <f>IFERROR(VLOOKUP(B177,'سجل الموظفين والكفاءة'!B:C,2,FALSE),"")</f>
        <v/>
      </c>
      <c r="D177" s="3" t="str">
        <f>IFERROR(VLOOKUP(B177,'سجل الموظفين والكفاءة'!B:E,4,FALSE),"")</f>
        <v/>
      </c>
      <c r="E177" s="3"/>
      <c r="F177" s="3"/>
      <c r="G177" s="7"/>
      <c r="H177" s="3" t="str">
        <f>IF(G177="","",IF(G177&gt;='الإعدادات والمستهدفات'!B6,"كفء ومستوفى عملياً","غير كفء - يلزم تدريب ميداني إضافي"))</f>
        <v/>
      </c>
      <c r="I177" s="3"/>
      <c r="J177" s="3"/>
      <c r="K177" s="3" t="str">
        <f>IF(G177="","",IF(G177&lt;'الإعدادات والمستهدفات'!B6,I177+14,"—"))</f>
        <v/>
      </c>
      <c r="L177" s="3" t="str">
        <f>IF(G177="","",IF(G177&lt;'الإعدادات والمستهدفات'!B6,"إعادة تدريب ميداني خلال 14 يوم ومراجعة مع المشرف","لا يوجد"))</f>
        <v/>
      </c>
      <c r="M177" s="3"/>
    </row>
    <row r="178" spans="1:13" x14ac:dyDescent="0.2">
      <c r="A178" s="3"/>
      <c r="B178" s="3"/>
      <c r="C178" s="3" t="str">
        <f>IFERROR(VLOOKUP(B178,'سجل الموظفين والكفاءة'!B:C,2,FALSE),"")</f>
        <v/>
      </c>
      <c r="D178" s="3" t="str">
        <f>IFERROR(VLOOKUP(B178,'سجل الموظفين والكفاءة'!B:E,4,FALSE),"")</f>
        <v/>
      </c>
      <c r="E178" s="3"/>
      <c r="F178" s="3"/>
      <c r="G178" s="7"/>
      <c r="H178" s="3" t="str">
        <f>IF(G178="","",IF(G178&gt;='الإعدادات والمستهدفات'!B6,"كفء ومستوفى عملياً","غير كفء - يلزم تدريب ميداني إضافي"))</f>
        <v/>
      </c>
      <c r="I178" s="3"/>
      <c r="J178" s="3"/>
      <c r="K178" s="3" t="str">
        <f>IF(G178="","",IF(G178&lt;'الإعدادات والمستهدفات'!B6,I178+14,"—"))</f>
        <v/>
      </c>
      <c r="L178" s="3" t="str">
        <f>IF(G178="","",IF(G178&lt;'الإعدادات والمستهدفات'!B6,"إعادة تدريب ميداني خلال 14 يوم ومراجعة مع المشرف","لا يوجد"))</f>
        <v/>
      </c>
      <c r="M178" s="3"/>
    </row>
    <row r="179" spans="1:13" x14ac:dyDescent="0.2">
      <c r="A179" s="3"/>
      <c r="B179" s="3"/>
      <c r="C179" s="3" t="str">
        <f>IFERROR(VLOOKUP(B179,'سجل الموظفين والكفاءة'!B:C,2,FALSE),"")</f>
        <v/>
      </c>
      <c r="D179" s="3" t="str">
        <f>IFERROR(VLOOKUP(B179,'سجل الموظفين والكفاءة'!B:E,4,FALSE),"")</f>
        <v/>
      </c>
      <c r="E179" s="3"/>
      <c r="F179" s="3"/>
      <c r="G179" s="7"/>
      <c r="H179" s="3" t="str">
        <f>IF(G179="","",IF(G179&gt;='الإعدادات والمستهدفات'!B6,"كفء ومستوفى عملياً","غير كفء - يلزم تدريب ميداني إضافي"))</f>
        <v/>
      </c>
      <c r="I179" s="3"/>
      <c r="J179" s="3"/>
      <c r="K179" s="3" t="str">
        <f>IF(G179="","",IF(G179&lt;'الإعدادات والمستهدفات'!B6,I179+14,"—"))</f>
        <v/>
      </c>
      <c r="L179" s="3" t="str">
        <f>IF(G179="","",IF(G179&lt;'الإعدادات والمستهدفات'!B6,"إعادة تدريب ميداني خلال 14 يوم ومراجعة مع المشرف","لا يوجد"))</f>
        <v/>
      </c>
      <c r="M179" s="3"/>
    </row>
    <row r="180" spans="1:13" x14ac:dyDescent="0.2">
      <c r="A180" s="3"/>
      <c r="B180" s="3"/>
      <c r="C180" s="3" t="str">
        <f>IFERROR(VLOOKUP(B180,'سجل الموظفين والكفاءة'!B:C,2,FALSE),"")</f>
        <v/>
      </c>
      <c r="D180" s="3" t="str">
        <f>IFERROR(VLOOKUP(B180,'سجل الموظفين والكفاءة'!B:E,4,FALSE),"")</f>
        <v/>
      </c>
      <c r="E180" s="3"/>
      <c r="F180" s="3"/>
      <c r="G180" s="7"/>
      <c r="H180" s="3" t="str">
        <f>IF(G180="","",IF(G180&gt;='الإعدادات والمستهدفات'!B6,"كفء ومستوفى عملياً","غير كفء - يلزم تدريب ميداني إضافي"))</f>
        <v/>
      </c>
      <c r="I180" s="3"/>
      <c r="J180" s="3"/>
      <c r="K180" s="3" t="str">
        <f>IF(G180="","",IF(G180&lt;'الإعدادات والمستهدفات'!B6,I180+14,"—"))</f>
        <v/>
      </c>
      <c r="L180" s="3" t="str">
        <f>IF(G180="","",IF(G180&lt;'الإعدادات والمستهدفات'!B6,"إعادة تدريب ميداني خلال 14 يوم ومراجعة مع المشرف","لا يوجد"))</f>
        <v/>
      </c>
      <c r="M180" s="3"/>
    </row>
    <row r="181" spans="1:13" x14ac:dyDescent="0.2">
      <c r="A181" s="3"/>
      <c r="B181" s="3"/>
      <c r="C181" s="3" t="str">
        <f>IFERROR(VLOOKUP(B181,'سجل الموظفين والكفاءة'!B:C,2,FALSE),"")</f>
        <v/>
      </c>
      <c r="D181" s="3" t="str">
        <f>IFERROR(VLOOKUP(B181,'سجل الموظفين والكفاءة'!B:E,4,FALSE),"")</f>
        <v/>
      </c>
      <c r="E181" s="3"/>
      <c r="F181" s="3"/>
      <c r="G181" s="7"/>
      <c r="H181" s="3" t="str">
        <f>IF(G181="","",IF(G181&gt;='الإعدادات والمستهدفات'!B6,"كفء ومستوفى عملياً","غير كفء - يلزم تدريب ميداني إضافي"))</f>
        <v/>
      </c>
      <c r="I181" s="3"/>
      <c r="J181" s="3"/>
      <c r="K181" s="3" t="str">
        <f>IF(G181="","",IF(G181&lt;'الإعدادات والمستهدفات'!B6,I181+14,"—"))</f>
        <v/>
      </c>
      <c r="L181" s="3" t="str">
        <f>IF(G181="","",IF(G181&lt;'الإعدادات والمستهدفات'!B6,"إعادة تدريب ميداني خلال 14 يوم ومراجعة مع المشرف","لا يوجد"))</f>
        <v/>
      </c>
      <c r="M181" s="3"/>
    </row>
    <row r="182" spans="1:13" x14ac:dyDescent="0.2">
      <c r="A182" s="3"/>
      <c r="B182" s="3"/>
      <c r="C182" s="3" t="str">
        <f>IFERROR(VLOOKUP(B182,'سجل الموظفين والكفاءة'!B:C,2,FALSE),"")</f>
        <v/>
      </c>
      <c r="D182" s="3" t="str">
        <f>IFERROR(VLOOKUP(B182,'سجل الموظفين والكفاءة'!B:E,4,FALSE),"")</f>
        <v/>
      </c>
      <c r="E182" s="3"/>
      <c r="F182" s="3"/>
      <c r="G182" s="7"/>
      <c r="H182" s="3" t="str">
        <f>IF(G182="","",IF(G182&gt;='الإعدادات والمستهدفات'!B6,"كفء ومستوفى عملياً","غير كفء - يلزم تدريب ميداني إضافي"))</f>
        <v/>
      </c>
      <c r="I182" s="3"/>
      <c r="J182" s="3"/>
      <c r="K182" s="3" t="str">
        <f>IF(G182="","",IF(G182&lt;'الإعدادات والمستهدفات'!B6,I182+14,"—"))</f>
        <v/>
      </c>
      <c r="L182" s="3" t="str">
        <f>IF(G182="","",IF(G182&lt;'الإعدادات والمستهدفات'!B6,"إعادة تدريب ميداني خلال 14 يوم ومراجعة مع المشرف","لا يوجد"))</f>
        <v/>
      </c>
      <c r="M182" s="3"/>
    </row>
    <row r="183" spans="1:13" x14ac:dyDescent="0.2">
      <c r="A183" s="3"/>
      <c r="B183" s="3"/>
      <c r="C183" s="3" t="str">
        <f>IFERROR(VLOOKUP(B183,'سجل الموظفين والكفاءة'!B:C,2,FALSE),"")</f>
        <v/>
      </c>
      <c r="D183" s="3" t="str">
        <f>IFERROR(VLOOKUP(B183,'سجل الموظفين والكفاءة'!B:E,4,FALSE),"")</f>
        <v/>
      </c>
      <c r="E183" s="3"/>
      <c r="F183" s="3"/>
      <c r="G183" s="7"/>
      <c r="H183" s="3" t="str">
        <f>IF(G183="","",IF(G183&gt;='الإعدادات والمستهدفات'!B6,"كفء ومستوفى عملياً","غير كفء - يلزم تدريب ميداني إضافي"))</f>
        <v/>
      </c>
      <c r="I183" s="3"/>
      <c r="J183" s="3"/>
      <c r="K183" s="3" t="str">
        <f>IF(G183="","",IF(G183&lt;'الإعدادات والمستهدفات'!B6,I183+14,"—"))</f>
        <v/>
      </c>
      <c r="L183" s="3" t="str">
        <f>IF(G183="","",IF(G183&lt;'الإعدادات والمستهدفات'!B6,"إعادة تدريب ميداني خلال 14 يوم ومراجعة مع المشرف","لا يوجد"))</f>
        <v/>
      </c>
      <c r="M183" s="3"/>
    </row>
    <row r="184" spans="1:13" x14ac:dyDescent="0.2">
      <c r="A184" s="3"/>
      <c r="B184" s="3"/>
      <c r="C184" s="3" t="str">
        <f>IFERROR(VLOOKUP(B184,'سجل الموظفين والكفاءة'!B:C,2,FALSE),"")</f>
        <v/>
      </c>
      <c r="D184" s="3" t="str">
        <f>IFERROR(VLOOKUP(B184,'سجل الموظفين والكفاءة'!B:E,4,FALSE),"")</f>
        <v/>
      </c>
      <c r="E184" s="3"/>
      <c r="F184" s="3"/>
      <c r="G184" s="7"/>
      <c r="H184" s="3" t="str">
        <f>IF(G184="","",IF(G184&gt;='الإعدادات والمستهدفات'!B6,"كفء ومستوفى عملياً","غير كفء - يلزم تدريب ميداني إضافي"))</f>
        <v/>
      </c>
      <c r="I184" s="3"/>
      <c r="J184" s="3"/>
      <c r="K184" s="3" t="str">
        <f>IF(G184="","",IF(G184&lt;'الإعدادات والمستهدفات'!B6,I184+14,"—"))</f>
        <v/>
      </c>
      <c r="L184" s="3" t="str">
        <f>IF(G184="","",IF(G184&lt;'الإعدادات والمستهدفات'!B6,"إعادة تدريب ميداني خلال 14 يوم ومراجعة مع المشرف","لا يوجد"))</f>
        <v/>
      </c>
      <c r="M184" s="3"/>
    </row>
    <row r="185" spans="1:13" x14ac:dyDescent="0.2">
      <c r="A185" s="3"/>
      <c r="B185" s="3"/>
      <c r="C185" s="3" t="str">
        <f>IFERROR(VLOOKUP(B185,'سجل الموظفين والكفاءة'!B:C,2,FALSE),"")</f>
        <v/>
      </c>
      <c r="D185" s="3" t="str">
        <f>IFERROR(VLOOKUP(B185,'سجل الموظفين والكفاءة'!B:E,4,FALSE),"")</f>
        <v/>
      </c>
      <c r="E185" s="3"/>
      <c r="F185" s="3"/>
      <c r="G185" s="7"/>
      <c r="H185" s="3" t="str">
        <f>IF(G185="","",IF(G185&gt;='الإعدادات والمستهدفات'!B6,"كفء ومستوفى عملياً","غير كفء - يلزم تدريب ميداني إضافي"))</f>
        <v/>
      </c>
      <c r="I185" s="3"/>
      <c r="J185" s="3"/>
      <c r="K185" s="3" t="str">
        <f>IF(G185="","",IF(G185&lt;'الإعدادات والمستهدفات'!B6,I185+14,"—"))</f>
        <v/>
      </c>
      <c r="L185" s="3" t="str">
        <f>IF(G185="","",IF(G185&lt;'الإعدادات والمستهدفات'!B6,"إعادة تدريب ميداني خلال 14 يوم ومراجعة مع المشرف","لا يوجد"))</f>
        <v/>
      </c>
      <c r="M185" s="3"/>
    </row>
    <row r="186" spans="1:13" x14ac:dyDescent="0.2">
      <c r="A186" s="3"/>
      <c r="B186" s="3"/>
      <c r="C186" s="3" t="str">
        <f>IFERROR(VLOOKUP(B186,'سجل الموظفين والكفاءة'!B:C,2,FALSE),"")</f>
        <v/>
      </c>
      <c r="D186" s="3" t="str">
        <f>IFERROR(VLOOKUP(B186,'سجل الموظفين والكفاءة'!B:E,4,FALSE),"")</f>
        <v/>
      </c>
      <c r="E186" s="3"/>
      <c r="F186" s="3"/>
      <c r="G186" s="7"/>
      <c r="H186" s="3" t="str">
        <f>IF(G186="","",IF(G186&gt;='الإعدادات والمستهدفات'!B6,"كفء ومستوفى عملياً","غير كفء - يلزم تدريب ميداني إضافي"))</f>
        <v/>
      </c>
      <c r="I186" s="3"/>
      <c r="J186" s="3"/>
      <c r="K186" s="3" t="str">
        <f>IF(G186="","",IF(G186&lt;'الإعدادات والمستهدفات'!B6,I186+14,"—"))</f>
        <v/>
      </c>
      <c r="L186" s="3" t="str">
        <f>IF(G186="","",IF(G186&lt;'الإعدادات والمستهدفات'!B6,"إعادة تدريب ميداني خلال 14 يوم ومراجعة مع المشرف","لا يوجد"))</f>
        <v/>
      </c>
      <c r="M186" s="3"/>
    </row>
    <row r="187" spans="1:13" x14ac:dyDescent="0.2">
      <c r="A187" s="3"/>
      <c r="B187" s="3"/>
      <c r="C187" s="3" t="str">
        <f>IFERROR(VLOOKUP(B187,'سجل الموظفين والكفاءة'!B:C,2,FALSE),"")</f>
        <v/>
      </c>
      <c r="D187" s="3" t="str">
        <f>IFERROR(VLOOKUP(B187,'سجل الموظفين والكفاءة'!B:E,4,FALSE),"")</f>
        <v/>
      </c>
      <c r="E187" s="3"/>
      <c r="F187" s="3"/>
      <c r="G187" s="7"/>
      <c r="H187" s="3" t="str">
        <f>IF(G187="","",IF(G187&gt;='الإعدادات والمستهدفات'!B6,"كفء ومستوفى عملياً","غير كفء - يلزم تدريب ميداني إضافي"))</f>
        <v/>
      </c>
      <c r="I187" s="3"/>
      <c r="J187" s="3"/>
      <c r="K187" s="3" t="str">
        <f>IF(G187="","",IF(G187&lt;'الإعدادات والمستهدفات'!B6,I187+14,"—"))</f>
        <v/>
      </c>
      <c r="L187" s="3" t="str">
        <f>IF(G187="","",IF(G187&lt;'الإعدادات والمستهدفات'!B6,"إعادة تدريب ميداني خلال 14 يوم ومراجعة مع المشرف","لا يوجد"))</f>
        <v/>
      </c>
      <c r="M187" s="3"/>
    </row>
    <row r="188" spans="1:13" x14ac:dyDescent="0.2">
      <c r="A188" s="3"/>
      <c r="B188" s="3"/>
      <c r="C188" s="3" t="str">
        <f>IFERROR(VLOOKUP(B188,'سجل الموظفين والكفاءة'!B:C,2,FALSE),"")</f>
        <v/>
      </c>
      <c r="D188" s="3" t="str">
        <f>IFERROR(VLOOKUP(B188,'سجل الموظفين والكفاءة'!B:E,4,FALSE),"")</f>
        <v/>
      </c>
      <c r="E188" s="3"/>
      <c r="F188" s="3"/>
      <c r="G188" s="7"/>
      <c r="H188" s="3" t="str">
        <f>IF(G188="","",IF(G188&gt;='الإعدادات والمستهدفات'!B6,"كفء ومستوفى عملياً","غير كفء - يلزم تدريب ميداني إضافي"))</f>
        <v/>
      </c>
      <c r="I188" s="3"/>
      <c r="J188" s="3"/>
      <c r="K188" s="3" t="str">
        <f>IF(G188="","",IF(G188&lt;'الإعدادات والمستهدفات'!B6,I188+14,"—"))</f>
        <v/>
      </c>
      <c r="L188" s="3" t="str">
        <f>IF(G188="","",IF(G188&lt;'الإعدادات والمستهدفات'!B6,"إعادة تدريب ميداني خلال 14 يوم ومراجعة مع المشرف","لا يوجد"))</f>
        <v/>
      </c>
      <c r="M188" s="3"/>
    </row>
    <row r="189" spans="1:13" x14ac:dyDescent="0.2">
      <c r="A189" s="3"/>
      <c r="B189" s="3"/>
      <c r="C189" s="3" t="str">
        <f>IFERROR(VLOOKUP(B189,'سجل الموظفين والكفاءة'!B:C,2,FALSE),"")</f>
        <v/>
      </c>
      <c r="D189" s="3" t="str">
        <f>IFERROR(VLOOKUP(B189,'سجل الموظفين والكفاءة'!B:E,4,FALSE),"")</f>
        <v/>
      </c>
      <c r="E189" s="3"/>
      <c r="F189" s="3"/>
      <c r="G189" s="7"/>
      <c r="H189" s="3" t="str">
        <f>IF(G189="","",IF(G189&gt;='الإعدادات والمستهدفات'!B6,"كفء ومستوفى عملياً","غير كفء - يلزم تدريب ميداني إضافي"))</f>
        <v/>
      </c>
      <c r="I189" s="3"/>
      <c r="J189" s="3"/>
      <c r="K189" s="3" t="str">
        <f>IF(G189="","",IF(G189&lt;'الإعدادات والمستهدفات'!B6,I189+14,"—"))</f>
        <v/>
      </c>
      <c r="L189" s="3" t="str">
        <f>IF(G189="","",IF(G189&lt;'الإعدادات والمستهدفات'!B6,"إعادة تدريب ميداني خلال 14 يوم ومراجعة مع المشرف","لا يوجد"))</f>
        <v/>
      </c>
      <c r="M189" s="3"/>
    </row>
    <row r="190" spans="1:13" x14ac:dyDescent="0.2">
      <c r="A190" s="3"/>
      <c r="B190" s="3"/>
      <c r="C190" s="3" t="str">
        <f>IFERROR(VLOOKUP(B190,'سجل الموظفين والكفاءة'!B:C,2,FALSE),"")</f>
        <v/>
      </c>
      <c r="D190" s="3" t="str">
        <f>IFERROR(VLOOKUP(B190,'سجل الموظفين والكفاءة'!B:E,4,FALSE),"")</f>
        <v/>
      </c>
      <c r="E190" s="3"/>
      <c r="F190" s="3"/>
      <c r="G190" s="7"/>
      <c r="H190" s="3" t="str">
        <f>IF(G190="","",IF(G190&gt;='الإعدادات والمستهدفات'!B6,"كفء ومستوفى عملياً","غير كفء - يلزم تدريب ميداني إضافي"))</f>
        <v/>
      </c>
      <c r="I190" s="3"/>
      <c r="J190" s="3"/>
      <c r="K190" s="3" t="str">
        <f>IF(G190="","",IF(G190&lt;'الإعدادات والمستهدفات'!B6,I190+14,"—"))</f>
        <v/>
      </c>
      <c r="L190" s="3" t="str">
        <f>IF(G190="","",IF(G190&lt;'الإعدادات والمستهدفات'!B6,"إعادة تدريب ميداني خلال 14 يوم ومراجعة مع المشرف","لا يوجد"))</f>
        <v/>
      </c>
      <c r="M190" s="3"/>
    </row>
    <row r="191" spans="1:13" x14ac:dyDescent="0.2">
      <c r="A191" s="3"/>
      <c r="B191" s="3"/>
      <c r="C191" s="3" t="str">
        <f>IFERROR(VLOOKUP(B191,'سجل الموظفين والكفاءة'!B:C,2,FALSE),"")</f>
        <v/>
      </c>
      <c r="D191" s="3" t="str">
        <f>IFERROR(VLOOKUP(B191,'سجل الموظفين والكفاءة'!B:E,4,FALSE),"")</f>
        <v/>
      </c>
      <c r="E191" s="3"/>
      <c r="F191" s="3"/>
      <c r="G191" s="7"/>
      <c r="H191" s="3" t="str">
        <f>IF(G191="","",IF(G191&gt;='الإعدادات والمستهدفات'!B6,"كفء ومستوفى عملياً","غير كفء - يلزم تدريب ميداني إضافي"))</f>
        <v/>
      </c>
      <c r="I191" s="3"/>
      <c r="J191" s="3"/>
      <c r="K191" s="3" t="str">
        <f>IF(G191="","",IF(G191&lt;'الإعدادات والمستهدفات'!B6,I191+14,"—"))</f>
        <v/>
      </c>
      <c r="L191" s="3" t="str">
        <f>IF(G191="","",IF(G191&lt;'الإعدادات والمستهدفات'!B6,"إعادة تدريب ميداني خلال 14 يوم ومراجعة مع المشرف","لا يوجد"))</f>
        <v/>
      </c>
      <c r="M191" s="3"/>
    </row>
    <row r="192" spans="1:13" x14ac:dyDescent="0.2">
      <c r="A192" s="3"/>
      <c r="B192" s="3"/>
      <c r="C192" s="3" t="str">
        <f>IFERROR(VLOOKUP(B192,'سجل الموظفين والكفاءة'!B:C,2,FALSE),"")</f>
        <v/>
      </c>
      <c r="D192" s="3" t="str">
        <f>IFERROR(VLOOKUP(B192,'سجل الموظفين والكفاءة'!B:E,4,FALSE),"")</f>
        <v/>
      </c>
      <c r="E192" s="3"/>
      <c r="F192" s="3"/>
      <c r="G192" s="7"/>
      <c r="H192" s="3" t="str">
        <f>IF(G192="","",IF(G192&gt;='الإعدادات والمستهدفات'!B6,"كفء ومستوفى عملياً","غير كفء - يلزم تدريب ميداني إضافي"))</f>
        <v/>
      </c>
      <c r="I192" s="3"/>
      <c r="J192" s="3"/>
      <c r="K192" s="3" t="str">
        <f>IF(G192="","",IF(G192&lt;'الإعدادات والمستهدفات'!B6,I192+14,"—"))</f>
        <v/>
      </c>
      <c r="L192" s="3" t="str">
        <f>IF(G192="","",IF(G192&lt;'الإعدادات والمستهدفات'!B6,"إعادة تدريب ميداني خلال 14 يوم ومراجعة مع المشرف","لا يوجد"))</f>
        <v/>
      </c>
      <c r="M192" s="3"/>
    </row>
    <row r="193" spans="1:13" x14ac:dyDescent="0.2">
      <c r="A193" s="3"/>
      <c r="B193" s="3"/>
      <c r="C193" s="3" t="str">
        <f>IFERROR(VLOOKUP(B193,'سجل الموظفين والكفاءة'!B:C,2,FALSE),"")</f>
        <v/>
      </c>
      <c r="D193" s="3" t="str">
        <f>IFERROR(VLOOKUP(B193,'سجل الموظفين والكفاءة'!B:E,4,FALSE),"")</f>
        <v/>
      </c>
      <c r="E193" s="3"/>
      <c r="F193" s="3"/>
      <c r="G193" s="7"/>
      <c r="H193" s="3" t="str">
        <f>IF(G193="","",IF(G193&gt;='الإعدادات والمستهدفات'!B6,"كفء ومستوفى عملياً","غير كفء - يلزم تدريب ميداني إضافي"))</f>
        <v/>
      </c>
      <c r="I193" s="3"/>
      <c r="J193" s="3"/>
      <c r="K193" s="3" t="str">
        <f>IF(G193="","",IF(G193&lt;'الإعدادات والمستهدفات'!B6,I193+14,"—"))</f>
        <v/>
      </c>
      <c r="L193" s="3" t="str">
        <f>IF(G193="","",IF(G193&lt;'الإعدادات والمستهدفات'!B6,"إعادة تدريب ميداني خلال 14 يوم ومراجعة مع المشرف","لا يوجد"))</f>
        <v/>
      </c>
      <c r="M193" s="3"/>
    </row>
    <row r="194" spans="1:13" x14ac:dyDescent="0.2">
      <c r="A194" s="3"/>
      <c r="B194" s="3"/>
      <c r="C194" s="3" t="str">
        <f>IFERROR(VLOOKUP(B194,'سجل الموظفين والكفاءة'!B:C,2,FALSE),"")</f>
        <v/>
      </c>
      <c r="D194" s="3" t="str">
        <f>IFERROR(VLOOKUP(B194,'سجل الموظفين والكفاءة'!B:E,4,FALSE),"")</f>
        <v/>
      </c>
      <c r="E194" s="3"/>
      <c r="F194" s="3"/>
      <c r="G194" s="7"/>
      <c r="H194" s="3" t="str">
        <f>IF(G194="","",IF(G194&gt;='الإعدادات والمستهدفات'!B6,"كفء ومستوفى عملياً","غير كفء - يلزم تدريب ميداني إضافي"))</f>
        <v/>
      </c>
      <c r="I194" s="3"/>
      <c r="J194" s="3"/>
      <c r="K194" s="3" t="str">
        <f>IF(G194="","",IF(G194&lt;'الإعدادات والمستهدفات'!B6,I194+14,"—"))</f>
        <v/>
      </c>
      <c r="L194" s="3" t="str">
        <f>IF(G194="","",IF(G194&lt;'الإعدادات والمستهدفات'!B6,"إعادة تدريب ميداني خلال 14 يوم ومراجعة مع المشرف","لا يوجد"))</f>
        <v/>
      </c>
      <c r="M194" s="3"/>
    </row>
    <row r="195" spans="1:13" x14ac:dyDescent="0.2">
      <c r="A195" s="3"/>
      <c r="B195" s="3"/>
      <c r="C195" s="3" t="str">
        <f>IFERROR(VLOOKUP(B195,'سجل الموظفين والكفاءة'!B:C,2,FALSE),"")</f>
        <v/>
      </c>
      <c r="D195" s="3" t="str">
        <f>IFERROR(VLOOKUP(B195,'سجل الموظفين والكفاءة'!B:E,4,FALSE),"")</f>
        <v/>
      </c>
      <c r="E195" s="3"/>
      <c r="F195" s="3"/>
      <c r="G195" s="7"/>
      <c r="H195" s="3" t="str">
        <f>IF(G195="","",IF(G195&gt;='الإعدادات والمستهدفات'!B6,"كفء ومستوفى عملياً","غير كفء - يلزم تدريب ميداني إضافي"))</f>
        <v/>
      </c>
      <c r="I195" s="3"/>
      <c r="J195" s="3"/>
      <c r="K195" s="3" t="str">
        <f>IF(G195="","",IF(G195&lt;'الإعدادات والمستهدفات'!B6,I195+14,"—"))</f>
        <v/>
      </c>
      <c r="L195" s="3" t="str">
        <f>IF(G195="","",IF(G195&lt;'الإعدادات والمستهدفات'!B6,"إعادة تدريب ميداني خلال 14 يوم ومراجعة مع المشرف","لا يوجد"))</f>
        <v/>
      </c>
      <c r="M195" s="3"/>
    </row>
    <row r="196" spans="1:13" x14ac:dyDescent="0.2">
      <c r="A196" s="3"/>
      <c r="B196" s="3"/>
      <c r="C196" s="3" t="str">
        <f>IFERROR(VLOOKUP(B196,'سجل الموظفين والكفاءة'!B:C,2,FALSE),"")</f>
        <v/>
      </c>
      <c r="D196" s="3" t="str">
        <f>IFERROR(VLOOKUP(B196,'سجل الموظفين والكفاءة'!B:E,4,FALSE),"")</f>
        <v/>
      </c>
      <c r="E196" s="3"/>
      <c r="F196" s="3"/>
      <c r="G196" s="7"/>
      <c r="H196" s="3" t="str">
        <f>IF(G196="","",IF(G196&gt;='الإعدادات والمستهدفات'!B6,"كفء ومستوفى عملياً","غير كفء - يلزم تدريب ميداني إضافي"))</f>
        <v/>
      </c>
      <c r="I196" s="3"/>
      <c r="J196" s="3"/>
      <c r="K196" s="3" t="str">
        <f>IF(G196="","",IF(G196&lt;'الإعدادات والمستهدفات'!B6,I196+14,"—"))</f>
        <v/>
      </c>
      <c r="L196" s="3" t="str">
        <f>IF(G196="","",IF(G196&lt;'الإعدادات والمستهدفات'!B6,"إعادة تدريب ميداني خلال 14 يوم ومراجعة مع المشرف","لا يوجد"))</f>
        <v/>
      </c>
      <c r="M196" s="3"/>
    </row>
    <row r="197" spans="1:13" x14ac:dyDescent="0.2">
      <c r="A197" s="3"/>
      <c r="B197" s="3"/>
      <c r="C197" s="3" t="str">
        <f>IFERROR(VLOOKUP(B197,'سجل الموظفين والكفاءة'!B:C,2,FALSE),"")</f>
        <v/>
      </c>
      <c r="D197" s="3" t="str">
        <f>IFERROR(VLOOKUP(B197,'سجل الموظفين والكفاءة'!B:E,4,FALSE),"")</f>
        <v/>
      </c>
      <c r="E197" s="3"/>
      <c r="F197" s="3"/>
      <c r="G197" s="7"/>
      <c r="H197" s="3" t="str">
        <f>IF(G197="","",IF(G197&gt;='الإعدادات والمستهدفات'!B6,"كفء ومستوفى عملياً","غير كفء - يلزم تدريب ميداني إضافي"))</f>
        <v/>
      </c>
      <c r="I197" s="3"/>
      <c r="J197" s="3"/>
      <c r="K197" s="3" t="str">
        <f>IF(G197="","",IF(G197&lt;'الإعدادات والمستهدفات'!B6,I197+14,"—"))</f>
        <v/>
      </c>
      <c r="L197" s="3" t="str">
        <f>IF(G197="","",IF(G197&lt;'الإعدادات والمستهدفات'!B6,"إعادة تدريب ميداني خلال 14 يوم ومراجعة مع المشرف","لا يوجد"))</f>
        <v/>
      </c>
      <c r="M197" s="3"/>
    </row>
    <row r="198" spans="1:13" x14ac:dyDescent="0.2">
      <c r="A198" s="3"/>
      <c r="B198" s="3"/>
      <c r="C198" s="3" t="str">
        <f>IFERROR(VLOOKUP(B198,'سجل الموظفين والكفاءة'!B:C,2,FALSE),"")</f>
        <v/>
      </c>
      <c r="D198" s="3" t="str">
        <f>IFERROR(VLOOKUP(B198,'سجل الموظفين والكفاءة'!B:E,4,FALSE),"")</f>
        <v/>
      </c>
      <c r="E198" s="3"/>
      <c r="F198" s="3"/>
      <c r="G198" s="7"/>
      <c r="H198" s="3" t="str">
        <f>IF(G198="","",IF(G198&gt;='الإعدادات والمستهدفات'!B6,"كفء ومستوفى عملياً","غير كفء - يلزم تدريب ميداني إضافي"))</f>
        <v/>
      </c>
      <c r="I198" s="3"/>
      <c r="J198" s="3"/>
      <c r="K198" s="3" t="str">
        <f>IF(G198="","",IF(G198&lt;'الإعدادات والمستهدفات'!B6,I198+14,"—"))</f>
        <v/>
      </c>
      <c r="L198" s="3" t="str">
        <f>IF(G198="","",IF(G198&lt;'الإعدادات والمستهدفات'!B6,"إعادة تدريب ميداني خلال 14 يوم ومراجعة مع المشرف","لا يوجد"))</f>
        <v/>
      </c>
      <c r="M198" s="3"/>
    </row>
    <row r="199" spans="1:13" x14ac:dyDescent="0.2">
      <c r="A199" s="3"/>
      <c r="B199" s="3"/>
      <c r="C199" s="3" t="str">
        <f>IFERROR(VLOOKUP(B199,'سجل الموظفين والكفاءة'!B:C,2,FALSE),"")</f>
        <v/>
      </c>
      <c r="D199" s="3" t="str">
        <f>IFERROR(VLOOKUP(B199,'سجل الموظفين والكفاءة'!B:E,4,FALSE),"")</f>
        <v/>
      </c>
      <c r="E199" s="3"/>
      <c r="F199" s="3"/>
      <c r="G199" s="7"/>
      <c r="H199" s="3" t="str">
        <f>IF(G199="","",IF(G199&gt;='الإعدادات والمستهدفات'!B6,"كفء ومستوفى عملياً","غير كفء - يلزم تدريب ميداني إضافي"))</f>
        <v/>
      </c>
      <c r="I199" s="3"/>
      <c r="J199" s="3"/>
      <c r="K199" s="3" t="str">
        <f>IF(G199="","",IF(G199&lt;'الإعدادات والمستهدفات'!B6,I199+14,"—"))</f>
        <v/>
      </c>
      <c r="L199" s="3" t="str">
        <f>IF(G199="","",IF(G199&lt;'الإعدادات والمستهدفات'!B6,"إعادة تدريب ميداني خلال 14 يوم ومراجعة مع المشرف","لا يوجد"))</f>
        <v/>
      </c>
      <c r="M199" s="3"/>
    </row>
    <row r="200" spans="1:13" x14ac:dyDescent="0.2">
      <c r="A200" s="3"/>
      <c r="B200" s="3"/>
      <c r="C200" s="3" t="str">
        <f>IFERROR(VLOOKUP(B200,'سجل الموظفين والكفاءة'!B:C,2,FALSE),"")</f>
        <v/>
      </c>
      <c r="D200" s="3" t="str">
        <f>IFERROR(VLOOKUP(B200,'سجل الموظفين والكفاءة'!B:E,4,FALSE),"")</f>
        <v/>
      </c>
      <c r="E200" s="3"/>
      <c r="F200" s="3"/>
      <c r="G200" s="7"/>
      <c r="H200" s="3" t="str">
        <f>IF(G200="","",IF(G200&gt;='الإعدادات والمستهدفات'!B6,"كفء ومستوفى عملياً","غير كفء - يلزم تدريب ميداني إضافي"))</f>
        <v/>
      </c>
      <c r="I200" s="3"/>
      <c r="J200" s="3"/>
      <c r="K200" s="3" t="str">
        <f>IF(G200="","",IF(G200&lt;'الإعدادات والمستهدفات'!B6,I200+14,"—"))</f>
        <v/>
      </c>
      <c r="L200" s="3" t="str">
        <f>IF(G200="","",IF(G200&lt;'الإعدادات والمستهدفات'!B6,"إعادة تدريب ميداني خلال 14 يوم ومراجعة مع المشرف","لا يوجد"))</f>
        <v/>
      </c>
      <c r="M200" s="3"/>
    </row>
    <row r="201" spans="1:13" x14ac:dyDescent="0.2">
      <c r="A201" s="3"/>
      <c r="B201" s="3"/>
      <c r="C201" s="3" t="str">
        <f>IFERROR(VLOOKUP(B201,'سجل الموظفين والكفاءة'!B:C,2,FALSE),"")</f>
        <v/>
      </c>
      <c r="D201" s="3" t="str">
        <f>IFERROR(VLOOKUP(B201,'سجل الموظفين والكفاءة'!B:E,4,FALSE),"")</f>
        <v/>
      </c>
      <c r="E201" s="3"/>
      <c r="F201" s="3"/>
      <c r="G201" s="7"/>
      <c r="H201" s="3" t="str">
        <f>IF(G201="","",IF(G201&gt;='الإعدادات والمستهدفات'!B6,"كفء ومستوفى عملياً","غير كفء - يلزم تدريب ميداني إضافي"))</f>
        <v/>
      </c>
      <c r="I201" s="3"/>
      <c r="J201" s="3"/>
      <c r="K201" s="3" t="str">
        <f>IF(G201="","",IF(G201&lt;'الإعدادات والمستهدفات'!B6,I201+14,"—"))</f>
        <v/>
      </c>
      <c r="L201" s="3" t="str">
        <f>IF(G201="","",IF(G201&lt;'الإعدادات والمستهدفات'!B6,"إعادة تدريب ميداني خلال 14 يوم ومراجعة مع المشرف","لا يوجد"))</f>
        <v/>
      </c>
      <c r="M201" s="3"/>
    </row>
    <row r="202" spans="1:13" x14ac:dyDescent="0.2">
      <c r="A202" s="3"/>
      <c r="B202" s="3"/>
      <c r="C202" s="3" t="str">
        <f>IFERROR(VLOOKUP(B202,'سجل الموظفين والكفاءة'!B:C,2,FALSE),"")</f>
        <v/>
      </c>
      <c r="D202" s="3" t="str">
        <f>IFERROR(VLOOKUP(B202,'سجل الموظفين والكفاءة'!B:E,4,FALSE),"")</f>
        <v/>
      </c>
      <c r="E202" s="3"/>
      <c r="F202" s="3"/>
      <c r="G202" s="7"/>
      <c r="H202" s="3" t="str">
        <f>IF(G202="","",IF(G202&gt;='الإعدادات والمستهدفات'!B6,"كفء ومستوفى عملياً","غير كفء - يلزم تدريب ميداني إضافي"))</f>
        <v/>
      </c>
      <c r="I202" s="3"/>
      <c r="J202" s="3"/>
      <c r="K202" s="3" t="str">
        <f>IF(G202="","",IF(G202&lt;'الإعدادات والمستهدفات'!B6,I202+14,"—"))</f>
        <v/>
      </c>
      <c r="L202" s="3" t="str">
        <f>IF(G202="","",IF(G202&lt;'الإعدادات والمستهدفات'!B6,"إعادة تدريب ميداني خلال 14 يوم ومراجعة مع المشرف","لا يوجد"))</f>
        <v/>
      </c>
      <c r="M202" s="3"/>
    </row>
    <row r="203" spans="1:13" x14ac:dyDescent="0.2">
      <c r="A203" s="3"/>
      <c r="B203" s="3"/>
      <c r="C203" s="3" t="str">
        <f>IFERROR(VLOOKUP(B203,'سجل الموظفين والكفاءة'!B:C,2,FALSE),"")</f>
        <v/>
      </c>
      <c r="D203" s="3" t="str">
        <f>IFERROR(VLOOKUP(B203,'سجل الموظفين والكفاءة'!B:E,4,FALSE),"")</f>
        <v/>
      </c>
      <c r="E203" s="3"/>
      <c r="F203" s="3"/>
      <c r="G203" s="7"/>
      <c r="H203" s="3" t="str">
        <f>IF(G203="","",IF(G203&gt;='الإعدادات والمستهدفات'!B6,"كفء ومستوفى عملياً","غير كفء - يلزم تدريب ميداني إضافي"))</f>
        <v/>
      </c>
      <c r="I203" s="3"/>
      <c r="J203" s="3"/>
      <c r="K203" s="3" t="str">
        <f>IF(G203="","",IF(G203&lt;'الإعدادات والمستهدفات'!B6,I203+14,"—"))</f>
        <v/>
      </c>
      <c r="L203" s="3" t="str">
        <f>IF(G203="","",IF(G203&lt;'الإعدادات والمستهدفات'!B6,"إعادة تدريب ميداني خلال 14 يوم ومراجعة مع المشرف","لا يوجد"))</f>
        <v/>
      </c>
      <c r="M203" s="3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A16B-C8C4-4B14-A9A5-62B9AD8B20CA}">
  <dimension ref="A1:N1003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3.28515625" style="1" bestFit="1" customWidth="1"/>
    <col min="2" max="2" width="12.42578125" style="1" bestFit="1" customWidth="1"/>
    <col min="3" max="3" width="19.28515625" style="1" bestFit="1" customWidth="1"/>
    <col min="4" max="4" width="13.7109375" style="1" bestFit="1" customWidth="1"/>
    <col min="5" max="5" width="13.140625" style="1" bestFit="1" customWidth="1"/>
    <col min="6" max="6" width="13.28515625" style="1" bestFit="1" customWidth="1"/>
    <col min="7" max="7" width="15.28515625" style="1" bestFit="1" customWidth="1"/>
    <col min="8" max="8" width="13.7109375" style="1" bestFit="1" customWidth="1"/>
    <col min="9" max="9" width="18.28515625" style="1" bestFit="1" customWidth="1"/>
    <col min="10" max="10" width="18.5703125" style="1" bestFit="1" customWidth="1"/>
    <col min="11" max="11" width="15.7109375" style="1" bestFit="1" customWidth="1"/>
    <col min="12" max="12" width="14" style="1" bestFit="1" customWidth="1"/>
    <col min="13" max="13" width="16.5703125" style="1" bestFit="1" customWidth="1"/>
    <col min="14" max="14" width="15.5703125" style="1" bestFit="1" customWidth="1"/>
    <col min="15" max="16384" width="9.140625" style="1"/>
  </cols>
  <sheetData>
    <row r="1" spans="1:14" x14ac:dyDescent="0.2">
      <c r="A1" s="2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">
      <c r="A3" s="4" t="s">
        <v>247</v>
      </c>
      <c r="B3" s="4" t="s">
        <v>411</v>
      </c>
      <c r="C3" s="4" t="s">
        <v>412</v>
      </c>
      <c r="D3" s="4" t="s">
        <v>413</v>
      </c>
      <c r="E3" s="4" t="s">
        <v>131</v>
      </c>
      <c r="F3" s="4" t="s">
        <v>132</v>
      </c>
      <c r="G3" s="4" t="s">
        <v>432</v>
      </c>
      <c r="H3" s="4" t="s">
        <v>433</v>
      </c>
      <c r="I3" s="4" t="s">
        <v>434</v>
      </c>
      <c r="J3" s="4" t="s">
        <v>435</v>
      </c>
      <c r="K3" s="4" t="s">
        <v>436</v>
      </c>
      <c r="L3" s="4" t="s">
        <v>437</v>
      </c>
      <c r="M3" s="4" t="s">
        <v>438</v>
      </c>
      <c r="N3" s="4" t="s">
        <v>439</v>
      </c>
    </row>
    <row r="4" spans="1:14" ht="25.5" x14ac:dyDescent="0.2">
      <c r="A4" s="3" t="str">
        <f>IFERROR(VLOOKUP(B4,'جدول الجلسات التدريبية'!A:B,2,FALSE),"")</f>
        <v>PSY-OR-01</v>
      </c>
      <c r="B4" s="3" t="s">
        <v>421</v>
      </c>
      <c r="C4" s="3" t="str">
        <f>IFERROR(VLOOKUP(A4,'الخطة التدريبية المعتمدة'!A:C,3,FALSE),"")</f>
        <v>البرنامج التعريفي الشامل للموظفين الجدد (WFM.05)</v>
      </c>
      <c r="D4" s="3">
        <f>IFERROR(VLOOKUP(B4,'جدول الجلسات التدريبية'!A:D,4,FALSE),"")</f>
        <v>46037</v>
      </c>
      <c r="E4" s="3" t="s">
        <v>181</v>
      </c>
      <c r="F4" s="3" t="str">
        <f>IFERROR(VLOOKUP(E4,'سجل الموظفين والكفاءة'!B:C,2,FALSE),"")</f>
        <v>ياسمين شريف العبد</v>
      </c>
      <c r="G4" s="3">
        <f>IFERROR(VLOOKUP(A4,'الخطة التدريبية المعتمدة'!A:J,10,FALSE),0)</f>
        <v>6</v>
      </c>
      <c r="H4" s="3" t="s">
        <v>440</v>
      </c>
      <c r="I4" s="3">
        <v>4</v>
      </c>
      <c r="J4" s="3">
        <v>8</v>
      </c>
      <c r="K4" s="7">
        <f>IF(OR(I4="",J4="",I4=0),"",(J4-I4)/I4)</f>
        <v>1</v>
      </c>
      <c r="L4" s="3" t="str">
        <f>IF(J4="","",IF(J4/10&gt;='الإعدادات والمستهدفات'!B5,"ناجح ومستوفى","ضعيف - يلزم إعادة اختبار"))</f>
        <v>ناجح ومستوفى</v>
      </c>
      <c r="M4" s="3">
        <v>4</v>
      </c>
      <c r="N4" s="3"/>
    </row>
    <row r="5" spans="1:14" ht="25.5" x14ac:dyDescent="0.2">
      <c r="A5" s="3" t="str">
        <f>IFERROR(VLOOKUP(B5,'جدول الجلسات التدريبية'!A:B,2,FALSE),"")</f>
        <v>PSY-01</v>
      </c>
      <c r="B5" s="3" t="s">
        <v>424</v>
      </c>
      <c r="C5" s="3" t="str">
        <f>IFERROR(VLOOKUP(A5,'الخطة التدريبية المعتمدة'!A:C,3,FALSE),"")</f>
        <v>تقييم وإدارة مخاطر الانتحار وإيذاء النفس وخطة الأمان</v>
      </c>
      <c r="D5" s="3">
        <f>IFERROR(VLOOKUP(B5,'جدول الجلسات التدريبية'!A:D,4,FALSE),"")</f>
        <v>46042</v>
      </c>
      <c r="E5" s="3" t="s">
        <v>146</v>
      </c>
      <c r="F5" s="3" t="str">
        <f>IFERROR(VLOOKUP(E5,'سجل الموظفين والكفاءة'!B:C,2,FALSE),"")</f>
        <v>أحمد محمود علي</v>
      </c>
      <c r="G5" s="3">
        <f>IFERROR(VLOOKUP(A5,'الخطة التدريبية المعتمدة'!A:J,10,FALSE),0)</f>
        <v>4</v>
      </c>
      <c r="H5" s="3" t="s">
        <v>440</v>
      </c>
      <c r="I5" s="3">
        <v>5</v>
      </c>
      <c r="J5" s="3">
        <v>9</v>
      </c>
      <c r="K5" s="7">
        <f>IF(OR(I5="",J5="",I5=0),"",(J5-I5)/I5)</f>
        <v>0.8</v>
      </c>
      <c r="L5" s="3" t="str">
        <f>IF(J5="","",IF(J5/10&gt;='الإعدادات والمستهدفات'!B5,"ناجح ومستوفى","ضعيف - يلزم إعادة اختبار"))</f>
        <v>ناجح ومستوفى</v>
      </c>
      <c r="M5" s="3">
        <v>5</v>
      </c>
      <c r="N5" s="3"/>
    </row>
    <row r="6" spans="1:14" ht="25.5" x14ac:dyDescent="0.2">
      <c r="A6" s="3" t="str">
        <f>IFERROR(VLOOKUP(B6,'جدول الجلسات التدريبية'!A:B,2,FALSE),"")</f>
        <v>PSY-01</v>
      </c>
      <c r="B6" s="3" t="s">
        <v>424</v>
      </c>
      <c r="C6" s="3" t="str">
        <f>IFERROR(VLOOKUP(A6,'الخطة التدريبية المعتمدة'!A:C,3,FALSE),"")</f>
        <v>تقييم وإدارة مخاطر الانتحار وإيذاء النفس وخطة الأمان</v>
      </c>
      <c r="D6" s="3">
        <f>IFERROR(VLOOKUP(B6,'جدول الجلسات التدريبية'!A:D,4,FALSE),"")</f>
        <v>46042</v>
      </c>
      <c r="E6" s="3" t="s">
        <v>154</v>
      </c>
      <c r="F6" s="3" t="str">
        <f>IFERROR(VLOOKUP(E6,'سجل الموظفين والكفاءة'!B:C,2,FALSE),"")</f>
        <v>محمد حسن عبدالرحمن</v>
      </c>
      <c r="G6" s="3">
        <f>IFERROR(VLOOKUP(A6,'الخطة التدريبية المعتمدة'!A:J,10,FALSE),0)</f>
        <v>4</v>
      </c>
      <c r="H6" s="3" t="s">
        <v>440</v>
      </c>
      <c r="I6" s="3">
        <v>4</v>
      </c>
      <c r="J6" s="3">
        <v>8</v>
      </c>
      <c r="K6" s="7">
        <f>IF(OR(I6="",J6="",I6=0),"",(J6-I6)/I6)</f>
        <v>1</v>
      </c>
      <c r="L6" s="3" t="str">
        <f>IF(J6="","",IF(J6/10&gt;='الإعدادات والمستهدفات'!B5,"ناجح ومستوفى","ضعيف - يلزم إعادة اختبار"))</f>
        <v>ناجح ومستوفى</v>
      </c>
      <c r="M6" s="3">
        <v>5</v>
      </c>
      <c r="N6" s="3"/>
    </row>
    <row r="7" spans="1:14" ht="25.5" x14ac:dyDescent="0.2">
      <c r="A7" s="3" t="str">
        <f>IFERROR(VLOOKUP(B7,'جدول الجلسات التدريبية'!A:B,2,FALSE),"")</f>
        <v>PSY-01</v>
      </c>
      <c r="B7" s="3" t="s">
        <v>424</v>
      </c>
      <c r="C7" s="3" t="str">
        <f>IFERROR(VLOOKUP(A7,'الخطة التدريبية المعتمدة'!A:C,3,FALSE),"")</f>
        <v>تقييم وإدارة مخاطر الانتحار وإيذاء النفس وخطة الأمان</v>
      </c>
      <c r="D7" s="3">
        <f>IFERROR(VLOOKUP(B7,'جدول الجلسات التدريبية'!A:D,4,FALSE),"")</f>
        <v>46042</v>
      </c>
      <c r="E7" s="3" t="s">
        <v>158</v>
      </c>
      <c r="F7" s="3" t="str">
        <f>IFERROR(VLOOKUP(E7,'سجل الموظفين والكفاءة'!B:C,2,FALSE),"")</f>
        <v>سارة خالد مصطفى</v>
      </c>
      <c r="G7" s="3">
        <f>IFERROR(VLOOKUP(A7,'الخطة التدريبية المعتمدة'!A:J,10,FALSE),0)</f>
        <v>4</v>
      </c>
      <c r="H7" s="3" t="s">
        <v>440</v>
      </c>
      <c r="I7" s="3">
        <v>3</v>
      </c>
      <c r="J7" s="3">
        <v>6</v>
      </c>
      <c r="K7" s="7">
        <f>IF(OR(I7="",J7="",I7=0),"",(J7-I7)/I7)</f>
        <v>1</v>
      </c>
      <c r="L7" s="3" t="str">
        <f>IF(J7="","",IF(J7/10&gt;='الإعدادات والمستهدفات'!B5,"ناجح ومستوفى","ضعيف - يلزم إعادة اختبار"))</f>
        <v>ضعيف - يلزم إعادة اختبار</v>
      </c>
      <c r="M7" s="3">
        <v>3</v>
      </c>
      <c r="N7" s="3"/>
    </row>
    <row r="8" spans="1:14" x14ac:dyDescent="0.2">
      <c r="A8" s="3" t="str">
        <f>IFERROR(VLOOKUP(B8,'جدول الجلسات التدريبية'!A:B,2,FALSE),"")</f>
        <v/>
      </c>
      <c r="B8" s="3"/>
      <c r="C8" s="3" t="str">
        <f>IFERROR(VLOOKUP(A8,'الخطة التدريبية المعتمدة'!A:C,3,FALSE),"")</f>
        <v/>
      </c>
      <c r="D8" s="3" t="str">
        <f>IFERROR(VLOOKUP(B8,'جدول الجلسات التدريبية'!A:D,4,FALSE),"")</f>
        <v/>
      </c>
      <c r="E8" s="3"/>
      <c r="F8" s="3" t="str">
        <f>IFERROR(VLOOKUP(E8,'سجل الموظفين والكفاءة'!B:C,2,FALSE),"")</f>
        <v/>
      </c>
      <c r="G8" s="3">
        <f>IFERROR(VLOOKUP(A8,'الخطة التدريبية المعتمدة'!A:J,10,FALSE),0)</f>
        <v>0</v>
      </c>
      <c r="H8" s="3"/>
      <c r="I8" s="3"/>
      <c r="J8" s="3"/>
      <c r="K8" s="7" t="str">
        <f>IF(OR(I8="",J8="",I8=0),"",(J8-I8)/I8)</f>
        <v/>
      </c>
      <c r="L8" s="3" t="str">
        <f>IF(J8="","",IF(J8/10&gt;='الإعدادات والمستهدفات'!B5,"ناجح ومستوفى","ضعيف - يلزم إعادة اختبار"))</f>
        <v/>
      </c>
      <c r="M8" s="3"/>
      <c r="N8" s="3"/>
    </row>
    <row r="9" spans="1:14" x14ac:dyDescent="0.2">
      <c r="A9" s="3" t="str">
        <f>IFERROR(VLOOKUP(B9,'جدول الجلسات التدريبية'!A:B,2,FALSE),"")</f>
        <v/>
      </c>
      <c r="B9" s="3"/>
      <c r="C9" s="3" t="str">
        <f>IFERROR(VLOOKUP(A9,'الخطة التدريبية المعتمدة'!A:C,3,FALSE),"")</f>
        <v/>
      </c>
      <c r="D9" s="3" t="str">
        <f>IFERROR(VLOOKUP(B9,'جدول الجلسات التدريبية'!A:D,4,FALSE),"")</f>
        <v/>
      </c>
      <c r="E9" s="3"/>
      <c r="F9" s="3" t="str">
        <f>IFERROR(VLOOKUP(E9,'سجل الموظفين والكفاءة'!B:C,2,FALSE),"")</f>
        <v/>
      </c>
      <c r="G9" s="3">
        <f>IFERROR(VLOOKUP(A9,'الخطة التدريبية المعتمدة'!A:J,10,FALSE),0)</f>
        <v>0</v>
      </c>
      <c r="H9" s="3"/>
      <c r="I9" s="3"/>
      <c r="J9" s="3"/>
      <c r="K9" s="7" t="str">
        <f>IF(OR(I9="",J9="",I9=0),"",(J9-I9)/I9)</f>
        <v/>
      </c>
      <c r="L9" s="3" t="str">
        <f>IF(J9="","",IF(J9/10&gt;='الإعدادات والمستهدفات'!B5,"ناجح ومستوفى","ضعيف - يلزم إعادة اختبار"))</f>
        <v/>
      </c>
      <c r="M9" s="3"/>
      <c r="N9" s="3"/>
    </row>
    <row r="10" spans="1:14" x14ac:dyDescent="0.2">
      <c r="A10" s="3" t="str">
        <f>IFERROR(VLOOKUP(B10,'جدول الجلسات التدريبية'!A:B,2,FALSE),"")</f>
        <v/>
      </c>
      <c r="B10" s="3"/>
      <c r="C10" s="3" t="str">
        <f>IFERROR(VLOOKUP(A10,'الخطة التدريبية المعتمدة'!A:C,3,FALSE),"")</f>
        <v/>
      </c>
      <c r="D10" s="3" t="str">
        <f>IFERROR(VLOOKUP(B10,'جدول الجلسات التدريبية'!A:D,4,FALSE),"")</f>
        <v/>
      </c>
      <c r="E10" s="3"/>
      <c r="F10" s="3" t="str">
        <f>IFERROR(VLOOKUP(E10,'سجل الموظفين والكفاءة'!B:C,2,FALSE),"")</f>
        <v/>
      </c>
      <c r="G10" s="3">
        <f>IFERROR(VLOOKUP(A10,'الخطة التدريبية المعتمدة'!A:J,10,FALSE),0)</f>
        <v>0</v>
      </c>
      <c r="H10" s="3"/>
      <c r="I10" s="3"/>
      <c r="J10" s="3"/>
      <c r="K10" s="7" t="str">
        <f>IF(OR(I10="",J10="",I10=0),"",(J10-I10)/I10)</f>
        <v/>
      </c>
      <c r="L10" s="3" t="str">
        <f>IF(J10="","",IF(J10/10&gt;='الإعدادات والمستهدفات'!B5,"ناجح ومستوفى","ضعيف - يلزم إعادة اختبار"))</f>
        <v/>
      </c>
      <c r="M10" s="3"/>
      <c r="N10" s="3"/>
    </row>
    <row r="11" spans="1:14" x14ac:dyDescent="0.2">
      <c r="A11" s="3" t="str">
        <f>IFERROR(VLOOKUP(B11,'جدول الجلسات التدريبية'!A:B,2,FALSE),"")</f>
        <v/>
      </c>
      <c r="B11" s="3"/>
      <c r="C11" s="3" t="str">
        <f>IFERROR(VLOOKUP(A11,'الخطة التدريبية المعتمدة'!A:C,3,FALSE),"")</f>
        <v/>
      </c>
      <c r="D11" s="3" t="str">
        <f>IFERROR(VLOOKUP(B11,'جدول الجلسات التدريبية'!A:D,4,FALSE),"")</f>
        <v/>
      </c>
      <c r="E11" s="3"/>
      <c r="F11" s="3" t="str">
        <f>IFERROR(VLOOKUP(E11,'سجل الموظفين والكفاءة'!B:C,2,FALSE),"")</f>
        <v/>
      </c>
      <c r="G11" s="3">
        <f>IFERROR(VLOOKUP(A11,'الخطة التدريبية المعتمدة'!A:J,10,FALSE),0)</f>
        <v>0</v>
      </c>
      <c r="H11" s="3"/>
      <c r="I11" s="3"/>
      <c r="J11" s="3"/>
      <c r="K11" s="7" t="str">
        <f>IF(OR(I11="",J11="",I11=0),"",(J11-I11)/I11)</f>
        <v/>
      </c>
      <c r="L11" s="3" t="str">
        <f>IF(J11="","",IF(J11/10&gt;='الإعدادات والمستهدفات'!B5,"ناجح ومستوفى","ضعيف - يلزم إعادة اختبار"))</f>
        <v/>
      </c>
      <c r="M11" s="3"/>
      <c r="N11" s="3"/>
    </row>
    <row r="12" spans="1:14" x14ac:dyDescent="0.2">
      <c r="A12" s="3" t="str">
        <f>IFERROR(VLOOKUP(B12,'جدول الجلسات التدريبية'!A:B,2,FALSE),"")</f>
        <v/>
      </c>
      <c r="B12" s="3"/>
      <c r="C12" s="3" t="str">
        <f>IFERROR(VLOOKUP(A12,'الخطة التدريبية المعتمدة'!A:C,3,FALSE),"")</f>
        <v/>
      </c>
      <c r="D12" s="3" t="str">
        <f>IFERROR(VLOOKUP(B12,'جدول الجلسات التدريبية'!A:D,4,FALSE),"")</f>
        <v/>
      </c>
      <c r="E12" s="3"/>
      <c r="F12" s="3" t="str">
        <f>IFERROR(VLOOKUP(E12,'سجل الموظفين والكفاءة'!B:C,2,FALSE),"")</f>
        <v/>
      </c>
      <c r="G12" s="3">
        <f>IFERROR(VLOOKUP(A12,'الخطة التدريبية المعتمدة'!A:J,10,FALSE),0)</f>
        <v>0</v>
      </c>
      <c r="H12" s="3"/>
      <c r="I12" s="3"/>
      <c r="J12" s="3"/>
      <c r="K12" s="7" t="str">
        <f>IF(OR(I12="",J12="",I12=0),"",(J12-I12)/I12)</f>
        <v/>
      </c>
      <c r="L12" s="3" t="str">
        <f>IF(J12="","",IF(J12/10&gt;='الإعدادات والمستهدفات'!B5,"ناجح ومستوفى","ضعيف - يلزم إعادة اختبار"))</f>
        <v/>
      </c>
      <c r="M12" s="3"/>
      <c r="N12" s="3"/>
    </row>
    <row r="13" spans="1:14" x14ac:dyDescent="0.2">
      <c r="A13" s="3" t="str">
        <f>IFERROR(VLOOKUP(B13,'جدول الجلسات التدريبية'!A:B,2,FALSE),"")</f>
        <v/>
      </c>
      <c r="B13" s="3"/>
      <c r="C13" s="3" t="str">
        <f>IFERROR(VLOOKUP(A13,'الخطة التدريبية المعتمدة'!A:C,3,FALSE),"")</f>
        <v/>
      </c>
      <c r="D13" s="3" t="str">
        <f>IFERROR(VLOOKUP(B13,'جدول الجلسات التدريبية'!A:D,4,FALSE),"")</f>
        <v/>
      </c>
      <c r="E13" s="3"/>
      <c r="F13" s="3" t="str">
        <f>IFERROR(VLOOKUP(E13,'سجل الموظفين والكفاءة'!B:C,2,FALSE),"")</f>
        <v/>
      </c>
      <c r="G13" s="3">
        <f>IFERROR(VLOOKUP(A13,'الخطة التدريبية المعتمدة'!A:J,10,FALSE),0)</f>
        <v>0</v>
      </c>
      <c r="H13" s="3"/>
      <c r="I13" s="3"/>
      <c r="J13" s="3"/>
      <c r="K13" s="7" t="str">
        <f>IF(OR(I13="",J13="",I13=0),"",(J13-I13)/I13)</f>
        <v/>
      </c>
      <c r="L13" s="3" t="str">
        <f>IF(J13="","",IF(J13/10&gt;='الإعدادات والمستهدفات'!B5,"ناجح ومستوفى","ضعيف - يلزم إعادة اختبار"))</f>
        <v/>
      </c>
      <c r="M13" s="3"/>
      <c r="N13" s="3"/>
    </row>
    <row r="14" spans="1:14" x14ac:dyDescent="0.2">
      <c r="A14" s="3" t="str">
        <f>IFERROR(VLOOKUP(B14,'جدول الجلسات التدريبية'!A:B,2,FALSE),"")</f>
        <v/>
      </c>
      <c r="B14" s="3"/>
      <c r="C14" s="3" t="str">
        <f>IFERROR(VLOOKUP(A14,'الخطة التدريبية المعتمدة'!A:C,3,FALSE),"")</f>
        <v/>
      </c>
      <c r="D14" s="3" t="str">
        <f>IFERROR(VLOOKUP(B14,'جدول الجلسات التدريبية'!A:D,4,FALSE),"")</f>
        <v/>
      </c>
      <c r="E14" s="3"/>
      <c r="F14" s="3" t="str">
        <f>IFERROR(VLOOKUP(E14,'سجل الموظفين والكفاءة'!B:C,2,FALSE),"")</f>
        <v/>
      </c>
      <c r="G14" s="3">
        <f>IFERROR(VLOOKUP(A14,'الخطة التدريبية المعتمدة'!A:J,10,FALSE),0)</f>
        <v>0</v>
      </c>
      <c r="H14" s="3"/>
      <c r="I14" s="3"/>
      <c r="J14" s="3"/>
      <c r="K14" s="7" t="str">
        <f>IF(OR(I14="",J14="",I14=0),"",(J14-I14)/I14)</f>
        <v/>
      </c>
      <c r="L14" s="3" t="str">
        <f>IF(J14="","",IF(J14/10&gt;='الإعدادات والمستهدفات'!B5,"ناجح ومستوفى","ضعيف - يلزم إعادة اختبار"))</f>
        <v/>
      </c>
      <c r="M14" s="3"/>
      <c r="N14" s="3"/>
    </row>
    <row r="15" spans="1:14" x14ac:dyDescent="0.2">
      <c r="A15" s="3" t="str">
        <f>IFERROR(VLOOKUP(B15,'جدول الجلسات التدريبية'!A:B,2,FALSE),"")</f>
        <v/>
      </c>
      <c r="B15" s="3"/>
      <c r="C15" s="3" t="str">
        <f>IFERROR(VLOOKUP(A15,'الخطة التدريبية المعتمدة'!A:C,3,FALSE),"")</f>
        <v/>
      </c>
      <c r="D15" s="3" t="str">
        <f>IFERROR(VLOOKUP(B15,'جدول الجلسات التدريبية'!A:D,4,FALSE),"")</f>
        <v/>
      </c>
      <c r="E15" s="3"/>
      <c r="F15" s="3" t="str">
        <f>IFERROR(VLOOKUP(E15,'سجل الموظفين والكفاءة'!B:C,2,FALSE),"")</f>
        <v/>
      </c>
      <c r="G15" s="3">
        <f>IFERROR(VLOOKUP(A15,'الخطة التدريبية المعتمدة'!A:J,10,FALSE),0)</f>
        <v>0</v>
      </c>
      <c r="H15" s="3"/>
      <c r="I15" s="3"/>
      <c r="J15" s="3"/>
      <c r="K15" s="7" t="str">
        <f>IF(OR(I15="",J15="",I15=0),"",(J15-I15)/I15)</f>
        <v/>
      </c>
      <c r="L15" s="3" t="str">
        <f>IF(J15="","",IF(J15/10&gt;='الإعدادات والمستهدفات'!B5,"ناجح ومستوفى","ضعيف - يلزم إعادة اختبار"))</f>
        <v/>
      </c>
      <c r="M15" s="3"/>
      <c r="N15" s="3"/>
    </row>
    <row r="16" spans="1:14" x14ac:dyDescent="0.2">
      <c r="A16" s="3" t="str">
        <f>IFERROR(VLOOKUP(B16,'جدول الجلسات التدريبية'!A:B,2,FALSE),"")</f>
        <v/>
      </c>
      <c r="B16" s="3"/>
      <c r="C16" s="3" t="str">
        <f>IFERROR(VLOOKUP(A16,'الخطة التدريبية المعتمدة'!A:C,3,FALSE),"")</f>
        <v/>
      </c>
      <c r="D16" s="3" t="str">
        <f>IFERROR(VLOOKUP(B16,'جدول الجلسات التدريبية'!A:D,4,FALSE),"")</f>
        <v/>
      </c>
      <c r="E16" s="3"/>
      <c r="F16" s="3" t="str">
        <f>IFERROR(VLOOKUP(E16,'سجل الموظفين والكفاءة'!B:C,2,FALSE),"")</f>
        <v/>
      </c>
      <c r="G16" s="3">
        <f>IFERROR(VLOOKUP(A16,'الخطة التدريبية المعتمدة'!A:J,10,FALSE),0)</f>
        <v>0</v>
      </c>
      <c r="H16" s="3"/>
      <c r="I16" s="3"/>
      <c r="J16" s="3"/>
      <c r="K16" s="7" t="str">
        <f>IF(OR(I16="",J16="",I16=0),"",(J16-I16)/I16)</f>
        <v/>
      </c>
      <c r="L16" s="3" t="str">
        <f>IF(J16="","",IF(J16/10&gt;='الإعدادات والمستهدفات'!B5,"ناجح ومستوفى","ضعيف - يلزم إعادة اختبار"))</f>
        <v/>
      </c>
      <c r="M16" s="3"/>
      <c r="N16" s="3"/>
    </row>
    <row r="17" spans="1:14" x14ac:dyDescent="0.2">
      <c r="A17" s="3" t="str">
        <f>IFERROR(VLOOKUP(B17,'جدول الجلسات التدريبية'!A:B,2,FALSE),"")</f>
        <v/>
      </c>
      <c r="B17" s="3"/>
      <c r="C17" s="3" t="str">
        <f>IFERROR(VLOOKUP(A17,'الخطة التدريبية المعتمدة'!A:C,3,FALSE),"")</f>
        <v/>
      </c>
      <c r="D17" s="3" t="str">
        <f>IFERROR(VLOOKUP(B17,'جدول الجلسات التدريبية'!A:D,4,FALSE),"")</f>
        <v/>
      </c>
      <c r="E17" s="3"/>
      <c r="F17" s="3" t="str">
        <f>IFERROR(VLOOKUP(E17,'سجل الموظفين والكفاءة'!B:C,2,FALSE),"")</f>
        <v/>
      </c>
      <c r="G17" s="3">
        <f>IFERROR(VLOOKUP(A17,'الخطة التدريبية المعتمدة'!A:J,10,FALSE),0)</f>
        <v>0</v>
      </c>
      <c r="H17" s="3"/>
      <c r="I17" s="3"/>
      <c r="J17" s="3"/>
      <c r="K17" s="7" t="str">
        <f>IF(OR(I17="",J17="",I17=0),"",(J17-I17)/I17)</f>
        <v/>
      </c>
      <c r="L17" s="3" t="str">
        <f>IF(J17="","",IF(J17/10&gt;='الإعدادات والمستهدفات'!B5,"ناجح ومستوفى","ضعيف - يلزم إعادة اختبار"))</f>
        <v/>
      </c>
      <c r="M17" s="3"/>
      <c r="N17" s="3"/>
    </row>
    <row r="18" spans="1:14" x14ac:dyDescent="0.2">
      <c r="A18" s="3" t="str">
        <f>IFERROR(VLOOKUP(B18,'جدول الجلسات التدريبية'!A:B,2,FALSE),"")</f>
        <v/>
      </c>
      <c r="B18" s="3"/>
      <c r="C18" s="3" t="str">
        <f>IFERROR(VLOOKUP(A18,'الخطة التدريبية المعتمدة'!A:C,3,FALSE),"")</f>
        <v/>
      </c>
      <c r="D18" s="3" t="str">
        <f>IFERROR(VLOOKUP(B18,'جدول الجلسات التدريبية'!A:D,4,FALSE),"")</f>
        <v/>
      </c>
      <c r="E18" s="3"/>
      <c r="F18" s="3" t="str">
        <f>IFERROR(VLOOKUP(E18,'سجل الموظفين والكفاءة'!B:C,2,FALSE),"")</f>
        <v/>
      </c>
      <c r="G18" s="3">
        <f>IFERROR(VLOOKUP(A18,'الخطة التدريبية المعتمدة'!A:J,10,FALSE),0)</f>
        <v>0</v>
      </c>
      <c r="H18" s="3"/>
      <c r="I18" s="3"/>
      <c r="J18" s="3"/>
      <c r="K18" s="7" t="str">
        <f>IF(OR(I18="",J18="",I18=0),"",(J18-I18)/I18)</f>
        <v/>
      </c>
      <c r="L18" s="3" t="str">
        <f>IF(J18="","",IF(J18/10&gt;='الإعدادات والمستهدفات'!B5,"ناجح ومستوفى","ضعيف - يلزم إعادة اختبار"))</f>
        <v/>
      </c>
      <c r="M18" s="3"/>
      <c r="N18" s="3"/>
    </row>
    <row r="19" spans="1:14" x14ac:dyDescent="0.2">
      <c r="A19" s="3" t="str">
        <f>IFERROR(VLOOKUP(B19,'جدول الجلسات التدريبية'!A:B,2,FALSE),"")</f>
        <v/>
      </c>
      <c r="B19" s="3"/>
      <c r="C19" s="3" t="str">
        <f>IFERROR(VLOOKUP(A19,'الخطة التدريبية المعتمدة'!A:C,3,FALSE),"")</f>
        <v/>
      </c>
      <c r="D19" s="3" t="str">
        <f>IFERROR(VLOOKUP(B19,'جدول الجلسات التدريبية'!A:D,4,FALSE),"")</f>
        <v/>
      </c>
      <c r="E19" s="3"/>
      <c r="F19" s="3" t="str">
        <f>IFERROR(VLOOKUP(E19,'سجل الموظفين والكفاءة'!B:C,2,FALSE),"")</f>
        <v/>
      </c>
      <c r="G19" s="3">
        <f>IFERROR(VLOOKUP(A19,'الخطة التدريبية المعتمدة'!A:J,10,FALSE),0)</f>
        <v>0</v>
      </c>
      <c r="H19" s="3"/>
      <c r="I19" s="3"/>
      <c r="J19" s="3"/>
      <c r="K19" s="7" t="str">
        <f>IF(OR(I19="",J19="",I19=0),"",(J19-I19)/I19)</f>
        <v/>
      </c>
      <c r="L19" s="3" t="str">
        <f>IF(J19="","",IF(J19/10&gt;='الإعدادات والمستهدفات'!B5,"ناجح ومستوفى","ضعيف - يلزم إعادة اختبار"))</f>
        <v/>
      </c>
      <c r="M19" s="3"/>
      <c r="N19" s="3"/>
    </row>
    <row r="20" spans="1:14" x14ac:dyDescent="0.2">
      <c r="A20" s="3" t="str">
        <f>IFERROR(VLOOKUP(B20,'جدول الجلسات التدريبية'!A:B,2,FALSE),"")</f>
        <v/>
      </c>
      <c r="B20" s="3"/>
      <c r="C20" s="3" t="str">
        <f>IFERROR(VLOOKUP(A20,'الخطة التدريبية المعتمدة'!A:C,3,FALSE),"")</f>
        <v/>
      </c>
      <c r="D20" s="3" t="str">
        <f>IFERROR(VLOOKUP(B20,'جدول الجلسات التدريبية'!A:D,4,FALSE),"")</f>
        <v/>
      </c>
      <c r="E20" s="3"/>
      <c r="F20" s="3" t="str">
        <f>IFERROR(VLOOKUP(E20,'سجل الموظفين والكفاءة'!B:C,2,FALSE),"")</f>
        <v/>
      </c>
      <c r="G20" s="3">
        <f>IFERROR(VLOOKUP(A20,'الخطة التدريبية المعتمدة'!A:J,10,FALSE),0)</f>
        <v>0</v>
      </c>
      <c r="H20" s="3"/>
      <c r="I20" s="3"/>
      <c r="J20" s="3"/>
      <c r="K20" s="7" t="str">
        <f>IF(OR(I20="",J20="",I20=0),"",(J20-I20)/I20)</f>
        <v/>
      </c>
      <c r="L20" s="3" t="str">
        <f>IF(J20="","",IF(J20/10&gt;='الإعدادات والمستهدفات'!B5,"ناجح ومستوفى","ضعيف - يلزم إعادة اختبار"))</f>
        <v/>
      </c>
      <c r="M20" s="3"/>
      <c r="N20" s="3"/>
    </row>
    <row r="21" spans="1:14" x14ac:dyDescent="0.2">
      <c r="A21" s="3" t="str">
        <f>IFERROR(VLOOKUP(B21,'جدول الجلسات التدريبية'!A:B,2,FALSE),"")</f>
        <v/>
      </c>
      <c r="B21" s="3"/>
      <c r="C21" s="3" t="str">
        <f>IFERROR(VLOOKUP(A21,'الخطة التدريبية المعتمدة'!A:C,3,FALSE),"")</f>
        <v/>
      </c>
      <c r="D21" s="3" t="str">
        <f>IFERROR(VLOOKUP(B21,'جدول الجلسات التدريبية'!A:D,4,FALSE),"")</f>
        <v/>
      </c>
      <c r="E21" s="3"/>
      <c r="F21" s="3" t="str">
        <f>IFERROR(VLOOKUP(E21,'سجل الموظفين والكفاءة'!B:C,2,FALSE),"")</f>
        <v/>
      </c>
      <c r="G21" s="3">
        <f>IFERROR(VLOOKUP(A21,'الخطة التدريبية المعتمدة'!A:J,10,FALSE),0)</f>
        <v>0</v>
      </c>
      <c r="H21" s="3"/>
      <c r="I21" s="3"/>
      <c r="J21" s="3"/>
      <c r="K21" s="7" t="str">
        <f>IF(OR(I21="",J21="",I21=0),"",(J21-I21)/I21)</f>
        <v/>
      </c>
      <c r="L21" s="3" t="str">
        <f>IF(J21="","",IF(J21/10&gt;='الإعدادات والمستهدفات'!B5,"ناجح ومستوفى","ضعيف - يلزم إعادة اختبار"))</f>
        <v/>
      </c>
      <c r="M21" s="3"/>
      <c r="N21" s="3"/>
    </row>
    <row r="22" spans="1:14" x14ac:dyDescent="0.2">
      <c r="A22" s="3" t="str">
        <f>IFERROR(VLOOKUP(B22,'جدول الجلسات التدريبية'!A:B,2,FALSE),"")</f>
        <v/>
      </c>
      <c r="B22" s="3"/>
      <c r="C22" s="3" t="str">
        <f>IFERROR(VLOOKUP(A22,'الخطة التدريبية المعتمدة'!A:C,3,FALSE),"")</f>
        <v/>
      </c>
      <c r="D22" s="3" t="str">
        <f>IFERROR(VLOOKUP(B22,'جدول الجلسات التدريبية'!A:D,4,FALSE),"")</f>
        <v/>
      </c>
      <c r="E22" s="3"/>
      <c r="F22" s="3" t="str">
        <f>IFERROR(VLOOKUP(E22,'سجل الموظفين والكفاءة'!B:C,2,FALSE),"")</f>
        <v/>
      </c>
      <c r="G22" s="3">
        <f>IFERROR(VLOOKUP(A22,'الخطة التدريبية المعتمدة'!A:J,10,FALSE),0)</f>
        <v>0</v>
      </c>
      <c r="H22" s="3"/>
      <c r="I22" s="3"/>
      <c r="J22" s="3"/>
      <c r="K22" s="7" t="str">
        <f>IF(OR(I22="",J22="",I22=0),"",(J22-I22)/I22)</f>
        <v/>
      </c>
      <c r="L22" s="3" t="str">
        <f>IF(J22="","",IF(J22/10&gt;='الإعدادات والمستهدفات'!B5,"ناجح ومستوفى","ضعيف - يلزم إعادة اختبار"))</f>
        <v/>
      </c>
      <c r="M22" s="3"/>
      <c r="N22" s="3"/>
    </row>
    <row r="23" spans="1:14" x14ac:dyDescent="0.2">
      <c r="A23" s="3" t="str">
        <f>IFERROR(VLOOKUP(B23,'جدول الجلسات التدريبية'!A:B,2,FALSE),"")</f>
        <v/>
      </c>
      <c r="B23" s="3"/>
      <c r="C23" s="3" t="str">
        <f>IFERROR(VLOOKUP(A23,'الخطة التدريبية المعتمدة'!A:C,3,FALSE),"")</f>
        <v/>
      </c>
      <c r="D23" s="3" t="str">
        <f>IFERROR(VLOOKUP(B23,'جدول الجلسات التدريبية'!A:D,4,FALSE),"")</f>
        <v/>
      </c>
      <c r="E23" s="3"/>
      <c r="F23" s="3" t="str">
        <f>IFERROR(VLOOKUP(E23,'سجل الموظفين والكفاءة'!B:C,2,FALSE),"")</f>
        <v/>
      </c>
      <c r="G23" s="3">
        <f>IFERROR(VLOOKUP(A23,'الخطة التدريبية المعتمدة'!A:J,10,FALSE),0)</f>
        <v>0</v>
      </c>
      <c r="H23" s="3"/>
      <c r="I23" s="3"/>
      <c r="J23" s="3"/>
      <c r="K23" s="7" t="str">
        <f>IF(OR(I23="",J23="",I23=0),"",(J23-I23)/I23)</f>
        <v/>
      </c>
      <c r="L23" s="3" t="str">
        <f>IF(J23="","",IF(J23/10&gt;='الإعدادات والمستهدفات'!B5,"ناجح ومستوفى","ضعيف - يلزم إعادة اختبار"))</f>
        <v/>
      </c>
      <c r="M23" s="3"/>
      <c r="N23" s="3"/>
    </row>
    <row r="24" spans="1:14" x14ac:dyDescent="0.2">
      <c r="A24" s="3" t="str">
        <f>IFERROR(VLOOKUP(B24,'جدول الجلسات التدريبية'!A:B,2,FALSE),"")</f>
        <v/>
      </c>
      <c r="B24" s="3"/>
      <c r="C24" s="3" t="str">
        <f>IFERROR(VLOOKUP(A24,'الخطة التدريبية المعتمدة'!A:C,3,FALSE),"")</f>
        <v/>
      </c>
      <c r="D24" s="3" t="str">
        <f>IFERROR(VLOOKUP(B24,'جدول الجلسات التدريبية'!A:D,4,FALSE),"")</f>
        <v/>
      </c>
      <c r="E24" s="3"/>
      <c r="F24" s="3" t="str">
        <f>IFERROR(VLOOKUP(E24,'سجل الموظفين والكفاءة'!B:C,2,FALSE),"")</f>
        <v/>
      </c>
      <c r="G24" s="3">
        <f>IFERROR(VLOOKUP(A24,'الخطة التدريبية المعتمدة'!A:J,10,FALSE),0)</f>
        <v>0</v>
      </c>
      <c r="H24" s="3"/>
      <c r="I24" s="3"/>
      <c r="J24" s="3"/>
      <c r="K24" s="7" t="str">
        <f>IF(OR(I24="",J24="",I24=0),"",(J24-I24)/I24)</f>
        <v/>
      </c>
      <c r="L24" s="3" t="str">
        <f>IF(J24="","",IF(J24/10&gt;='الإعدادات والمستهدفات'!B5,"ناجح ومستوفى","ضعيف - يلزم إعادة اختبار"))</f>
        <v/>
      </c>
      <c r="M24" s="3"/>
      <c r="N24" s="3"/>
    </row>
    <row r="25" spans="1:14" x14ac:dyDescent="0.2">
      <c r="A25" s="3" t="str">
        <f>IFERROR(VLOOKUP(B25,'جدول الجلسات التدريبية'!A:B,2,FALSE),"")</f>
        <v/>
      </c>
      <c r="B25" s="3"/>
      <c r="C25" s="3" t="str">
        <f>IFERROR(VLOOKUP(A25,'الخطة التدريبية المعتمدة'!A:C,3,FALSE),"")</f>
        <v/>
      </c>
      <c r="D25" s="3" t="str">
        <f>IFERROR(VLOOKUP(B25,'جدول الجلسات التدريبية'!A:D,4,FALSE),"")</f>
        <v/>
      </c>
      <c r="E25" s="3"/>
      <c r="F25" s="3" t="str">
        <f>IFERROR(VLOOKUP(E25,'سجل الموظفين والكفاءة'!B:C,2,FALSE),"")</f>
        <v/>
      </c>
      <c r="G25" s="3">
        <f>IFERROR(VLOOKUP(A25,'الخطة التدريبية المعتمدة'!A:J,10,FALSE),0)</f>
        <v>0</v>
      </c>
      <c r="H25" s="3"/>
      <c r="I25" s="3"/>
      <c r="J25" s="3"/>
      <c r="K25" s="7" t="str">
        <f>IF(OR(I25="",J25="",I25=0),"",(J25-I25)/I25)</f>
        <v/>
      </c>
      <c r="L25" s="3" t="str">
        <f>IF(J25="","",IF(J25/10&gt;='الإعدادات والمستهدفات'!B5,"ناجح ومستوفى","ضعيف - يلزم إعادة اختبار"))</f>
        <v/>
      </c>
      <c r="M25" s="3"/>
      <c r="N25" s="3"/>
    </row>
    <row r="26" spans="1:14" x14ac:dyDescent="0.2">
      <c r="A26" s="3" t="str">
        <f>IFERROR(VLOOKUP(B26,'جدول الجلسات التدريبية'!A:B,2,FALSE),"")</f>
        <v/>
      </c>
      <c r="B26" s="3"/>
      <c r="C26" s="3" t="str">
        <f>IFERROR(VLOOKUP(A26,'الخطة التدريبية المعتمدة'!A:C,3,FALSE),"")</f>
        <v/>
      </c>
      <c r="D26" s="3" t="str">
        <f>IFERROR(VLOOKUP(B26,'جدول الجلسات التدريبية'!A:D,4,FALSE),"")</f>
        <v/>
      </c>
      <c r="E26" s="3"/>
      <c r="F26" s="3" t="str">
        <f>IFERROR(VLOOKUP(E26,'سجل الموظفين والكفاءة'!B:C,2,FALSE),"")</f>
        <v/>
      </c>
      <c r="G26" s="3">
        <f>IFERROR(VLOOKUP(A26,'الخطة التدريبية المعتمدة'!A:J,10,FALSE),0)</f>
        <v>0</v>
      </c>
      <c r="H26" s="3"/>
      <c r="I26" s="3"/>
      <c r="J26" s="3"/>
      <c r="K26" s="7" t="str">
        <f>IF(OR(I26="",J26="",I26=0),"",(J26-I26)/I26)</f>
        <v/>
      </c>
      <c r="L26" s="3" t="str">
        <f>IF(J26="","",IF(J26/10&gt;='الإعدادات والمستهدفات'!B5,"ناجح ومستوفى","ضعيف - يلزم إعادة اختبار"))</f>
        <v/>
      </c>
      <c r="M26" s="3"/>
      <c r="N26" s="3"/>
    </row>
    <row r="27" spans="1:14" x14ac:dyDescent="0.2">
      <c r="A27" s="3" t="str">
        <f>IFERROR(VLOOKUP(B27,'جدول الجلسات التدريبية'!A:B,2,FALSE),"")</f>
        <v/>
      </c>
      <c r="B27" s="3"/>
      <c r="C27" s="3" t="str">
        <f>IFERROR(VLOOKUP(A27,'الخطة التدريبية المعتمدة'!A:C,3,FALSE),"")</f>
        <v/>
      </c>
      <c r="D27" s="3" t="str">
        <f>IFERROR(VLOOKUP(B27,'جدول الجلسات التدريبية'!A:D,4,FALSE),"")</f>
        <v/>
      </c>
      <c r="E27" s="3"/>
      <c r="F27" s="3" t="str">
        <f>IFERROR(VLOOKUP(E27,'سجل الموظفين والكفاءة'!B:C,2,FALSE),"")</f>
        <v/>
      </c>
      <c r="G27" s="3">
        <f>IFERROR(VLOOKUP(A27,'الخطة التدريبية المعتمدة'!A:J,10,FALSE),0)</f>
        <v>0</v>
      </c>
      <c r="H27" s="3"/>
      <c r="I27" s="3"/>
      <c r="J27" s="3"/>
      <c r="K27" s="7" t="str">
        <f>IF(OR(I27="",J27="",I27=0),"",(J27-I27)/I27)</f>
        <v/>
      </c>
      <c r="L27" s="3" t="str">
        <f>IF(J27="","",IF(J27/10&gt;='الإعدادات والمستهدفات'!B5,"ناجح ومستوفى","ضعيف - يلزم إعادة اختبار"))</f>
        <v/>
      </c>
      <c r="M27" s="3"/>
      <c r="N27" s="3"/>
    </row>
    <row r="28" spans="1:14" x14ac:dyDescent="0.2">
      <c r="A28" s="3" t="str">
        <f>IFERROR(VLOOKUP(B28,'جدول الجلسات التدريبية'!A:B,2,FALSE),"")</f>
        <v/>
      </c>
      <c r="B28" s="3"/>
      <c r="C28" s="3" t="str">
        <f>IFERROR(VLOOKUP(A28,'الخطة التدريبية المعتمدة'!A:C,3,FALSE),"")</f>
        <v/>
      </c>
      <c r="D28" s="3" t="str">
        <f>IFERROR(VLOOKUP(B28,'جدول الجلسات التدريبية'!A:D,4,FALSE),"")</f>
        <v/>
      </c>
      <c r="E28" s="3"/>
      <c r="F28" s="3" t="str">
        <f>IFERROR(VLOOKUP(E28,'سجل الموظفين والكفاءة'!B:C,2,FALSE),"")</f>
        <v/>
      </c>
      <c r="G28" s="3">
        <f>IFERROR(VLOOKUP(A28,'الخطة التدريبية المعتمدة'!A:J,10,FALSE),0)</f>
        <v>0</v>
      </c>
      <c r="H28" s="3"/>
      <c r="I28" s="3"/>
      <c r="J28" s="3"/>
      <c r="K28" s="7" t="str">
        <f>IF(OR(I28="",J28="",I28=0),"",(J28-I28)/I28)</f>
        <v/>
      </c>
      <c r="L28" s="3" t="str">
        <f>IF(J28="","",IF(J28/10&gt;='الإعدادات والمستهدفات'!B5,"ناجح ومستوفى","ضعيف - يلزم إعادة اختبار"))</f>
        <v/>
      </c>
      <c r="M28" s="3"/>
      <c r="N28" s="3"/>
    </row>
    <row r="29" spans="1:14" x14ac:dyDescent="0.2">
      <c r="A29" s="3" t="str">
        <f>IFERROR(VLOOKUP(B29,'جدول الجلسات التدريبية'!A:B,2,FALSE),"")</f>
        <v/>
      </c>
      <c r="B29" s="3"/>
      <c r="C29" s="3" t="str">
        <f>IFERROR(VLOOKUP(A29,'الخطة التدريبية المعتمدة'!A:C,3,FALSE),"")</f>
        <v/>
      </c>
      <c r="D29" s="3" t="str">
        <f>IFERROR(VLOOKUP(B29,'جدول الجلسات التدريبية'!A:D,4,FALSE),"")</f>
        <v/>
      </c>
      <c r="E29" s="3"/>
      <c r="F29" s="3" t="str">
        <f>IFERROR(VLOOKUP(E29,'سجل الموظفين والكفاءة'!B:C,2,FALSE),"")</f>
        <v/>
      </c>
      <c r="G29" s="3">
        <f>IFERROR(VLOOKUP(A29,'الخطة التدريبية المعتمدة'!A:J,10,FALSE),0)</f>
        <v>0</v>
      </c>
      <c r="H29" s="3"/>
      <c r="I29" s="3"/>
      <c r="J29" s="3"/>
      <c r="K29" s="7" t="str">
        <f>IF(OR(I29="",J29="",I29=0),"",(J29-I29)/I29)</f>
        <v/>
      </c>
      <c r="L29" s="3" t="str">
        <f>IF(J29="","",IF(J29/10&gt;='الإعدادات والمستهدفات'!B5,"ناجح ومستوفى","ضعيف - يلزم إعادة اختبار"))</f>
        <v/>
      </c>
      <c r="M29" s="3"/>
      <c r="N29" s="3"/>
    </row>
    <row r="30" spans="1:14" x14ac:dyDescent="0.2">
      <c r="A30" s="3" t="str">
        <f>IFERROR(VLOOKUP(B30,'جدول الجلسات التدريبية'!A:B,2,FALSE),"")</f>
        <v/>
      </c>
      <c r="B30" s="3"/>
      <c r="C30" s="3" t="str">
        <f>IFERROR(VLOOKUP(A30,'الخطة التدريبية المعتمدة'!A:C,3,FALSE),"")</f>
        <v/>
      </c>
      <c r="D30" s="3" t="str">
        <f>IFERROR(VLOOKUP(B30,'جدول الجلسات التدريبية'!A:D,4,FALSE),"")</f>
        <v/>
      </c>
      <c r="E30" s="3"/>
      <c r="F30" s="3" t="str">
        <f>IFERROR(VLOOKUP(E30,'سجل الموظفين والكفاءة'!B:C,2,FALSE),"")</f>
        <v/>
      </c>
      <c r="G30" s="3">
        <f>IFERROR(VLOOKUP(A30,'الخطة التدريبية المعتمدة'!A:J,10,FALSE),0)</f>
        <v>0</v>
      </c>
      <c r="H30" s="3"/>
      <c r="I30" s="3"/>
      <c r="J30" s="3"/>
      <c r="K30" s="7" t="str">
        <f>IF(OR(I30="",J30="",I30=0),"",(J30-I30)/I30)</f>
        <v/>
      </c>
      <c r="L30" s="3" t="str">
        <f>IF(J30="","",IF(J30/10&gt;='الإعدادات والمستهدفات'!B5,"ناجح ومستوفى","ضعيف - يلزم إعادة اختبار"))</f>
        <v/>
      </c>
      <c r="M30" s="3"/>
      <c r="N30" s="3"/>
    </row>
    <row r="31" spans="1:14" x14ac:dyDescent="0.2">
      <c r="A31" s="3" t="str">
        <f>IFERROR(VLOOKUP(B31,'جدول الجلسات التدريبية'!A:B,2,FALSE),"")</f>
        <v/>
      </c>
      <c r="B31" s="3"/>
      <c r="C31" s="3" t="str">
        <f>IFERROR(VLOOKUP(A31,'الخطة التدريبية المعتمدة'!A:C,3,FALSE),"")</f>
        <v/>
      </c>
      <c r="D31" s="3" t="str">
        <f>IFERROR(VLOOKUP(B31,'جدول الجلسات التدريبية'!A:D,4,FALSE),"")</f>
        <v/>
      </c>
      <c r="E31" s="3"/>
      <c r="F31" s="3" t="str">
        <f>IFERROR(VLOOKUP(E31,'سجل الموظفين والكفاءة'!B:C,2,FALSE),"")</f>
        <v/>
      </c>
      <c r="G31" s="3">
        <f>IFERROR(VLOOKUP(A31,'الخطة التدريبية المعتمدة'!A:J,10,FALSE),0)</f>
        <v>0</v>
      </c>
      <c r="H31" s="3"/>
      <c r="I31" s="3"/>
      <c r="J31" s="3"/>
      <c r="K31" s="7" t="str">
        <f>IF(OR(I31="",J31="",I31=0),"",(J31-I31)/I31)</f>
        <v/>
      </c>
      <c r="L31" s="3" t="str">
        <f>IF(J31="","",IF(J31/10&gt;='الإعدادات والمستهدفات'!B5,"ناجح ومستوفى","ضعيف - يلزم إعادة اختبار"))</f>
        <v/>
      </c>
      <c r="M31" s="3"/>
      <c r="N31" s="3"/>
    </row>
    <row r="32" spans="1:14" x14ac:dyDescent="0.2">
      <c r="A32" s="3" t="str">
        <f>IFERROR(VLOOKUP(B32,'جدول الجلسات التدريبية'!A:B,2,FALSE),"")</f>
        <v/>
      </c>
      <c r="B32" s="3"/>
      <c r="C32" s="3" t="str">
        <f>IFERROR(VLOOKUP(A32,'الخطة التدريبية المعتمدة'!A:C,3,FALSE),"")</f>
        <v/>
      </c>
      <c r="D32" s="3" t="str">
        <f>IFERROR(VLOOKUP(B32,'جدول الجلسات التدريبية'!A:D,4,FALSE),"")</f>
        <v/>
      </c>
      <c r="E32" s="3"/>
      <c r="F32" s="3" t="str">
        <f>IFERROR(VLOOKUP(E32,'سجل الموظفين والكفاءة'!B:C,2,FALSE),"")</f>
        <v/>
      </c>
      <c r="G32" s="3">
        <f>IFERROR(VLOOKUP(A32,'الخطة التدريبية المعتمدة'!A:J,10,FALSE),0)</f>
        <v>0</v>
      </c>
      <c r="H32" s="3"/>
      <c r="I32" s="3"/>
      <c r="J32" s="3"/>
      <c r="K32" s="7" t="str">
        <f>IF(OR(I32="",J32="",I32=0),"",(J32-I32)/I32)</f>
        <v/>
      </c>
      <c r="L32" s="3" t="str">
        <f>IF(J32="","",IF(J32/10&gt;='الإعدادات والمستهدفات'!B5,"ناجح ومستوفى","ضعيف - يلزم إعادة اختبار"))</f>
        <v/>
      </c>
      <c r="M32" s="3"/>
      <c r="N32" s="3"/>
    </row>
    <row r="33" spans="1:14" x14ac:dyDescent="0.2">
      <c r="A33" s="3" t="str">
        <f>IFERROR(VLOOKUP(B33,'جدول الجلسات التدريبية'!A:B,2,FALSE),"")</f>
        <v/>
      </c>
      <c r="B33" s="3"/>
      <c r="C33" s="3" t="str">
        <f>IFERROR(VLOOKUP(A33,'الخطة التدريبية المعتمدة'!A:C,3,FALSE),"")</f>
        <v/>
      </c>
      <c r="D33" s="3" t="str">
        <f>IFERROR(VLOOKUP(B33,'جدول الجلسات التدريبية'!A:D,4,FALSE),"")</f>
        <v/>
      </c>
      <c r="E33" s="3"/>
      <c r="F33" s="3" t="str">
        <f>IFERROR(VLOOKUP(E33,'سجل الموظفين والكفاءة'!B:C,2,FALSE),"")</f>
        <v/>
      </c>
      <c r="G33" s="3">
        <f>IFERROR(VLOOKUP(A33,'الخطة التدريبية المعتمدة'!A:J,10,FALSE),0)</f>
        <v>0</v>
      </c>
      <c r="H33" s="3"/>
      <c r="I33" s="3"/>
      <c r="J33" s="3"/>
      <c r="K33" s="7" t="str">
        <f>IF(OR(I33="",J33="",I33=0),"",(J33-I33)/I33)</f>
        <v/>
      </c>
      <c r="L33" s="3" t="str">
        <f>IF(J33="","",IF(J33/10&gt;='الإعدادات والمستهدفات'!B5,"ناجح ومستوفى","ضعيف - يلزم إعادة اختبار"))</f>
        <v/>
      </c>
      <c r="M33" s="3"/>
      <c r="N33" s="3"/>
    </row>
    <row r="34" spans="1:14" x14ac:dyDescent="0.2">
      <c r="A34" s="3" t="str">
        <f>IFERROR(VLOOKUP(B34,'جدول الجلسات التدريبية'!A:B,2,FALSE),"")</f>
        <v/>
      </c>
      <c r="B34" s="3"/>
      <c r="C34" s="3" t="str">
        <f>IFERROR(VLOOKUP(A34,'الخطة التدريبية المعتمدة'!A:C,3,FALSE),"")</f>
        <v/>
      </c>
      <c r="D34" s="3" t="str">
        <f>IFERROR(VLOOKUP(B34,'جدول الجلسات التدريبية'!A:D,4,FALSE),"")</f>
        <v/>
      </c>
      <c r="E34" s="3"/>
      <c r="F34" s="3" t="str">
        <f>IFERROR(VLOOKUP(E34,'سجل الموظفين والكفاءة'!B:C,2,FALSE),"")</f>
        <v/>
      </c>
      <c r="G34" s="3">
        <f>IFERROR(VLOOKUP(A34,'الخطة التدريبية المعتمدة'!A:J,10,FALSE),0)</f>
        <v>0</v>
      </c>
      <c r="H34" s="3"/>
      <c r="I34" s="3"/>
      <c r="J34" s="3"/>
      <c r="K34" s="7" t="str">
        <f>IF(OR(I34="",J34="",I34=0),"",(J34-I34)/I34)</f>
        <v/>
      </c>
      <c r="L34" s="3" t="str">
        <f>IF(J34="","",IF(J34/10&gt;='الإعدادات والمستهدفات'!B5,"ناجح ومستوفى","ضعيف - يلزم إعادة اختبار"))</f>
        <v/>
      </c>
      <c r="M34" s="3"/>
      <c r="N34" s="3"/>
    </row>
    <row r="35" spans="1:14" x14ac:dyDescent="0.2">
      <c r="A35" s="3" t="str">
        <f>IFERROR(VLOOKUP(B35,'جدول الجلسات التدريبية'!A:B,2,FALSE),"")</f>
        <v/>
      </c>
      <c r="B35" s="3"/>
      <c r="C35" s="3" t="str">
        <f>IFERROR(VLOOKUP(A35,'الخطة التدريبية المعتمدة'!A:C,3,FALSE),"")</f>
        <v/>
      </c>
      <c r="D35" s="3" t="str">
        <f>IFERROR(VLOOKUP(B35,'جدول الجلسات التدريبية'!A:D,4,FALSE),"")</f>
        <v/>
      </c>
      <c r="E35" s="3"/>
      <c r="F35" s="3" t="str">
        <f>IFERROR(VLOOKUP(E35,'سجل الموظفين والكفاءة'!B:C,2,FALSE),"")</f>
        <v/>
      </c>
      <c r="G35" s="3">
        <f>IFERROR(VLOOKUP(A35,'الخطة التدريبية المعتمدة'!A:J,10,FALSE),0)</f>
        <v>0</v>
      </c>
      <c r="H35" s="3"/>
      <c r="I35" s="3"/>
      <c r="J35" s="3"/>
      <c r="K35" s="7" t="str">
        <f>IF(OR(I35="",J35="",I35=0),"",(J35-I35)/I35)</f>
        <v/>
      </c>
      <c r="L35" s="3" t="str">
        <f>IF(J35="","",IF(J35/10&gt;='الإعدادات والمستهدفات'!B5,"ناجح ومستوفى","ضعيف - يلزم إعادة اختبار"))</f>
        <v/>
      </c>
      <c r="M35" s="3"/>
      <c r="N35" s="3"/>
    </row>
    <row r="36" spans="1:14" x14ac:dyDescent="0.2">
      <c r="A36" s="3" t="str">
        <f>IFERROR(VLOOKUP(B36,'جدول الجلسات التدريبية'!A:B,2,FALSE),"")</f>
        <v/>
      </c>
      <c r="B36" s="3"/>
      <c r="C36" s="3" t="str">
        <f>IFERROR(VLOOKUP(A36,'الخطة التدريبية المعتمدة'!A:C,3,FALSE),"")</f>
        <v/>
      </c>
      <c r="D36" s="3" t="str">
        <f>IFERROR(VLOOKUP(B36,'جدول الجلسات التدريبية'!A:D,4,FALSE),"")</f>
        <v/>
      </c>
      <c r="E36" s="3"/>
      <c r="F36" s="3" t="str">
        <f>IFERROR(VLOOKUP(E36,'سجل الموظفين والكفاءة'!B:C,2,FALSE),"")</f>
        <v/>
      </c>
      <c r="G36" s="3">
        <f>IFERROR(VLOOKUP(A36,'الخطة التدريبية المعتمدة'!A:J,10,FALSE),0)</f>
        <v>0</v>
      </c>
      <c r="H36" s="3"/>
      <c r="I36" s="3"/>
      <c r="J36" s="3"/>
      <c r="K36" s="7" t="str">
        <f>IF(OR(I36="",J36="",I36=0),"",(J36-I36)/I36)</f>
        <v/>
      </c>
      <c r="L36" s="3" t="str">
        <f>IF(J36="","",IF(J36/10&gt;='الإعدادات والمستهدفات'!B5,"ناجح ومستوفى","ضعيف - يلزم إعادة اختبار"))</f>
        <v/>
      </c>
      <c r="M36" s="3"/>
      <c r="N36" s="3"/>
    </row>
    <row r="37" spans="1:14" x14ac:dyDescent="0.2">
      <c r="A37" s="3" t="str">
        <f>IFERROR(VLOOKUP(B37,'جدول الجلسات التدريبية'!A:B,2,FALSE),"")</f>
        <v/>
      </c>
      <c r="B37" s="3"/>
      <c r="C37" s="3" t="str">
        <f>IFERROR(VLOOKUP(A37,'الخطة التدريبية المعتمدة'!A:C,3,FALSE),"")</f>
        <v/>
      </c>
      <c r="D37" s="3" t="str">
        <f>IFERROR(VLOOKUP(B37,'جدول الجلسات التدريبية'!A:D,4,FALSE),"")</f>
        <v/>
      </c>
      <c r="E37" s="3"/>
      <c r="F37" s="3" t="str">
        <f>IFERROR(VLOOKUP(E37,'سجل الموظفين والكفاءة'!B:C,2,FALSE),"")</f>
        <v/>
      </c>
      <c r="G37" s="3">
        <f>IFERROR(VLOOKUP(A37,'الخطة التدريبية المعتمدة'!A:J,10,FALSE),0)</f>
        <v>0</v>
      </c>
      <c r="H37" s="3"/>
      <c r="I37" s="3"/>
      <c r="J37" s="3"/>
      <c r="K37" s="7" t="str">
        <f>IF(OR(I37="",J37="",I37=0),"",(J37-I37)/I37)</f>
        <v/>
      </c>
      <c r="L37" s="3" t="str">
        <f>IF(J37="","",IF(J37/10&gt;='الإعدادات والمستهدفات'!B5,"ناجح ومستوفى","ضعيف - يلزم إعادة اختبار"))</f>
        <v/>
      </c>
      <c r="M37" s="3"/>
      <c r="N37" s="3"/>
    </row>
    <row r="38" spans="1:14" x14ac:dyDescent="0.2">
      <c r="A38" s="3" t="str">
        <f>IFERROR(VLOOKUP(B38,'جدول الجلسات التدريبية'!A:B,2,FALSE),"")</f>
        <v/>
      </c>
      <c r="B38" s="3"/>
      <c r="C38" s="3" t="str">
        <f>IFERROR(VLOOKUP(A38,'الخطة التدريبية المعتمدة'!A:C,3,FALSE),"")</f>
        <v/>
      </c>
      <c r="D38" s="3" t="str">
        <f>IFERROR(VLOOKUP(B38,'جدول الجلسات التدريبية'!A:D,4,FALSE),"")</f>
        <v/>
      </c>
      <c r="E38" s="3"/>
      <c r="F38" s="3" t="str">
        <f>IFERROR(VLOOKUP(E38,'سجل الموظفين والكفاءة'!B:C,2,FALSE),"")</f>
        <v/>
      </c>
      <c r="G38" s="3">
        <f>IFERROR(VLOOKUP(A38,'الخطة التدريبية المعتمدة'!A:J,10,FALSE),0)</f>
        <v>0</v>
      </c>
      <c r="H38" s="3"/>
      <c r="I38" s="3"/>
      <c r="J38" s="3"/>
      <c r="K38" s="7" t="str">
        <f>IF(OR(I38="",J38="",I38=0),"",(J38-I38)/I38)</f>
        <v/>
      </c>
      <c r="L38" s="3" t="str">
        <f>IF(J38="","",IF(J38/10&gt;='الإعدادات والمستهدفات'!B5,"ناجح ومستوفى","ضعيف - يلزم إعادة اختبار"))</f>
        <v/>
      </c>
      <c r="M38" s="3"/>
      <c r="N38" s="3"/>
    </row>
    <row r="39" spans="1:14" x14ac:dyDescent="0.2">
      <c r="A39" s="3" t="str">
        <f>IFERROR(VLOOKUP(B39,'جدول الجلسات التدريبية'!A:B,2,FALSE),"")</f>
        <v/>
      </c>
      <c r="B39" s="3"/>
      <c r="C39" s="3" t="str">
        <f>IFERROR(VLOOKUP(A39,'الخطة التدريبية المعتمدة'!A:C,3,FALSE),"")</f>
        <v/>
      </c>
      <c r="D39" s="3" t="str">
        <f>IFERROR(VLOOKUP(B39,'جدول الجلسات التدريبية'!A:D,4,FALSE),"")</f>
        <v/>
      </c>
      <c r="E39" s="3"/>
      <c r="F39" s="3" t="str">
        <f>IFERROR(VLOOKUP(E39,'سجل الموظفين والكفاءة'!B:C,2,FALSE),"")</f>
        <v/>
      </c>
      <c r="G39" s="3">
        <f>IFERROR(VLOOKUP(A39,'الخطة التدريبية المعتمدة'!A:J,10,FALSE),0)</f>
        <v>0</v>
      </c>
      <c r="H39" s="3"/>
      <c r="I39" s="3"/>
      <c r="J39" s="3"/>
      <c r="K39" s="7" t="str">
        <f>IF(OR(I39="",J39="",I39=0),"",(J39-I39)/I39)</f>
        <v/>
      </c>
      <c r="L39" s="3" t="str">
        <f>IF(J39="","",IF(J39/10&gt;='الإعدادات والمستهدفات'!B5,"ناجح ومستوفى","ضعيف - يلزم إعادة اختبار"))</f>
        <v/>
      </c>
      <c r="M39" s="3"/>
      <c r="N39" s="3"/>
    </row>
    <row r="40" spans="1:14" x14ac:dyDescent="0.2">
      <c r="A40" s="3" t="str">
        <f>IFERROR(VLOOKUP(B40,'جدول الجلسات التدريبية'!A:B,2,FALSE),"")</f>
        <v/>
      </c>
      <c r="B40" s="3"/>
      <c r="C40" s="3" t="str">
        <f>IFERROR(VLOOKUP(A40,'الخطة التدريبية المعتمدة'!A:C,3,FALSE),"")</f>
        <v/>
      </c>
      <c r="D40" s="3" t="str">
        <f>IFERROR(VLOOKUP(B40,'جدول الجلسات التدريبية'!A:D,4,FALSE),"")</f>
        <v/>
      </c>
      <c r="E40" s="3"/>
      <c r="F40" s="3" t="str">
        <f>IFERROR(VLOOKUP(E40,'سجل الموظفين والكفاءة'!B:C,2,FALSE),"")</f>
        <v/>
      </c>
      <c r="G40" s="3">
        <f>IFERROR(VLOOKUP(A40,'الخطة التدريبية المعتمدة'!A:J,10,FALSE),0)</f>
        <v>0</v>
      </c>
      <c r="H40" s="3"/>
      <c r="I40" s="3"/>
      <c r="J40" s="3"/>
      <c r="K40" s="7" t="str">
        <f>IF(OR(I40="",J40="",I40=0),"",(J40-I40)/I40)</f>
        <v/>
      </c>
      <c r="L40" s="3" t="str">
        <f>IF(J40="","",IF(J40/10&gt;='الإعدادات والمستهدفات'!B5,"ناجح ومستوفى","ضعيف - يلزم إعادة اختبار"))</f>
        <v/>
      </c>
      <c r="M40" s="3"/>
      <c r="N40" s="3"/>
    </row>
    <row r="41" spans="1:14" x14ac:dyDescent="0.2">
      <c r="A41" s="3" t="str">
        <f>IFERROR(VLOOKUP(B41,'جدول الجلسات التدريبية'!A:B,2,FALSE),"")</f>
        <v/>
      </c>
      <c r="B41" s="3"/>
      <c r="C41" s="3" t="str">
        <f>IFERROR(VLOOKUP(A41,'الخطة التدريبية المعتمدة'!A:C,3,FALSE),"")</f>
        <v/>
      </c>
      <c r="D41" s="3" t="str">
        <f>IFERROR(VLOOKUP(B41,'جدول الجلسات التدريبية'!A:D,4,FALSE),"")</f>
        <v/>
      </c>
      <c r="E41" s="3"/>
      <c r="F41" s="3" t="str">
        <f>IFERROR(VLOOKUP(E41,'سجل الموظفين والكفاءة'!B:C,2,FALSE),"")</f>
        <v/>
      </c>
      <c r="G41" s="3">
        <f>IFERROR(VLOOKUP(A41,'الخطة التدريبية المعتمدة'!A:J,10,FALSE),0)</f>
        <v>0</v>
      </c>
      <c r="H41" s="3"/>
      <c r="I41" s="3"/>
      <c r="J41" s="3"/>
      <c r="K41" s="7" t="str">
        <f>IF(OR(I41="",J41="",I41=0),"",(J41-I41)/I41)</f>
        <v/>
      </c>
      <c r="L41" s="3" t="str">
        <f>IF(J41="","",IF(J41/10&gt;='الإعدادات والمستهدفات'!B5,"ناجح ومستوفى","ضعيف - يلزم إعادة اختبار"))</f>
        <v/>
      </c>
      <c r="M41" s="3"/>
      <c r="N41" s="3"/>
    </row>
    <row r="42" spans="1:14" x14ac:dyDescent="0.2">
      <c r="A42" s="3" t="str">
        <f>IFERROR(VLOOKUP(B42,'جدول الجلسات التدريبية'!A:B,2,FALSE),"")</f>
        <v/>
      </c>
      <c r="B42" s="3"/>
      <c r="C42" s="3" t="str">
        <f>IFERROR(VLOOKUP(A42,'الخطة التدريبية المعتمدة'!A:C,3,FALSE),"")</f>
        <v/>
      </c>
      <c r="D42" s="3" t="str">
        <f>IFERROR(VLOOKUP(B42,'جدول الجلسات التدريبية'!A:D,4,FALSE),"")</f>
        <v/>
      </c>
      <c r="E42" s="3"/>
      <c r="F42" s="3" t="str">
        <f>IFERROR(VLOOKUP(E42,'سجل الموظفين والكفاءة'!B:C,2,FALSE),"")</f>
        <v/>
      </c>
      <c r="G42" s="3">
        <f>IFERROR(VLOOKUP(A42,'الخطة التدريبية المعتمدة'!A:J,10,FALSE),0)</f>
        <v>0</v>
      </c>
      <c r="H42" s="3"/>
      <c r="I42" s="3"/>
      <c r="J42" s="3"/>
      <c r="K42" s="7" t="str">
        <f>IF(OR(I42="",J42="",I42=0),"",(J42-I42)/I42)</f>
        <v/>
      </c>
      <c r="L42" s="3" t="str">
        <f>IF(J42="","",IF(J42/10&gt;='الإعدادات والمستهدفات'!B5,"ناجح ومستوفى","ضعيف - يلزم إعادة اختبار"))</f>
        <v/>
      </c>
      <c r="M42" s="3"/>
      <c r="N42" s="3"/>
    </row>
    <row r="43" spans="1:14" x14ac:dyDescent="0.2">
      <c r="A43" s="3" t="str">
        <f>IFERROR(VLOOKUP(B43,'جدول الجلسات التدريبية'!A:B,2,FALSE),"")</f>
        <v/>
      </c>
      <c r="B43" s="3"/>
      <c r="C43" s="3" t="str">
        <f>IFERROR(VLOOKUP(A43,'الخطة التدريبية المعتمدة'!A:C,3,FALSE),"")</f>
        <v/>
      </c>
      <c r="D43" s="3" t="str">
        <f>IFERROR(VLOOKUP(B43,'جدول الجلسات التدريبية'!A:D,4,FALSE),"")</f>
        <v/>
      </c>
      <c r="E43" s="3"/>
      <c r="F43" s="3" t="str">
        <f>IFERROR(VLOOKUP(E43,'سجل الموظفين والكفاءة'!B:C,2,FALSE),"")</f>
        <v/>
      </c>
      <c r="G43" s="3">
        <f>IFERROR(VLOOKUP(A43,'الخطة التدريبية المعتمدة'!A:J,10,FALSE),0)</f>
        <v>0</v>
      </c>
      <c r="H43" s="3"/>
      <c r="I43" s="3"/>
      <c r="J43" s="3"/>
      <c r="K43" s="7" t="str">
        <f>IF(OR(I43="",J43="",I43=0),"",(J43-I43)/I43)</f>
        <v/>
      </c>
      <c r="L43" s="3" t="str">
        <f>IF(J43="","",IF(J43/10&gt;='الإعدادات والمستهدفات'!B5,"ناجح ومستوفى","ضعيف - يلزم إعادة اختبار"))</f>
        <v/>
      </c>
      <c r="M43" s="3"/>
      <c r="N43" s="3"/>
    </row>
    <row r="44" spans="1:14" x14ac:dyDescent="0.2">
      <c r="A44" s="3" t="str">
        <f>IFERROR(VLOOKUP(B44,'جدول الجلسات التدريبية'!A:B,2,FALSE),"")</f>
        <v/>
      </c>
      <c r="B44" s="3"/>
      <c r="C44" s="3" t="str">
        <f>IFERROR(VLOOKUP(A44,'الخطة التدريبية المعتمدة'!A:C,3,FALSE),"")</f>
        <v/>
      </c>
      <c r="D44" s="3" t="str">
        <f>IFERROR(VLOOKUP(B44,'جدول الجلسات التدريبية'!A:D,4,FALSE),"")</f>
        <v/>
      </c>
      <c r="E44" s="3"/>
      <c r="F44" s="3" t="str">
        <f>IFERROR(VLOOKUP(E44,'سجل الموظفين والكفاءة'!B:C,2,FALSE),"")</f>
        <v/>
      </c>
      <c r="G44" s="3">
        <f>IFERROR(VLOOKUP(A44,'الخطة التدريبية المعتمدة'!A:J,10,FALSE),0)</f>
        <v>0</v>
      </c>
      <c r="H44" s="3"/>
      <c r="I44" s="3"/>
      <c r="J44" s="3"/>
      <c r="K44" s="7" t="str">
        <f>IF(OR(I44="",J44="",I44=0),"",(J44-I44)/I44)</f>
        <v/>
      </c>
      <c r="L44" s="3" t="str">
        <f>IF(J44="","",IF(J44/10&gt;='الإعدادات والمستهدفات'!B5,"ناجح ومستوفى","ضعيف - يلزم إعادة اختبار"))</f>
        <v/>
      </c>
      <c r="M44" s="3"/>
      <c r="N44" s="3"/>
    </row>
    <row r="45" spans="1:14" x14ac:dyDescent="0.2">
      <c r="A45" s="3" t="str">
        <f>IFERROR(VLOOKUP(B45,'جدول الجلسات التدريبية'!A:B,2,FALSE),"")</f>
        <v/>
      </c>
      <c r="B45" s="3"/>
      <c r="C45" s="3" t="str">
        <f>IFERROR(VLOOKUP(A45,'الخطة التدريبية المعتمدة'!A:C,3,FALSE),"")</f>
        <v/>
      </c>
      <c r="D45" s="3" t="str">
        <f>IFERROR(VLOOKUP(B45,'جدول الجلسات التدريبية'!A:D,4,FALSE),"")</f>
        <v/>
      </c>
      <c r="E45" s="3"/>
      <c r="F45" s="3" t="str">
        <f>IFERROR(VLOOKUP(E45,'سجل الموظفين والكفاءة'!B:C,2,FALSE),"")</f>
        <v/>
      </c>
      <c r="G45" s="3">
        <f>IFERROR(VLOOKUP(A45,'الخطة التدريبية المعتمدة'!A:J,10,FALSE),0)</f>
        <v>0</v>
      </c>
      <c r="H45" s="3"/>
      <c r="I45" s="3"/>
      <c r="J45" s="3"/>
      <c r="K45" s="7" t="str">
        <f>IF(OR(I45="",J45="",I45=0),"",(J45-I45)/I45)</f>
        <v/>
      </c>
      <c r="L45" s="3" t="str">
        <f>IF(J45="","",IF(J45/10&gt;='الإعدادات والمستهدفات'!B5,"ناجح ومستوفى","ضعيف - يلزم إعادة اختبار"))</f>
        <v/>
      </c>
      <c r="M45" s="3"/>
      <c r="N45" s="3"/>
    </row>
    <row r="46" spans="1:14" x14ac:dyDescent="0.2">
      <c r="A46" s="3" t="str">
        <f>IFERROR(VLOOKUP(B46,'جدول الجلسات التدريبية'!A:B,2,FALSE),"")</f>
        <v/>
      </c>
      <c r="B46" s="3"/>
      <c r="C46" s="3" t="str">
        <f>IFERROR(VLOOKUP(A46,'الخطة التدريبية المعتمدة'!A:C,3,FALSE),"")</f>
        <v/>
      </c>
      <c r="D46" s="3" t="str">
        <f>IFERROR(VLOOKUP(B46,'جدول الجلسات التدريبية'!A:D,4,FALSE),"")</f>
        <v/>
      </c>
      <c r="E46" s="3"/>
      <c r="F46" s="3" t="str">
        <f>IFERROR(VLOOKUP(E46,'سجل الموظفين والكفاءة'!B:C,2,FALSE),"")</f>
        <v/>
      </c>
      <c r="G46" s="3">
        <f>IFERROR(VLOOKUP(A46,'الخطة التدريبية المعتمدة'!A:J,10,FALSE),0)</f>
        <v>0</v>
      </c>
      <c r="H46" s="3"/>
      <c r="I46" s="3"/>
      <c r="J46" s="3"/>
      <c r="K46" s="7" t="str">
        <f>IF(OR(I46="",J46="",I46=0),"",(J46-I46)/I46)</f>
        <v/>
      </c>
      <c r="L46" s="3" t="str">
        <f>IF(J46="","",IF(J46/10&gt;='الإعدادات والمستهدفات'!B5,"ناجح ومستوفى","ضعيف - يلزم إعادة اختبار"))</f>
        <v/>
      </c>
      <c r="M46" s="3"/>
      <c r="N46" s="3"/>
    </row>
    <row r="47" spans="1:14" x14ac:dyDescent="0.2">
      <c r="A47" s="3" t="str">
        <f>IFERROR(VLOOKUP(B47,'جدول الجلسات التدريبية'!A:B,2,FALSE),"")</f>
        <v/>
      </c>
      <c r="B47" s="3"/>
      <c r="C47" s="3" t="str">
        <f>IFERROR(VLOOKUP(A47,'الخطة التدريبية المعتمدة'!A:C,3,FALSE),"")</f>
        <v/>
      </c>
      <c r="D47" s="3" t="str">
        <f>IFERROR(VLOOKUP(B47,'جدول الجلسات التدريبية'!A:D,4,FALSE),"")</f>
        <v/>
      </c>
      <c r="E47" s="3"/>
      <c r="F47" s="3" t="str">
        <f>IFERROR(VLOOKUP(E47,'سجل الموظفين والكفاءة'!B:C,2,FALSE),"")</f>
        <v/>
      </c>
      <c r="G47" s="3">
        <f>IFERROR(VLOOKUP(A47,'الخطة التدريبية المعتمدة'!A:J,10,FALSE),0)</f>
        <v>0</v>
      </c>
      <c r="H47" s="3"/>
      <c r="I47" s="3"/>
      <c r="J47" s="3"/>
      <c r="K47" s="7" t="str">
        <f>IF(OR(I47="",J47="",I47=0),"",(J47-I47)/I47)</f>
        <v/>
      </c>
      <c r="L47" s="3" t="str">
        <f>IF(J47="","",IF(J47/10&gt;='الإعدادات والمستهدفات'!B5,"ناجح ومستوفى","ضعيف - يلزم إعادة اختبار"))</f>
        <v/>
      </c>
      <c r="M47" s="3"/>
      <c r="N47" s="3"/>
    </row>
    <row r="48" spans="1:14" x14ac:dyDescent="0.2">
      <c r="A48" s="3" t="str">
        <f>IFERROR(VLOOKUP(B48,'جدول الجلسات التدريبية'!A:B,2,FALSE),"")</f>
        <v/>
      </c>
      <c r="B48" s="3"/>
      <c r="C48" s="3" t="str">
        <f>IFERROR(VLOOKUP(A48,'الخطة التدريبية المعتمدة'!A:C,3,FALSE),"")</f>
        <v/>
      </c>
      <c r="D48" s="3" t="str">
        <f>IFERROR(VLOOKUP(B48,'جدول الجلسات التدريبية'!A:D,4,FALSE),"")</f>
        <v/>
      </c>
      <c r="E48" s="3"/>
      <c r="F48" s="3" t="str">
        <f>IFERROR(VLOOKUP(E48,'سجل الموظفين والكفاءة'!B:C,2,FALSE),"")</f>
        <v/>
      </c>
      <c r="G48" s="3">
        <f>IFERROR(VLOOKUP(A48,'الخطة التدريبية المعتمدة'!A:J,10,FALSE),0)</f>
        <v>0</v>
      </c>
      <c r="H48" s="3"/>
      <c r="I48" s="3"/>
      <c r="J48" s="3"/>
      <c r="K48" s="7" t="str">
        <f>IF(OR(I48="",J48="",I48=0),"",(J48-I48)/I48)</f>
        <v/>
      </c>
      <c r="L48" s="3" t="str">
        <f>IF(J48="","",IF(J48/10&gt;='الإعدادات والمستهدفات'!B5,"ناجح ومستوفى","ضعيف - يلزم إعادة اختبار"))</f>
        <v/>
      </c>
      <c r="M48" s="3"/>
      <c r="N48" s="3"/>
    </row>
    <row r="49" spans="1:14" x14ac:dyDescent="0.2">
      <c r="A49" s="3" t="str">
        <f>IFERROR(VLOOKUP(B49,'جدول الجلسات التدريبية'!A:B,2,FALSE),"")</f>
        <v/>
      </c>
      <c r="B49" s="3"/>
      <c r="C49" s="3" t="str">
        <f>IFERROR(VLOOKUP(A49,'الخطة التدريبية المعتمدة'!A:C,3,FALSE),"")</f>
        <v/>
      </c>
      <c r="D49" s="3" t="str">
        <f>IFERROR(VLOOKUP(B49,'جدول الجلسات التدريبية'!A:D,4,FALSE),"")</f>
        <v/>
      </c>
      <c r="E49" s="3"/>
      <c r="F49" s="3" t="str">
        <f>IFERROR(VLOOKUP(E49,'سجل الموظفين والكفاءة'!B:C,2,FALSE),"")</f>
        <v/>
      </c>
      <c r="G49" s="3">
        <f>IFERROR(VLOOKUP(A49,'الخطة التدريبية المعتمدة'!A:J,10,FALSE),0)</f>
        <v>0</v>
      </c>
      <c r="H49" s="3"/>
      <c r="I49" s="3"/>
      <c r="J49" s="3"/>
      <c r="K49" s="7" t="str">
        <f>IF(OR(I49="",J49="",I49=0),"",(J49-I49)/I49)</f>
        <v/>
      </c>
      <c r="L49" s="3" t="str">
        <f>IF(J49="","",IF(J49/10&gt;='الإعدادات والمستهدفات'!B5,"ناجح ومستوفى","ضعيف - يلزم إعادة اختبار"))</f>
        <v/>
      </c>
      <c r="M49" s="3"/>
      <c r="N49" s="3"/>
    </row>
    <row r="50" spans="1:14" x14ac:dyDescent="0.2">
      <c r="A50" s="3" t="str">
        <f>IFERROR(VLOOKUP(B50,'جدول الجلسات التدريبية'!A:B,2,FALSE),"")</f>
        <v/>
      </c>
      <c r="B50" s="3"/>
      <c r="C50" s="3" t="str">
        <f>IFERROR(VLOOKUP(A50,'الخطة التدريبية المعتمدة'!A:C,3,FALSE),"")</f>
        <v/>
      </c>
      <c r="D50" s="3" t="str">
        <f>IFERROR(VLOOKUP(B50,'جدول الجلسات التدريبية'!A:D,4,FALSE),"")</f>
        <v/>
      </c>
      <c r="E50" s="3"/>
      <c r="F50" s="3" t="str">
        <f>IFERROR(VLOOKUP(E50,'سجل الموظفين والكفاءة'!B:C,2,FALSE),"")</f>
        <v/>
      </c>
      <c r="G50" s="3">
        <f>IFERROR(VLOOKUP(A50,'الخطة التدريبية المعتمدة'!A:J,10,FALSE),0)</f>
        <v>0</v>
      </c>
      <c r="H50" s="3"/>
      <c r="I50" s="3"/>
      <c r="J50" s="3"/>
      <c r="K50" s="7" t="str">
        <f>IF(OR(I50="",J50="",I50=0),"",(J50-I50)/I50)</f>
        <v/>
      </c>
      <c r="L50" s="3" t="str">
        <f>IF(J50="","",IF(J50/10&gt;='الإعدادات والمستهدفات'!B5,"ناجح ومستوفى","ضعيف - يلزم إعادة اختبار"))</f>
        <v/>
      </c>
      <c r="M50" s="3"/>
      <c r="N50" s="3"/>
    </row>
    <row r="51" spans="1:14" x14ac:dyDescent="0.2">
      <c r="A51" s="3" t="str">
        <f>IFERROR(VLOOKUP(B51,'جدول الجلسات التدريبية'!A:B,2,FALSE),"")</f>
        <v/>
      </c>
      <c r="B51" s="3"/>
      <c r="C51" s="3" t="str">
        <f>IFERROR(VLOOKUP(A51,'الخطة التدريبية المعتمدة'!A:C,3,FALSE),"")</f>
        <v/>
      </c>
      <c r="D51" s="3" t="str">
        <f>IFERROR(VLOOKUP(B51,'جدول الجلسات التدريبية'!A:D,4,FALSE),"")</f>
        <v/>
      </c>
      <c r="E51" s="3"/>
      <c r="F51" s="3" t="str">
        <f>IFERROR(VLOOKUP(E51,'سجل الموظفين والكفاءة'!B:C,2,FALSE),"")</f>
        <v/>
      </c>
      <c r="G51" s="3">
        <f>IFERROR(VLOOKUP(A51,'الخطة التدريبية المعتمدة'!A:J,10,FALSE),0)</f>
        <v>0</v>
      </c>
      <c r="H51" s="3"/>
      <c r="I51" s="3"/>
      <c r="J51" s="3"/>
      <c r="K51" s="7" t="str">
        <f>IF(OR(I51="",J51="",I51=0),"",(J51-I51)/I51)</f>
        <v/>
      </c>
      <c r="L51" s="3" t="str">
        <f>IF(J51="","",IF(J51/10&gt;='الإعدادات والمستهدفات'!B5,"ناجح ومستوفى","ضعيف - يلزم إعادة اختبار"))</f>
        <v/>
      </c>
      <c r="M51" s="3"/>
      <c r="N51" s="3"/>
    </row>
    <row r="52" spans="1:14" x14ac:dyDescent="0.2">
      <c r="A52" s="3" t="str">
        <f>IFERROR(VLOOKUP(B52,'جدول الجلسات التدريبية'!A:B,2,FALSE),"")</f>
        <v/>
      </c>
      <c r="B52" s="3"/>
      <c r="C52" s="3" t="str">
        <f>IFERROR(VLOOKUP(A52,'الخطة التدريبية المعتمدة'!A:C,3,FALSE),"")</f>
        <v/>
      </c>
      <c r="D52" s="3" t="str">
        <f>IFERROR(VLOOKUP(B52,'جدول الجلسات التدريبية'!A:D,4,FALSE),"")</f>
        <v/>
      </c>
      <c r="E52" s="3"/>
      <c r="F52" s="3" t="str">
        <f>IFERROR(VLOOKUP(E52,'سجل الموظفين والكفاءة'!B:C,2,FALSE),"")</f>
        <v/>
      </c>
      <c r="G52" s="3">
        <f>IFERROR(VLOOKUP(A52,'الخطة التدريبية المعتمدة'!A:J,10,FALSE),0)</f>
        <v>0</v>
      </c>
      <c r="H52" s="3"/>
      <c r="I52" s="3"/>
      <c r="J52" s="3"/>
      <c r="K52" s="7" t="str">
        <f>IF(OR(I52="",J52="",I52=0),"",(J52-I52)/I52)</f>
        <v/>
      </c>
      <c r="L52" s="3" t="str">
        <f>IF(J52="","",IF(J52/10&gt;='الإعدادات والمستهدفات'!B5,"ناجح ومستوفى","ضعيف - يلزم إعادة اختبار"))</f>
        <v/>
      </c>
      <c r="M52" s="3"/>
      <c r="N52" s="3"/>
    </row>
    <row r="53" spans="1:14" x14ac:dyDescent="0.2">
      <c r="A53" s="3" t="str">
        <f>IFERROR(VLOOKUP(B53,'جدول الجلسات التدريبية'!A:B,2,FALSE),"")</f>
        <v/>
      </c>
      <c r="B53" s="3"/>
      <c r="C53" s="3" t="str">
        <f>IFERROR(VLOOKUP(A53,'الخطة التدريبية المعتمدة'!A:C,3,FALSE),"")</f>
        <v/>
      </c>
      <c r="D53" s="3" t="str">
        <f>IFERROR(VLOOKUP(B53,'جدول الجلسات التدريبية'!A:D,4,FALSE),"")</f>
        <v/>
      </c>
      <c r="E53" s="3"/>
      <c r="F53" s="3" t="str">
        <f>IFERROR(VLOOKUP(E53,'سجل الموظفين والكفاءة'!B:C,2,FALSE),"")</f>
        <v/>
      </c>
      <c r="G53" s="3">
        <f>IFERROR(VLOOKUP(A53,'الخطة التدريبية المعتمدة'!A:J,10,FALSE),0)</f>
        <v>0</v>
      </c>
      <c r="H53" s="3"/>
      <c r="I53" s="3"/>
      <c r="J53" s="3"/>
      <c r="K53" s="7" t="str">
        <f>IF(OR(I53="",J53="",I53=0),"",(J53-I53)/I53)</f>
        <v/>
      </c>
      <c r="L53" s="3" t="str">
        <f>IF(J53="","",IF(J53/10&gt;='الإعدادات والمستهدفات'!B5,"ناجح ومستوفى","ضعيف - يلزم إعادة اختبار"))</f>
        <v/>
      </c>
      <c r="M53" s="3"/>
      <c r="N53" s="3"/>
    </row>
    <row r="54" spans="1:14" x14ac:dyDescent="0.2">
      <c r="A54" s="3" t="str">
        <f>IFERROR(VLOOKUP(B54,'جدول الجلسات التدريبية'!A:B,2,FALSE),"")</f>
        <v/>
      </c>
      <c r="B54" s="3"/>
      <c r="C54" s="3" t="str">
        <f>IFERROR(VLOOKUP(A54,'الخطة التدريبية المعتمدة'!A:C,3,FALSE),"")</f>
        <v/>
      </c>
      <c r="D54" s="3" t="str">
        <f>IFERROR(VLOOKUP(B54,'جدول الجلسات التدريبية'!A:D,4,FALSE),"")</f>
        <v/>
      </c>
      <c r="E54" s="3"/>
      <c r="F54" s="3" t="str">
        <f>IFERROR(VLOOKUP(E54,'سجل الموظفين والكفاءة'!B:C,2,FALSE),"")</f>
        <v/>
      </c>
      <c r="G54" s="3">
        <f>IFERROR(VLOOKUP(A54,'الخطة التدريبية المعتمدة'!A:J,10,FALSE),0)</f>
        <v>0</v>
      </c>
      <c r="H54" s="3"/>
      <c r="I54" s="3"/>
      <c r="J54" s="3"/>
      <c r="K54" s="7" t="str">
        <f>IF(OR(I54="",J54="",I54=0),"",(J54-I54)/I54)</f>
        <v/>
      </c>
      <c r="L54" s="3" t="str">
        <f>IF(J54="","",IF(J54/10&gt;='الإعدادات والمستهدفات'!B5,"ناجح ومستوفى","ضعيف - يلزم إعادة اختبار"))</f>
        <v/>
      </c>
      <c r="M54" s="3"/>
      <c r="N54" s="3"/>
    </row>
    <row r="55" spans="1:14" x14ac:dyDescent="0.2">
      <c r="A55" s="3" t="str">
        <f>IFERROR(VLOOKUP(B55,'جدول الجلسات التدريبية'!A:B,2,FALSE),"")</f>
        <v/>
      </c>
      <c r="B55" s="3"/>
      <c r="C55" s="3" t="str">
        <f>IFERROR(VLOOKUP(A55,'الخطة التدريبية المعتمدة'!A:C,3,FALSE),"")</f>
        <v/>
      </c>
      <c r="D55" s="3" t="str">
        <f>IFERROR(VLOOKUP(B55,'جدول الجلسات التدريبية'!A:D,4,FALSE),"")</f>
        <v/>
      </c>
      <c r="E55" s="3"/>
      <c r="F55" s="3" t="str">
        <f>IFERROR(VLOOKUP(E55,'سجل الموظفين والكفاءة'!B:C,2,FALSE),"")</f>
        <v/>
      </c>
      <c r="G55" s="3">
        <f>IFERROR(VLOOKUP(A55,'الخطة التدريبية المعتمدة'!A:J,10,FALSE),0)</f>
        <v>0</v>
      </c>
      <c r="H55" s="3"/>
      <c r="I55" s="3"/>
      <c r="J55" s="3"/>
      <c r="K55" s="7" t="str">
        <f>IF(OR(I55="",J55="",I55=0),"",(J55-I55)/I55)</f>
        <v/>
      </c>
      <c r="L55" s="3" t="str">
        <f>IF(J55="","",IF(J55/10&gt;='الإعدادات والمستهدفات'!B5,"ناجح ومستوفى","ضعيف - يلزم إعادة اختبار"))</f>
        <v/>
      </c>
      <c r="M55" s="3"/>
      <c r="N55" s="3"/>
    </row>
    <row r="56" spans="1:14" x14ac:dyDescent="0.2">
      <c r="A56" s="3" t="str">
        <f>IFERROR(VLOOKUP(B56,'جدول الجلسات التدريبية'!A:B,2,FALSE),"")</f>
        <v/>
      </c>
      <c r="B56" s="3"/>
      <c r="C56" s="3" t="str">
        <f>IFERROR(VLOOKUP(A56,'الخطة التدريبية المعتمدة'!A:C,3,FALSE),"")</f>
        <v/>
      </c>
      <c r="D56" s="3" t="str">
        <f>IFERROR(VLOOKUP(B56,'جدول الجلسات التدريبية'!A:D,4,FALSE),"")</f>
        <v/>
      </c>
      <c r="E56" s="3"/>
      <c r="F56" s="3" t="str">
        <f>IFERROR(VLOOKUP(E56,'سجل الموظفين والكفاءة'!B:C,2,FALSE),"")</f>
        <v/>
      </c>
      <c r="G56" s="3">
        <f>IFERROR(VLOOKUP(A56,'الخطة التدريبية المعتمدة'!A:J,10,FALSE),0)</f>
        <v>0</v>
      </c>
      <c r="H56" s="3"/>
      <c r="I56" s="3"/>
      <c r="J56" s="3"/>
      <c r="K56" s="7" t="str">
        <f>IF(OR(I56="",J56="",I56=0),"",(J56-I56)/I56)</f>
        <v/>
      </c>
      <c r="L56" s="3" t="str">
        <f>IF(J56="","",IF(J56/10&gt;='الإعدادات والمستهدفات'!B5,"ناجح ومستوفى","ضعيف - يلزم إعادة اختبار"))</f>
        <v/>
      </c>
      <c r="M56" s="3"/>
      <c r="N56" s="3"/>
    </row>
    <row r="57" spans="1:14" x14ac:dyDescent="0.2">
      <c r="A57" s="3" t="str">
        <f>IFERROR(VLOOKUP(B57,'جدول الجلسات التدريبية'!A:B,2,FALSE),"")</f>
        <v/>
      </c>
      <c r="B57" s="3"/>
      <c r="C57" s="3" t="str">
        <f>IFERROR(VLOOKUP(A57,'الخطة التدريبية المعتمدة'!A:C,3,FALSE),"")</f>
        <v/>
      </c>
      <c r="D57" s="3" t="str">
        <f>IFERROR(VLOOKUP(B57,'جدول الجلسات التدريبية'!A:D,4,FALSE),"")</f>
        <v/>
      </c>
      <c r="E57" s="3"/>
      <c r="F57" s="3" t="str">
        <f>IFERROR(VLOOKUP(E57,'سجل الموظفين والكفاءة'!B:C,2,FALSE),"")</f>
        <v/>
      </c>
      <c r="G57" s="3">
        <f>IFERROR(VLOOKUP(A57,'الخطة التدريبية المعتمدة'!A:J,10,FALSE),0)</f>
        <v>0</v>
      </c>
      <c r="H57" s="3"/>
      <c r="I57" s="3"/>
      <c r="J57" s="3"/>
      <c r="K57" s="7" t="str">
        <f>IF(OR(I57="",J57="",I57=0),"",(J57-I57)/I57)</f>
        <v/>
      </c>
      <c r="L57" s="3" t="str">
        <f>IF(J57="","",IF(J57/10&gt;='الإعدادات والمستهدفات'!B5,"ناجح ومستوفى","ضعيف - يلزم إعادة اختبار"))</f>
        <v/>
      </c>
      <c r="M57" s="3"/>
      <c r="N57" s="3"/>
    </row>
    <row r="58" spans="1:14" x14ac:dyDescent="0.2">
      <c r="A58" s="3" t="str">
        <f>IFERROR(VLOOKUP(B58,'جدول الجلسات التدريبية'!A:B,2,FALSE),"")</f>
        <v/>
      </c>
      <c r="B58" s="3"/>
      <c r="C58" s="3" t="str">
        <f>IFERROR(VLOOKUP(A58,'الخطة التدريبية المعتمدة'!A:C,3,FALSE),"")</f>
        <v/>
      </c>
      <c r="D58" s="3" t="str">
        <f>IFERROR(VLOOKUP(B58,'جدول الجلسات التدريبية'!A:D,4,FALSE),"")</f>
        <v/>
      </c>
      <c r="E58" s="3"/>
      <c r="F58" s="3" t="str">
        <f>IFERROR(VLOOKUP(E58,'سجل الموظفين والكفاءة'!B:C,2,FALSE),"")</f>
        <v/>
      </c>
      <c r="G58" s="3">
        <f>IFERROR(VLOOKUP(A58,'الخطة التدريبية المعتمدة'!A:J,10,FALSE),0)</f>
        <v>0</v>
      </c>
      <c r="H58" s="3"/>
      <c r="I58" s="3"/>
      <c r="J58" s="3"/>
      <c r="K58" s="7" t="str">
        <f>IF(OR(I58="",J58="",I58=0),"",(J58-I58)/I58)</f>
        <v/>
      </c>
      <c r="L58" s="3" t="str">
        <f>IF(J58="","",IF(J58/10&gt;='الإعدادات والمستهدفات'!B5,"ناجح ومستوفى","ضعيف - يلزم إعادة اختبار"))</f>
        <v/>
      </c>
      <c r="M58" s="3"/>
      <c r="N58" s="3"/>
    </row>
    <row r="59" spans="1:14" x14ac:dyDescent="0.2">
      <c r="A59" s="3" t="str">
        <f>IFERROR(VLOOKUP(B59,'جدول الجلسات التدريبية'!A:B,2,FALSE),"")</f>
        <v/>
      </c>
      <c r="B59" s="3"/>
      <c r="C59" s="3" t="str">
        <f>IFERROR(VLOOKUP(A59,'الخطة التدريبية المعتمدة'!A:C,3,FALSE),"")</f>
        <v/>
      </c>
      <c r="D59" s="3" t="str">
        <f>IFERROR(VLOOKUP(B59,'جدول الجلسات التدريبية'!A:D,4,FALSE),"")</f>
        <v/>
      </c>
      <c r="E59" s="3"/>
      <c r="F59" s="3" t="str">
        <f>IFERROR(VLOOKUP(E59,'سجل الموظفين والكفاءة'!B:C,2,FALSE),"")</f>
        <v/>
      </c>
      <c r="G59" s="3">
        <f>IFERROR(VLOOKUP(A59,'الخطة التدريبية المعتمدة'!A:J,10,FALSE),0)</f>
        <v>0</v>
      </c>
      <c r="H59" s="3"/>
      <c r="I59" s="3"/>
      <c r="J59" s="3"/>
      <c r="K59" s="7" t="str">
        <f>IF(OR(I59="",J59="",I59=0),"",(J59-I59)/I59)</f>
        <v/>
      </c>
      <c r="L59" s="3" t="str">
        <f>IF(J59="","",IF(J59/10&gt;='الإعدادات والمستهدفات'!B5,"ناجح ومستوفى","ضعيف - يلزم إعادة اختبار"))</f>
        <v/>
      </c>
      <c r="M59" s="3"/>
      <c r="N59" s="3"/>
    </row>
    <row r="60" spans="1:14" x14ac:dyDescent="0.2">
      <c r="A60" s="3" t="str">
        <f>IFERROR(VLOOKUP(B60,'جدول الجلسات التدريبية'!A:B,2,FALSE),"")</f>
        <v/>
      </c>
      <c r="B60" s="3"/>
      <c r="C60" s="3" t="str">
        <f>IFERROR(VLOOKUP(A60,'الخطة التدريبية المعتمدة'!A:C,3,FALSE),"")</f>
        <v/>
      </c>
      <c r="D60" s="3" t="str">
        <f>IFERROR(VLOOKUP(B60,'جدول الجلسات التدريبية'!A:D,4,FALSE),"")</f>
        <v/>
      </c>
      <c r="E60" s="3"/>
      <c r="F60" s="3" t="str">
        <f>IFERROR(VLOOKUP(E60,'سجل الموظفين والكفاءة'!B:C,2,FALSE),"")</f>
        <v/>
      </c>
      <c r="G60" s="3">
        <f>IFERROR(VLOOKUP(A60,'الخطة التدريبية المعتمدة'!A:J,10,FALSE),0)</f>
        <v>0</v>
      </c>
      <c r="H60" s="3"/>
      <c r="I60" s="3"/>
      <c r="J60" s="3"/>
      <c r="K60" s="7" t="str">
        <f>IF(OR(I60="",J60="",I60=0),"",(J60-I60)/I60)</f>
        <v/>
      </c>
      <c r="L60" s="3" t="str">
        <f>IF(J60="","",IF(J60/10&gt;='الإعدادات والمستهدفات'!B5,"ناجح ومستوفى","ضعيف - يلزم إعادة اختبار"))</f>
        <v/>
      </c>
      <c r="M60" s="3"/>
      <c r="N60" s="3"/>
    </row>
    <row r="61" spans="1:14" x14ac:dyDescent="0.2">
      <c r="A61" s="3" t="str">
        <f>IFERROR(VLOOKUP(B61,'جدول الجلسات التدريبية'!A:B,2,FALSE),"")</f>
        <v/>
      </c>
      <c r="B61" s="3"/>
      <c r="C61" s="3" t="str">
        <f>IFERROR(VLOOKUP(A61,'الخطة التدريبية المعتمدة'!A:C,3,FALSE),"")</f>
        <v/>
      </c>
      <c r="D61" s="3" t="str">
        <f>IFERROR(VLOOKUP(B61,'جدول الجلسات التدريبية'!A:D,4,FALSE),"")</f>
        <v/>
      </c>
      <c r="E61" s="3"/>
      <c r="F61" s="3" t="str">
        <f>IFERROR(VLOOKUP(E61,'سجل الموظفين والكفاءة'!B:C,2,FALSE),"")</f>
        <v/>
      </c>
      <c r="G61" s="3">
        <f>IFERROR(VLOOKUP(A61,'الخطة التدريبية المعتمدة'!A:J,10,FALSE),0)</f>
        <v>0</v>
      </c>
      <c r="H61" s="3"/>
      <c r="I61" s="3"/>
      <c r="J61" s="3"/>
      <c r="K61" s="7" t="str">
        <f>IF(OR(I61="",J61="",I61=0),"",(J61-I61)/I61)</f>
        <v/>
      </c>
      <c r="L61" s="3" t="str">
        <f>IF(J61="","",IF(J61/10&gt;='الإعدادات والمستهدفات'!B5,"ناجح ومستوفى","ضعيف - يلزم إعادة اختبار"))</f>
        <v/>
      </c>
      <c r="M61" s="3"/>
      <c r="N61" s="3"/>
    </row>
    <row r="62" spans="1:14" x14ac:dyDescent="0.2">
      <c r="A62" s="3" t="str">
        <f>IFERROR(VLOOKUP(B62,'جدول الجلسات التدريبية'!A:B,2,FALSE),"")</f>
        <v/>
      </c>
      <c r="B62" s="3"/>
      <c r="C62" s="3" t="str">
        <f>IFERROR(VLOOKUP(A62,'الخطة التدريبية المعتمدة'!A:C,3,FALSE),"")</f>
        <v/>
      </c>
      <c r="D62" s="3" t="str">
        <f>IFERROR(VLOOKUP(B62,'جدول الجلسات التدريبية'!A:D,4,FALSE),"")</f>
        <v/>
      </c>
      <c r="E62" s="3"/>
      <c r="F62" s="3" t="str">
        <f>IFERROR(VLOOKUP(E62,'سجل الموظفين والكفاءة'!B:C,2,FALSE),"")</f>
        <v/>
      </c>
      <c r="G62" s="3">
        <f>IFERROR(VLOOKUP(A62,'الخطة التدريبية المعتمدة'!A:J,10,FALSE),0)</f>
        <v>0</v>
      </c>
      <c r="H62" s="3"/>
      <c r="I62" s="3"/>
      <c r="J62" s="3"/>
      <c r="K62" s="7" t="str">
        <f>IF(OR(I62="",J62="",I62=0),"",(J62-I62)/I62)</f>
        <v/>
      </c>
      <c r="L62" s="3" t="str">
        <f>IF(J62="","",IF(J62/10&gt;='الإعدادات والمستهدفات'!B5,"ناجح ومستوفى","ضعيف - يلزم إعادة اختبار"))</f>
        <v/>
      </c>
      <c r="M62" s="3"/>
      <c r="N62" s="3"/>
    </row>
    <row r="63" spans="1:14" x14ac:dyDescent="0.2">
      <c r="A63" s="3" t="str">
        <f>IFERROR(VLOOKUP(B63,'جدول الجلسات التدريبية'!A:B,2,FALSE),"")</f>
        <v/>
      </c>
      <c r="B63" s="3"/>
      <c r="C63" s="3" t="str">
        <f>IFERROR(VLOOKUP(A63,'الخطة التدريبية المعتمدة'!A:C,3,FALSE),"")</f>
        <v/>
      </c>
      <c r="D63" s="3" t="str">
        <f>IFERROR(VLOOKUP(B63,'جدول الجلسات التدريبية'!A:D,4,FALSE),"")</f>
        <v/>
      </c>
      <c r="E63" s="3"/>
      <c r="F63" s="3" t="str">
        <f>IFERROR(VLOOKUP(E63,'سجل الموظفين والكفاءة'!B:C,2,FALSE),"")</f>
        <v/>
      </c>
      <c r="G63" s="3">
        <f>IFERROR(VLOOKUP(A63,'الخطة التدريبية المعتمدة'!A:J,10,FALSE),0)</f>
        <v>0</v>
      </c>
      <c r="H63" s="3"/>
      <c r="I63" s="3"/>
      <c r="J63" s="3"/>
      <c r="K63" s="7" t="str">
        <f>IF(OR(I63="",J63="",I63=0),"",(J63-I63)/I63)</f>
        <v/>
      </c>
      <c r="L63" s="3" t="str">
        <f>IF(J63="","",IF(J63/10&gt;='الإعدادات والمستهدفات'!B5,"ناجح ومستوفى","ضعيف - يلزم إعادة اختبار"))</f>
        <v/>
      </c>
      <c r="M63" s="3"/>
      <c r="N63" s="3"/>
    </row>
    <row r="64" spans="1:14" x14ac:dyDescent="0.2">
      <c r="A64" s="3" t="str">
        <f>IFERROR(VLOOKUP(B64,'جدول الجلسات التدريبية'!A:B,2,FALSE),"")</f>
        <v/>
      </c>
      <c r="B64" s="3"/>
      <c r="C64" s="3" t="str">
        <f>IFERROR(VLOOKUP(A64,'الخطة التدريبية المعتمدة'!A:C,3,FALSE),"")</f>
        <v/>
      </c>
      <c r="D64" s="3" t="str">
        <f>IFERROR(VLOOKUP(B64,'جدول الجلسات التدريبية'!A:D,4,FALSE),"")</f>
        <v/>
      </c>
      <c r="E64" s="3"/>
      <c r="F64" s="3" t="str">
        <f>IFERROR(VLOOKUP(E64,'سجل الموظفين والكفاءة'!B:C,2,FALSE),"")</f>
        <v/>
      </c>
      <c r="G64" s="3">
        <f>IFERROR(VLOOKUP(A64,'الخطة التدريبية المعتمدة'!A:J,10,FALSE),0)</f>
        <v>0</v>
      </c>
      <c r="H64" s="3"/>
      <c r="I64" s="3"/>
      <c r="J64" s="3"/>
      <c r="K64" s="7" t="str">
        <f>IF(OR(I64="",J64="",I64=0),"",(J64-I64)/I64)</f>
        <v/>
      </c>
      <c r="L64" s="3" t="str">
        <f>IF(J64="","",IF(J64/10&gt;='الإعدادات والمستهدفات'!B5,"ناجح ومستوفى","ضعيف - يلزم إعادة اختبار"))</f>
        <v/>
      </c>
      <c r="M64" s="3"/>
      <c r="N64" s="3"/>
    </row>
    <row r="65" spans="1:14" x14ac:dyDescent="0.2">
      <c r="A65" s="3" t="str">
        <f>IFERROR(VLOOKUP(B65,'جدول الجلسات التدريبية'!A:B,2,FALSE),"")</f>
        <v/>
      </c>
      <c r="B65" s="3"/>
      <c r="C65" s="3" t="str">
        <f>IFERROR(VLOOKUP(A65,'الخطة التدريبية المعتمدة'!A:C,3,FALSE),"")</f>
        <v/>
      </c>
      <c r="D65" s="3" t="str">
        <f>IFERROR(VLOOKUP(B65,'جدول الجلسات التدريبية'!A:D,4,FALSE),"")</f>
        <v/>
      </c>
      <c r="E65" s="3"/>
      <c r="F65" s="3" t="str">
        <f>IFERROR(VLOOKUP(E65,'سجل الموظفين والكفاءة'!B:C,2,FALSE),"")</f>
        <v/>
      </c>
      <c r="G65" s="3">
        <f>IFERROR(VLOOKUP(A65,'الخطة التدريبية المعتمدة'!A:J,10,FALSE),0)</f>
        <v>0</v>
      </c>
      <c r="H65" s="3"/>
      <c r="I65" s="3"/>
      <c r="J65" s="3"/>
      <c r="K65" s="7" t="str">
        <f>IF(OR(I65="",J65="",I65=0),"",(J65-I65)/I65)</f>
        <v/>
      </c>
      <c r="L65" s="3" t="str">
        <f>IF(J65="","",IF(J65/10&gt;='الإعدادات والمستهدفات'!B5,"ناجح ومستوفى","ضعيف - يلزم إعادة اختبار"))</f>
        <v/>
      </c>
      <c r="M65" s="3"/>
      <c r="N65" s="3"/>
    </row>
    <row r="66" spans="1:14" x14ac:dyDescent="0.2">
      <c r="A66" s="3" t="str">
        <f>IFERROR(VLOOKUP(B66,'جدول الجلسات التدريبية'!A:B,2,FALSE),"")</f>
        <v/>
      </c>
      <c r="B66" s="3"/>
      <c r="C66" s="3" t="str">
        <f>IFERROR(VLOOKUP(A66,'الخطة التدريبية المعتمدة'!A:C,3,FALSE),"")</f>
        <v/>
      </c>
      <c r="D66" s="3" t="str">
        <f>IFERROR(VLOOKUP(B66,'جدول الجلسات التدريبية'!A:D,4,FALSE),"")</f>
        <v/>
      </c>
      <c r="E66" s="3"/>
      <c r="F66" s="3" t="str">
        <f>IFERROR(VLOOKUP(E66,'سجل الموظفين والكفاءة'!B:C,2,FALSE),"")</f>
        <v/>
      </c>
      <c r="G66" s="3">
        <f>IFERROR(VLOOKUP(A66,'الخطة التدريبية المعتمدة'!A:J,10,FALSE),0)</f>
        <v>0</v>
      </c>
      <c r="H66" s="3"/>
      <c r="I66" s="3"/>
      <c r="J66" s="3"/>
      <c r="K66" s="7" t="str">
        <f>IF(OR(I66="",J66="",I66=0),"",(J66-I66)/I66)</f>
        <v/>
      </c>
      <c r="L66" s="3" t="str">
        <f>IF(J66="","",IF(J66/10&gt;='الإعدادات والمستهدفات'!B5,"ناجح ومستوفى","ضعيف - يلزم إعادة اختبار"))</f>
        <v/>
      </c>
      <c r="M66" s="3"/>
      <c r="N66" s="3"/>
    </row>
    <row r="67" spans="1:14" x14ac:dyDescent="0.2">
      <c r="A67" s="3" t="str">
        <f>IFERROR(VLOOKUP(B67,'جدول الجلسات التدريبية'!A:B,2,FALSE),"")</f>
        <v/>
      </c>
      <c r="B67" s="3"/>
      <c r="C67" s="3" t="str">
        <f>IFERROR(VLOOKUP(A67,'الخطة التدريبية المعتمدة'!A:C,3,FALSE),"")</f>
        <v/>
      </c>
      <c r="D67" s="3" t="str">
        <f>IFERROR(VLOOKUP(B67,'جدول الجلسات التدريبية'!A:D,4,FALSE),"")</f>
        <v/>
      </c>
      <c r="E67" s="3"/>
      <c r="F67" s="3" t="str">
        <f>IFERROR(VLOOKUP(E67,'سجل الموظفين والكفاءة'!B:C,2,FALSE),"")</f>
        <v/>
      </c>
      <c r="G67" s="3">
        <f>IFERROR(VLOOKUP(A67,'الخطة التدريبية المعتمدة'!A:J,10,FALSE),0)</f>
        <v>0</v>
      </c>
      <c r="H67" s="3"/>
      <c r="I67" s="3"/>
      <c r="J67" s="3"/>
      <c r="K67" s="7" t="str">
        <f>IF(OR(I67="",J67="",I67=0),"",(J67-I67)/I67)</f>
        <v/>
      </c>
      <c r="L67" s="3" t="str">
        <f>IF(J67="","",IF(J67/10&gt;='الإعدادات والمستهدفات'!B5,"ناجح ومستوفى","ضعيف - يلزم إعادة اختبار"))</f>
        <v/>
      </c>
      <c r="M67" s="3"/>
      <c r="N67" s="3"/>
    </row>
    <row r="68" spans="1:14" x14ac:dyDescent="0.2">
      <c r="A68" s="3" t="str">
        <f>IFERROR(VLOOKUP(B68,'جدول الجلسات التدريبية'!A:B,2,FALSE),"")</f>
        <v/>
      </c>
      <c r="B68" s="3"/>
      <c r="C68" s="3" t="str">
        <f>IFERROR(VLOOKUP(A68,'الخطة التدريبية المعتمدة'!A:C,3,FALSE),"")</f>
        <v/>
      </c>
      <c r="D68" s="3" t="str">
        <f>IFERROR(VLOOKUP(B68,'جدول الجلسات التدريبية'!A:D,4,FALSE),"")</f>
        <v/>
      </c>
      <c r="E68" s="3"/>
      <c r="F68" s="3" t="str">
        <f>IFERROR(VLOOKUP(E68,'سجل الموظفين والكفاءة'!B:C,2,FALSE),"")</f>
        <v/>
      </c>
      <c r="G68" s="3">
        <f>IFERROR(VLOOKUP(A68,'الخطة التدريبية المعتمدة'!A:J,10,FALSE),0)</f>
        <v>0</v>
      </c>
      <c r="H68" s="3"/>
      <c r="I68" s="3"/>
      <c r="J68" s="3"/>
      <c r="K68" s="7" t="str">
        <f>IF(OR(I68="",J68="",I68=0),"",(J68-I68)/I68)</f>
        <v/>
      </c>
      <c r="L68" s="3" t="str">
        <f>IF(J68="","",IF(J68/10&gt;='الإعدادات والمستهدفات'!B5,"ناجح ومستوفى","ضعيف - يلزم إعادة اختبار"))</f>
        <v/>
      </c>
      <c r="M68" s="3"/>
      <c r="N68" s="3"/>
    </row>
    <row r="69" spans="1:14" x14ac:dyDescent="0.2">
      <c r="A69" s="3" t="str">
        <f>IFERROR(VLOOKUP(B69,'جدول الجلسات التدريبية'!A:B,2,FALSE),"")</f>
        <v/>
      </c>
      <c r="B69" s="3"/>
      <c r="C69" s="3" t="str">
        <f>IFERROR(VLOOKUP(A69,'الخطة التدريبية المعتمدة'!A:C,3,FALSE),"")</f>
        <v/>
      </c>
      <c r="D69" s="3" t="str">
        <f>IFERROR(VLOOKUP(B69,'جدول الجلسات التدريبية'!A:D,4,FALSE),"")</f>
        <v/>
      </c>
      <c r="E69" s="3"/>
      <c r="F69" s="3" t="str">
        <f>IFERROR(VLOOKUP(E69,'سجل الموظفين والكفاءة'!B:C,2,FALSE),"")</f>
        <v/>
      </c>
      <c r="G69" s="3">
        <f>IFERROR(VLOOKUP(A69,'الخطة التدريبية المعتمدة'!A:J,10,FALSE),0)</f>
        <v>0</v>
      </c>
      <c r="H69" s="3"/>
      <c r="I69" s="3"/>
      <c r="J69" s="3"/>
      <c r="K69" s="7" t="str">
        <f>IF(OR(I69="",J69="",I69=0),"",(J69-I69)/I69)</f>
        <v/>
      </c>
      <c r="L69" s="3" t="str">
        <f>IF(J69="","",IF(J69/10&gt;='الإعدادات والمستهدفات'!B5,"ناجح ومستوفى","ضعيف - يلزم إعادة اختبار"))</f>
        <v/>
      </c>
      <c r="M69" s="3"/>
      <c r="N69" s="3"/>
    </row>
    <row r="70" spans="1:14" x14ac:dyDescent="0.2">
      <c r="A70" s="3" t="str">
        <f>IFERROR(VLOOKUP(B70,'جدول الجلسات التدريبية'!A:B,2,FALSE),"")</f>
        <v/>
      </c>
      <c r="B70" s="3"/>
      <c r="C70" s="3" t="str">
        <f>IFERROR(VLOOKUP(A70,'الخطة التدريبية المعتمدة'!A:C,3,FALSE),"")</f>
        <v/>
      </c>
      <c r="D70" s="3" t="str">
        <f>IFERROR(VLOOKUP(B70,'جدول الجلسات التدريبية'!A:D,4,FALSE),"")</f>
        <v/>
      </c>
      <c r="E70" s="3"/>
      <c r="F70" s="3" t="str">
        <f>IFERROR(VLOOKUP(E70,'سجل الموظفين والكفاءة'!B:C,2,FALSE),"")</f>
        <v/>
      </c>
      <c r="G70" s="3">
        <f>IFERROR(VLOOKUP(A70,'الخطة التدريبية المعتمدة'!A:J,10,FALSE),0)</f>
        <v>0</v>
      </c>
      <c r="H70" s="3"/>
      <c r="I70" s="3"/>
      <c r="J70" s="3"/>
      <c r="K70" s="7" t="str">
        <f>IF(OR(I70="",J70="",I70=0),"",(J70-I70)/I70)</f>
        <v/>
      </c>
      <c r="L70" s="3" t="str">
        <f>IF(J70="","",IF(J70/10&gt;='الإعدادات والمستهدفات'!B5,"ناجح ومستوفى","ضعيف - يلزم إعادة اختبار"))</f>
        <v/>
      </c>
      <c r="M70" s="3"/>
      <c r="N70" s="3"/>
    </row>
    <row r="71" spans="1:14" x14ac:dyDescent="0.2">
      <c r="A71" s="3" t="str">
        <f>IFERROR(VLOOKUP(B71,'جدول الجلسات التدريبية'!A:B,2,FALSE),"")</f>
        <v/>
      </c>
      <c r="B71" s="3"/>
      <c r="C71" s="3" t="str">
        <f>IFERROR(VLOOKUP(A71,'الخطة التدريبية المعتمدة'!A:C,3,FALSE),"")</f>
        <v/>
      </c>
      <c r="D71" s="3" t="str">
        <f>IFERROR(VLOOKUP(B71,'جدول الجلسات التدريبية'!A:D,4,FALSE),"")</f>
        <v/>
      </c>
      <c r="E71" s="3"/>
      <c r="F71" s="3" t="str">
        <f>IFERROR(VLOOKUP(E71,'سجل الموظفين والكفاءة'!B:C,2,FALSE),"")</f>
        <v/>
      </c>
      <c r="G71" s="3">
        <f>IFERROR(VLOOKUP(A71,'الخطة التدريبية المعتمدة'!A:J,10,FALSE),0)</f>
        <v>0</v>
      </c>
      <c r="H71" s="3"/>
      <c r="I71" s="3"/>
      <c r="J71" s="3"/>
      <c r="K71" s="7" t="str">
        <f>IF(OR(I71="",J71="",I71=0),"",(J71-I71)/I71)</f>
        <v/>
      </c>
      <c r="L71" s="3" t="str">
        <f>IF(J71="","",IF(J71/10&gt;='الإعدادات والمستهدفات'!B5,"ناجح ومستوفى","ضعيف - يلزم إعادة اختبار"))</f>
        <v/>
      </c>
      <c r="M71" s="3"/>
      <c r="N71" s="3"/>
    </row>
    <row r="72" spans="1:14" x14ac:dyDescent="0.2">
      <c r="A72" s="3" t="str">
        <f>IFERROR(VLOOKUP(B72,'جدول الجلسات التدريبية'!A:B,2,FALSE),"")</f>
        <v/>
      </c>
      <c r="B72" s="3"/>
      <c r="C72" s="3" t="str">
        <f>IFERROR(VLOOKUP(A72,'الخطة التدريبية المعتمدة'!A:C,3,FALSE),"")</f>
        <v/>
      </c>
      <c r="D72" s="3" t="str">
        <f>IFERROR(VLOOKUP(B72,'جدول الجلسات التدريبية'!A:D,4,FALSE),"")</f>
        <v/>
      </c>
      <c r="E72" s="3"/>
      <c r="F72" s="3" t="str">
        <f>IFERROR(VLOOKUP(E72,'سجل الموظفين والكفاءة'!B:C,2,FALSE),"")</f>
        <v/>
      </c>
      <c r="G72" s="3">
        <f>IFERROR(VLOOKUP(A72,'الخطة التدريبية المعتمدة'!A:J,10,FALSE),0)</f>
        <v>0</v>
      </c>
      <c r="H72" s="3"/>
      <c r="I72" s="3"/>
      <c r="J72" s="3"/>
      <c r="K72" s="7" t="str">
        <f>IF(OR(I72="",J72="",I72=0),"",(J72-I72)/I72)</f>
        <v/>
      </c>
      <c r="L72" s="3" t="str">
        <f>IF(J72="","",IF(J72/10&gt;='الإعدادات والمستهدفات'!B5,"ناجح ومستوفى","ضعيف - يلزم إعادة اختبار"))</f>
        <v/>
      </c>
      <c r="M72" s="3"/>
      <c r="N72" s="3"/>
    </row>
    <row r="73" spans="1:14" x14ac:dyDescent="0.2">
      <c r="A73" s="3" t="str">
        <f>IFERROR(VLOOKUP(B73,'جدول الجلسات التدريبية'!A:B,2,FALSE),"")</f>
        <v/>
      </c>
      <c r="B73" s="3"/>
      <c r="C73" s="3" t="str">
        <f>IFERROR(VLOOKUP(A73,'الخطة التدريبية المعتمدة'!A:C,3,FALSE),"")</f>
        <v/>
      </c>
      <c r="D73" s="3" t="str">
        <f>IFERROR(VLOOKUP(B73,'جدول الجلسات التدريبية'!A:D,4,FALSE),"")</f>
        <v/>
      </c>
      <c r="E73" s="3"/>
      <c r="F73" s="3" t="str">
        <f>IFERROR(VLOOKUP(E73,'سجل الموظفين والكفاءة'!B:C,2,FALSE),"")</f>
        <v/>
      </c>
      <c r="G73" s="3">
        <f>IFERROR(VLOOKUP(A73,'الخطة التدريبية المعتمدة'!A:J,10,FALSE),0)</f>
        <v>0</v>
      </c>
      <c r="H73" s="3"/>
      <c r="I73" s="3"/>
      <c r="J73" s="3"/>
      <c r="K73" s="7" t="str">
        <f>IF(OR(I73="",J73="",I73=0),"",(J73-I73)/I73)</f>
        <v/>
      </c>
      <c r="L73" s="3" t="str">
        <f>IF(J73="","",IF(J73/10&gt;='الإعدادات والمستهدفات'!B5,"ناجح ومستوفى","ضعيف - يلزم إعادة اختبار"))</f>
        <v/>
      </c>
      <c r="M73" s="3"/>
      <c r="N73" s="3"/>
    </row>
    <row r="74" spans="1:14" x14ac:dyDescent="0.2">
      <c r="A74" s="3" t="str">
        <f>IFERROR(VLOOKUP(B74,'جدول الجلسات التدريبية'!A:B,2,FALSE),"")</f>
        <v/>
      </c>
      <c r="B74" s="3"/>
      <c r="C74" s="3" t="str">
        <f>IFERROR(VLOOKUP(A74,'الخطة التدريبية المعتمدة'!A:C,3,FALSE),"")</f>
        <v/>
      </c>
      <c r="D74" s="3" t="str">
        <f>IFERROR(VLOOKUP(B74,'جدول الجلسات التدريبية'!A:D,4,FALSE),"")</f>
        <v/>
      </c>
      <c r="E74" s="3"/>
      <c r="F74" s="3" t="str">
        <f>IFERROR(VLOOKUP(E74,'سجل الموظفين والكفاءة'!B:C,2,FALSE),"")</f>
        <v/>
      </c>
      <c r="G74" s="3">
        <f>IFERROR(VLOOKUP(A74,'الخطة التدريبية المعتمدة'!A:J,10,FALSE),0)</f>
        <v>0</v>
      </c>
      <c r="H74" s="3"/>
      <c r="I74" s="3"/>
      <c r="J74" s="3"/>
      <c r="K74" s="7" t="str">
        <f>IF(OR(I74="",J74="",I74=0),"",(J74-I74)/I74)</f>
        <v/>
      </c>
      <c r="L74" s="3" t="str">
        <f>IF(J74="","",IF(J74/10&gt;='الإعدادات والمستهدفات'!B5,"ناجح ومستوفى","ضعيف - يلزم إعادة اختبار"))</f>
        <v/>
      </c>
      <c r="M74" s="3"/>
      <c r="N74" s="3"/>
    </row>
    <row r="75" spans="1:14" x14ac:dyDescent="0.2">
      <c r="A75" s="3" t="str">
        <f>IFERROR(VLOOKUP(B75,'جدول الجلسات التدريبية'!A:B,2,FALSE),"")</f>
        <v/>
      </c>
      <c r="B75" s="3"/>
      <c r="C75" s="3" t="str">
        <f>IFERROR(VLOOKUP(A75,'الخطة التدريبية المعتمدة'!A:C,3,FALSE),"")</f>
        <v/>
      </c>
      <c r="D75" s="3" t="str">
        <f>IFERROR(VLOOKUP(B75,'جدول الجلسات التدريبية'!A:D,4,FALSE),"")</f>
        <v/>
      </c>
      <c r="E75" s="3"/>
      <c r="F75" s="3" t="str">
        <f>IFERROR(VLOOKUP(E75,'سجل الموظفين والكفاءة'!B:C,2,FALSE),"")</f>
        <v/>
      </c>
      <c r="G75" s="3">
        <f>IFERROR(VLOOKUP(A75,'الخطة التدريبية المعتمدة'!A:J,10,FALSE),0)</f>
        <v>0</v>
      </c>
      <c r="H75" s="3"/>
      <c r="I75" s="3"/>
      <c r="J75" s="3"/>
      <c r="K75" s="7" t="str">
        <f>IF(OR(I75="",J75="",I75=0),"",(J75-I75)/I75)</f>
        <v/>
      </c>
      <c r="L75" s="3" t="str">
        <f>IF(J75="","",IF(J75/10&gt;='الإعدادات والمستهدفات'!B5,"ناجح ومستوفى","ضعيف - يلزم إعادة اختبار"))</f>
        <v/>
      </c>
      <c r="M75" s="3"/>
      <c r="N75" s="3"/>
    </row>
    <row r="76" spans="1:14" x14ac:dyDescent="0.2">
      <c r="A76" s="3" t="str">
        <f>IFERROR(VLOOKUP(B76,'جدول الجلسات التدريبية'!A:B,2,FALSE),"")</f>
        <v/>
      </c>
      <c r="B76" s="3"/>
      <c r="C76" s="3" t="str">
        <f>IFERROR(VLOOKUP(A76,'الخطة التدريبية المعتمدة'!A:C,3,FALSE),"")</f>
        <v/>
      </c>
      <c r="D76" s="3" t="str">
        <f>IFERROR(VLOOKUP(B76,'جدول الجلسات التدريبية'!A:D,4,FALSE),"")</f>
        <v/>
      </c>
      <c r="E76" s="3"/>
      <c r="F76" s="3" t="str">
        <f>IFERROR(VLOOKUP(E76,'سجل الموظفين والكفاءة'!B:C,2,FALSE),"")</f>
        <v/>
      </c>
      <c r="G76" s="3">
        <f>IFERROR(VLOOKUP(A76,'الخطة التدريبية المعتمدة'!A:J,10,FALSE),0)</f>
        <v>0</v>
      </c>
      <c r="H76" s="3"/>
      <c r="I76" s="3"/>
      <c r="J76" s="3"/>
      <c r="K76" s="7" t="str">
        <f>IF(OR(I76="",J76="",I76=0),"",(J76-I76)/I76)</f>
        <v/>
      </c>
      <c r="L76" s="3" t="str">
        <f>IF(J76="","",IF(J76/10&gt;='الإعدادات والمستهدفات'!B5,"ناجح ومستوفى","ضعيف - يلزم إعادة اختبار"))</f>
        <v/>
      </c>
      <c r="M76" s="3"/>
      <c r="N76" s="3"/>
    </row>
    <row r="77" spans="1:14" x14ac:dyDescent="0.2">
      <c r="A77" s="3" t="str">
        <f>IFERROR(VLOOKUP(B77,'جدول الجلسات التدريبية'!A:B,2,FALSE),"")</f>
        <v/>
      </c>
      <c r="B77" s="3"/>
      <c r="C77" s="3" t="str">
        <f>IFERROR(VLOOKUP(A77,'الخطة التدريبية المعتمدة'!A:C,3,FALSE),"")</f>
        <v/>
      </c>
      <c r="D77" s="3" t="str">
        <f>IFERROR(VLOOKUP(B77,'جدول الجلسات التدريبية'!A:D,4,FALSE),"")</f>
        <v/>
      </c>
      <c r="E77" s="3"/>
      <c r="F77" s="3" t="str">
        <f>IFERROR(VLOOKUP(E77,'سجل الموظفين والكفاءة'!B:C,2,FALSE),"")</f>
        <v/>
      </c>
      <c r="G77" s="3">
        <f>IFERROR(VLOOKUP(A77,'الخطة التدريبية المعتمدة'!A:J,10,FALSE),0)</f>
        <v>0</v>
      </c>
      <c r="H77" s="3"/>
      <c r="I77" s="3"/>
      <c r="J77" s="3"/>
      <c r="K77" s="7" t="str">
        <f>IF(OR(I77="",J77="",I77=0),"",(J77-I77)/I77)</f>
        <v/>
      </c>
      <c r="L77" s="3" t="str">
        <f>IF(J77="","",IF(J77/10&gt;='الإعدادات والمستهدفات'!B5,"ناجح ومستوفى","ضعيف - يلزم إعادة اختبار"))</f>
        <v/>
      </c>
      <c r="M77" s="3"/>
      <c r="N77" s="3"/>
    </row>
    <row r="78" spans="1:14" x14ac:dyDescent="0.2">
      <c r="A78" s="3" t="str">
        <f>IFERROR(VLOOKUP(B78,'جدول الجلسات التدريبية'!A:B,2,FALSE),"")</f>
        <v/>
      </c>
      <c r="B78" s="3"/>
      <c r="C78" s="3" t="str">
        <f>IFERROR(VLOOKUP(A78,'الخطة التدريبية المعتمدة'!A:C,3,FALSE),"")</f>
        <v/>
      </c>
      <c r="D78" s="3" t="str">
        <f>IFERROR(VLOOKUP(B78,'جدول الجلسات التدريبية'!A:D,4,FALSE),"")</f>
        <v/>
      </c>
      <c r="E78" s="3"/>
      <c r="F78" s="3" t="str">
        <f>IFERROR(VLOOKUP(E78,'سجل الموظفين والكفاءة'!B:C,2,FALSE),"")</f>
        <v/>
      </c>
      <c r="G78" s="3">
        <f>IFERROR(VLOOKUP(A78,'الخطة التدريبية المعتمدة'!A:J,10,FALSE),0)</f>
        <v>0</v>
      </c>
      <c r="H78" s="3"/>
      <c r="I78" s="3"/>
      <c r="J78" s="3"/>
      <c r="K78" s="7" t="str">
        <f>IF(OR(I78="",J78="",I78=0),"",(J78-I78)/I78)</f>
        <v/>
      </c>
      <c r="L78" s="3" t="str">
        <f>IF(J78="","",IF(J78/10&gt;='الإعدادات والمستهدفات'!B5,"ناجح ومستوفى","ضعيف - يلزم إعادة اختبار"))</f>
        <v/>
      </c>
      <c r="M78" s="3"/>
      <c r="N78" s="3"/>
    </row>
    <row r="79" spans="1:14" x14ac:dyDescent="0.2">
      <c r="A79" s="3" t="str">
        <f>IFERROR(VLOOKUP(B79,'جدول الجلسات التدريبية'!A:B,2,FALSE),"")</f>
        <v/>
      </c>
      <c r="B79" s="3"/>
      <c r="C79" s="3" t="str">
        <f>IFERROR(VLOOKUP(A79,'الخطة التدريبية المعتمدة'!A:C,3,FALSE),"")</f>
        <v/>
      </c>
      <c r="D79" s="3" t="str">
        <f>IFERROR(VLOOKUP(B79,'جدول الجلسات التدريبية'!A:D,4,FALSE),"")</f>
        <v/>
      </c>
      <c r="E79" s="3"/>
      <c r="F79" s="3" t="str">
        <f>IFERROR(VLOOKUP(E79,'سجل الموظفين والكفاءة'!B:C,2,FALSE),"")</f>
        <v/>
      </c>
      <c r="G79" s="3">
        <f>IFERROR(VLOOKUP(A79,'الخطة التدريبية المعتمدة'!A:J,10,FALSE),0)</f>
        <v>0</v>
      </c>
      <c r="H79" s="3"/>
      <c r="I79" s="3"/>
      <c r="J79" s="3"/>
      <c r="K79" s="7" t="str">
        <f>IF(OR(I79="",J79="",I79=0),"",(J79-I79)/I79)</f>
        <v/>
      </c>
      <c r="L79" s="3" t="str">
        <f>IF(J79="","",IF(J79/10&gt;='الإعدادات والمستهدفات'!B5,"ناجح ومستوفى","ضعيف - يلزم إعادة اختبار"))</f>
        <v/>
      </c>
      <c r="M79" s="3"/>
      <c r="N79" s="3"/>
    </row>
    <row r="80" spans="1:14" x14ac:dyDescent="0.2">
      <c r="A80" s="3" t="str">
        <f>IFERROR(VLOOKUP(B80,'جدول الجلسات التدريبية'!A:B,2,FALSE),"")</f>
        <v/>
      </c>
      <c r="B80" s="3"/>
      <c r="C80" s="3" t="str">
        <f>IFERROR(VLOOKUP(A80,'الخطة التدريبية المعتمدة'!A:C,3,FALSE),"")</f>
        <v/>
      </c>
      <c r="D80" s="3" t="str">
        <f>IFERROR(VLOOKUP(B80,'جدول الجلسات التدريبية'!A:D,4,FALSE),"")</f>
        <v/>
      </c>
      <c r="E80" s="3"/>
      <c r="F80" s="3" t="str">
        <f>IFERROR(VLOOKUP(E80,'سجل الموظفين والكفاءة'!B:C,2,FALSE),"")</f>
        <v/>
      </c>
      <c r="G80" s="3">
        <f>IFERROR(VLOOKUP(A80,'الخطة التدريبية المعتمدة'!A:J,10,FALSE),0)</f>
        <v>0</v>
      </c>
      <c r="H80" s="3"/>
      <c r="I80" s="3"/>
      <c r="J80" s="3"/>
      <c r="K80" s="7" t="str">
        <f>IF(OR(I80="",J80="",I80=0),"",(J80-I80)/I80)</f>
        <v/>
      </c>
      <c r="L80" s="3" t="str">
        <f>IF(J80="","",IF(J80/10&gt;='الإعدادات والمستهدفات'!B5,"ناجح ومستوفى","ضعيف - يلزم إعادة اختبار"))</f>
        <v/>
      </c>
      <c r="M80" s="3"/>
      <c r="N80" s="3"/>
    </row>
    <row r="81" spans="1:14" x14ac:dyDescent="0.2">
      <c r="A81" s="3" t="str">
        <f>IFERROR(VLOOKUP(B81,'جدول الجلسات التدريبية'!A:B,2,FALSE),"")</f>
        <v/>
      </c>
      <c r="B81" s="3"/>
      <c r="C81" s="3" t="str">
        <f>IFERROR(VLOOKUP(A81,'الخطة التدريبية المعتمدة'!A:C,3,FALSE),"")</f>
        <v/>
      </c>
      <c r="D81" s="3" t="str">
        <f>IFERROR(VLOOKUP(B81,'جدول الجلسات التدريبية'!A:D,4,FALSE),"")</f>
        <v/>
      </c>
      <c r="E81" s="3"/>
      <c r="F81" s="3" t="str">
        <f>IFERROR(VLOOKUP(E81,'سجل الموظفين والكفاءة'!B:C,2,FALSE),"")</f>
        <v/>
      </c>
      <c r="G81" s="3">
        <f>IFERROR(VLOOKUP(A81,'الخطة التدريبية المعتمدة'!A:J,10,FALSE),0)</f>
        <v>0</v>
      </c>
      <c r="H81" s="3"/>
      <c r="I81" s="3"/>
      <c r="J81" s="3"/>
      <c r="K81" s="7" t="str">
        <f>IF(OR(I81="",J81="",I81=0),"",(J81-I81)/I81)</f>
        <v/>
      </c>
      <c r="L81" s="3" t="str">
        <f>IF(J81="","",IF(J81/10&gt;='الإعدادات والمستهدفات'!B5,"ناجح ومستوفى","ضعيف - يلزم إعادة اختبار"))</f>
        <v/>
      </c>
      <c r="M81" s="3"/>
      <c r="N81" s="3"/>
    </row>
    <row r="82" spans="1:14" x14ac:dyDescent="0.2">
      <c r="A82" s="3" t="str">
        <f>IFERROR(VLOOKUP(B82,'جدول الجلسات التدريبية'!A:B,2,FALSE),"")</f>
        <v/>
      </c>
      <c r="B82" s="3"/>
      <c r="C82" s="3" t="str">
        <f>IFERROR(VLOOKUP(A82,'الخطة التدريبية المعتمدة'!A:C,3,FALSE),"")</f>
        <v/>
      </c>
      <c r="D82" s="3" t="str">
        <f>IFERROR(VLOOKUP(B82,'جدول الجلسات التدريبية'!A:D,4,FALSE),"")</f>
        <v/>
      </c>
      <c r="E82" s="3"/>
      <c r="F82" s="3" t="str">
        <f>IFERROR(VLOOKUP(E82,'سجل الموظفين والكفاءة'!B:C,2,FALSE),"")</f>
        <v/>
      </c>
      <c r="G82" s="3">
        <f>IFERROR(VLOOKUP(A82,'الخطة التدريبية المعتمدة'!A:J,10,FALSE),0)</f>
        <v>0</v>
      </c>
      <c r="H82" s="3"/>
      <c r="I82" s="3"/>
      <c r="J82" s="3"/>
      <c r="K82" s="7" t="str">
        <f>IF(OR(I82="",J82="",I82=0),"",(J82-I82)/I82)</f>
        <v/>
      </c>
      <c r="L82" s="3" t="str">
        <f>IF(J82="","",IF(J82/10&gt;='الإعدادات والمستهدفات'!B5,"ناجح ومستوفى","ضعيف - يلزم إعادة اختبار"))</f>
        <v/>
      </c>
      <c r="M82" s="3"/>
      <c r="N82" s="3"/>
    </row>
    <row r="83" spans="1:14" x14ac:dyDescent="0.2">
      <c r="A83" s="3" t="str">
        <f>IFERROR(VLOOKUP(B83,'جدول الجلسات التدريبية'!A:B,2,FALSE),"")</f>
        <v/>
      </c>
      <c r="B83" s="3"/>
      <c r="C83" s="3" t="str">
        <f>IFERROR(VLOOKUP(A83,'الخطة التدريبية المعتمدة'!A:C,3,FALSE),"")</f>
        <v/>
      </c>
      <c r="D83" s="3" t="str">
        <f>IFERROR(VLOOKUP(B83,'جدول الجلسات التدريبية'!A:D,4,FALSE),"")</f>
        <v/>
      </c>
      <c r="E83" s="3"/>
      <c r="F83" s="3" t="str">
        <f>IFERROR(VLOOKUP(E83,'سجل الموظفين والكفاءة'!B:C,2,FALSE),"")</f>
        <v/>
      </c>
      <c r="G83" s="3">
        <f>IFERROR(VLOOKUP(A83,'الخطة التدريبية المعتمدة'!A:J,10,FALSE),0)</f>
        <v>0</v>
      </c>
      <c r="H83" s="3"/>
      <c r="I83" s="3"/>
      <c r="J83" s="3"/>
      <c r="K83" s="7" t="str">
        <f>IF(OR(I83="",J83="",I83=0),"",(J83-I83)/I83)</f>
        <v/>
      </c>
      <c r="L83" s="3" t="str">
        <f>IF(J83="","",IF(J83/10&gt;='الإعدادات والمستهدفات'!B5,"ناجح ومستوفى","ضعيف - يلزم إعادة اختبار"))</f>
        <v/>
      </c>
      <c r="M83" s="3"/>
      <c r="N83" s="3"/>
    </row>
    <row r="84" spans="1:14" x14ac:dyDescent="0.2">
      <c r="A84" s="3" t="str">
        <f>IFERROR(VLOOKUP(B84,'جدول الجلسات التدريبية'!A:B,2,FALSE),"")</f>
        <v/>
      </c>
      <c r="B84" s="3"/>
      <c r="C84" s="3" t="str">
        <f>IFERROR(VLOOKUP(A84,'الخطة التدريبية المعتمدة'!A:C,3,FALSE),"")</f>
        <v/>
      </c>
      <c r="D84" s="3" t="str">
        <f>IFERROR(VLOOKUP(B84,'جدول الجلسات التدريبية'!A:D,4,FALSE),"")</f>
        <v/>
      </c>
      <c r="E84" s="3"/>
      <c r="F84" s="3" t="str">
        <f>IFERROR(VLOOKUP(E84,'سجل الموظفين والكفاءة'!B:C,2,FALSE),"")</f>
        <v/>
      </c>
      <c r="G84" s="3">
        <f>IFERROR(VLOOKUP(A84,'الخطة التدريبية المعتمدة'!A:J,10,FALSE),0)</f>
        <v>0</v>
      </c>
      <c r="H84" s="3"/>
      <c r="I84" s="3"/>
      <c r="J84" s="3"/>
      <c r="K84" s="7" t="str">
        <f>IF(OR(I84="",J84="",I84=0),"",(J84-I84)/I84)</f>
        <v/>
      </c>
      <c r="L84" s="3" t="str">
        <f>IF(J84="","",IF(J84/10&gt;='الإعدادات والمستهدفات'!B5,"ناجح ومستوفى","ضعيف - يلزم إعادة اختبار"))</f>
        <v/>
      </c>
      <c r="M84" s="3"/>
      <c r="N84" s="3"/>
    </row>
    <row r="85" spans="1:14" x14ac:dyDescent="0.2">
      <c r="A85" s="3" t="str">
        <f>IFERROR(VLOOKUP(B85,'جدول الجلسات التدريبية'!A:B,2,FALSE),"")</f>
        <v/>
      </c>
      <c r="B85" s="3"/>
      <c r="C85" s="3" t="str">
        <f>IFERROR(VLOOKUP(A85,'الخطة التدريبية المعتمدة'!A:C,3,FALSE),"")</f>
        <v/>
      </c>
      <c r="D85" s="3" t="str">
        <f>IFERROR(VLOOKUP(B85,'جدول الجلسات التدريبية'!A:D,4,FALSE),"")</f>
        <v/>
      </c>
      <c r="E85" s="3"/>
      <c r="F85" s="3" t="str">
        <f>IFERROR(VLOOKUP(E85,'سجل الموظفين والكفاءة'!B:C,2,FALSE),"")</f>
        <v/>
      </c>
      <c r="G85" s="3">
        <f>IFERROR(VLOOKUP(A85,'الخطة التدريبية المعتمدة'!A:J,10,FALSE),0)</f>
        <v>0</v>
      </c>
      <c r="H85" s="3"/>
      <c r="I85" s="3"/>
      <c r="J85" s="3"/>
      <c r="K85" s="7" t="str">
        <f>IF(OR(I85="",J85="",I85=0),"",(J85-I85)/I85)</f>
        <v/>
      </c>
      <c r="L85" s="3" t="str">
        <f>IF(J85="","",IF(J85/10&gt;='الإعدادات والمستهدفات'!B5,"ناجح ومستوفى","ضعيف - يلزم إعادة اختبار"))</f>
        <v/>
      </c>
      <c r="M85" s="3"/>
      <c r="N85" s="3"/>
    </row>
    <row r="86" spans="1:14" x14ac:dyDescent="0.2">
      <c r="A86" s="3" t="str">
        <f>IFERROR(VLOOKUP(B86,'جدول الجلسات التدريبية'!A:B,2,FALSE),"")</f>
        <v/>
      </c>
      <c r="B86" s="3"/>
      <c r="C86" s="3" t="str">
        <f>IFERROR(VLOOKUP(A86,'الخطة التدريبية المعتمدة'!A:C,3,FALSE),"")</f>
        <v/>
      </c>
      <c r="D86" s="3" t="str">
        <f>IFERROR(VLOOKUP(B86,'جدول الجلسات التدريبية'!A:D,4,FALSE),"")</f>
        <v/>
      </c>
      <c r="E86" s="3"/>
      <c r="F86" s="3" t="str">
        <f>IFERROR(VLOOKUP(E86,'سجل الموظفين والكفاءة'!B:C,2,FALSE),"")</f>
        <v/>
      </c>
      <c r="G86" s="3">
        <f>IFERROR(VLOOKUP(A86,'الخطة التدريبية المعتمدة'!A:J,10,FALSE),0)</f>
        <v>0</v>
      </c>
      <c r="H86" s="3"/>
      <c r="I86" s="3"/>
      <c r="J86" s="3"/>
      <c r="K86" s="7" t="str">
        <f>IF(OR(I86="",J86="",I86=0),"",(J86-I86)/I86)</f>
        <v/>
      </c>
      <c r="L86" s="3" t="str">
        <f>IF(J86="","",IF(J86/10&gt;='الإعدادات والمستهدفات'!B5,"ناجح ومستوفى","ضعيف - يلزم إعادة اختبار"))</f>
        <v/>
      </c>
      <c r="M86" s="3"/>
      <c r="N86" s="3"/>
    </row>
    <row r="87" spans="1:14" x14ac:dyDescent="0.2">
      <c r="A87" s="3" t="str">
        <f>IFERROR(VLOOKUP(B87,'جدول الجلسات التدريبية'!A:B,2,FALSE),"")</f>
        <v/>
      </c>
      <c r="B87" s="3"/>
      <c r="C87" s="3" t="str">
        <f>IFERROR(VLOOKUP(A87,'الخطة التدريبية المعتمدة'!A:C,3,FALSE),"")</f>
        <v/>
      </c>
      <c r="D87" s="3" t="str">
        <f>IFERROR(VLOOKUP(B87,'جدول الجلسات التدريبية'!A:D,4,FALSE),"")</f>
        <v/>
      </c>
      <c r="E87" s="3"/>
      <c r="F87" s="3" t="str">
        <f>IFERROR(VLOOKUP(E87,'سجل الموظفين والكفاءة'!B:C,2,FALSE),"")</f>
        <v/>
      </c>
      <c r="G87" s="3">
        <f>IFERROR(VLOOKUP(A87,'الخطة التدريبية المعتمدة'!A:J,10,FALSE),0)</f>
        <v>0</v>
      </c>
      <c r="H87" s="3"/>
      <c r="I87" s="3"/>
      <c r="J87" s="3"/>
      <c r="K87" s="7" t="str">
        <f>IF(OR(I87="",J87="",I87=0),"",(J87-I87)/I87)</f>
        <v/>
      </c>
      <c r="L87" s="3" t="str">
        <f>IF(J87="","",IF(J87/10&gt;='الإعدادات والمستهدفات'!B5,"ناجح ومستوفى","ضعيف - يلزم إعادة اختبار"))</f>
        <v/>
      </c>
      <c r="M87" s="3"/>
      <c r="N87" s="3"/>
    </row>
    <row r="88" spans="1:14" x14ac:dyDescent="0.2">
      <c r="A88" s="3" t="str">
        <f>IFERROR(VLOOKUP(B88,'جدول الجلسات التدريبية'!A:B,2,FALSE),"")</f>
        <v/>
      </c>
      <c r="B88" s="3"/>
      <c r="C88" s="3" t="str">
        <f>IFERROR(VLOOKUP(A88,'الخطة التدريبية المعتمدة'!A:C,3,FALSE),"")</f>
        <v/>
      </c>
      <c r="D88" s="3" t="str">
        <f>IFERROR(VLOOKUP(B88,'جدول الجلسات التدريبية'!A:D,4,FALSE),"")</f>
        <v/>
      </c>
      <c r="E88" s="3"/>
      <c r="F88" s="3" t="str">
        <f>IFERROR(VLOOKUP(E88,'سجل الموظفين والكفاءة'!B:C,2,FALSE),"")</f>
        <v/>
      </c>
      <c r="G88" s="3">
        <f>IFERROR(VLOOKUP(A88,'الخطة التدريبية المعتمدة'!A:J,10,FALSE),0)</f>
        <v>0</v>
      </c>
      <c r="H88" s="3"/>
      <c r="I88" s="3"/>
      <c r="J88" s="3"/>
      <c r="K88" s="7" t="str">
        <f>IF(OR(I88="",J88="",I88=0),"",(J88-I88)/I88)</f>
        <v/>
      </c>
      <c r="L88" s="3" t="str">
        <f>IF(J88="","",IF(J88/10&gt;='الإعدادات والمستهدفات'!B5,"ناجح ومستوفى","ضعيف - يلزم إعادة اختبار"))</f>
        <v/>
      </c>
      <c r="M88" s="3"/>
      <c r="N88" s="3"/>
    </row>
    <row r="89" spans="1:14" x14ac:dyDescent="0.2">
      <c r="A89" s="3" t="str">
        <f>IFERROR(VLOOKUP(B89,'جدول الجلسات التدريبية'!A:B,2,FALSE),"")</f>
        <v/>
      </c>
      <c r="B89" s="3"/>
      <c r="C89" s="3" t="str">
        <f>IFERROR(VLOOKUP(A89,'الخطة التدريبية المعتمدة'!A:C,3,FALSE),"")</f>
        <v/>
      </c>
      <c r="D89" s="3" t="str">
        <f>IFERROR(VLOOKUP(B89,'جدول الجلسات التدريبية'!A:D,4,FALSE),"")</f>
        <v/>
      </c>
      <c r="E89" s="3"/>
      <c r="F89" s="3" t="str">
        <f>IFERROR(VLOOKUP(E89,'سجل الموظفين والكفاءة'!B:C,2,FALSE),"")</f>
        <v/>
      </c>
      <c r="G89" s="3">
        <f>IFERROR(VLOOKUP(A89,'الخطة التدريبية المعتمدة'!A:J,10,FALSE),0)</f>
        <v>0</v>
      </c>
      <c r="H89" s="3"/>
      <c r="I89" s="3"/>
      <c r="J89" s="3"/>
      <c r="K89" s="7" t="str">
        <f>IF(OR(I89="",J89="",I89=0),"",(J89-I89)/I89)</f>
        <v/>
      </c>
      <c r="L89" s="3" t="str">
        <f>IF(J89="","",IF(J89/10&gt;='الإعدادات والمستهدفات'!B5,"ناجح ومستوفى","ضعيف - يلزم إعادة اختبار"))</f>
        <v/>
      </c>
      <c r="M89" s="3"/>
      <c r="N89" s="3"/>
    </row>
    <row r="90" spans="1:14" x14ac:dyDescent="0.2">
      <c r="A90" s="3" t="str">
        <f>IFERROR(VLOOKUP(B90,'جدول الجلسات التدريبية'!A:B,2,FALSE),"")</f>
        <v/>
      </c>
      <c r="B90" s="3"/>
      <c r="C90" s="3" t="str">
        <f>IFERROR(VLOOKUP(A90,'الخطة التدريبية المعتمدة'!A:C,3,FALSE),"")</f>
        <v/>
      </c>
      <c r="D90" s="3" t="str">
        <f>IFERROR(VLOOKUP(B90,'جدول الجلسات التدريبية'!A:D,4,FALSE),"")</f>
        <v/>
      </c>
      <c r="E90" s="3"/>
      <c r="F90" s="3" t="str">
        <f>IFERROR(VLOOKUP(E90,'سجل الموظفين والكفاءة'!B:C,2,FALSE),"")</f>
        <v/>
      </c>
      <c r="G90" s="3">
        <f>IFERROR(VLOOKUP(A90,'الخطة التدريبية المعتمدة'!A:J,10,FALSE),0)</f>
        <v>0</v>
      </c>
      <c r="H90" s="3"/>
      <c r="I90" s="3"/>
      <c r="J90" s="3"/>
      <c r="K90" s="7" t="str">
        <f>IF(OR(I90="",J90="",I90=0),"",(J90-I90)/I90)</f>
        <v/>
      </c>
      <c r="L90" s="3" t="str">
        <f>IF(J90="","",IF(J90/10&gt;='الإعدادات والمستهدفات'!B5,"ناجح ومستوفى","ضعيف - يلزم إعادة اختبار"))</f>
        <v/>
      </c>
      <c r="M90" s="3"/>
      <c r="N90" s="3"/>
    </row>
    <row r="91" spans="1:14" x14ac:dyDescent="0.2">
      <c r="A91" s="3" t="str">
        <f>IFERROR(VLOOKUP(B91,'جدول الجلسات التدريبية'!A:B,2,FALSE),"")</f>
        <v/>
      </c>
      <c r="B91" s="3"/>
      <c r="C91" s="3" t="str">
        <f>IFERROR(VLOOKUP(A91,'الخطة التدريبية المعتمدة'!A:C,3,FALSE),"")</f>
        <v/>
      </c>
      <c r="D91" s="3" t="str">
        <f>IFERROR(VLOOKUP(B91,'جدول الجلسات التدريبية'!A:D,4,FALSE),"")</f>
        <v/>
      </c>
      <c r="E91" s="3"/>
      <c r="F91" s="3" t="str">
        <f>IFERROR(VLOOKUP(E91,'سجل الموظفين والكفاءة'!B:C,2,FALSE),"")</f>
        <v/>
      </c>
      <c r="G91" s="3">
        <f>IFERROR(VLOOKUP(A91,'الخطة التدريبية المعتمدة'!A:J,10,FALSE),0)</f>
        <v>0</v>
      </c>
      <c r="H91" s="3"/>
      <c r="I91" s="3"/>
      <c r="J91" s="3"/>
      <c r="K91" s="7" t="str">
        <f>IF(OR(I91="",J91="",I91=0),"",(J91-I91)/I91)</f>
        <v/>
      </c>
      <c r="L91" s="3" t="str">
        <f>IF(J91="","",IF(J91/10&gt;='الإعدادات والمستهدفات'!B5,"ناجح ومستوفى","ضعيف - يلزم إعادة اختبار"))</f>
        <v/>
      </c>
      <c r="M91" s="3"/>
      <c r="N91" s="3"/>
    </row>
    <row r="92" spans="1:14" x14ac:dyDescent="0.2">
      <c r="A92" s="3" t="str">
        <f>IFERROR(VLOOKUP(B92,'جدول الجلسات التدريبية'!A:B,2,FALSE),"")</f>
        <v/>
      </c>
      <c r="B92" s="3"/>
      <c r="C92" s="3" t="str">
        <f>IFERROR(VLOOKUP(A92,'الخطة التدريبية المعتمدة'!A:C,3,FALSE),"")</f>
        <v/>
      </c>
      <c r="D92" s="3" t="str">
        <f>IFERROR(VLOOKUP(B92,'جدول الجلسات التدريبية'!A:D,4,FALSE),"")</f>
        <v/>
      </c>
      <c r="E92" s="3"/>
      <c r="F92" s="3" t="str">
        <f>IFERROR(VLOOKUP(E92,'سجل الموظفين والكفاءة'!B:C,2,FALSE),"")</f>
        <v/>
      </c>
      <c r="G92" s="3">
        <f>IFERROR(VLOOKUP(A92,'الخطة التدريبية المعتمدة'!A:J,10,FALSE),0)</f>
        <v>0</v>
      </c>
      <c r="H92" s="3"/>
      <c r="I92" s="3"/>
      <c r="J92" s="3"/>
      <c r="K92" s="7" t="str">
        <f>IF(OR(I92="",J92="",I92=0),"",(J92-I92)/I92)</f>
        <v/>
      </c>
      <c r="L92" s="3" t="str">
        <f>IF(J92="","",IF(J92/10&gt;='الإعدادات والمستهدفات'!B5,"ناجح ومستوفى","ضعيف - يلزم إعادة اختبار"))</f>
        <v/>
      </c>
      <c r="M92" s="3"/>
      <c r="N92" s="3"/>
    </row>
    <row r="93" spans="1:14" x14ac:dyDescent="0.2">
      <c r="A93" s="3" t="str">
        <f>IFERROR(VLOOKUP(B93,'جدول الجلسات التدريبية'!A:B,2,FALSE),"")</f>
        <v/>
      </c>
      <c r="B93" s="3"/>
      <c r="C93" s="3" t="str">
        <f>IFERROR(VLOOKUP(A93,'الخطة التدريبية المعتمدة'!A:C,3,FALSE),"")</f>
        <v/>
      </c>
      <c r="D93" s="3" t="str">
        <f>IFERROR(VLOOKUP(B93,'جدول الجلسات التدريبية'!A:D,4,FALSE),"")</f>
        <v/>
      </c>
      <c r="E93" s="3"/>
      <c r="F93" s="3" t="str">
        <f>IFERROR(VLOOKUP(E93,'سجل الموظفين والكفاءة'!B:C,2,FALSE),"")</f>
        <v/>
      </c>
      <c r="G93" s="3">
        <f>IFERROR(VLOOKUP(A93,'الخطة التدريبية المعتمدة'!A:J,10,FALSE),0)</f>
        <v>0</v>
      </c>
      <c r="H93" s="3"/>
      <c r="I93" s="3"/>
      <c r="J93" s="3"/>
      <c r="K93" s="7" t="str">
        <f>IF(OR(I93="",J93="",I93=0),"",(J93-I93)/I93)</f>
        <v/>
      </c>
      <c r="L93" s="3" t="str">
        <f>IF(J93="","",IF(J93/10&gt;='الإعدادات والمستهدفات'!B5,"ناجح ومستوفى","ضعيف - يلزم إعادة اختبار"))</f>
        <v/>
      </c>
      <c r="M93" s="3"/>
      <c r="N93" s="3"/>
    </row>
    <row r="94" spans="1:14" x14ac:dyDescent="0.2">
      <c r="A94" s="3" t="str">
        <f>IFERROR(VLOOKUP(B94,'جدول الجلسات التدريبية'!A:B,2,FALSE),"")</f>
        <v/>
      </c>
      <c r="B94" s="3"/>
      <c r="C94" s="3" t="str">
        <f>IFERROR(VLOOKUP(A94,'الخطة التدريبية المعتمدة'!A:C,3,FALSE),"")</f>
        <v/>
      </c>
      <c r="D94" s="3" t="str">
        <f>IFERROR(VLOOKUP(B94,'جدول الجلسات التدريبية'!A:D,4,FALSE),"")</f>
        <v/>
      </c>
      <c r="E94" s="3"/>
      <c r="F94" s="3" t="str">
        <f>IFERROR(VLOOKUP(E94,'سجل الموظفين والكفاءة'!B:C,2,FALSE),"")</f>
        <v/>
      </c>
      <c r="G94" s="3">
        <f>IFERROR(VLOOKUP(A94,'الخطة التدريبية المعتمدة'!A:J,10,FALSE),0)</f>
        <v>0</v>
      </c>
      <c r="H94" s="3"/>
      <c r="I94" s="3"/>
      <c r="J94" s="3"/>
      <c r="K94" s="7" t="str">
        <f>IF(OR(I94="",J94="",I94=0),"",(J94-I94)/I94)</f>
        <v/>
      </c>
      <c r="L94" s="3" t="str">
        <f>IF(J94="","",IF(J94/10&gt;='الإعدادات والمستهدفات'!B5,"ناجح ومستوفى","ضعيف - يلزم إعادة اختبار"))</f>
        <v/>
      </c>
      <c r="M94" s="3"/>
      <c r="N94" s="3"/>
    </row>
    <row r="95" spans="1:14" x14ac:dyDescent="0.2">
      <c r="A95" s="3" t="str">
        <f>IFERROR(VLOOKUP(B95,'جدول الجلسات التدريبية'!A:B,2,FALSE),"")</f>
        <v/>
      </c>
      <c r="B95" s="3"/>
      <c r="C95" s="3" t="str">
        <f>IFERROR(VLOOKUP(A95,'الخطة التدريبية المعتمدة'!A:C,3,FALSE),"")</f>
        <v/>
      </c>
      <c r="D95" s="3" t="str">
        <f>IFERROR(VLOOKUP(B95,'جدول الجلسات التدريبية'!A:D,4,FALSE),"")</f>
        <v/>
      </c>
      <c r="E95" s="3"/>
      <c r="F95" s="3" t="str">
        <f>IFERROR(VLOOKUP(E95,'سجل الموظفين والكفاءة'!B:C,2,FALSE),"")</f>
        <v/>
      </c>
      <c r="G95" s="3">
        <f>IFERROR(VLOOKUP(A95,'الخطة التدريبية المعتمدة'!A:J,10,FALSE),0)</f>
        <v>0</v>
      </c>
      <c r="H95" s="3"/>
      <c r="I95" s="3"/>
      <c r="J95" s="3"/>
      <c r="K95" s="7" t="str">
        <f>IF(OR(I95="",J95="",I95=0),"",(J95-I95)/I95)</f>
        <v/>
      </c>
      <c r="L95" s="3" t="str">
        <f>IF(J95="","",IF(J95/10&gt;='الإعدادات والمستهدفات'!B5,"ناجح ومستوفى","ضعيف - يلزم إعادة اختبار"))</f>
        <v/>
      </c>
      <c r="M95" s="3"/>
      <c r="N95" s="3"/>
    </row>
    <row r="96" spans="1:14" x14ac:dyDescent="0.2">
      <c r="A96" s="3" t="str">
        <f>IFERROR(VLOOKUP(B96,'جدول الجلسات التدريبية'!A:B,2,FALSE),"")</f>
        <v/>
      </c>
      <c r="B96" s="3"/>
      <c r="C96" s="3" t="str">
        <f>IFERROR(VLOOKUP(A96,'الخطة التدريبية المعتمدة'!A:C,3,FALSE),"")</f>
        <v/>
      </c>
      <c r="D96" s="3" t="str">
        <f>IFERROR(VLOOKUP(B96,'جدول الجلسات التدريبية'!A:D,4,FALSE),"")</f>
        <v/>
      </c>
      <c r="E96" s="3"/>
      <c r="F96" s="3" t="str">
        <f>IFERROR(VLOOKUP(E96,'سجل الموظفين والكفاءة'!B:C,2,FALSE),"")</f>
        <v/>
      </c>
      <c r="G96" s="3">
        <f>IFERROR(VLOOKUP(A96,'الخطة التدريبية المعتمدة'!A:J,10,FALSE),0)</f>
        <v>0</v>
      </c>
      <c r="H96" s="3"/>
      <c r="I96" s="3"/>
      <c r="J96" s="3"/>
      <c r="K96" s="7" t="str">
        <f>IF(OR(I96="",J96="",I96=0),"",(J96-I96)/I96)</f>
        <v/>
      </c>
      <c r="L96" s="3" t="str">
        <f>IF(J96="","",IF(J96/10&gt;='الإعدادات والمستهدفات'!B5,"ناجح ومستوفى","ضعيف - يلزم إعادة اختبار"))</f>
        <v/>
      </c>
      <c r="M96" s="3"/>
      <c r="N96" s="3"/>
    </row>
    <row r="97" spans="1:14" x14ac:dyDescent="0.2">
      <c r="A97" s="3" t="str">
        <f>IFERROR(VLOOKUP(B97,'جدول الجلسات التدريبية'!A:B,2,FALSE),"")</f>
        <v/>
      </c>
      <c r="B97" s="3"/>
      <c r="C97" s="3" t="str">
        <f>IFERROR(VLOOKUP(A97,'الخطة التدريبية المعتمدة'!A:C,3,FALSE),"")</f>
        <v/>
      </c>
      <c r="D97" s="3" t="str">
        <f>IFERROR(VLOOKUP(B97,'جدول الجلسات التدريبية'!A:D,4,FALSE),"")</f>
        <v/>
      </c>
      <c r="E97" s="3"/>
      <c r="F97" s="3" t="str">
        <f>IFERROR(VLOOKUP(E97,'سجل الموظفين والكفاءة'!B:C,2,FALSE),"")</f>
        <v/>
      </c>
      <c r="G97" s="3">
        <f>IFERROR(VLOOKUP(A97,'الخطة التدريبية المعتمدة'!A:J,10,FALSE),0)</f>
        <v>0</v>
      </c>
      <c r="H97" s="3"/>
      <c r="I97" s="3"/>
      <c r="J97" s="3"/>
      <c r="K97" s="7" t="str">
        <f>IF(OR(I97="",J97="",I97=0),"",(J97-I97)/I97)</f>
        <v/>
      </c>
      <c r="L97" s="3" t="str">
        <f>IF(J97="","",IF(J97/10&gt;='الإعدادات والمستهدفات'!B5,"ناجح ومستوفى","ضعيف - يلزم إعادة اختبار"))</f>
        <v/>
      </c>
      <c r="M97" s="3"/>
      <c r="N97" s="3"/>
    </row>
    <row r="98" spans="1:14" x14ac:dyDescent="0.2">
      <c r="A98" s="3" t="str">
        <f>IFERROR(VLOOKUP(B98,'جدول الجلسات التدريبية'!A:B,2,FALSE),"")</f>
        <v/>
      </c>
      <c r="B98" s="3"/>
      <c r="C98" s="3" t="str">
        <f>IFERROR(VLOOKUP(A98,'الخطة التدريبية المعتمدة'!A:C,3,FALSE),"")</f>
        <v/>
      </c>
      <c r="D98" s="3" t="str">
        <f>IFERROR(VLOOKUP(B98,'جدول الجلسات التدريبية'!A:D,4,FALSE),"")</f>
        <v/>
      </c>
      <c r="E98" s="3"/>
      <c r="F98" s="3" t="str">
        <f>IFERROR(VLOOKUP(E98,'سجل الموظفين والكفاءة'!B:C,2,FALSE),"")</f>
        <v/>
      </c>
      <c r="G98" s="3">
        <f>IFERROR(VLOOKUP(A98,'الخطة التدريبية المعتمدة'!A:J,10,FALSE),0)</f>
        <v>0</v>
      </c>
      <c r="H98" s="3"/>
      <c r="I98" s="3"/>
      <c r="J98" s="3"/>
      <c r="K98" s="7" t="str">
        <f>IF(OR(I98="",J98="",I98=0),"",(J98-I98)/I98)</f>
        <v/>
      </c>
      <c r="L98" s="3" t="str">
        <f>IF(J98="","",IF(J98/10&gt;='الإعدادات والمستهدفات'!B5,"ناجح ومستوفى","ضعيف - يلزم إعادة اختبار"))</f>
        <v/>
      </c>
      <c r="M98" s="3"/>
      <c r="N98" s="3"/>
    </row>
    <row r="99" spans="1:14" x14ac:dyDescent="0.2">
      <c r="A99" s="3" t="str">
        <f>IFERROR(VLOOKUP(B99,'جدول الجلسات التدريبية'!A:B,2,FALSE),"")</f>
        <v/>
      </c>
      <c r="B99" s="3"/>
      <c r="C99" s="3" t="str">
        <f>IFERROR(VLOOKUP(A99,'الخطة التدريبية المعتمدة'!A:C,3,FALSE),"")</f>
        <v/>
      </c>
      <c r="D99" s="3" t="str">
        <f>IFERROR(VLOOKUP(B99,'جدول الجلسات التدريبية'!A:D,4,FALSE),"")</f>
        <v/>
      </c>
      <c r="E99" s="3"/>
      <c r="F99" s="3" t="str">
        <f>IFERROR(VLOOKUP(E99,'سجل الموظفين والكفاءة'!B:C,2,FALSE),"")</f>
        <v/>
      </c>
      <c r="G99" s="3">
        <f>IFERROR(VLOOKUP(A99,'الخطة التدريبية المعتمدة'!A:J,10,FALSE),0)</f>
        <v>0</v>
      </c>
      <c r="H99" s="3"/>
      <c r="I99" s="3"/>
      <c r="J99" s="3"/>
      <c r="K99" s="7" t="str">
        <f>IF(OR(I99="",J99="",I99=0),"",(J99-I99)/I99)</f>
        <v/>
      </c>
      <c r="L99" s="3" t="str">
        <f>IF(J99="","",IF(J99/10&gt;='الإعدادات والمستهدفات'!B5,"ناجح ومستوفى","ضعيف - يلزم إعادة اختبار"))</f>
        <v/>
      </c>
      <c r="M99" s="3"/>
      <c r="N99" s="3"/>
    </row>
    <row r="100" spans="1:14" x14ac:dyDescent="0.2">
      <c r="A100" s="3" t="str">
        <f>IFERROR(VLOOKUP(B100,'جدول الجلسات التدريبية'!A:B,2,FALSE),"")</f>
        <v/>
      </c>
      <c r="B100" s="3"/>
      <c r="C100" s="3" t="str">
        <f>IFERROR(VLOOKUP(A100,'الخطة التدريبية المعتمدة'!A:C,3,FALSE),"")</f>
        <v/>
      </c>
      <c r="D100" s="3" t="str">
        <f>IFERROR(VLOOKUP(B100,'جدول الجلسات التدريبية'!A:D,4,FALSE),"")</f>
        <v/>
      </c>
      <c r="E100" s="3"/>
      <c r="F100" s="3" t="str">
        <f>IFERROR(VLOOKUP(E100,'سجل الموظفين والكفاءة'!B:C,2,FALSE),"")</f>
        <v/>
      </c>
      <c r="G100" s="3">
        <f>IFERROR(VLOOKUP(A100,'الخطة التدريبية المعتمدة'!A:J,10,FALSE),0)</f>
        <v>0</v>
      </c>
      <c r="H100" s="3"/>
      <c r="I100" s="3"/>
      <c r="J100" s="3"/>
      <c r="K100" s="7" t="str">
        <f>IF(OR(I100="",J100="",I100=0),"",(J100-I100)/I100)</f>
        <v/>
      </c>
      <c r="L100" s="3" t="str">
        <f>IF(J100="","",IF(J100/10&gt;='الإعدادات والمستهدفات'!B5,"ناجح ومستوفى","ضعيف - يلزم إعادة اختبار"))</f>
        <v/>
      </c>
      <c r="M100" s="3"/>
      <c r="N100" s="3"/>
    </row>
    <row r="101" spans="1:14" x14ac:dyDescent="0.2">
      <c r="A101" s="3" t="str">
        <f>IFERROR(VLOOKUP(B101,'جدول الجلسات التدريبية'!A:B,2,FALSE),"")</f>
        <v/>
      </c>
      <c r="B101" s="3"/>
      <c r="C101" s="3" t="str">
        <f>IFERROR(VLOOKUP(A101,'الخطة التدريبية المعتمدة'!A:C,3,FALSE),"")</f>
        <v/>
      </c>
      <c r="D101" s="3" t="str">
        <f>IFERROR(VLOOKUP(B101,'جدول الجلسات التدريبية'!A:D,4,FALSE),"")</f>
        <v/>
      </c>
      <c r="E101" s="3"/>
      <c r="F101" s="3" t="str">
        <f>IFERROR(VLOOKUP(E101,'سجل الموظفين والكفاءة'!B:C,2,FALSE),"")</f>
        <v/>
      </c>
      <c r="G101" s="3">
        <f>IFERROR(VLOOKUP(A101,'الخطة التدريبية المعتمدة'!A:J,10,FALSE),0)</f>
        <v>0</v>
      </c>
      <c r="H101" s="3"/>
      <c r="I101" s="3"/>
      <c r="J101" s="3"/>
      <c r="K101" s="7" t="str">
        <f>IF(OR(I101="",J101="",I101=0),"",(J101-I101)/I101)</f>
        <v/>
      </c>
      <c r="L101" s="3" t="str">
        <f>IF(J101="","",IF(J101/10&gt;='الإعدادات والمستهدفات'!B5,"ناجح ومستوفى","ضعيف - يلزم إعادة اختبار"))</f>
        <v/>
      </c>
      <c r="M101" s="3"/>
      <c r="N101" s="3"/>
    </row>
    <row r="102" spans="1:14" x14ac:dyDescent="0.2">
      <c r="A102" s="3" t="str">
        <f>IFERROR(VLOOKUP(B102,'جدول الجلسات التدريبية'!A:B,2,FALSE),"")</f>
        <v/>
      </c>
      <c r="B102" s="3"/>
      <c r="C102" s="3" t="str">
        <f>IFERROR(VLOOKUP(A102,'الخطة التدريبية المعتمدة'!A:C,3,FALSE),"")</f>
        <v/>
      </c>
      <c r="D102" s="3" t="str">
        <f>IFERROR(VLOOKUP(B102,'جدول الجلسات التدريبية'!A:D,4,FALSE),"")</f>
        <v/>
      </c>
      <c r="E102" s="3"/>
      <c r="F102" s="3" t="str">
        <f>IFERROR(VLOOKUP(E102,'سجل الموظفين والكفاءة'!B:C,2,FALSE),"")</f>
        <v/>
      </c>
      <c r="G102" s="3">
        <f>IFERROR(VLOOKUP(A102,'الخطة التدريبية المعتمدة'!A:J,10,FALSE),0)</f>
        <v>0</v>
      </c>
      <c r="H102" s="3"/>
      <c r="I102" s="3"/>
      <c r="J102" s="3"/>
      <c r="K102" s="7" t="str">
        <f>IF(OR(I102="",J102="",I102=0),"",(J102-I102)/I102)</f>
        <v/>
      </c>
      <c r="L102" s="3" t="str">
        <f>IF(J102="","",IF(J102/10&gt;='الإعدادات والمستهدفات'!B5,"ناجح ومستوفى","ضعيف - يلزم إعادة اختبار"))</f>
        <v/>
      </c>
      <c r="M102" s="3"/>
      <c r="N102" s="3"/>
    </row>
    <row r="103" spans="1:14" x14ac:dyDescent="0.2">
      <c r="A103" s="3" t="str">
        <f>IFERROR(VLOOKUP(B103,'جدول الجلسات التدريبية'!A:B,2,FALSE),"")</f>
        <v/>
      </c>
      <c r="B103" s="3"/>
      <c r="C103" s="3" t="str">
        <f>IFERROR(VLOOKUP(A103,'الخطة التدريبية المعتمدة'!A:C,3,FALSE),"")</f>
        <v/>
      </c>
      <c r="D103" s="3" t="str">
        <f>IFERROR(VLOOKUP(B103,'جدول الجلسات التدريبية'!A:D,4,FALSE),"")</f>
        <v/>
      </c>
      <c r="E103" s="3"/>
      <c r="F103" s="3" t="str">
        <f>IFERROR(VLOOKUP(E103,'سجل الموظفين والكفاءة'!B:C,2,FALSE),"")</f>
        <v/>
      </c>
      <c r="G103" s="3">
        <f>IFERROR(VLOOKUP(A103,'الخطة التدريبية المعتمدة'!A:J,10,FALSE),0)</f>
        <v>0</v>
      </c>
      <c r="H103" s="3"/>
      <c r="I103" s="3"/>
      <c r="J103" s="3"/>
      <c r="K103" s="7" t="str">
        <f>IF(OR(I103="",J103="",I103=0),"",(J103-I103)/I103)</f>
        <v/>
      </c>
      <c r="L103" s="3" t="str">
        <f>IF(J103="","",IF(J103/10&gt;='الإعدادات والمستهدفات'!B5,"ناجح ومستوفى","ضعيف - يلزم إعادة اختبار"))</f>
        <v/>
      </c>
      <c r="M103" s="3"/>
      <c r="N103" s="3"/>
    </row>
    <row r="104" spans="1:14" x14ac:dyDescent="0.2">
      <c r="A104" s="3" t="str">
        <f>IFERROR(VLOOKUP(B104,'جدول الجلسات التدريبية'!A:B,2,FALSE),"")</f>
        <v/>
      </c>
      <c r="B104" s="3"/>
      <c r="C104" s="3" t="str">
        <f>IFERROR(VLOOKUP(A104,'الخطة التدريبية المعتمدة'!A:C,3,FALSE),"")</f>
        <v/>
      </c>
      <c r="D104" s="3" t="str">
        <f>IFERROR(VLOOKUP(B104,'جدول الجلسات التدريبية'!A:D,4,FALSE),"")</f>
        <v/>
      </c>
      <c r="E104" s="3"/>
      <c r="F104" s="3" t="str">
        <f>IFERROR(VLOOKUP(E104,'سجل الموظفين والكفاءة'!B:C,2,FALSE),"")</f>
        <v/>
      </c>
      <c r="G104" s="3">
        <f>IFERROR(VLOOKUP(A104,'الخطة التدريبية المعتمدة'!A:J,10,FALSE),0)</f>
        <v>0</v>
      </c>
      <c r="H104" s="3"/>
      <c r="I104" s="3"/>
      <c r="J104" s="3"/>
      <c r="K104" s="7" t="str">
        <f>IF(OR(I104="",J104="",I104=0),"",(J104-I104)/I104)</f>
        <v/>
      </c>
      <c r="L104" s="3" t="str">
        <f>IF(J104="","",IF(J104/10&gt;='الإعدادات والمستهدفات'!B5,"ناجح ومستوفى","ضعيف - يلزم إعادة اختبار"))</f>
        <v/>
      </c>
      <c r="M104" s="3"/>
      <c r="N104" s="3"/>
    </row>
    <row r="105" spans="1:14" x14ac:dyDescent="0.2">
      <c r="A105" s="3" t="str">
        <f>IFERROR(VLOOKUP(B105,'جدول الجلسات التدريبية'!A:B,2,FALSE),"")</f>
        <v/>
      </c>
      <c r="B105" s="3"/>
      <c r="C105" s="3" t="str">
        <f>IFERROR(VLOOKUP(A105,'الخطة التدريبية المعتمدة'!A:C,3,FALSE),"")</f>
        <v/>
      </c>
      <c r="D105" s="3" t="str">
        <f>IFERROR(VLOOKUP(B105,'جدول الجلسات التدريبية'!A:D,4,FALSE),"")</f>
        <v/>
      </c>
      <c r="E105" s="3"/>
      <c r="F105" s="3" t="str">
        <f>IFERROR(VLOOKUP(E105,'سجل الموظفين والكفاءة'!B:C,2,FALSE),"")</f>
        <v/>
      </c>
      <c r="G105" s="3">
        <f>IFERROR(VLOOKUP(A105,'الخطة التدريبية المعتمدة'!A:J,10,FALSE),0)</f>
        <v>0</v>
      </c>
      <c r="H105" s="3"/>
      <c r="I105" s="3"/>
      <c r="J105" s="3"/>
      <c r="K105" s="7" t="str">
        <f>IF(OR(I105="",J105="",I105=0),"",(J105-I105)/I105)</f>
        <v/>
      </c>
      <c r="L105" s="3" t="str">
        <f>IF(J105="","",IF(J105/10&gt;='الإعدادات والمستهدفات'!B5,"ناجح ومستوفى","ضعيف - يلزم إعادة اختبار"))</f>
        <v/>
      </c>
      <c r="M105" s="3"/>
      <c r="N105" s="3"/>
    </row>
    <row r="106" spans="1:14" x14ac:dyDescent="0.2">
      <c r="A106" s="3" t="str">
        <f>IFERROR(VLOOKUP(B106,'جدول الجلسات التدريبية'!A:B,2,FALSE),"")</f>
        <v/>
      </c>
      <c r="B106" s="3"/>
      <c r="C106" s="3" t="str">
        <f>IFERROR(VLOOKUP(A106,'الخطة التدريبية المعتمدة'!A:C,3,FALSE),"")</f>
        <v/>
      </c>
      <c r="D106" s="3" t="str">
        <f>IFERROR(VLOOKUP(B106,'جدول الجلسات التدريبية'!A:D,4,FALSE),"")</f>
        <v/>
      </c>
      <c r="E106" s="3"/>
      <c r="F106" s="3" t="str">
        <f>IFERROR(VLOOKUP(E106,'سجل الموظفين والكفاءة'!B:C,2,FALSE),"")</f>
        <v/>
      </c>
      <c r="G106" s="3">
        <f>IFERROR(VLOOKUP(A106,'الخطة التدريبية المعتمدة'!A:J,10,FALSE),0)</f>
        <v>0</v>
      </c>
      <c r="H106" s="3"/>
      <c r="I106" s="3"/>
      <c r="J106" s="3"/>
      <c r="K106" s="7" t="str">
        <f>IF(OR(I106="",J106="",I106=0),"",(J106-I106)/I106)</f>
        <v/>
      </c>
      <c r="L106" s="3" t="str">
        <f>IF(J106="","",IF(J106/10&gt;='الإعدادات والمستهدفات'!B5,"ناجح ومستوفى","ضعيف - يلزم إعادة اختبار"))</f>
        <v/>
      </c>
      <c r="M106" s="3"/>
      <c r="N106" s="3"/>
    </row>
    <row r="107" spans="1:14" x14ac:dyDescent="0.2">
      <c r="A107" s="3" t="str">
        <f>IFERROR(VLOOKUP(B107,'جدول الجلسات التدريبية'!A:B,2,FALSE),"")</f>
        <v/>
      </c>
      <c r="B107" s="3"/>
      <c r="C107" s="3" t="str">
        <f>IFERROR(VLOOKUP(A107,'الخطة التدريبية المعتمدة'!A:C,3,FALSE),"")</f>
        <v/>
      </c>
      <c r="D107" s="3" t="str">
        <f>IFERROR(VLOOKUP(B107,'جدول الجلسات التدريبية'!A:D,4,FALSE),"")</f>
        <v/>
      </c>
      <c r="E107" s="3"/>
      <c r="F107" s="3" t="str">
        <f>IFERROR(VLOOKUP(E107,'سجل الموظفين والكفاءة'!B:C,2,FALSE),"")</f>
        <v/>
      </c>
      <c r="G107" s="3">
        <f>IFERROR(VLOOKUP(A107,'الخطة التدريبية المعتمدة'!A:J,10,FALSE),0)</f>
        <v>0</v>
      </c>
      <c r="H107" s="3"/>
      <c r="I107" s="3"/>
      <c r="J107" s="3"/>
      <c r="K107" s="7" t="str">
        <f>IF(OR(I107="",J107="",I107=0),"",(J107-I107)/I107)</f>
        <v/>
      </c>
      <c r="L107" s="3" t="str">
        <f>IF(J107="","",IF(J107/10&gt;='الإعدادات والمستهدفات'!B5,"ناجح ومستوفى","ضعيف - يلزم إعادة اختبار"))</f>
        <v/>
      </c>
      <c r="M107" s="3"/>
      <c r="N107" s="3"/>
    </row>
    <row r="108" spans="1:14" x14ac:dyDescent="0.2">
      <c r="A108" s="3" t="str">
        <f>IFERROR(VLOOKUP(B108,'جدول الجلسات التدريبية'!A:B,2,FALSE),"")</f>
        <v/>
      </c>
      <c r="B108" s="3"/>
      <c r="C108" s="3" t="str">
        <f>IFERROR(VLOOKUP(A108,'الخطة التدريبية المعتمدة'!A:C,3,FALSE),"")</f>
        <v/>
      </c>
      <c r="D108" s="3" t="str">
        <f>IFERROR(VLOOKUP(B108,'جدول الجلسات التدريبية'!A:D,4,FALSE),"")</f>
        <v/>
      </c>
      <c r="E108" s="3"/>
      <c r="F108" s="3" t="str">
        <f>IFERROR(VLOOKUP(E108,'سجل الموظفين والكفاءة'!B:C,2,FALSE),"")</f>
        <v/>
      </c>
      <c r="G108" s="3">
        <f>IFERROR(VLOOKUP(A108,'الخطة التدريبية المعتمدة'!A:J,10,FALSE),0)</f>
        <v>0</v>
      </c>
      <c r="H108" s="3"/>
      <c r="I108" s="3"/>
      <c r="J108" s="3"/>
      <c r="K108" s="7" t="str">
        <f>IF(OR(I108="",J108="",I108=0),"",(J108-I108)/I108)</f>
        <v/>
      </c>
      <c r="L108" s="3" t="str">
        <f>IF(J108="","",IF(J108/10&gt;='الإعدادات والمستهدفات'!B5,"ناجح ومستوفى","ضعيف - يلزم إعادة اختبار"))</f>
        <v/>
      </c>
      <c r="M108" s="3"/>
      <c r="N108" s="3"/>
    </row>
    <row r="109" spans="1:14" x14ac:dyDescent="0.2">
      <c r="A109" s="3" t="str">
        <f>IFERROR(VLOOKUP(B109,'جدول الجلسات التدريبية'!A:B,2,FALSE),"")</f>
        <v/>
      </c>
      <c r="B109" s="3"/>
      <c r="C109" s="3" t="str">
        <f>IFERROR(VLOOKUP(A109,'الخطة التدريبية المعتمدة'!A:C,3,FALSE),"")</f>
        <v/>
      </c>
      <c r="D109" s="3" t="str">
        <f>IFERROR(VLOOKUP(B109,'جدول الجلسات التدريبية'!A:D,4,FALSE),"")</f>
        <v/>
      </c>
      <c r="E109" s="3"/>
      <c r="F109" s="3" t="str">
        <f>IFERROR(VLOOKUP(E109,'سجل الموظفين والكفاءة'!B:C,2,FALSE),"")</f>
        <v/>
      </c>
      <c r="G109" s="3">
        <f>IFERROR(VLOOKUP(A109,'الخطة التدريبية المعتمدة'!A:J,10,FALSE),0)</f>
        <v>0</v>
      </c>
      <c r="H109" s="3"/>
      <c r="I109" s="3"/>
      <c r="J109" s="3"/>
      <c r="K109" s="7" t="str">
        <f>IF(OR(I109="",J109="",I109=0),"",(J109-I109)/I109)</f>
        <v/>
      </c>
      <c r="L109" s="3" t="str">
        <f>IF(J109="","",IF(J109/10&gt;='الإعدادات والمستهدفات'!B5,"ناجح ومستوفى","ضعيف - يلزم إعادة اختبار"))</f>
        <v/>
      </c>
      <c r="M109" s="3"/>
      <c r="N109" s="3"/>
    </row>
    <row r="110" spans="1:14" x14ac:dyDescent="0.2">
      <c r="A110" s="3" t="str">
        <f>IFERROR(VLOOKUP(B110,'جدول الجلسات التدريبية'!A:B,2,FALSE),"")</f>
        <v/>
      </c>
      <c r="B110" s="3"/>
      <c r="C110" s="3" t="str">
        <f>IFERROR(VLOOKUP(A110,'الخطة التدريبية المعتمدة'!A:C,3,FALSE),"")</f>
        <v/>
      </c>
      <c r="D110" s="3" t="str">
        <f>IFERROR(VLOOKUP(B110,'جدول الجلسات التدريبية'!A:D,4,FALSE),"")</f>
        <v/>
      </c>
      <c r="E110" s="3"/>
      <c r="F110" s="3" t="str">
        <f>IFERROR(VLOOKUP(E110,'سجل الموظفين والكفاءة'!B:C,2,FALSE),"")</f>
        <v/>
      </c>
      <c r="G110" s="3">
        <f>IFERROR(VLOOKUP(A110,'الخطة التدريبية المعتمدة'!A:J,10,FALSE),0)</f>
        <v>0</v>
      </c>
      <c r="H110" s="3"/>
      <c r="I110" s="3"/>
      <c r="J110" s="3"/>
      <c r="K110" s="7" t="str">
        <f>IF(OR(I110="",J110="",I110=0),"",(J110-I110)/I110)</f>
        <v/>
      </c>
      <c r="L110" s="3" t="str">
        <f>IF(J110="","",IF(J110/10&gt;='الإعدادات والمستهدفات'!B5,"ناجح ومستوفى","ضعيف - يلزم إعادة اختبار"))</f>
        <v/>
      </c>
      <c r="M110" s="3"/>
      <c r="N110" s="3"/>
    </row>
    <row r="111" spans="1:14" x14ac:dyDescent="0.2">
      <c r="A111" s="3" t="str">
        <f>IFERROR(VLOOKUP(B111,'جدول الجلسات التدريبية'!A:B,2,FALSE),"")</f>
        <v/>
      </c>
      <c r="B111" s="3"/>
      <c r="C111" s="3" t="str">
        <f>IFERROR(VLOOKUP(A111,'الخطة التدريبية المعتمدة'!A:C,3,FALSE),"")</f>
        <v/>
      </c>
      <c r="D111" s="3" t="str">
        <f>IFERROR(VLOOKUP(B111,'جدول الجلسات التدريبية'!A:D,4,FALSE),"")</f>
        <v/>
      </c>
      <c r="E111" s="3"/>
      <c r="F111" s="3" t="str">
        <f>IFERROR(VLOOKUP(E111,'سجل الموظفين والكفاءة'!B:C,2,FALSE),"")</f>
        <v/>
      </c>
      <c r="G111" s="3">
        <f>IFERROR(VLOOKUP(A111,'الخطة التدريبية المعتمدة'!A:J,10,FALSE),0)</f>
        <v>0</v>
      </c>
      <c r="H111" s="3"/>
      <c r="I111" s="3"/>
      <c r="J111" s="3"/>
      <c r="K111" s="7" t="str">
        <f>IF(OR(I111="",J111="",I111=0),"",(J111-I111)/I111)</f>
        <v/>
      </c>
      <c r="L111" s="3" t="str">
        <f>IF(J111="","",IF(J111/10&gt;='الإعدادات والمستهدفات'!B5,"ناجح ومستوفى","ضعيف - يلزم إعادة اختبار"))</f>
        <v/>
      </c>
      <c r="M111" s="3"/>
      <c r="N111" s="3"/>
    </row>
    <row r="112" spans="1:14" x14ac:dyDescent="0.2">
      <c r="A112" s="3" t="str">
        <f>IFERROR(VLOOKUP(B112,'جدول الجلسات التدريبية'!A:B,2,FALSE),"")</f>
        <v/>
      </c>
      <c r="B112" s="3"/>
      <c r="C112" s="3" t="str">
        <f>IFERROR(VLOOKUP(A112,'الخطة التدريبية المعتمدة'!A:C,3,FALSE),"")</f>
        <v/>
      </c>
      <c r="D112" s="3" t="str">
        <f>IFERROR(VLOOKUP(B112,'جدول الجلسات التدريبية'!A:D,4,FALSE),"")</f>
        <v/>
      </c>
      <c r="E112" s="3"/>
      <c r="F112" s="3" t="str">
        <f>IFERROR(VLOOKUP(E112,'سجل الموظفين والكفاءة'!B:C,2,FALSE),"")</f>
        <v/>
      </c>
      <c r="G112" s="3">
        <f>IFERROR(VLOOKUP(A112,'الخطة التدريبية المعتمدة'!A:J,10,FALSE),0)</f>
        <v>0</v>
      </c>
      <c r="H112" s="3"/>
      <c r="I112" s="3"/>
      <c r="J112" s="3"/>
      <c r="K112" s="7" t="str">
        <f>IF(OR(I112="",J112="",I112=0),"",(J112-I112)/I112)</f>
        <v/>
      </c>
      <c r="L112" s="3" t="str">
        <f>IF(J112="","",IF(J112/10&gt;='الإعدادات والمستهدفات'!B5,"ناجح ومستوفى","ضعيف - يلزم إعادة اختبار"))</f>
        <v/>
      </c>
      <c r="M112" s="3"/>
      <c r="N112" s="3"/>
    </row>
    <row r="113" spans="1:14" x14ac:dyDescent="0.2">
      <c r="A113" s="3" t="str">
        <f>IFERROR(VLOOKUP(B113,'جدول الجلسات التدريبية'!A:B,2,FALSE),"")</f>
        <v/>
      </c>
      <c r="B113" s="3"/>
      <c r="C113" s="3" t="str">
        <f>IFERROR(VLOOKUP(A113,'الخطة التدريبية المعتمدة'!A:C,3,FALSE),"")</f>
        <v/>
      </c>
      <c r="D113" s="3" t="str">
        <f>IFERROR(VLOOKUP(B113,'جدول الجلسات التدريبية'!A:D,4,FALSE),"")</f>
        <v/>
      </c>
      <c r="E113" s="3"/>
      <c r="F113" s="3" t="str">
        <f>IFERROR(VLOOKUP(E113,'سجل الموظفين والكفاءة'!B:C,2,FALSE),"")</f>
        <v/>
      </c>
      <c r="G113" s="3">
        <f>IFERROR(VLOOKUP(A113,'الخطة التدريبية المعتمدة'!A:J,10,FALSE),0)</f>
        <v>0</v>
      </c>
      <c r="H113" s="3"/>
      <c r="I113" s="3"/>
      <c r="J113" s="3"/>
      <c r="K113" s="7" t="str">
        <f>IF(OR(I113="",J113="",I113=0),"",(J113-I113)/I113)</f>
        <v/>
      </c>
      <c r="L113" s="3" t="str">
        <f>IF(J113="","",IF(J113/10&gt;='الإعدادات والمستهدفات'!B5,"ناجح ومستوفى","ضعيف - يلزم إعادة اختبار"))</f>
        <v/>
      </c>
      <c r="M113" s="3"/>
      <c r="N113" s="3"/>
    </row>
    <row r="114" spans="1:14" x14ac:dyDescent="0.2">
      <c r="A114" s="3" t="str">
        <f>IFERROR(VLOOKUP(B114,'جدول الجلسات التدريبية'!A:B,2,FALSE),"")</f>
        <v/>
      </c>
      <c r="B114" s="3"/>
      <c r="C114" s="3" t="str">
        <f>IFERROR(VLOOKUP(A114,'الخطة التدريبية المعتمدة'!A:C,3,FALSE),"")</f>
        <v/>
      </c>
      <c r="D114" s="3" t="str">
        <f>IFERROR(VLOOKUP(B114,'جدول الجلسات التدريبية'!A:D,4,FALSE),"")</f>
        <v/>
      </c>
      <c r="E114" s="3"/>
      <c r="F114" s="3" t="str">
        <f>IFERROR(VLOOKUP(E114,'سجل الموظفين والكفاءة'!B:C,2,FALSE),"")</f>
        <v/>
      </c>
      <c r="G114" s="3">
        <f>IFERROR(VLOOKUP(A114,'الخطة التدريبية المعتمدة'!A:J,10,FALSE),0)</f>
        <v>0</v>
      </c>
      <c r="H114" s="3"/>
      <c r="I114" s="3"/>
      <c r="J114" s="3"/>
      <c r="K114" s="7" t="str">
        <f>IF(OR(I114="",J114="",I114=0),"",(J114-I114)/I114)</f>
        <v/>
      </c>
      <c r="L114" s="3" t="str">
        <f>IF(J114="","",IF(J114/10&gt;='الإعدادات والمستهدفات'!B5,"ناجح ومستوفى","ضعيف - يلزم إعادة اختبار"))</f>
        <v/>
      </c>
      <c r="M114" s="3"/>
      <c r="N114" s="3"/>
    </row>
    <row r="115" spans="1:14" x14ac:dyDescent="0.2">
      <c r="A115" s="3" t="str">
        <f>IFERROR(VLOOKUP(B115,'جدول الجلسات التدريبية'!A:B,2,FALSE),"")</f>
        <v/>
      </c>
      <c r="B115" s="3"/>
      <c r="C115" s="3" t="str">
        <f>IFERROR(VLOOKUP(A115,'الخطة التدريبية المعتمدة'!A:C,3,FALSE),"")</f>
        <v/>
      </c>
      <c r="D115" s="3" t="str">
        <f>IFERROR(VLOOKUP(B115,'جدول الجلسات التدريبية'!A:D,4,FALSE),"")</f>
        <v/>
      </c>
      <c r="E115" s="3"/>
      <c r="F115" s="3" t="str">
        <f>IFERROR(VLOOKUP(E115,'سجل الموظفين والكفاءة'!B:C,2,FALSE),"")</f>
        <v/>
      </c>
      <c r="G115" s="3">
        <f>IFERROR(VLOOKUP(A115,'الخطة التدريبية المعتمدة'!A:J,10,FALSE),0)</f>
        <v>0</v>
      </c>
      <c r="H115" s="3"/>
      <c r="I115" s="3"/>
      <c r="J115" s="3"/>
      <c r="K115" s="7" t="str">
        <f>IF(OR(I115="",J115="",I115=0),"",(J115-I115)/I115)</f>
        <v/>
      </c>
      <c r="L115" s="3" t="str">
        <f>IF(J115="","",IF(J115/10&gt;='الإعدادات والمستهدفات'!B5,"ناجح ومستوفى","ضعيف - يلزم إعادة اختبار"))</f>
        <v/>
      </c>
      <c r="M115" s="3"/>
      <c r="N115" s="3"/>
    </row>
    <row r="116" spans="1:14" x14ac:dyDescent="0.2">
      <c r="A116" s="3" t="str">
        <f>IFERROR(VLOOKUP(B116,'جدول الجلسات التدريبية'!A:B,2,FALSE),"")</f>
        <v/>
      </c>
      <c r="B116" s="3"/>
      <c r="C116" s="3" t="str">
        <f>IFERROR(VLOOKUP(A116,'الخطة التدريبية المعتمدة'!A:C,3,FALSE),"")</f>
        <v/>
      </c>
      <c r="D116" s="3" t="str">
        <f>IFERROR(VLOOKUP(B116,'جدول الجلسات التدريبية'!A:D,4,FALSE),"")</f>
        <v/>
      </c>
      <c r="E116" s="3"/>
      <c r="F116" s="3" t="str">
        <f>IFERROR(VLOOKUP(E116,'سجل الموظفين والكفاءة'!B:C,2,FALSE),"")</f>
        <v/>
      </c>
      <c r="G116" s="3">
        <f>IFERROR(VLOOKUP(A116,'الخطة التدريبية المعتمدة'!A:J,10,FALSE),0)</f>
        <v>0</v>
      </c>
      <c r="H116" s="3"/>
      <c r="I116" s="3"/>
      <c r="J116" s="3"/>
      <c r="K116" s="7" t="str">
        <f>IF(OR(I116="",J116="",I116=0),"",(J116-I116)/I116)</f>
        <v/>
      </c>
      <c r="L116" s="3" t="str">
        <f>IF(J116="","",IF(J116/10&gt;='الإعدادات والمستهدفات'!B5,"ناجح ومستوفى","ضعيف - يلزم إعادة اختبار"))</f>
        <v/>
      </c>
      <c r="M116" s="3"/>
      <c r="N116" s="3"/>
    </row>
    <row r="117" spans="1:14" x14ac:dyDescent="0.2">
      <c r="A117" s="3" t="str">
        <f>IFERROR(VLOOKUP(B117,'جدول الجلسات التدريبية'!A:B,2,FALSE),"")</f>
        <v/>
      </c>
      <c r="B117" s="3"/>
      <c r="C117" s="3" t="str">
        <f>IFERROR(VLOOKUP(A117,'الخطة التدريبية المعتمدة'!A:C,3,FALSE),"")</f>
        <v/>
      </c>
      <c r="D117" s="3" t="str">
        <f>IFERROR(VLOOKUP(B117,'جدول الجلسات التدريبية'!A:D,4,FALSE),"")</f>
        <v/>
      </c>
      <c r="E117" s="3"/>
      <c r="F117" s="3" t="str">
        <f>IFERROR(VLOOKUP(E117,'سجل الموظفين والكفاءة'!B:C,2,FALSE),"")</f>
        <v/>
      </c>
      <c r="G117" s="3">
        <f>IFERROR(VLOOKUP(A117,'الخطة التدريبية المعتمدة'!A:J,10,FALSE),0)</f>
        <v>0</v>
      </c>
      <c r="H117" s="3"/>
      <c r="I117" s="3"/>
      <c r="J117" s="3"/>
      <c r="K117" s="7" t="str">
        <f>IF(OR(I117="",J117="",I117=0),"",(J117-I117)/I117)</f>
        <v/>
      </c>
      <c r="L117" s="3" t="str">
        <f>IF(J117="","",IF(J117/10&gt;='الإعدادات والمستهدفات'!B5,"ناجح ومستوفى","ضعيف - يلزم إعادة اختبار"))</f>
        <v/>
      </c>
      <c r="M117" s="3"/>
      <c r="N117" s="3"/>
    </row>
    <row r="118" spans="1:14" x14ac:dyDescent="0.2">
      <c r="A118" s="3" t="str">
        <f>IFERROR(VLOOKUP(B118,'جدول الجلسات التدريبية'!A:B,2,FALSE),"")</f>
        <v/>
      </c>
      <c r="B118" s="3"/>
      <c r="C118" s="3" t="str">
        <f>IFERROR(VLOOKUP(A118,'الخطة التدريبية المعتمدة'!A:C,3,FALSE),"")</f>
        <v/>
      </c>
      <c r="D118" s="3" t="str">
        <f>IFERROR(VLOOKUP(B118,'جدول الجلسات التدريبية'!A:D,4,FALSE),"")</f>
        <v/>
      </c>
      <c r="E118" s="3"/>
      <c r="F118" s="3" t="str">
        <f>IFERROR(VLOOKUP(E118,'سجل الموظفين والكفاءة'!B:C,2,FALSE),"")</f>
        <v/>
      </c>
      <c r="G118" s="3">
        <f>IFERROR(VLOOKUP(A118,'الخطة التدريبية المعتمدة'!A:J,10,FALSE),0)</f>
        <v>0</v>
      </c>
      <c r="H118" s="3"/>
      <c r="I118" s="3"/>
      <c r="J118" s="3"/>
      <c r="K118" s="7" t="str">
        <f>IF(OR(I118="",J118="",I118=0),"",(J118-I118)/I118)</f>
        <v/>
      </c>
      <c r="L118" s="3" t="str">
        <f>IF(J118="","",IF(J118/10&gt;='الإعدادات والمستهدفات'!B5,"ناجح ومستوفى","ضعيف - يلزم إعادة اختبار"))</f>
        <v/>
      </c>
      <c r="M118" s="3"/>
      <c r="N118" s="3"/>
    </row>
    <row r="119" spans="1:14" x14ac:dyDescent="0.2">
      <c r="A119" s="3" t="str">
        <f>IFERROR(VLOOKUP(B119,'جدول الجلسات التدريبية'!A:B,2,FALSE),"")</f>
        <v/>
      </c>
      <c r="B119" s="3"/>
      <c r="C119" s="3" t="str">
        <f>IFERROR(VLOOKUP(A119,'الخطة التدريبية المعتمدة'!A:C,3,FALSE),"")</f>
        <v/>
      </c>
      <c r="D119" s="3" t="str">
        <f>IFERROR(VLOOKUP(B119,'جدول الجلسات التدريبية'!A:D,4,FALSE),"")</f>
        <v/>
      </c>
      <c r="E119" s="3"/>
      <c r="F119" s="3" t="str">
        <f>IFERROR(VLOOKUP(E119,'سجل الموظفين والكفاءة'!B:C,2,FALSE),"")</f>
        <v/>
      </c>
      <c r="G119" s="3">
        <f>IFERROR(VLOOKUP(A119,'الخطة التدريبية المعتمدة'!A:J,10,FALSE),0)</f>
        <v>0</v>
      </c>
      <c r="H119" s="3"/>
      <c r="I119" s="3"/>
      <c r="J119" s="3"/>
      <c r="K119" s="7" t="str">
        <f>IF(OR(I119="",J119="",I119=0),"",(J119-I119)/I119)</f>
        <v/>
      </c>
      <c r="L119" s="3" t="str">
        <f>IF(J119="","",IF(J119/10&gt;='الإعدادات والمستهدفات'!B5,"ناجح ومستوفى","ضعيف - يلزم إعادة اختبار"))</f>
        <v/>
      </c>
      <c r="M119" s="3"/>
      <c r="N119" s="3"/>
    </row>
    <row r="120" spans="1:14" x14ac:dyDescent="0.2">
      <c r="A120" s="3" t="str">
        <f>IFERROR(VLOOKUP(B120,'جدول الجلسات التدريبية'!A:B,2,FALSE),"")</f>
        <v/>
      </c>
      <c r="B120" s="3"/>
      <c r="C120" s="3" t="str">
        <f>IFERROR(VLOOKUP(A120,'الخطة التدريبية المعتمدة'!A:C,3,FALSE),"")</f>
        <v/>
      </c>
      <c r="D120" s="3" t="str">
        <f>IFERROR(VLOOKUP(B120,'جدول الجلسات التدريبية'!A:D,4,FALSE),"")</f>
        <v/>
      </c>
      <c r="E120" s="3"/>
      <c r="F120" s="3" t="str">
        <f>IFERROR(VLOOKUP(E120,'سجل الموظفين والكفاءة'!B:C,2,FALSE),"")</f>
        <v/>
      </c>
      <c r="G120" s="3">
        <f>IFERROR(VLOOKUP(A120,'الخطة التدريبية المعتمدة'!A:J,10,FALSE),0)</f>
        <v>0</v>
      </c>
      <c r="H120" s="3"/>
      <c r="I120" s="3"/>
      <c r="J120" s="3"/>
      <c r="K120" s="7" t="str">
        <f>IF(OR(I120="",J120="",I120=0),"",(J120-I120)/I120)</f>
        <v/>
      </c>
      <c r="L120" s="3" t="str">
        <f>IF(J120="","",IF(J120/10&gt;='الإعدادات والمستهدفات'!B5,"ناجح ومستوفى","ضعيف - يلزم إعادة اختبار"))</f>
        <v/>
      </c>
      <c r="M120" s="3"/>
      <c r="N120" s="3"/>
    </row>
    <row r="121" spans="1:14" x14ac:dyDescent="0.2">
      <c r="A121" s="3" t="str">
        <f>IFERROR(VLOOKUP(B121,'جدول الجلسات التدريبية'!A:B,2,FALSE),"")</f>
        <v/>
      </c>
      <c r="B121" s="3"/>
      <c r="C121" s="3" t="str">
        <f>IFERROR(VLOOKUP(A121,'الخطة التدريبية المعتمدة'!A:C,3,FALSE),"")</f>
        <v/>
      </c>
      <c r="D121" s="3" t="str">
        <f>IFERROR(VLOOKUP(B121,'جدول الجلسات التدريبية'!A:D,4,FALSE),"")</f>
        <v/>
      </c>
      <c r="E121" s="3"/>
      <c r="F121" s="3" t="str">
        <f>IFERROR(VLOOKUP(E121,'سجل الموظفين والكفاءة'!B:C,2,FALSE),"")</f>
        <v/>
      </c>
      <c r="G121" s="3">
        <f>IFERROR(VLOOKUP(A121,'الخطة التدريبية المعتمدة'!A:J,10,FALSE),0)</f>
        <v>0</v>
      </c>
      <c r="H121" s="3"/>
      <c r="I121" s="3"/>
      <c r="J121" s="3"/>
      <c r="K121" s="7" t="str">
        <f>IF(OR(I121="",J121="",I121=0),"",(J121-I121)/I121)</f>
        <v/>
      </c>
      <c r="L121" s="3" t="str">
        <f>IF(J121="","",IF(J121/10&gt;='الإعدادات والمستهدفات'!B5,"ناجح ومستوفى","ضعيف - يلزم إعادة اختبار"))</f>
        <v/>
      </c>
      <c r="M121" s="3"/>
      <c r="N121" s="3"/>
    </row>
    <row r="122" spans="1:14" x14ac:dyDescent="0.2">
      <c r="A122" s="3" t="str">
        <f>IFERROR(VLOOKUP(B122,'جدول الجلسات التدريبية'!A:B,2,FALSE),"")</f>
        <v/>
      </c>
      <c r="B122" s="3"/>
      <c r="C122" s="3" t="str">
        <f>IFERROR(VLOOKUP(A122,'الخطة التدريبية المعتمدة'!A:C,3,FALSE),"")</f>
        <v/>
      </c>
      <c r="D122" s="3" t="str">
        <f>IFERROR(VLOOKUP(B122,'جدول الجلسات التدريبية'!A:D,4,FALSE),"")</f>
        <v/>
      </c>
      <c r="E122" s="3"/>
      <c r="F122" s="3" t="str">
        <f>IFERROR(VLOOKUP(E122,'سجل الموظفين والكفاءة'!B:C,2,FALSE),"")</f>
        <v/>
      </c>
      <c r="G122" s="3">
        <f>IFERROR(VLOOKUP(A122,'الخطة التدريبية المعتمدة'!A:J,10,FALSE),0)</f>
        <v>0</v>
      </c>
      <c r="H122" s="3"/>
      <c r="I122" s="3"/>
      <c r="J122" s="3"/>
      <c r="K122" s="7" t="str">
        <f>IF(OR(I122="",J122="",I122=0),"",(J122-I122)/I122)</f>
        <v/>
      </c>
      <c r="L122" s="3" t="str">
        <f>IF(J122="","",IF(J122/10&gt;='الإعدادات والمستهدفات'!B5,"ناجح ومستوفى","ضعيف - يلزم إعادة اختبار"))</f>
        <v/>
      </c>
      <c r="M122" s="3"/>
      <c r="N122" s="3"/>
    </row>
    <row r="123" spans="1:14" x14ac:dyDescent="0.2">
      <c r="A123" s="3" t="str">
        <f>IFERROR(VLOOKUP(B123,'جدول الجلسات التدريبية'!A:B,2,FALSE),"")</f>
        <v/>
      </c>
      <c r="B123" s="3"/>
      <c r="C123" s="3" t="str">
        <f>IFERROR(VLOOKUP(A123,'الخطة التدريبية المعتمدة'!A:C,3,FALSE),"")</f>
        <v/>
      </c>
      <c r="D123" s="3" t="str">
        <f>IFERROR(VLOOKUP(B123,'جدول الجلسات التدريبية'!A:D,4,FALSE),"")</f>
        <v/>
      </c>
      <c r="E123" s="3"/>
      <c r="F123" s="3" t="str">
        <f>IFERROR(VLOOKUP(E123,'سجل الموظفين والكفاءة'!B:C,2,FALSE),"")</f>
        <v/>
      </c>
      <c r="G123" s="3">
        <f>IFERROR(VLOOKUP(A123,'الخطة التدريبية المعتمدة'!A:J,10,FALSE),0)</f>
        <v>0</v>
      </c>
      <c r="H123" s="3"/>
      <c r="I123" s="3"/>
      <c r="J123" s="3"/>
      <c r="K123" s="7" t="str">
        <f>IF(OR(I123="",J123="",I123=0),"",(J123-I123)/I123)</f>
        <v/>
      </c>
      <c r="L123" s="3" t="str">
        <f>IF(J123="","",IF(J123/10&gt;='الإعدادات والمستهدفات'!B5,"ناجح ومستوفى","ضعيف - يلزم إعادة اختبار"))</f>
        <v/>
      </c>
      <c r="M123" s="3"/>
      <c r="N123" s="3"/>
    </row>
    <row r="124" spans="1:14" x14ac:dyDescent="0.2">
      <c r="A124" s="3" t="str">
        <f>IFERROR(VLOOKUP(B124,'جدول الجلسات التدريبية'!A:B,2,FALSE),"")</f>
        <v/>
      </c>
      <c r="B124" s="3"/>
      <c r="C124" s="3" t="str">
        <f>IFERROR(VLOOKUP(A124,'الخطة التدريبية المعتمدة'!A:C,3,FALSE),"")</f>
        <v/>
      </c>
      <c r="D124" s="3" t="str">
        <f>IFERROR(VLOOKUP(B124,'جدول الجلسات التدريبية'!A:D,4,FALSE),"")</f>
        <v/>
      </c>
      <c r="E124" s="3"/>
      <c r="F124" s="3" t="str">
        <f>IFERROR(VLOOKUP(E124,'سجل الموظفين والكفاءة'!B:C,2,FALSE),"")</f>
        <v/>
      </c>
      <c r="G124" s="3">
        <f>IFERROR(VLOOKUP(A124,'الخطة التدريبية المعتمدة'!A:J,10,FALSE),0)</f>
        <v>0</v>
      </c>
      <c r="H124" s="3"/>
      <c r="I124" s="3"/>
      <c r="J124" s="3"/>
      <c r="K124" s="7" t="str">
        <f>IF(OR(I124="",J124="",I124=0),"",(J124-I124)/I124)</f>
        <v/>
      </c>
      <c r="L124" s="3" t="str">
        <f>IF(J124="","",IF(J124/10&gt;='الإعدادات والمستهدفات'!B5,"ناجح ومستوفى","ضعيف - يلزم إعادة اختبار"))</f>
        <v/>
      </c>
      <c r="M124" s="3"/>
      <c r="N124" s="3"/>
    </row>
    <row r="125" spans="1:14" x14ac:dyDescent="0.2">
      <c r="A125" s="3" t="str">
        <f>IFERROR(VLOOKUP(B125,'جدول الجلسات التدريبية'!A:B,2,FALSE),"")</f>
        <v/>
      </c>
      <c r="B125" s="3"/>
      <c r="C125" s="3" t="str">
        <f>IFERROR(VLOOKUP(A125,'الخطة التدريبية المعتمدة'!A:C,3,FALSE),"")</f>
        <v/>
      </c>
      <c r="D125" s="3" t="str">
        <f>IFERROR(VLOOKUP(B125,'جدول الجلسات التدريبية'!A:D,4,FALSE),"")</f>
        <v/>
      </c>
      <c r="E125" s="3"/>
      <c r="F125" s="3" t="str">
        <f>IFERROR(VLOOKUP(E125,'سجل الموظفين والكفاءة'!B:C,2,FALSE),"")</f>
        <v/>
      </c>
      <c r="G125" s="3">
        <f>IFERROR(VLOOKUP(A125,'الخطة التدريبية المعتمدة'!A:J,10,FALSE),0)</f>
        <v>0</v>
      </c>
      <c r="H125" s="3"/>
      <c r="I125" s="3"/>
      <c r="J125" s="3"/>
      <c r="K125" s="7" t="str">
        <f>IF(OR(I125="",J125="",I125=0),"",(J125-I125)/I125)</f>
        <v/>
      </c>
      <c r="L125" s="3" t="str">
        <f>IF(J125="","",IF(J125/10&gt;='الإعدادات والمستهدفات'!B5,"ناجح ومستوفى","ضعيف - يلزم إعادة اختبار"))</f>
        <v/>
      </c>
      <c r="M125" s="3"/>
      <c r="N125" s="3"/>
    </row>
    <row r="126" spans="1:14" x14ac:dyDescent="0.2">
      <c r="A126" s="3" t="str">
        <f>IFERROR(VLOOKUP(B126,'جدول الجلسات التدريبية'!A:B,2,FALSE),"")</f>
        <v/>
      </c>
      <c r="B126" s="3"/>
      <c r="C126" s="3" t="str">
        <f>IFERROR(VLOOKUP(A126,'الخطة التدريبية المعتمدة'!A:C,3,FALSE),"")</f>
        <v/>
      </c>
      <c r="D126" s="3" t="str">
        <f>IFERROR(VLOOKUP(B126,'جدول الجلسات التدريبية'!A:D,4,FALSE),"")</f>
        <v/>
      </c>
      <c r="E126" s="3"/>
      <c r="F126" s="3" t="str">
        <f>IFERROR(VLOOKUP(E126,'سجل الموظفين والكفاءة'!B:C,2,FALSE),"")</f>
        <v/>
      </c>
      <c r="G126" s="3">
        <f>IFERROR(VLOOKUP(A126,'الخطة التدريبية المعتمدة'!A:J,10,FALSE),0)</f>
        <v>0</v>
      </c>
      <c r="H126" s="3"/>
      <c r="I126" s="3"/>
      <c r="J126" s="3"/>
      <c r="K126" s="7" t="str">
        <f>IF(OR(I126="",J126="",I126=0),"",(J126-I126)/I126)</f>
        <v/>
      </c>
      <c r="L126" s="3" t="str">
        <f>IF(J126="","",IF(J126/10&gt;='الإعدادات والمستهدفات'!B5,"ناجح ومستوفى","ضعيف - يلزم إعادة اختبار"))</f>
        <v/>
      </c>
      <c r="M126" s="3"/>
      <c r="N126" s="3"/>
    </row>
    <row r="127" spans="1:14" x14ac:dyDescent="0.2">
      <c r="A127" s="3" t="str">
        <f>IFERROR(VLOOKUP(B127,'جدول الجلسات التدريبية'!A:B,2,FALSE),"")</f>
        <v/>
      </c>
      <c r="B127" s="3"/>
      <c r="C127" s="3" t="str">
        <f>IFERROR(VLOOKUP(A127,'الخطة التدريبية المعتمدة'!A:C,3,FALSE),"")</f>
        <v/>
      </c>
      <c r="D127" s="3" t="str">
        <f>IFERROR(VLOOKUP(B127,'جدول الجلسات التدريبية'!A:D,4,FALSE),"")</f>
        <v/>
      </c>
      <c r="E127" s="3"/>
      <c r="F127" s="3" t="str">
        <f>IFERROR(VLOOKUP(E127,'سجل الموظفين والكفاءة'!B:C,2,FALSE),"")</f>
        <v/>
      </c>
      <c r="G127" s="3">
        <f>IFERROR(VLOOKUP(A127,'الخطة التدريبية المعتمدة'!A:J,10,FALSE),0)</f>
        <v>0</v>
      </c>
      <c r="H127" s="3"/>
      <c r="I127" s="3"/>
      <c r="J127" s="3"/>
      <c r="K127" s="7" t="str">
        <f>IF(OR(I127="",J127="",I127=0),"",(J127-I127)/I127)</f>
        <v/>
      </c>
      <c r="L127" s="3" t="str">
        <f>IF(J127="","",IF(J127/10&gt;='الإعدادات والمستهدفات'!B5,"ناجح ومستوفى","ضعيف - يلزم إعادة اختبار"))</f>
        <v/>
      </c>
      <c r="M127" s="3"/>
      <c r="N127" s="3"/>
    </row>
    <row r="128" spans="1:14" x14ac:dyDescent="0.2">
      <c r="A128" s="3" t="str">
        <f>IFERROR(VLOOKUP(B128,'جدول الجلسات التدريبية'!A:B,2,FALSE),"")</f>
        <v/>
      </c>
      <c r="B128" s="3"/>
      <c r="C128" s="3" t="str">
        <f>IFERROR(VLOOKUP(A128,'الخطة التدريبية المعتمدة'!A:C,3,FALSE),"")</f>
        <v/>
      </c>
      <c r="D128" s="3" t="str">
        <f>IFERROR(VLOOKUP(B128,'جدول الجلسات التدريبية'!A:D,4,FALSE),"")</f>
        <v/>
      </c>
      <c r="E128" s="3"/>
      <c r="F128" s="3" t="str">
        <f>IFERROR(VLOOKUP(E128,'سجل الموظفين والكفاءة'!B:C,2,FALSE),"")</f>
        <v/>
      </c>
      <c r="G128" s="3">
        <f>IFERROR(VLOOKUP(A128,'الخطة التدريبية المعتمدة'!A:J,10,FALSE),0)</f>
        <v>0</v>
      </c>
      <c r="H128" s="3"/>
      <c r="I128" s="3"/>
      <c r="J128" s="3"/>
      <c r="K128" s="7" t="str">
        <f>IF(OR(I128="",J128="",I128=0),"",(J128-I128)/I128)</f>
        <v/>
      </c>
      <c r="L128" s="3" t="str">
        <f>IF(J128="","",IF(J128/10&gt;='الإعدادات والمستهدفات'!B5,"ناجح ومستوفى","ضعيف - يلزم إعادة اختبار"))</f>
        <v/>
      </c>
      <c r="M128" s="3"/>
      <c r="N128" s="3"/>
    </row>
    <row r="129" spans="1:14" x14ac:dyDescent="0.2">
      <c r="A129" s="3" t="str">
        <f>IFERROR(VLOOKUP(B129,'جدول الجلسات التدريبية'!A:B,2,FALSE),"")</f>
        <v/>
      </c>
      <c r="B129" s="3"/>
      <c r="C129" s="3" t="str">
        <f>IFERROR(VLOOKUP(A129,'الخطة التدريبية المعتمدة'!A:C,3,FALSE),"")</f>
        <v/>
      </c>
      <c r="D129" s="3" t="str">
        <f>IFERROR(VLOOKUP(B129,'جدول الجلسات التدريبية'!A:D,4,FALSE),"")</f>
        <v/>
      </c>
      <c r="E129" s="3"/>
      <c r="F129" s="3" t="str">
        <f>IFERROR(VLOOKUP(E129,'سجل الموظفين والكفاءة'!B:C,2,FALSE),"")</f>
        <v/>
      </c>
      <c r="G129" s="3">
        <f>IFERROR(VLOOKUP(A129,'الخطة التدريبية المعتمدة'!A:J,10,FALSE),0)</f>
        <v>0</v>
      </c>
      <c r="H129" s="3"/>
      <c r="I129" s="3"/>
      <c r="J129" s="3"/>
      <c r="K129" s="7" t="str">
        <f>IF(OR(I129="",J129="",I129=0),"",(J129-I129)/I129)</f>
        <v/>
      </c>
      <c r="L129" s="3" t="str">
        <f>IF(J129="","",IF(J129/10&gt;='الإعدادات والمستهدفات'!B5,"ناجح ومستوفى","ضعيف - يلزم إعادة اختبار"))</f>
        <v/>
      </c>
      <c r="M129" s="3"/>
      <c r="N129" s="3"/>
    </row>
    <row r="130" spans="1:14" x14ac:dyDescent="0.2">
      <c r="A130" s="3" t="str">
        <f>IFERROR(VLOOKUP(B130,'جدول الجلسات التدريبية'!A:B,2,FALSE),"")</f>
        <v/>
      </c>
      <c r="B130" s="3"/>
      <c r="C130" s="3" t="str">
        <f>IFERROR(VLOOKUP(A130,'الخطة التدريبية المعتمدة'!A:C,3,FALSE),"")</f>
        <v/>
      </c>
      <c r="D130" s="3" t="str">
        <f>IFERROR(VLOOKUP(B130,'جدول الجلسات التدريبية'!A:D,4,FALSE),"")</f>
        <v/>
      </c>
      <c r="E130" s="3"/>
      <c r="F130" s="3" t="str">
        <f>IFERROR(VLOOKUP(E130,'سجل الموظفين والكفاءة'!B:C,2,FALSE),"")</f>
        <v/>
      </c>
      <c r="G130" s="3">
        <f>IFERROR(VLOOKUP(A130,'الخطة التدريبية المعتمدة'!A:J,10,FALSE),0)</f>
        <v>0</v>
      </c>
      <c r="H130" s="3"/>
      <c r="I130" s="3"/>
      <c r="J130" s="3"/>
      <c r="K130" s="7" t="str">
        <f>IF(OR(I130="",J130="",I130=0),"",(J130-I130)/I130)</f>
        <v/>
      </c>
      <c r="L130" s="3" t="str">
        <f>IF(J130="","",IF(J130/10&gt;='الإعدادات والمستهدفات'!B5,"ناجح ومستوفى","ضعيف - يلزم إعادة اختبار"))</f>
        <v/>
      </c>
      <c r="M130" s="3"/>
      <c r="N130" s="3"/>
    </row>
    <row r="131" spans="1:14" x14ac:dyDescent="0.2">
      <c r="A131" s="3" t="str">
        <f>IFERROR(VLOOKUP(B131,'جدول الجلسات التدريبية'!A:B,2,FALSE),"")</f>
        <v/>
      </c>
      <c r="B131" s="3"/>
      <c r="C131" s="3" t="str">
        <f>IFERROR(VLOOKUP(A131,'الخطة التدريبية المعتمدة'!A:C,3,FALSE),"")</f>
        <v/>
      </c>
      <c r="D131" s="3" t="str">
        <f>IFERROR(VLOOKUP(B131,'جدول الجلسات التدريبية'!A:D,4,FALSE),"")</f>
        <v/>
      </c>
      <c r="E131" s="3"/>
      <c r="F131" s="3" t="str">
        <f>IFERROR(VLOOKUP(E131,'سجل الموظفين والكفاءة'!B:C,2,FALSE),"")</f>
        <v/>
      </c>
      <c r="G131" s="3">
        <f>IFERROR(VLOOKUP(A131,'الخطة التدريبية المعتمدة'!A:J,10,FALSE),0)</f>
        <v>0</v>
      </c>
      <c r="H131" s="3"/>
      <c r="I131" s="3"/>
      <c r="J131" s="3"/>
      <c r="K131" s="7" t="str">
        <f>IF(OR(I131="",J131="",I131=0),"",(J131-I131)/I131)</f>
        <v/>
      </c>
      <c r="L131" s="3" t="str">
        <f>IF(J131="","",IF(J131/10&gt;='الإعدادات والمستهدفات'!B5,"ناجح ومستوفى","ضعيف - يلزم إعادة اختبار"))</f>
        <v/>
      </c>
      <c r="M131" s="3"/>
      <c r="N131" s="3"/>
    </row>
    <row r="132" spans="1:14" x14ac:dyDescent="0.2">
      <c r="A132" s="3" t="str">
        <f>IFERROR(VLOOKUP(B132,'جدول الجلسات التدريبية'!A:B,2,FALSE),"")</f>
        <v/>
      </c>
      <c r="B132" s="3"/>
      <c r="C132" s="3" t="str">
        <f>IFERROR(VLOOKUP(A132,'الخطة التدريبية المعتمدة'!A:C,3,FALSE),"")</f>
        <v/>
      </c>
      <c r="D132" s="3" t="str">
        <f>IFERROR(VLOOKUP(B132,'جدول الجلسات التدريبية'!A:D,4,FALSE),"")</f>
        <v/>
      </c>
      <c r="E132" s="3"/>
      <c r="F132" s="3" t="str">
        <f>IFERROR(VLOOKUP(E132,'سجل الموظفين والكفاءة'!B:C,2,FALSE),"")</f>
        <v/>
      </c>
      <c r="G132" s="3">
        <f>IFERROR(VLOOKUP(A132,'الخطة التدريبية المعتمدة'!A:J,10,FALSE),0)</f>
        <v>0</v>
      </c>
      <c r="H132" s="3"/>
      <c r="I132" s="3"/>
      <c r="J132" s="3"/>
      <c r="K132" s="7" t="str">
        <f>IF(OR(I132="",J132="",I132=0),"",(J132-I132)/I132)</f>
        <v/>
      </c>
      <c r="L132" s="3" t="str">
        <f>IF(J132="","",IF(J132/10&gt;='الإعدادات والمستهدفات'!B5,"ناجح ومستوفى","ضعيف - يلزم إعادة اختبار"))</f>
        <v/>
      </c>
      <c r="M132" s="3"/>
      <c r="N132" s="3"/>
    </row>
    <row r="133" spans="1:14" x14ac:dyDescent="0.2">
      <c r="A133" s="3" t="str">
        <f>IFERROR(VLOOKUP(B133,'جدول الجلسات التدريبية'!A:B,2,FALSE),"")</f>
        <v/>
      </c>
      <c r="B133" s="3"/>
      <c r="C133" s="3" t="str">
        <f>IFERROR(VLOOKUP(A133,'الخطة التدريبية المعتمدة'!A:C,3,FALSE),"")</f>
        <v/>
      </c>
      <c r="D133" s="3" t="str">
        <f>IFERROR(VLOOKUP(B133,'جدول الجلسات التدريبية'!A:D,4,FALSE),"")</f>
        <v/>
      </c>
      <c r="E133" s="3"/>
      <c r="F133" s="3" t="str">
        <f>IFERROR(VLOOKUP(E133,'سجل الموظفين والكفاءة'!B:C,2,FALSE),"")</f>
        <v/>
      </c>
      <c r="G133" s="3">
        <f>IFERROR(VLOOKUP(A133,'الخطة التدريبية المعتمدة'!A:J,10,FALSE),0)</f>
        <v>0</v>
      </c>
      <c r="H133" s="3"/>
      <c r="I133" s="3"/>
      <c r="J133" s="3"/>
      <c r="K133" s="7" t="str">
        <f>IF(OR(I133="",J133="",I133=0),"",(J133-I133)/I133)</f>
        <v/>
      </c>
      <c r="L133" s="3" t="str">
        <f>IF(J133="","",IF(J133/10&gt;='الإعدادات والمستهدفات'!B5,"ناجح ومستوفى","ضعيف - يلزم إعادة اختبار"))</f>
        <v/>
      </c>
      <c r="M133" s="3"/>
      <c r="N133" s="3"/>
    </row>
    <row r="134" spans="1:14" x14ac:dyDescent="0.2">
      <c r="A134" s="3" t="str">
        <f>IFERROR(VLOOKUP(B134,'جدول الجلسات التدريبية'!A:B,2,FALSE),"")</f>
        <v/>
      </c>
      <c r="B134" s="3"/>
      <c r="C134" s="3" t="str">
        <f>IFERROR(VLOOKUP(A134,'الخطة التدريبية المعتمدة'!A:C,3,FALSE),"")</f>
        <v/>
      </c>
      <c r="D134" s="3" t="str">
        <f>IFERROR(VLOOKUP(B134,'جدول الجلسات التدريبية'!A:D,4,FALSE),"")</f>
        <v/>
      </c>
      <c r="E134" s="3"/>
      <c r="F134" s="3" t="str">
        <f>IFERROR(VLOOKUP(E134,'سجل الموظفين والكفاءة'!B:C,2,FALSE),"")</f>
        <v/>
      </c>
      <c r="G134" s="3">
        <f>IFERROR(VLOOKUP(A134,'الخطة التدريبية المعتمدة'!A:J,10,FALSE),0)</f>
        <v>0</v>
      </c>
      <c r="H134" s="3"/>
      <c r="I134" s="3"/>
      <c r="J134" s="3"/>
      <c r="K134" s="7" t="str">
        <f>IF(OR(I134="",J134="",I134=0),"",(J134-I134)/I134)</f>
        <v/>
      </c>
      <c r="L134" s="3" t="str">
        <f>IF(J134="","",IF(J134/10&gt;='الإعدادات والمستهدفات'!B5,"ناجح ومستوفى","ضعيف - يلزم إعادة اختبار"))</f>
        <v/>
      </c>
      <c r="M134" s="3"/>
      <c r="N134" s="3"/>
    </row>
    <row r="135" spans="1:14" x14ac:dyDescent="0.2">
      <c r="A135" s="3" t="str">
        <f>IFERROR(VLOOKUP(B135,'جدول الجلسات التدريبية'!A:B,2,FALSE),"")</f>
        <v/>
      </c>
      <c r="B135" s="3"/>
      <c r="C135" s="3" t="str">
        <f>IFERROR(VLOOKUP(A135,'الخطة التدريبية المعتمدة'!A:C,3,FALSE),"")</f>
        <v/>
      </c>
      <c r="D135" s="3" t="str">
        <f>IFERROR(VLOOKUP(B135,'جدول الجلسات التدريبية'!A:D,4,FALSE),"")</f>
        <v/>
      </c>
      <c r="E135" s="3"/>
      <c r="F135" s="3" t="str">
        <f>IFERROR(VLOOKUP(E135,'سجل الموظفين والكفاءة'!B:C,2,FALSE),"")</f>
        <v/>
      </c>
      <c r="G135" s="3">
        <f>IFERROR(VLOOKUP(A135,'الخطة التدريبية المعتمدة'!A:J,10,FALSE),0)</f>
        <v>0</v>
      </c>
      <c r="H135" s="3"/>
      <c r="I135" s="3"/>
      <c r="J135" s="3"/>
      <c r="K135" s="7" t="str">
        <f>IF(OR(I135="",J135="",I135=0),"",(J135-I135)/I135)</f>
        <v/>
      </c>
      <c r="L135" s="3" t="str">
        <f>IF(J135="","",IF(J135/10&gt;='الإعدادات والمستهدفات'!B5,"ناجح ومستوفى","ضعيف - يلزم إعادة اختبار"))</f>
        <v/>
      </c>
      <c r="M135" s="3"/>
      <c r="N135" s="3"/>
    </row>
    <row r="136" spans="1:14" x14ac:dyDescent="0.2">
      <c r="A136" s="3" t="str">
        <f>IFERROR(VLOOKUP(B136,'جدول الجلسات التدريبية'!A:B,2,FALSE),"")</f>
        <v/>
      </c>
      <c r="B136" s="3"/>
      <c r="C136" s="3" t="str">
        <f>IFERROR(VLOOKUP(A136,'الخطة التدريبية المعتمدة'!A:C,3,FALSE),"")</f>
        <v/>
      </c>
      <c r="D136" s="3" t="str">
        <f>IFERROR(VLOOKUP(B136,'جدول الجلسات التدريبية'!A:D,4,FALSE),"")</f>
        <v/>
      </c>
      <c r="E136" s="3"/>
      <c r="F136" s="3" t="str">
        <f>IFERROR(VLOOKUP(E136,'سجل الموظفين والكفاءة'!B:C,2,FALSE),"")</f>
        <v/>
      </c>
      <c r="G136" s="3">
        <f>IFERROR(VLOOKUP(A136,'الخطة التدريبية المعتمدة'!A:J,10,FALSE),0)</f>
        <v>0</v>
      </c>
      <c r="H136" s="3"/>
      <c r="I136" s="3"/>
      <c r="J136" s="3"/>
      <c r="K136" s="7" t="str">
        <f>IF(OR(I136="",J136="",I136=0),"",(J136-I136)/I136)</f>
        <v/>
      </c>
      <c r="L136" s="3" t="str">
        <f>IF(J136="","",IF(J136/10&gt;='الإعدادات والمستهدفات'!B5,"ناجح ومستوفى","ضعيف - يلزم إعادة اختبار"))</f>
        <v/>
      </c>
      <c r="M136" s="3"/>
      <c r="N136" s="3"/>
    </row>
    <row r="137" spans="1:14" x14ac:dyDescent="0.2">
      <c r="A137" s="3" t="str">
        <f>IFERROR(VLOOKUP(B137,'جدول الجلسات التدريبية'!A:B,2,FALSE),"")</f>
        <v/>
      </c>
      <c r="B137" s="3"/>
      <c r="C137" s="3" t="str">
        <f>IFERROR(VLOOKUP(A137,'الخطة التدريبية المعتمدة'!A:C,3,FALSE),"")</f>
        <v/>
      </c>
      <c r="D137" s="3" t="str">
        <f>IFERROR(VLOOKUP(B137,'جدول الجلسات التدريبية'!A:D,4,FALSE),"")</f>
        <v/>
      </c>
      <c r="E137" s="3"/>
      <c r="F137" s="3" t="str">
        <f>IFERROR(VLOOKUP(E137,'سجل الموظفين والكفاءة'!B:C,2,FALSE),"")</f>
        <v/>
      </c>
      <c r="G137" s="3">
        <f>IFERROR(VLOOKUP(A137,'الخطة التدريبية المعتمدة'!A:J,10,FALSE),0)</f>
        <v>0</v>
      </c>
      <c r="H137" s="3"/>
      <c r="I137" s="3"/>
      <c r="J137" s="3"/>
      <c r="K137" s="7" t="str">
        <f>IF(OR(I137="",J137="",I137=0),"",(J137-I137)/I137)</f>
        <v/>
      </c>
      <c r="L137" s="3" t="str">
        <f>IF(J137="","",IF(J137/10&gt;='الإعدادات والمستهدفات'!B5,"ناجح ومستوفى","ضعيف - يلزم إعادة اختبار"))</f>
        <v/>
      </c>
      <c r="M137" s="3"/>
      <c r="N137" s="3"/>
    </row>
    <row r="138" spans="1:14" x14ac:dyDescent="0.2">
      <c r="A138" s="3" t="str">
        <f>IFERROR(VLOOKUP(B138,'جدول الجلسات التدريبية'!A:B,2,FALSE),"")</f>
        <v/>
      </c>
      <c r="B138" s="3"/>
      <c r="C138" s="3" t="str">
        <f>IFERROR(VLOOKUP(A138,'الخطة التدريبية المعتمدة'!A:C,3,FALSE),"")</f>
        <v/>
      </c>
      <c r="D138" s="3" t="str">
        <f>IFERROR(VLOOKUP(B138,'جدول الجلسات التدريبية'!A:D,4,FALSE),"")</f>
        <v/>
      </c>
      <c r="E138" s="3"/>
      <c r="F138" s="3" t="str">
        <f>IFERROR(VLOOKUP(E138,'سجل الموظفين والكفاءة'!B:C,2,FALSE),"")</f>
        <v/>
      </c>
      <c r="G138" s="3">
        <f>IFERROR(VLOOKUP(A138,'الخطة التدريبية المعتمدة'!A:J,10,FALSE),0)</f>
        <v>0</v>
      </c>
      <c r="H138" s="3"/>
      <c r="I138" s="3"/>
      <c r="J138" s="3"/>
      <c r="K138" s="7" t="str">
        <f>IF(OR(I138="",J138="",I138=0),"",(J138-I138)/I138)</f>
        <v/>
      </c>
      <c r="L138" s="3" t="str">
        <f>IF(J138="","",IF(J138/10&gt;='الإعدادات والمستهدفات'!B5,"ناجح ومستوفى","ضعيف - يلزم إعادة اختبار"))</f>
        <v/>
      </c>
      <c r="M138" s="3"/>
      <c r="N138" s="3"/>
    </row>
    <row r="139" spans="1:14" x14ac:dyDescent="0.2">
      <c r="A139" s="3" t="str">
        <f>IFERROR(VLOOKUP(B139,'جدول الجلسات التدريبية'!A:B,2,FALSE),"")</f>
        <v/>
      </c>
      <c r="B139" s="3"/>
      <c r="C139" s="3" t="str">
        <f>IFERROR(VLOOKUP(A139,'الخطة التدريبية المعتمدة'!A:C,3,FALSE),"")</f>
        <v/>
      </c>
      <c r="D139" s="3" t="str">
        <f>IFERROR(VLOOKUP(B139,'جدول الجلسات التدريبية'!A:D,4,FALSE),"")</f>
        <v/>
      </c>
      <c r="E139" s="3"/>
      <c r="F139" s="3" t="str">
        <f>IFERROR(VLOOKUP(E139,'سجل الموظفين والكفاءة'!B:C,2,FALSE),"")</f>
        <v/>
      </c>
      <c r="G139" s="3">
        <f>IFERROR(VLOOKUP(A139,'الخطة التدريبية المعتمدة'!A:J,10,FALSE),0)</f>
        <v>0</v>
      </c>
      <c r="H139" s="3"/>
      <c r="I139" s="3"/>
      <c r="J139" s="3"/>
      <c r="K139" s="7" t="str">
        <f>IF(OR(I139="",J139="",I139=0),"",(J139-I139)/I139)</f>
        <v/>
      </c>
      <c r="L139" s="3" t="str">
        <f>IF(J139="","",IF(J139/10&gt;='الإعدادات والمستهدفات'!B5,"ناجح ومستوفى","ضعيف - يلزم إعادة اختبار"))</f>
        <v/>
      </c>
      <c r="M139" s="3"/>
      <c r="N139" s="3"/>
    </row>
    <row r="140" spans="1:14" x14ac:dyDescent="0.2">
      <c r="A140" s="3" t="str">
        <f>IFERROR(VLOOKUP(B140,'جدول الجلسات التدريبية'!A:B,2,FALSE),"")</f>
        <v/>
      </c>
      <c r="B140" s="3"/>
      <c r="C140" s="3" t="str">
        <f>IFERROR(VLOOKUP(A140,'الخطة التدريبية المعتمدة'!A:C,3,FALSE),"")</f>
        <v/>
      </c>
      <c r="D140" s="3" t="str">
        <f>IFERROR(VLOOKUP(B140,'جدول الجلسات التدريبية'!A:D,4,FALSE),"")</f>
        <v/>
      </c>
      <c r="E140" s="3"/>
      <c r="F140" s="3" t="str">
        <f>IFERROR(VLOOKUP(E140,'سجل الموظفين والكفاءة'!B:C,2,FALSE),"")</f>
        <v/>
      </c>
      <c r="G140" s="3">
        <f>IFERROR(VLOOKUP(A140,'الخطة التدريبية المعتمدة'!A:J,10,FALSE),0)</f>
        <v>0</v>
      </c>
      <c r="H140" s="3"/>
      <c r="I140" s="3"/>
      <c r="J140" s="3"/>
      <c r="K140" s="7" t="str">
        <f>IF(OR(I140="",J140="",I140=0),"",(J140-I140)/I140)</f>
        <v/>
      </c>
      <c r="L140" s="3" t="str">
        <f>IF(J140="","",IF(J140/10&gt;='الإعدادات والمستهدفات'!B5,"ناجح ومستوفى","ضعيف - يلزم إعادة اختبار"))</f>
        <v/>
      </c>
      <c r="M140" s="3"/>
      <c r="N140" s="3"/>
    </row>
    <row r="141" spans="1:14" x14ac:dyDescent="0.2">
      <c r="A141" s="3" t="str">
        <f>IFERROR(VLOOKUP(B141,'جدول الجلسات التدريبية'!A:B,2,FALSE),"")</f>
        <v/>
      </c>
      <c r="B141" s="3"/>
      <c r="C141" s="3" t="str">
        <f>IFERROR(VLOOKUP(A141,'الخطة التدريبية المعتمدة'!A:C,3,FALSE),"")</f>
        <v/>
      </c>
      <c r="D141" s="3" t="str">
        <f>IFERROR(VLOOKUP(B141,'جدول الجلسات التدريبية'!A:D,4,FALSE),"")</f>
        <v/>
      </c>
      <c r="E141" s="3"/>
      <c r="F141" s="3" t="str">
        <f>IFERROR(VLOOKUP(E141,'سجل الموظفين والكفاءة'!B:C,2,FALSE),"")</f>
        <v/>
      </c>
      <c r="G141" s="3">
        <f>IFERROR(VLOOKUP(A141,'الخطة التدريبية المعتمدة'!A:J,10,FALSE),0)</f>
        <v>0</v>
      </c>
      <c r="H141" s="3"/>
      <c r="I141" s="3"/>
      <c r="J141" s="3"/>
      <c r="K141" s="7" t="str">
        <f>IF(OR(I141="",J141="",I141=0),"",(J141-I141)/I141)</f>
        <v/>
      </c>
      <c r="L141" s="3" t="str">
        <f>IF(J141="","",IF(J141/10&gt;='الإعدادات والمستهدفات'!B5,"ناجح ومستوفى","ضعيف - يلزم إعادة اختبار"))</f>
        <v/>
      </c>
      <c r="M141" s="3"/>
      <c r="N141" s="3"/>
    </row>
    <row r="142" spans="1:14" x14ac:dyDescent="0.2">
      <c r="A142" s="3" t="str">
        <f>IFERROR(VLOOKUP(B142,'جدول الجلسات التدريبية'!A:B,2,FALSE),"")</f>
        <v/>
      </c>
      <c r="B142" s="3"/>
      <c r="C142" s="3" t="str">
        <f>IFERROR(VLOOKUP(A142,'الخطة التدريبية المعتمدة'!A:C,3,FALSE),"")</f>
        <v/>
      </c>
      <c r="D142" s="3" t="str">
        <f>IFERROR(VLOOKUP(B142,'جدول الجلسات التدريبية'!A:D,4,FALSE),"")</f>
        <v/>
      </c>
      <c r="E142" s="3"/>
      <c r="F142" s="3" t="str">
        <f>IFERROR(VLOOKUP(E142,'سجل الموظفين والكفاءة'!B:C,2,FALSE),"")</f>
        <v/>
      </c>
      <c r="G142" s="3">
        <f>IFERROR(VLOOKUP(A142,'الخطة التدريبية المعتمدة'!A:J,10,FALSE),0)</f>
        <v>0</v>
      </c>
      <c r="H142" s="3"/>
      <c r="I142" s="3"/>
      <c r="J142" s="3"/>
      <c r="K142" s="7" t="str">
        <f>IF(OR(I142="",J142="",I142=0),"",(J142-I142)/I142)</f>
        <v/>
      </c>
      <c r="L142" s="3" t="str">
        <f>IF(J142="","",IF(J142/10&gt;='الإعدادات والمستهدفات'!B5,"ناجح ومستوفى","ضعيف - يلزم إعادة اختبار"))</f>
        <v/>
      </c>
      <c r="M142" s="3"/>
      <c r="N142" s="3"/>
    </row>
    <row r="143" spans="1:14" x14ac:dyDescent="0.2">
      <c r="A143" s="3" t="str">
        <f>IFERROR(VLOOKUP(B143,'جدول الجلسات التدريبية'!A:B,2,FALSE),"")</f>
        <v/>
      </c>
      <c r="B143" s="3"/>
      <c r="C143" s="3" t="str">
        <f>IFERROR(VLOOKUP(A143,'الخطة التدريبية المعتمدة'!A:C,3,FALSE),"")</f>
        <v/>
      </c>
      <c r="D143" s="3" t="str">
        <f>IFERROR(VLOOKUP(B143,'جدول الجلسات التدريبية'!A:D,4,FALSE),"")</f>
        <v/>
      </c>
      <c r="E143" s="3"/>
      <c r="F143" s="3" t="str">
        <f>IFERROR(VLOOKUP(E143,'سجل الموظفين والكفاءة'!B:C,2,FALSE),"")</f>
        <v/>
      </c>
      <c r="G143" s="3">
        <f>IFERROR(VLOOKUP(A143,'الخطة التدريبية المعتمدة'!A:J,10,FALSE),0)</f>
        <v>0</v>
      </c>
      <c r="H143" s="3"/>
      <c r="I143" s="3"/>
      <c r="J143" s="3"/>
      <c r="K143" s="7" t="str">
        <f>IF(OR(I143="",J143="",I143=0),"",(J143-I143)/I143)</f>
        <v/>
      </c>
      <c r="L143" s="3" t="str">
        <f>IF(J143="","",IF(J143/10&gt;='الإعدادات والمستهدفات'!B5,"ناجح ومستوفى","ضعيف - يلزم إعادة اختبار"))</f>
        <v/>
      </c>
      <c r="M143" s="3"/>
      <c r="N143" s="3"/>
    </row>
    <row r="144" spans="1:14" x14ac:dyDescent="0.2">
      <c r="A144" s="3" t="str">
        <f>IFERROR(VLOOKUP(B144,'جدول الجلسات التدريبية'!A:B,2,FALSE),"")</f>
        <v/>
      </c>
      <c r="B144" s="3"/>
      <c r="C144" s="3" t="str">
        <f>IFERROR(VLOOKUP(A144,'الخطة التدريبية المعتمدة'!A:C,3,FALSE),"")</f>
        <v/>
      </c>
      <c r="D144" s="3" t="str">
        <f>IFERROR(VLOOKUP(B144,'جدول الجلسات التدريبية'!A:D,4,FALSE),"")</f>
        <v/>
      </c>
      <c r="E144" s="3"/>
      <c r="F144" s="3" t="str">
        <f>IFERROR(VLOOKUP(E144,'سجل الموظفين والكفاءة'!B:C,2,FALSE),"")</f>
        <v/>
      </c>
      <c r="G144" s="3">
        <f>IFERROR(VLOOKUP(A144,'الخطة التدريبية المعتمدة'!A:J,10,FALSE),0)</f>
        <v>0</v>
      </c>
      <c r="H144" s="3"/>
      <c r="I144" s="3"/>
      <c r="J144" s="3"/>
      <c r="K144" s="7" t="str">
        <f>IF(OR(I144="",J144="",I144=0),"",(J144-I144)/I144)</f>
        <v/>
      </c>
      <c r="L144" s="3" t="str">
        <f>IF(J144="","",IF(J144/10&gt;='الإعدادات والمستهدفات'!B5,"ناجح ومستوفى","ضعيف - يلزم إعادة اختبار"))</f>
        <v/>
      </c>
      <c r="M144" s="3"/>
      <c r="N144" s="3"/>
    </row>
    <row r="145" spans="1:14" x14ac:dyDescent="0.2">
      <c r="A145" s="3" t="str">
        <f>IFERROR(VLOOKUP(B145,'جدول الجلسات التدريبية'!A:B,2,FALSE),"")</f>
        <v/>
      </c>
      <c r="B145" s="3"/>
      <c r="C145" s="3" t="str">
        <f>IFERROR(VLOOKUP(A145,'الخطة التدريبية المعتمدة'!A:C,3,FALSE),"")</f>
        <v/>
      </c>
      <c r="D145" s="3" t="str">
        <f>IFERROR(VLOOKUP(B145,'جدول الجلسات التدريبية'!A:D,4,FALSE),"")</f>
        <v/>
      </c>
      <c r="E145" s="3"/>
      <c r="F145" s="3" t="str">
        <f>IFERROR(VLOOKUP(E145,'سجل الموظفين والكفاءة'!B:C,2,FALSE),"")</f>
        <v/>
      </c>
      <c r="G145" s="3">
        <f>IFERROR(VLOOKUP(A145,'الخطة التدريبية المعتمدة'!A:J,10,FALSE),0)</f>
        <v>0</v>
      </c>
      <c r="H145" s="3"/>
      <c r="I145" s="3"/>
      <c r="J145" s="3"/>
      <c r="K145" s="7" t="str">
        <f>IF(OR(I145="",J145="",I145=0),"",(J145-I145)/I145)</f>
        <v/>
      </c>
      <c r="L145" s="3" t="str">
        <f>IF(J145="","",IF(J145/10&gt;='الإعدادات والمستهدفات'!B5,"ناجح ومستوفى","ضعيف - يلزم إعادة اختبار"))</f>
        <v/>
      </c>
      <c r="M145" s="3"/>
      <c r="N145" s="3"/>
    </row>
    <row r="146" spans="1:14" x14ac:dyDescent="0.2">
      <c r="A146" s="3" t="str">
        <f>IFERROR(VLOOKUP(B146,'جدول الجلسات التدريبية'!A:B,2,FALSE),"")</f>
        <v/>
      </c>
      <c r="B146" s="3"/>
      <c r="C146" s="3" t="str">
        <f>IFERROR(VLOOKUP(A146,'الخطة التدريبية المعتمدة'!A:C,3,FALSE),"")</f>
        <v/>
      </c>
      <c r="D146" s="3" t="str">
        <f>IFERROR(VLOOKUP(B146,'جدول الجلسات التدريبية'!A:D,4,FALSE),"")</f>
        <v/>
      </c>
      <c r="E146" s="3"/>
      <c r="F146" s="3" t="str">
        <f>IFERROR(VLOOKUP(E146,'سجل الموظفين والكفاءة'!B:C,2,FALSE),"")</f>
        <v/>
      </c>
      <c r="G146" s="3">
        <f>IFERROR(VLOOKUP(A146,'الخطة التدريبية المعتمدة'!A:J,10,FALSE),0)</f>
        <v>0</v>
      </c>
      <c r="H146" s="3"/>
      <c r="I146" s="3"/>
      <c r="J146" s="3"/>
      <c r="K146" s="7" t="str">
        <f>IF(OR(I146="",J146="",I146=0),"",(J146-I146)/I146)</f>
        <v/>
      </c>
      <c r="L146" s="3" t="str">
        <f>IF(J146="","",IF(J146/10&gt;='الإعدادات والمستهدفات'!B5,"ناجح ومستوفى","ضعيف - يلزم إعادة اختبار"))</f>
        <v/>
      </c>
      <c r="M146" s="3"/>
      <c r="N146" s="3"/>
    </row>
    <row r="147" spans="1:14" x14ac:dyDescent="0.2">
      <c r="A147" s="3" t="str">
        <f>IFERROR(VLOOKUP(B147,'جدول الجلسات التدريبية'!A:B,2,FALSE),"")</f>
        <v/>
      </c>
      <c r="B147" s="3"/>
      <c r="C147" s="3" t="str">
        <f>IFERROR(VLOOKUP(A147,'الخطة التدريبية المعتمدة'!A:C,3,FALSE),"")</f>
        <v/>
      </c>
      <c r="D147" s="3" t="str">
        <f>IFERROR(VLOOKUP(B147,'جدول الجلسات التدريبية'!A:D,4,FALSE),"")</f>
        <v/>
      </c>
      <c r="E147" s="3"/>
      <c r="F147" s="3" t="str">
        <f>IFERROR(VLOOKUP(E147,'سجل الموظفين والكفاءة'!B:C,2,FALSE),"")</f>
        <v/>
      </c>
      <c r="G147" s="3">
        <f>IFERROR(VLOOKUP(A147,'الخطة التدريبية المعتمدة'!A:J,10,FALSE),0)</f>
        <v>0</v>
      </c>
      <c r="H147" s="3"/>
      <c r="I147" s="3"/>
      <c r="J147" s="3"/>
      <c r="K147" s="7" t="str">
        <f>IF(OR(I147="",J147="",I147=0),"",(J147-I147)/I147)</f>
        <v/>
      </c>
      <c r="L147" s="3" t="str">
        <f>IF(J147="","",IF(J147/10&gt;='الإعدادات والمستهدفات'!B5,"ناجح ومستوفى","ضعيف - يلزم إعادة اختبار"))</f>
        <v/>
      </c>
      <c r="M147" s="3"/>
      <c r="N147" s="3"/>
    </row>
    <row r="148" spans="1:14" x14ac:dyDescent="0.2">
      <c r="A148" s="3" t="str">
        <f>IFERROR(VLOOKUP(B148,'جدول الجلسات التدريبية'!A:B,2,FALSE),"")</f>
        <v/>
      </c>
      <c r="B148" s="3"/>
      <c r="C148" s="3" t="str">
        <f>IFERROR(VLOOKUP(A148,'الخطة التدريبية المعتمدة'!A:C,3,FALSE),"")</f>
        <v/>
      </c>
      <c r="D148" s="3" t="str">
        <f>IFERROR(VLOOKUP(B148,'جدول الجلسات التدريبية'!A:D,4,FALSE),"")</f>
        <v/>
      </c>
      <c r="E148" s="3"/>
      <c r="F148" s="3" t="str">
        <f>IFERROR(VLOOKUP(E148,'سجل الموظفين والكفاءة'!B:C,2,FALSE),"")</f>
        <v/>
      </c>
      <c r="G148" s="3">
        <f>IFERROR(VLOOKUP(A148,'الخطة التدريبية المعتمدة'!A:J,10,FALSE),0)</f>
        <v>0</v>
      </c>
      <c r="H148" s="3"/>
      <c r="I148" s="3"/>
      <c r="J148" s="3"/>
      <c r="K148" s="7" t="str">
        <f>IF(OR(I148="",J148="",I148=0),"",(J148-I148)/I148)</f>
        <v/>
      </c>
      <c r="L148" s="3" t="str">
        <f>IF(J148="","",IF(J148/10&gt;='الإعدادات والمستهدفات'!B5,"ناجح ومستوفى","ضعيف - يلزم إعادة اختبار"))</f>
        <v/>
      </c>
      <c r="M148" s="3"/>
      <c r="N148" s="3"/>
    </row>
    <row r="149" spans="1:14" x14ac:dyDescent="0.2">
      <c r="A149" s="3" t="str">
        <f>IFERROR(VLOOKUP(B149,'جدول الجلسات التدريبية'!A:B,2,FALSE),"")</f>
        <v/>
      </c>
      <c r="B149" s="3"/>
      <c r="C149" s="3" t="str">
        <f>IFERROR(VLOOKUP(A149,'الخطة التدريبية المعتمدة'!A:C,3,FALSE),"")</f>
        <v/>
      </c>
      <c r="D149" s="3" t="str">
        <f>IFERROR(VLOOKUP(B149,'جدول الجلسات التدريبية'!A:D,4,FALSE),"")</f>
        <v/>
      </c>
      <c r="E149" s="3"/>
      <c r="F149" s="3" t="str">
        <f>IFERROR(VLOOKUP(E149,'سجل الموظفين والكفاءة'!B:C,2,FALSE),"")</f>
        <v/>
      </c>
      <c r="G149" s="3">
        <f>IFERROR(VLOOKUP(A149,'الخطة التدريبية المعتمدة'!A:J,10,FALSE),0)</f>
        <v>0</v>
      </c>
      <c r="H149" s="3"/>
      <c r="I149" s="3"/>
      <c r="J149" s="3"/>
      <c r="K149" s="7" t="str">
        <f>IF(OR(I149="",J149="",I149=0),"",(J149-I149)/I149)</f>
        <v/>
      </c>
      <c r="L149" s="3" t="str">
        <f>IF(J149="","",IF(J149/10&gt;='الإعدادات والمستهدفات'!B5,"ناجح ومستوفى","ضعيف - يلزم إعادة اختبار"))</f>
        <v/>
      </c>
      <c r="M149" s="3"/>
      <c r="N149" s="3"/>
    </row>
    <row r="150" spans="1:14" x14ac:dyDescent="0.2">
      <c r="A150" s="3" t="str">
        <f>IFERROR(VLOOKUP(B150,'جدول الجلسات التدريبية'!A:B,2,FALSE),"")</f>
        <v/>
      </c>
      <c r="B150" s="3"/>
      <c r="C150" s="3" t="str">
        <f>IFERROR(VLOOKUP(A150,'الخطة التدريبية المعتمدة'!A:C,3,FALSE),"")</f>
        <v/>
      </c>
      <c r="D150" s="3" t="str">
        <f>IFERROR(VLOOKUP(B150,'جدول الجلسات التدريبية'!A:D,4,FALSE),"")</f>
        <v/>
      </c>
      <c r="E150" s="3"/>
      <c r="F150" s="3" t="str">
        <f>IFERROR(VLOOKUP(E150,'سجل الموظفين والكفاءة'!B:C,2,FALSE),"")</f>
        <v/>
      </c>
      <c r="G150" s="3">
        <f>IFERROR(VLOOKUP(A150,'الخطة التدريبية المعتمدة'!A:J,10,FALSE),0)</f>
        <v>0</v>
      </c>
      <c r="H150" s="3"/>
      <c r="I150" s="3"/>
      <c r="J150" s="3"/>
      <c r="K150" s="7" t="str">
        <f>IF(OR(I150="",J150="",I150=0),"",(J150-I150)/I150)</f>
        <v/>
      </c>
      <c r="L150" s="3" t="str">
        <f>IF(J150="","",IF(J150/10&gt;='الإعدادات والمستهدفات'!B5,"ناجح ومستوفى","ضعيف - يلزم إعادة اختبار"))</f>
        <v/>
      </c>
      <c r="M150" s="3"/>
      <c r="N150" s="3"/>
    </row>
    <row r="151" spans="1:14" x14ac:dyDescent="0.2">
      <c r="A151" s="3" t="str">
        <f>IFERROR(VLOOKUP(B151,'جدول الجلسات التدريبية'!A:B,2,FALSE),"")</f>
        <v/>
      </c>
      <c r="B151" s="3"/>
      <c r="C151" s="3" t="str">
        <f>IFERROR(VLOOKUP(A151,'الخطة التدريبية المعتمدة'!A:C,3,FALSE),"")</f>
        <v/>
      </c>
      <c r="D151" s="3" t="str">
        <f>IFERROR(VLOOKUP(B151,'جدول الجلسات التدريبية'!A:D,4,FALSE),"")</f>
        <v/>
      </c>
      <c r="E151" s="3"/>
      <c r="F151" s="3" t="str">
        <f>IFERROR(VLOOKUP(E151,'سجل الموظفين والكفاءة'!B:C,2,FALSE),"")</f>
        <v/>
      </c>
      <c r="G151" s="3">
        <f>IFERROR(VLOOKUP(A151,'الخطة التدريبية المعتمدة'!A:J,10,FALSE),0)</f>
        <v>0</v>
      </c>
      <c r="H151" s="3"/>
      <c r="I151" s="3"/>
      <c r="J151" s="3"/>
      <c r="K151" s="7" t="str">
        <f>IF(OR(I151="",J151="",I151=0),"",(J151-I151)/I151)</f>
        <v/>
      </c>
      <c r="L151" s="3" t="str">
        <f>IF(J151="","",IF(J151/10&gt;='الإعدادات والمستهدفات'!B5,"ناجح ومستوفى","ضعيف - يلزم إعادة اختبار"))</f>
        <v/>
      </c>
      <c r="M151" s="3"/>
      <c r="N151" s="3"/>
    </row>
    <row r="152" spans="1:14" x14ac:dyDescent="0.2">
      <c r="A152" s="3" t="str">
        <f>IFERROR(VLOOKUP(B152,'جدول الجلسات التدريبية'!A:B,2,FALSE),"")</f>
        <v/>
      </c>
      <c r="B152" s="3"/>
      <c r="C152" s="3" t="str">
        <f>IFERROR(VLOOKUP(A152,'الخطة التدريبية المعتمدة'!A:C,3,FALSE),"")</f>
        <v/>
      </c>
      <c r="D152" s="3" t="str">
        <f>IFERROR(VLOOKUP(B152,'جدول الجلسات التدريبية'!A:D,4,FALSE),"")</f>
        <v/>
      </c>
      <c r="E152" s="3"/>
      <c r="F152" s="3" t="str">
        <f>IFERROR(VLOOKUP(E152,'سجل الموظفين والكفاءة'!B:C,2,FALSE),"")</f>
        <v/>
      </c>
      <c r="G152" s="3">
        <f>IFERROR(VLOOKUP(A152,'الخطة التدريبية المعتمدة'!A:J,10,FALSE),0)</f>
        <v>0</v>
      </c>
      <c r="H152" s="3"/>
      <c r="I152" s="3"/>
      <c r="J152" s="3"/>
      <c r="K152" s="7" t="str">
        <f>IF(OR(I152="",J152="",I152=0),"",(J152-I152)/I152)</f>
        <v/>
      </c>
      <c r="L152" s="3" t="str">
        <f>IF(J152="","",IF(J152/10&gt;='الإعدادات والمستهدفات'!B5,"ناجح ومستوفى","ضعيف - يلزم إعادة اختبار"))</f>
        <v/>
      </c>
      <c r="M152" s="3"/>
      <c r="N152" s="3"/>
    </row>
    <row r="153" spans="1:14" x14ac:dyDescent="0.2">
      <c r="A153" s="3" t="str">
        <f>IFERROR(VLOOKUP(B153,'جدول الجلسات التدريبية'!A:B,2,FALSE),"")</f>
        <v/>
      </c>
      <c r="B153" s="3"/>
      <c r="C153" s="3" t="str">
        <f>IFERROR(VLOOKUP(A153,'الخطة التدريبية المعتمدة'!A:C,3,FALSE),"")</f>
        <v/>
      </c>
      <c r="D153" s="3" t="str">
        <f>IFERROR(VLOOKUP(B153,'جدول الجلسات التدريبية'!A:D,4,FALSE),"")</f>
        <v/>
      </c>
      <c r="E153" s="3"/>
      <c r="F153" s="3" t="str">
        <f>IFERROR(VLOOKUP(E153,'سجل الموظفين والكفاءة'!B:C,2,FALSE),"")</f>
        <v/>
      </c>
      <c r="G153" s="3">
        <f>IFERROR(VLOOKUP(A153,'الخطة التدريبية المعتمدة'!A:J,10,FALSE),0)</f>
        <v>0</v>
      </c>
      <c r="H153" s="3"/>
      <c r="I153" s="3"/>
      <c r="J153" s="3"/>
      <c r="K153" s="7" t="str">
        <f>IF(OR(I153="",J153="",I153=0),"",(J153-I153)/I153)</f>
        <v/>
      </c>
      <c r="L153" s="3" t="str">
        <f>IF(J153="","",IF(J153/10&gt;='الإعدادات والمستهدفات'!B5,"ناجح ومستوفى","ضعيف - يلزم إعادة اختبار"))</f>
        <v/>
      </c>
      <c r="M153" s="3"/>
      <c r="N153" s="3"/>
    </row>
    <row r="154" spans="1:14" x14ac:dyDescent="0.2">
      <c r="A154" s="3" t="str">
        <f>IFERROR(VLOOKUP(B154,'جدول الجلسات التدريبية'!A:B,2,FALSE),"")</f>
        <v/>
      </c>
      <c r="B154" s="3"/>
      <c r="C154" s="3" t="str">
        <f>IFERROR(VLOOKUP(A154,'الخطة التدريبية المعتمدة'!A:C,3,FALSE),"")</f>
        <v/>
      </c>
      <c r="D154" s="3" t="str">
        <f>IFERROR(VLOOKUP(B154,'جدول الجلسات التدريبية'!A:D,4,FALSE),"")</f>
        <v/>
      </c>
      <c r="E154" s="3"/>
      <c r="F154" s="3" t="str">
        <f>IFERROR(VLOOKUP(E154,'سجل الموظفين والكفاءة'!B:C,2,FALSE),"")</f>
        <v/>
      </c>
      <c r="G154" s="3">
        <f>IFERROR(VLOOKUP(A154,'الخطة التدريبية المعتمدة'!A:J,10,FALSE),0)</f>
        <v>0</v>
      </c>
      <c r="H154" s="3"/>
      <c r="I154" s="3"/>
      <c r="J154" s="3"/>
      <c r="K154" s="7" t="str">
        <f>IF(OR(I154="",J154="",I154=0),"",(J154-I154)/I154)</f>
        <v/>
      </c>
      <c r="L154" s="3" t="str">
        <f>IF(J154="","",IF(J154/10&gt;='الإعدادات والمستهدفات'!B5,"ناجح ومستوفى","ضعيف - يلزم إعادة اختبار"))</f>
        <v/>
      </c>
      <c r="M154" s="3"/>
      <c r="N154" s="3"/>
    </row>
    <row r="155" spans="1:14" x14ac:dyDescent="0.2">
      <c r="A155" s="3" t="str">
        <f>IFERROR(VLOOKUP(B155,'جدول الجلسات التدريبية'!A:B,2,FALSE),"")</f>
        <v/>
      </c>
      <c r="B155" s="3"/>
      <c r="C155" s="3" t="str">
        <f>IFERROR(VLOOKUP(A155,'الخطة التدريبية المعتمدة'!A:C,3,FALSE),"")</f>
        <v/>
      </c>
      <c r="D155" s="3" t="str">
        <f>IFERROR(VLOOKUP(B155,'جدول الجلسات التدريبية'!A:D,4,FALSE),"")</f>
        <v/>
      </c>
      <c r="E155" s="3"/>
      <c r="F155" s="3" t="str">
        <f>IFERROR(VLOOKUP(E155,'سجل الموظفين والكفاءة'!B:C,2,FALSE),"")</f>
        <v/>
      </c>
      <c r="G155" s="3">
        <f>IFERROR(VLOOKUP(A155,'الخطة التدريبية المعتمدة'!A:J,10,FALSE),0)</f>
        <v>0</v>
      </c>
      <c r="H155" s="3"/>
      <c r="I155" s="3"/>
      <c r="J155" s="3"/>
      <c r="K155" s="7" t="str">
        <f>IF(OR(I155="",J155="",I155=0),"",(J155-I155)/I155)</f>
        <v/>
      </c>
      <c r="L155" s="3" t="str">
        <f>IF(J155="","",IF(J155/10&gt;='الإعدادات والمستهدفات'!B5,"ناجح ومستوفى","ضعيف - يلزم إعادة اختبار"))</f>
        <v/>
      </c>
      <c r="M155" s="3"/>
      <c r="N155" s="3"/>
    </row>
    <row r="156" spans="1:14" x14ac:dyDescent="0.2">
      <c r="A156" s="3" t="str">
        <f>IFERROR(VLOOKUP(B156,'جدول الجلسات التدريبية'!A:B,2,FALSE),"")</f>
        <v/>
      </c>
      <c r="B156" s="3"/>
      <c r="C156" s="3" t="str">
        <f>IFERROR(VLOOKUP(A156,'الخطة التدريبية المعتمدة'!A:C,3,FALSE),"")</f>
        <v/>
      </c>
      <c r="D156" s="3" t="str">
        <f>IFERROR(VLOOKUP(B156,'جدول الجلسات التدريبية'!A:D,4,FALSE),"")</f>
        <v/>
      </c>
      <c r="E156" s="3"/>
      <c r="F156" s="3" t="str">
        <f>IFERROR(VLOOKUP(E156,'سجل الموظفين والكفاءة'!B:C,2,FALSE),"")</f>
        <v/>
      </c>
      <c r="G156" s="3">
        <f>IFERROR(VLOOKUP(A156,'الخطة التدريبية المعتمدة'!A:J,10,FALSE),0)</f>
        <v>0</v>
      </c>
      <c r="H156" s="3"/>
      <c r="I156" s="3"/>
      <c r="J156" s="3"/>
      <c r="K156" s="7" t="str">
        <f>IF(OR(I156="",J156="",I156=0),"",(J156-I156)/I156)</f>
        <v/>
      </c>
      <c r="L156" s="3" t="str">
        <f>IF(J156="","",IF(J156/10&gt;='الإعدادات والمستهدفات'!B5,"ناجح ومستوفى","ضعيف - يلزم إعادة اختبار"))</f>
        <v/>
      </c>
      <c r="M156" s="3"/>
      <c r="N156" s="3"/>
    </row>
    <row r="157" spans="1:14" x14ac:dyDescent="0.2">
      <c r="A157" s="3" t="str">
        <f>IFERROR(VLOOKUP(B157,'جدول الجلسات التدريبية'!A:B,2,FALSE),"")</f>
        <v/>
      </c>
      <c r="B157" s="3"/>
      <c r="C157" s="3" t="str">
        <f>IFERROR(VLOOKUP(A157,'الخطة التدريبية المعتمدة'!A:C,3,FALSE),"")</f>
        <v/>
      </c>
      <c r="D157" s="3" t="str">
        <f>IFERROR(VLOOKUP(B157,'جدول الجلسات التدريبية'!A:D,4,FALSE),"")</f>
        <v/>
      </c>
      <c r="E157" s="3"/>
      <c r="F157" s="3" t="str">
        <f>IFERROR(VLOOKUP(E157,'سجل الموظفين والكفاءة'!B:C,2,FALSE),"")</f>
        <v/>
      </c>
      <c r="G157" s="3">
        <f>IFERROR(VLOOKUP(A157,'الخطة التدريبية المعتمدة'!A:J,10,FALSE),0)</f>
        <v>0</v>
      </c>
      <c r="H157" s="3"/>
      <c r="I157" s="3"/>
      <c r="J157" s="3"/>
      <c r="K157" s="7" t="str">
        <f>IF(OR(I157="",J157="",I157=0),"",(J157-I157)/I157)</f>
        <v/>
      </c>
      <c r="L157" s="3" t="str">
        <f>IF(J157="","",IF(J157/10&gt;='الإعدادات والمستهدفات'!B5,"ناجح ومستوفى","ضعيف - يلزم إعادة اختبار"))</f>
        <v/>
      </c>
      <c r="M157" s="3"/>
      <c r="N157" s="3"/>
    </row>
    <row r="158" spans="1:14" x14ac:dyDescent="0.2">
      <c r="A158" s="3" t="str">
        <f>IFERROR(VLOOKUP(B158,'جدول الجلسات التدريبية'!A:B,2,FALSE),"")</f>
        <v/>
      </c>
      <c r="B158" s="3"/>
      <c r="C158" s="3" t="str">
        <f>IFERROR(VLOOKUP(A158,'الخطة التدريبية المعتمدة'!A:C,3,FALSE),"")</f>
        <v/>
      </c>
      <c r="D158" s="3" t="str">
        <f>IFERROR(VLOOKUP(B158,'جدول الجلسات التدريبية'!A:D,4,FALSE),"")</f>
        <v/>
      </c>
      <c r="E158" s="3"/>
      <c r="F158" s="3" t="str">
        <f>IFERROR(VLOOKUP(E158,'سجل الموظفين والكفاءة'!B:C,2,FALSE),"")</f>
        <v/>
      </c>
      <c r="G158" s="3">
        <f>IFERROR(VLOOKUP(A158,'الخطة التدريبية المعتمدة'!A:J,10,FALSE),0)</f>
        <v>0</v>
      </c>
      <c r="H158" s="3"/>
      <c r="I158" s="3"/>
      <c r="J158" s="3"/>
      <c r="K158" s="7" t="str">
        <f>IF(OR(I158="",J158="",I158=0),"",(J158-I158)/I158)</f>
        <v/>
      </c>
      <c r="L158" s="3" t="str">
        <f>IF(J158="","",IF(J158/10&gt;='الإعدادات والمستهدفات'!B5,"ناجح ومستوفى","ضعيف - يلزم إعادة اختبار"))</f>
        <v/>
      </c>
      <c r="M158" s="3"/>
      <c r="N158" s="3"/>
    </row>
    <row r="159" spans="1:14" x14ac:dyDescent="0.2">
      <c r="A159" s="3" t="str">
        <f>IFERROR(VLOOKUP(B159,'جدول الجلسات التدريبية'!A:B,2,FALSE),"")</f>
        <v/>
      </c>
      <c r="B159" s="3"/>
      <c r="C159" s="3" t="str">
        <f>IFERROR(VLOOKUP(A159,'الخطة التدريبية المعتمدة'!A:C,3,FALSE),"")</f>
        <v/>
      </c>
      <c r="D159" s="3" t="str">
        <f>IFERROR(VLOOKUP(B159,'جدول الجلسات التدريبية'!A:D,4,FALSE),"")</f>
        <v/>
      </c>
      <c r="E159" s="3"/>
      <c r="F159" s="3" t="str">
        <f>IFERROR(VLOOKUP(E159,'سجل الموظفين والكفاءة'!B:C,2,FALSE),"")</f>
        <v/>
      </c>
      <c r="G159" s="3">
        <f>IFERROR(VLOOKUP(A159,'الخطة التدريبية المعتمدة'!A:J,10,FALSE),0)</f>
        <v>0</v>
      </c>
      <c r="H159" s="3"/>
      <c r="I159" s="3"/>
      <c r="J159" s="3"/>
      <c r="K159" s="7" t="str">
        <f>IF(OR(I159="",J159="",I159=0),"",(J159-I159)/I159)</f>
        <v/>
      </c>
      <c r="L159" s="3" t="str">
        <f>IF(J159="","",IF(J159/10&gt;='الإعدادات والمستهدفات'!B5,"ناجح ومستوفى","ضعيف - يلزم إعادة اختبار"))</f>
        <v/>
      </c>
      <c r="M159" s="3"/>
      <c r="N159" s="3"/>
    </row>
    <row r="160" spans="1:14" x14ac:dyDescent="0.2">
      <c r="A160" s="3" t="str">
        <f>IFERROR(VLOOKUP(B160,'جدول الجلسات التدريبية'!A:B,2,FALSE),"")</f>
        <v/>
      </c>
      <c r="B160" s="3"/>
      <c r="C160" s="3" t="str">
        <f>IFERROR(VLOOKUP(A160,'الخطة التدريبية المعتمدة'!A:C,3,FALSE),"")</f>
        <v/>
      </c>
      <c r="D160" s="3" t="str">
        <f>IFERROR(VLOOKUP(B160,'جدول الجلسات التدريبية'!A:D,4,FALSE),"")</f>
        <v/>
      </c>
      <c r="E160" s="3"/>
      <c r="F160" s="3" t="str">
        <f>IFERROR(VLOOKUP(E160,'سجل الموظفين والكفاءة'!B:C,2,FALSE),"")</f>
        <v/>
      </c>
      <c r="G160" s="3">
        <f>IFERROR(VLOOKUP(A160,'الخطة التدريبية المعتمدة'!A:J,10,FALSE),0)</f>
        <v>0</v>
      </c>
      <c r="H160" s="3"/>
      <c r="I160" s="3"/>
      <c r="J160" s="3"/>
      <c r="K160" s="7" t="str">
        <f>IF(OR(I160="",J160="",I160=0),"",(J160-I160)/I160)</f>
        <v/>
      </c>
      <c r="L160" s="3" t="str">
        <f>IF(J160="","",IF(J160/10&gt;='الإعدادات والمستهدفات'!B5,"ناجح ومستوفى","ضعيف - يلزم إعادة اختبار"))</f>
        <v/>
      </c>
      <c r="M160" s="3"/>
      <c r="N160" s="3"/>
    </row>
    <row r="161" spans="1:14" x14ac:dyDescent="0.2">
      <c r="A161" s="3" t="str">
        <f>IFERROR(VLOOKUP(B161,'جدول الجلسات التدريبية'!A:B,2,FALSE),"")</f>
        <v/>
      </c>
      <c r="B161" s="3"/>
      <c r="C161" s="3" t="str">
        <f>IFERROR(VLOOKUP(A161,'الخطة التدريبية المعتمدة'!A:C,3,FALSE),"")</f>
        <v/>
      </c>
      <c r="D161" s="3" t="str">
        <f>IFERROR(VLOOKUP(B161,'جدول الجلسات التدريبية'!A:D,4,FALSE),"")</f>
        <v/>
      </c>
      <c r="E161" s="3"/>
      <c r="F161" s="3" t="str">
        <f>IFERROR(VLOOKUP(E161,'سجل الموظفين والكفاءة'!B:C,2,FALSE),"")</f>
        <v/>
      </c>
      <c r="G161" s="3">
        <f>IFERROR(VLOOKUP(A161,'الخطة التدريبية المعتمدة'!A:J,10,FALSE),0)</f>
        <v>0</v>
      </c>
      <c r="H161" s="3"/>
      <c r="I161" s="3"/>
      <c r="J161" s="3"/>
      <c r="K161" s="7" t="str">
        <f>IF(OR(I161="",J161="",I161=0),"",(J161-I161)/I161)</f>
        <v/>
      </c>
      <c r="L161" s="3" t="str">
        <f>IF(J161="","",IF(J161/10&gt;='الإعدادات والمستهدفات'!B5,"ناجح ومستوفى","ضعيف - يلزم إعادة اختبار"))</f>
        <v/>
      </c>
      <c r="M161" s="3"/>
      <c r="N161" s="3"/>
    </row>
    <row r="162" spans="1:14" x14ac:dyDescent="0.2">
      <c r="A162" s="3" t="str">
        <f>IFERROR(VLOOKUP(B162,'جدول الجلسات التدريبية'!A:B,2,FALSE),"")</f>
        <v/>
      </c>
      <c r="B162" s="3"/>
      <c r="C162" s="3" t="str">
        <f>IFERROR(VLOOKUP(A162,'الخطة التدريبية المعتمدة'!A:C,3,FALSE),"")</f>
        <v/>
      </c>
      <c r="D162" s="3" t="str">
        <f>IFERROR(VLOOKUP(B162,'جدول الجلسات التدريبية'!A:D,4,FALSE),"")</f>
        <v/>
      </c>
      <c r="E162" s="3"/>
      <c r="F162" s="3" t="str">
        <f>IFERROR(VLOOKUP(E162,'سجل الموظفين والكفاءة'!B:C,2,FALSE),"")</f>
        <v/>
      </c>
      <c r="G162" s="3">
        <f>IFERROR(VLOOKUP(A162,'الخطة التدريبية المعتمدة'!A:J,10,FALSE),0)</f>
        <v>0</v>
      </c>
      <c r="H162" s="3"/>
      <c r="I162" s="3"/>
      <c r="J162" s="3"/>
      <c r="K162" s="7" t="str">
        <f>IF(OR(I162="",J162="",I162=0),"",(J162-I162)/I162)</f>
        <v/>
      </c>
      <c r="L162" s="3" t="str">
        <f>IF(J162="","",IF(J162/10&gt;='الإعدادات والمستهدفات'!B5,"ناجح ومستوفى","ضعيف - يلزم إعادة اختبار"))</f>
        <v/>
      </c>
      <c r="M162" s="3"/>
      <c r="N162" s="3"/>
    </row>
    <row r="163" spans="1:14" x14ac:dyDescent="0.2">
      <c r="A163" s="3" t="str">
        <f>IFERROR(VLOOKUP(B163,'جدول الجلسات التدريبية'!A:B,2,FALSE),"")</f>
        <v/>
      </c>
      <c r="B163" s="3"/>
      <c r="C163" s="3" t="str">
        <f>IFERROR(VLOOKUP(A163,'الخطة التدريبية المعتمدة'!A:C,3,FALSE),"")</f>
        <v/>
      </c>
      <c r="D163" s="3" t="str">
        <f>IFERROR(VLOOKUP(B163,'جدول الجلسات التدريبية'!A:D,4,FALSE),"")</f>
        <v/>
      </c>
      <c r="E163" s="3"/>
      <c r="F163" s="3" t="str">
        <f>IFERROR(VLOOKUP(E163,'سجل الموظفين والكفاءة'!B:C,2,FALSE),"")</f>
        <v/>
      </c>
      <c r="G163" s="3">
        <f>IFERROR(VLOOKUP(A163,'الخطة التدريبية المعتمدة'!A:J,10,FALSE),0)</f>
        <v>0</v>
      </c>
      <c r="H163" s="3"/>
      <c r="I163" s="3"/>
      <c r="J163" s="3"/>
      <c r="K163" s="7" t="str">
        <f>IF(OR(I163="",J163="",I163=0),"",(J163-I163)/I163)</f>
        <v/>
      </c>
      <c r="L163" s="3" t="str">
        <f>IF(J163="","",IF(J163/10&gt;='الإعدادات والمستهدفات'!B5,"ناجح ومستوفى","ضعيف - يلزم إعادة اختبار"))</f>
        <v/>
      </c>
      <c r="M163" s="3"/>
      <c r="N163" s="3"/>
    </row>
    <row r="164" spans="1:14" x14ac:dyDescent="0.2">
      <c r="A164" s="3" t="str">
        <f>IFERROR(VLOOKUP(B164,'جدول الجلسات التدريبية'!A:B,2,FALSE),"")</f>
        <v/>
      </c>
      <c r="B164" s="3"/>
      <c r="C164" s="3" t="str">
        <f>IFERROR(VLOOKUP(A164,'الخطة التدريبية المعتمدة'!A:C,3,FALSE),"")</f>
        <v/>
      </c>
      <c r="D164" s="3" t="str">
        <f>IFERROR(VLOOKUP(B164,'جدول الجلسات التدريبية'!A:D,4,FALSE),"")</f>
        <v/>
      </c>
      <c r="E164" s="3"/>
      <c r="F164" s="3" t="str">
        <f>IFERROR(VLOOKUP(E164,'سجل الموظفين والكفاءة'!B:C,2,FALSE),"")</f>
        <v/>
      </c>
      <c r="G164" s="3">
        <f>IFERROR(VLOOKUP(A164,'الخطة التدريبية المعتمدة'!A:J,10,FALSE),0)</f>
        <v>0</v>
      </c>
      <c r="H164" s="3"/>
      <c r="I164" s="3"/>
      <c r="J164" s="3"/>
      <c r="K164" s="7" t="str">
        <f>IF(OR(I164="",J164="",I164=0),"",(J164-I164)/I164)</f>
        <v/>
      </c>
      <c r="L164" s="3" t="str">
        <f>IF(J164="","",IF(J164/10&gt;='الإعدادات والمستهدفات'!B5,"ناجح ومستوفى","ضعيف - يلزم إعادة اختبار"))</f>
        <v/>
      </c>
      <c r="M164" s="3"/>
      <c r="N164" s="3"/>
    </row>
    <row r="165" spans="1:14" x14ac:dyDescent="0.2">
      <c r="A165" s="3" t="str">
        <f>IFERROR(VLOOKUP(B165,'جدول الجلسات التدريبية'!A:B,2,FALSE),"")</f>
        <v/>
      </c>
      <c r="B165" s="3"/>
      <c r="C165" s="3" t="str">
        <f>IFERROR(VLOOKUP(A165,'الخطة التدريبية المعتمدة'!A:C,3,FALSE),"")</f>
        <v/>
      </c>
      <c r="D165" s="3" t="str">
        <f>IFERROR(VLOOKUP(B165,'جدول الجلسات التدريبية'!A:D,4,FALSE),"")</f>
        <v/>
      </c>
      <c r="E165" s="3"/>
      <c r="F165" s="3" t="str">
        <f>IFERROR(VLOOKUP(E165,'سجل الموظفين والكفاءة'!B:C,2,FALSE),"")</f>
        <v/>
      </c>
      <c r="G165" s="3">
        <f>IFERROR(VLOOKUP(A165,'الخطة التدريبية المعتمدة'!A:J,10,FALSE),0)</f>
        <v>0</v>
      </c>
      <c r="H165" s="3"/>
      <c r="I165" s="3"/>
      <c r="J165" s="3"/>
      <c r="K165" s="7" t="str">
        <f>IF(OR(I165="",J165="",I165=0),"",(J165-I165)/I165)</f>
        <v/>
      </c>
      <c r="L165" s="3" t="str">
        <f>IF(J165="","",IF(J165/10&gt;='الإعدادات والمستهدفات'!B5,"ناجح ومستوفى","ضعيف - يلزم إعادة اختبار"))</f>
        <v/>
      </c>
      <c r="M165" s="3"/>
      <c r="N165" s="3"/>
    </row>
    <row r="166" spans="1:14" x14ac:dyDescent="0.2">
      <c r="A166" s="3" t="str">
        <f>IFERROR(VLOOKUP(B166,'جدول الجلسات التدريبية'!A:B,2,FALSE),"")</f>
        <v/>
      </c>
      <c r="B166" s="3"/>
      <c r="C166" s="3" t="str">
        <f>IFERROR(VLOOKUP(A166,'الخطة التدريبية المعتمدة'!A:C,3,FALSE),"")</f>
        <v/>
      </c>
      <c r="D166" s="3" t="str">
        <f>IFERROR(VLOOKUP(B166,'جدول الجلسات التدريبية'!A:D,4,FALSE),"")</f>
        <v/>
      </c>
      <c r="E166" s="3"/>
      <c r="F166" s="3" t="str">
        <f>IFERROR(VLOOKUP(E166,'سجل الموظفين والكفاءة'!B:C,2,FALSE),"")</f>
        <v/>
      </c>
      <c r="G166" s="3">
        <f>IFERROR(VLOOKUP(A166,'الخطة التدريبية المعتمدة'!A:J,10,FALSE),0)</f>
        <v>0</v>
      </c>
      <c r="H166" s="3"/>
      <c r="I166" s="3"/>
      <c r="J166" s="3"/>
      <c r="K166" s="7" t="str">
        <f>IF(OR(I166="",J166="",I166=0),"",(J166-I166)/I166)</f>
        <v/>
      </c>
      <c r="L166" s="3" t="str">
        <f>IF(J166="","",IF(J166/10&gt;='الإعدادات والمستهدفات'!B5,"ناجح ومستوفى","ضعيف - يلزم إعادة اختبار"))</f>
        <v/>
      </c>
      <c r="M166" s="3"/>
      <c r="N166" s="3"/>
    </row>
    <row r="167" spans="1:14" x14ac:dyDescent="0.2">
      <c r="A167" s="3" t="str">
        <f>IFERROR(VLOOKUP(B167,'جدول الجلسات التدريبية'!A:B,2,FALSE),"")</f>
        <v/>
      </c>
      <c r="B167" s="3"/>
      <c r="C167" s="3" t="str">
        <f>IFERROR(VLOOKUP(A167,'الخطة التدريبية المعتمدة'!A:C,3,FALSE),"")</f>
        <v/>
      </c>
      <c r="D167" s="3" t="str">
        <f>IFERROR(VLOOKUP(B167,'جدول الجلسات التدريبية'!A:D,4,FALSE),"")</f>
        <v/>
      </c>
      <c r="E167" s="3"/>
      <c r="F167" s="3" t="str">
        <f>IFERROR(VLOOKUP(E167,'سجل الموظفين والكفاءة'!B:C,2,FALSE),"")</f>
        <v/>
      </c>
      <c r="G167" s="3">
        <f>IFERROR(VLOOKUP(A167,'الخطة التدريبية المعتمدة'!A:J,10,FALSE),0)</f>
        <v>0</v>
      </c>
      <c r="H167" s="3"/>
      <c r="I167" s="3"/>
      <c r="J167" s="3"/>
      <c r="K167" s="7" t="str">
        <f>IF(OR(I167="",J167="",I167=0),"",(J167-I167)/I167)</f>
        <v/>
      </c>
      <c r="L167" s="3" t="str">
        <f>IF(J167="","",IF(J167/10&gt;='الإعدادات والمستهدفات'!B5,"ناجح ومستوفى","ضعيف - يلزم إعادة اختبار"))</f>
        <v/>
      </c>
      <c r="M167" s="3"/>
      <c r="N167" s="3"/>
    </row>
    <row r="168" spans="1:14" x14ac:dyDescent="0.2">
      <c r="A168" s="3" t="str">
        <f>IFERROR(VLOOKUP(B168,'جدول الجلسات التدريبية'!A:B,2,FALSE),"")</f>
        <v/>
      </c>
      <c r="B168" s="3"/>
      <c r="C168" s="3" t="str">
        <f>IFERROR(VLOOKUP(A168,'الخطة التدريبية المعتمدة'!A:C,3,FALSE),"")</f>
        <v/>
      </c>
      <c r="D168" s="3" t="str">
        <f>IFERROR(VLOOKUP(B168,'جدول الجلسات التدريبية'!A:D,4,FALSE),"")</f>
        <v/>
      </c>
      <c r="E168" s="3"/>
      <c r="F168" s="3" t="str">
        <f>IFERROR(VLOOKUP(E168,'سجل الموظفين والكفاءة'!B:C,2,FALSE),"")</f>
        <v/>
      </c>
      <c r="G168" s="3">
        <f>IFERROR(VLOOKUP(A168,'الخطة التدريبية المعتمدة'!A:J,10,FALSE),0)</f>
        <v>0</v>
      </c>
      <c r="H168" s="3"/>
      <c r="I168" s="3"/>
      <c r="J168" s="3"/>
      <c r="K168" s="7" t="str">
        <f>IF(OR(I168="",J168="",I168=0),"",(J168-I168)/I168)</f>
        <v/>
      </c>
      <c r="L168" s="3" t="str">
        <f>IF(J168="","",IF(J168/10&gt;='الإعدادات والمستهدفات'!B5,"ناجح ومستوفى","ضعيف - يلزم إعادة اختبار"))</f>
        <v/>
      </c>
      <c r="M168" s="3"/>
      <c r="N168" s="3"/>
    </row>
    <row r="169" spans="1:14" x14ac:dyDescent="0.2">
      <c r="A169" s="3" t="str">
        <f>IFERROR(VLOOKUP(B169,'جدول الجلسات التدريبية'!A:B,2,FALSE),"")</f>
        <v/>
      </c>
      <c r="B169" s="3"/>
      <c r="C169" s="3" t="str">
        <f>IFERROR(VLOOKUP(A169,'الخطة التدريبية المعتمدة'!A:C,3,FALSE),"")</f>
        <v/>
      </c>
      <c r="D169" s="3" t="str">
        <f>IFERROR(VLOOKUP(B169,'جدول الجلسات التدريبية'!A:D,4,FALSE),"")</f>
        <v/>
      </c>
      <c r="E169" s="3"/>
      <c r="F169" s="3" t="str">
        <f>IFERROR(VLOOKUP(E169,'سجل الموظفين والكفاءة'!B:C,2,FALSE),"")</f>
        <v/>
      </c>
      <c r="G169" s="3">
        <f>IFERROR(VLOOKUP(A169,'الخطة التدريبية المعتمدة'!A:J,10,FALSE),0)</f>
        <v>0</v>
      </c>
      <c r="H169" s="3"/>
      <c r="I169" s="3"/>
      <c r="J169" s="3"/>
      <c r="K169" s="7" t="str">
        <f>IF(OR(I169="",J169="",I169=0),"",(J169-I169)/I169)</f>
        <v/>
      </c>
      <c r="L169" s="3" t="str">
        <f>IF(J169="","",IF(J169/10&gt;='الإعدادات والمستهدفات'!B5,"ناجح ومستوفى","ضعيف - يلزم إعادة اختبار"))</f>
        <v/>
      </c>
      <c r="M169" s="3"/>
      <c r="N169" s="3"/>
    </row>
    <row r="170" spans="1:14" x14ac:dyDescent="0.2">
      <c r="A170" s="3" t="str">
        <f>IFERROR(VLOOKUP(B170,'جدول الجلسات التدريبية'!A:B,2,FALSE),"")</f>
        <v/>
      </c>
      <c r="B170" s="3"/>
      <c r="C170" s="3" t="str">
        <f>IFERROR(VLOOKUP(A170,'الخطة التدريبية المعتمدة'!A:C,3,FALSE),"")</f>
        <v/>
      </c>
      <c r="D170" s="3" t="str">
        <f>IFERROR(VLOOKUP(B170,'جدول الجلسات التدريبية'!A:D,4,FALSE),"")</f>
        <v/>
      </c>
      <c r="E170" s="3"/>
      <c r="F170" s="3" t="str">
        <f>IFERROR(VLOOKUP(E170,'سجل الموظفين والكفاءة'!B:C,2,FALSE),"")</f>
        <v/>
      </c>
      <c r="G170" s="3">
        <f>IFERROR(VLOOKUP(A170,'الخطة التدريبية المعتمدة'!A:J,10,FALSE),0)</f>
        <v>0</v>
      </c>
      <c r="H170" s="3"/>
      <c r="I170" s="3"/>
      <c r="J170" s="3"/>
      <c r="K170" s="7" t="str">
        <f>IF(OR(I170="",J170="",I170=0),"",(J170-I170)/I170)</f>
        <v/>
      </c>
      <c r="L170" s="3" t="str">
        <f>IF(J170="","",IF(J170/10&gt;='الإعدادات والمستهدفات'!B5,"ناجح ومستوفى","ضعيف - يلزم إعادة اختبار"))</f>
        <v/>
      </c>
      <c r="M170" s="3"/>
      <c r="N170" s="3"/>
    </row>
    <row r="171" spans="1:14" x14ac:dyDescent="0.2">
      <c r="A171" s="3" t="str">
        <f>IFERROR(VLOOKUP(B171,'جدول الجلسات التدريبية'!A:B,2,FALSE),"")</f>
        <v/>
      </c>
      <c r="B171" s="3"/>
      <c r="C171" s="3" t="str">
        <f>IFERROR(VLOOKUP(A171,'الخطة التدريبية المعتمدة'!A:C,3,FALSE),"")</f>
        <v/>
      </c>
      <c r="D171" s="3" t="str">
        <f>IFERROR(VLOOKUP(B171,'جدول الجلسات التدريبية'!A:D,4,FALSE),"")</f>
        <v/>
      </c>
      <c r="E171" s="3"/>
      <c r="F171" s="3" t="str">
        <f>IFERROR(VLOOKUP(E171,'سجل الموظفين والكفاءة'!B:C,2,FALSE),"")</f>
        <v/>
      </c>
      <c r="G171" s="3">
        <f>IFERROR(VLOOKUP(A171,'الخطة التدريبية المعتمدة'!A:J,10,FALSE),0)</f>
        <v>0</v>
      </c>
      <c r="H171" s="3"/>
      <c r="I171" s="3"/>
      <c r="J171" s="3"/>
      <c r="K171" s="7" t="str">
        <f>IF(OR(I171="",J171="",I171=0),"",(J171-I171)/I171)</f>
        <v/>
      </c>
      <c r="L171" s="3" t="str">
        <f>IF(J171="","",IF(J171/10&gt;='الإعدادات والمستهدفات'!B5,"ناجح ومستوفى","ضعيف - يلزم إعادة اختبار"))</f>
        <v/>
      </c>
      <c r="M171" s="3"/>
      <c r="N171" s="3"/>
    </row>
    <row r="172" spans="1:14" x14ac:dyDescent="0.2">
      <c r="A172" s="3" t="str">
        <f>IFERROR(VLOOKUP(B172,'جدول الجلسات التدريبية'!A:B,2,FALSE),"")</f>
        <v/>
      </c>
      <c r="B172" s="3"/>
      <c r="C172" s="3" t="str">
        <f>IFERROR(VLOOKUP(A172,'الخطة التدريبية المعتمدة'!A:C,3,FALSE),"")</f>
        <v/>
      </c>
      <c r="D172" s="3" t="str">
        <f>IFERROR(VLOOKUP(B172,'جدول الجلسات التدريبية'!A:D,4,FALSE),"")</f>
        <v/>
      </c>
      <c r="E172" s="3"/>
      <c r="F172" s="3" t="str">
        <f>IFERROR(VLOOKUP(E172,'سجل الموظفين والكفاءة'!B:C,2,FALSE),"")</f>
        <v/>
      </c>
      <c r="G172" s="3">
        <f>IFERROR(VLOOKUP(A172,'الخطة التدريبية المعتمدة'!A:J,10,FALSE),0)</f>
        <v>0</v>
      </c>
      <c r="H172" s="3"/>
      <c r="I172" s="3"/>
      <c r="J172" s="3"/>
      <c r="K172" s="7" t="str">
        <f>IF(OR(I172="",J172="",I172=0),"",(J172-I172)/I172)</f>
        <v/>
      </c>
      <c r="L172" s="3" t="str">
        <f>IF(J172="","",IF(J172/10&gt;='الإعدادات والمستهدفات'!B5,"ناجح ومستوفى","ضعيف - يلزم إعادة اختبار"))</f>
        <v/>
      </c>
      <c r="M172" s="3"/>
      <c r="N172" s="3"/>
    </row>
    <row r="173" spans="1:14" x14ac:dyDescent="0.2">
      <c r="A173" s="3" t="str">
        <f>IFERROR(VLOOKUP(B173,'جدول الجلسات التدريبية'!A:B,2,FALSE),"")</f>
        <v/>
      </c>
      <c r="B173" s="3"/>
      <c r="C173" s="3" t="str">
        <f>IFERROR(VLOOKUP(A173,'الخطة التدريبية المعتمدة'!A:C,3,FALSE),"")</f>
        <v/>
      </c>
      <c r="D173" s="3" t="str">
        <f>IFERROR(VLOOKUP(B173,'جدول الجلسات التدريبية'!A:D,4,FALSE),"")</f>
        <v/>
      </c>
      <c r="E173" s="3"/>
      <c r="F173" s="3" t="str">
        <f>IFERROR(VLOOKUP(E173,'سجل الموظفين والكفاءة'!B:C,2,FALSE),"")</f>
        <v/>
      </c>
      <c r="G173" s="3">
        <f>IFERROR(VLOOKUP(A173,'الخطة التدريبية المعتمدة'!A:J,10,FALSE),0)</f>
        <v>0</v>
      </c>
      <c r="H173" s="3"/>
      <c r="I173" s="3"/>
      <c r="J173" s="3"/>
      <c r="K173" s="7" t="str">
        <f>IF(OR(I173="",J173="",I173=0),"",(J173-I173)/I173)</f>
        <v/>
      </c>
      <c r="L173" s="3" t="str">
        <f>IF(J173="","",IF(J173/10&gt;='الإعدادات والمستهدفات'!B5,"ناجح ومستوفى","ضعيف - يلزم إعادة اختبار"))</f>
        <v/>
      </c>
      <c r="M173" s="3"/>
      <c r="N173" s="3"/>
    </row>
    <row r="174" spans="1:14" x14ac:dyDescent="0.2">
      <c r="A174" s="3" t="str">
        <f>IFERROR(VLOOKUP(B174,'جدول الجلسات التدريبية'!A:B,2,FALSE),"")</f>
        <v/>
      </c>
      <c r="B174" s="3"/>
      <c r="C174" s="3" t="str">
        <f>IFERROR(VLOOKUP(A174,'الخطة التدريبية المعتمدة'!A:C,3,FALSE),"")</f>
        <v/>
      </c>
      <c r="D174" s="3" t="str">
        <f>IFERROR(VLOOKUP(B174,'جدول الجلسات التدريبية'!A:D,4,FALSE),"")</f>
        <v/>
      </c>
      <c r="E174" s="3"/>
      <c r="F174" s="3" t="str">
        <f>IFERROR(VLOOKUP(E174,'سجل الموظفين والكفاءة'!B:C,2,FALSE),"")</f>
        <v/>
      </c>
      <c r="G174" s="3">
        <f>IFERROR(VLOOKUP(A174,'الخطة التدريبية المعتمدة'!A:J,10,FALSE),0)</f>
        <v>0</v>
      </c>
      <c r="H174" s="3"/>
      <c r="I174" s="3"/>
      <c r="J174" s="3"/>
      <c r="K174" s="7" t="str">
        <f>IF(OR(I174="",J174="",I174=0),"",(J174-I174)/I174)</f>
        <v/>
      </c>
      <c r="L174" s="3" t="str">
        <f>IF(J174="","",IF(J174/10&gt;='الإعدادات والمستهدفات'!B5,"ناجح ومستوفى","ضعيف - يلزم إعادة اختبار"))</f>
        <v/>
      </c>
      <c r="M174" s="3"/>
      <c r="N174" s="3"/>
    </row>
    <row r="175" spans="1:14" x14ac:dyDescent="0.2">
      <c r="A175" s="3" t="str">
        <f>IFERROR(VLOOKUP(B175,'جدول الجلسات التدريبية'!A:B,2,FALSE),"")</f>
        <v/>
      </c>
      <c r="B175" s="3"/>
      <c r="C175" s="3" t="str">
        <f>IFERROR(VLOOKUP(A175,'الخطة التدريبية المعتمدة'!A:C,3,FALSE),"")</f>
        <v/>
      </c>
      <c r="D175" s="3" t="str">
        <f>IFERROR(VLOOKUP(B175,'جدول الجلسات التدريبية'!A:D,4,FALSE),"")</f>
        <v/>
      </c>
      <c r="E175" s="3"/>
      <c r="F175" s="3" t="str">
        <f>IFERROR(VLOOKUP(E175,'سجل الموظفين والكفاءة'!B:C,2,FALSE),"")</f>
        <v/>
      </c>
      <c r="G175" s="3">
        <f>IFERROR(VLOOKUP(A175,'الخطة التدريبية المعتمدة'!A:J,10,FALSE),0)</f>
        <v>0</v>
      </c>
      <c r="H175" s="3"/>
      <c r="I175" s="3"/>
      <c r="J175" s="3"/>
      <c r="K175" s="7" t="str">
        <f>IF(OR(I175="",J175="",I175=0),"",(J175-I175)/I175)</f>
        <v/>
      </c>
      <c r="L175" s="3" t="str">
        <f>IF(J175="","",IF(J175/10&gt;='الإعدادات والمستهدفات'!B5,"ناجح ومستوفى","ضعيف - يلزم إعادة اختبار"))</f>
        <v/>
      </c>
      <c r="M175" s="3"/>
      <c r="N175" s="3"/>
    </row>
    <row r="176" spans="1:14" x14ac:dyDescent="0.2">
      <c r="A176" s="3" t="str">
        <f>IFERROR(VLOOKUP(B176,'جدول الجلسات التدريبية'!A:B,2,FALSE),"")</f>
        <v/>
      </c>
      <c r="B176" s="3"/>
      <c r="C176" s="3" t="str">
        <f>IFERROR(VLOOKUP(A176,'الخطة التدريبية المعتمدة'!A:C,3,FALSE),"")</f>
        <v/>
      </c>
      <c r="D176" s="3" t="str">
        <f>IFERROR(VLOOKUP(B176,'جدول الجلسات التدريبية'!A:D,4,FALSE),"")</f>
        <v/>
      </c>
      <c r="E176" s="3"/>
      <c r="F176" s="3" t="str">
        <f>IFERROR(VLOOKUP(E176,'سجل الموظفين والكفاءة'!B:C,2,FALSE),"")</f>
        <v/>
      </c>
      <c r="G176" s="3">
        <f>IFERROR(VLOOKUP(A176,'الخطة التدريبية المعتمدة'!A:J,10,FALSE),0)</f>
        <v>0</v>
      </c>
      <c r="H176" s="3"/>
      <c r="I176" s="3"/>
      <c r="J176" s="3"/>
      <c r="K176" s="7" t="str">
        <f>IF(OR(I176="",J176="",I176=0),"",(J176-I176)/I176)</f>
        <v/>
      </c>
      <c r="L176" s="3" t="str">
        <f>IF(J176="","",IF(J176/10&gt;='الإعدادات والمستهدفات'!B5,"ناجح ومستوفى","ضعيف - يلزم إعادة اختبار"))</f>
        <v/>
      </c>
      <c r="M176" s="3"/>
      <c r="N176" s="3"/>
    </row>
    <row r="177" spans="1:14" x14ac:dyDescent="0.2">
      <c r="A177" s="3" t="str">
        <f>IFERROR(VLOOKUP(B177,'جدول الجلسات التدريبية'!A:B,2,FALSE),"")</f>
        <v/>
      </c>
      <c r="B177" s="3"/>
      <c r="C177" s="3" t="str">
        <f>IFERROR(VLOOKUP(A177,'الخطة التدريبية المعتمدة'!A:C,3,FALSE),"")</f>
        <v/>
      </c>
      <c r="D177" s="3" t="str">
        <f>IFERROR(VLOOKUP(B177,'جدول الجلسات التدريبية'!A:D,4,FALSE),"")</f>
        <v/>
      </c>
      <c r="E177" s="3"/>
      <c r="F177" s="3" t="str">
        <f>IFERROR(VLOOKUP(E177,'سجل الموظفين والكفاءة'!B:C,2,FALSE),"")</f>
        <v/>
      </c>
      <c r="G177" s="3">
        <f>IFERROR(VLOOKUP(A177,'الخطة التدريبية المعتمدة'!A:J,10,FALSE),0)</f>
        <v>0</v>
      </c>
      <c r="H177" s="3"/>
      <c r="I177" s="3"/>
      <c r="J177" s="3"/>
      <c r="K177" s="7" t="str">
        <f>IF(OR(I177="",J177="",I177=0),"",(J177-I177)/I177)</f>
        <v/>
      </c>
      <c r="L177" s="3" t="str">
        <f>IF(J177="","",IF(J177/10&gt;='الإعدادات والمستهدفات'!B5,"ناجح ومستوفى","ضعيف - يلزم إعادة اختبار"))</f>
        <v/>
      </c>
      <c r="M177" s="3"/>
      <c r="N177" s="3"/>
    </row>
    <row r="178" spans="1:14" x14ac:dyDescent="0.2">
      <c r="A178" s="3" t="str">
        <f>IFERROR(VLOOKUP(B178,'جدول الجلسات التدريبية'!A:B,2,FALSE),"")</f>
        <v/>
      </c>
      <c r="B178" s="3"/>
      <c r="C178" s="3" t="str">
        <f>IFERROR(VLOOKUP(A178,'الخطة التدريبية المعتمدة'!A:C,3,FALSE),"")</f>
        <v/>
      </c>
      <c r="D178" s="3" t="str">
        <f>IFERROR(VLOOKUP(B178,'جدول الجلسات التدريبية'!A:D,4,FALSE),"")</f>
        <v/>
      </c>
      <c r="E178" s="3"/>
      <c r="F178" s="3" t="str">
        <f>IFERROR(VLOOKUP(E178,'سجل الموظفين والكفاءة'!B:C,2,FALSE),"")</f>
        <v/>
      </c>
      <c r="G178" s="3">
        <f>IFERROR(VLOOKUP(A178,'الخطة التدريبية المعتمدة'!A:J,10,FALSE),0)</f>
        <v>0</v>
      </c>
      <c r="H178" s="3"/>
      <c r="I178" s="3"/>
      <c r="J178" s="3"/>
      <c r="K178" s="7" t="str">
        <f>IF(OR(I178="",J178="",I178=0),"",(J178-I178)/I178)</f>
        <v/>
      </c>
      <c r="L178" s="3" t="str">
        <f>IF(J178="","",IF(J178/10&gt;='الإعدادات والمستهدفات'!B5,"ناجح ومستوفى","ضعيف - يلزم إعادة اختبار"))</f>
        <v/>
      </c>
      <c r="M178" s="3"/>
      <c r="N178" s="3"/>
    </row>
    <row r="179" spans="1:14" x14ac:dyDescent="0.2">
      <c r="A179" s="3" t="str">
        <f>IFERROR(VLOOKUP(B179,'جدول الجلسات التدريبية'!A:B,2,FALSE),"")</f>
        <v/>
      </c>
      <c r="B179" s="3"/>
      <c r="C179" s="3" t="str">
        <f>IFERROR(VLOOKUP(A179,'الخطة التدريبية المعتمدة'!A:C,3,FALSE),"")</f>
        <v/>
      </c>
      <c r="D179" s="3" t="str">
        <f>IFERROR(VLOOKUP(B179,'جدول الجلسات التدريبية'!A:D,4,FALSE),"")</f>
        <v/>
      </c>
      <c r="E179" s="3"/>
      <c r="F179" s="3" t="str">
        <f>IFERROR(VLOOKUP(E179,'سجل الموظفين والكفاءة'!B:C,2,FALSE),"")</f>
        <v/>
      </c>
      <c r="G179" s="3">
        <f>IFERROR(VLOOKUP(A179,'الخطة التدريبية المعتمدة'!A:J,10,FALSE),0)</f>
        <v>0</v>
      </c>
      <c r="H179" s="3"/>
      <c r="I179" s="3"/>
      <c r="J179" s="3"/>
      <c r="K179" s="7" t="str">
        <f>IF(OR(I179="",J179="",I179=0),"",(J179-I179)/I179)</f>
        <v/>
      </c>
      <c r="L179" s="3" t="str">
        <f>IF(J179="","",IF(J179/10&gt;='الإعدادات والمستهدفات'!B5,"ناجح ومستوفى","ضعيف - يلزم إعادة اختبار"))</f>
        <v/>
      </c>
      <c r="M179" s="3"/>
      <c r="N179" s="3"/>
    </row>
    <row r="180" spans="1:14" x14ac:dyDescent="0.2">
      <c r="A180" s="3" t="str">
        <f>IFERROR(VLOOKUP(B180,'جدول الجلسات التدريبية'!A:B,2,FALSE),"")</f>
        <v/>
      </c>
      <c r="B180" s="3"/>
      <c r="C180" s="3" t="str">
        <f>IFERROR(VLOOKUP(A180,'الخطة التدريبية المعتمدة'!A:C,3,FALSE),"")</f>
        <v/>
      </c>
      <c r="D180" s="3" t="str">
        <f>IFERROR(VLOOKUP(B180,'جدول الجلسات التدريبية'!A:D,4,FALSE),"")</f>
        <v/>
      </c>
      <c r="E180" s="3"/>
      <c r="F180" s="3" t="str">
        <f>IFERROR(VLOOKUP(E180,'سجل الموظفين والكفاءة'!B:C,2,FALSE),"")</f>
        <v/>
      </c>
      <c r="G180" s="3">
        <f>IFERROR(VLOOKUP(A180,'الخطة التدريبية المعتمدة'!A:J,10,FALSE),0)</f>
        <v>0</v>
      </c>
      <c r="H180" s="3"/>
      <c r="I180" s="3"/>
      <c r="J180" s="3"/>
      <c r="K180" s="7" t="str">
        <f>IF(OR(I180="",J180="",I180=0),"",(J180-I180)/I180)</f>
        <v/>
      </c>
      <c r="L180" s="3" t="str">
        <f>IF(J180="","",IF(J180/10&gt;='الإعدادات والمستهدفات'!B5,"ناجح ومستوفى","ضعيف - يلزم إعادة اختبار"))</f>
        <v/>
      </c>
      <c r="M180" s="3"/>
      <c r="N180" s="3"/>
    </row>
    <row r="181" spans="1:14" x14ac:dyDescent="0.2">
      <c r="A181" s="3" t="str">
        <f>IFERROR(VLOOKUP(B181,'جدول الجلسات التدريبية'!A:B,2,FALSE),"")</f>
        <v/>
      </c>
      <c r="B181" s="3"/>
      <c r="C181" s="3" t="str">
        <f>IFERROR(VLOOKUP(A181,'الخطة التدريبية المعتمدة'!A:C,3,FALSE),"")</f>
        <v/>
      </c>
      <c r="D181" s="3" t="str">
        <f>IFERROR(VLOOKUP(B181,'جدول الجلسات التدريبية'!A:D,4,FALSE),"")</f>
        <v/>
      </c>
      <c r="E181" s="3"/>
      <c r="F181" s="3" t="str">
        <f>IFERROR(VLOOKUP(E181,'سجل الموظفين والكفاءة'!B:C,2,FALSE),"")</f>
        <v/>
      </c>
      <c r="G181" s="3">
        <f>IFERROR(VLOOKUP(A181,'الخطة التدريبية المعتمدة'!A:J,10,FALSE),0)</f>
        <v>0</v>
      </c>
      <c r="H181" s="3"/>
      <c r="I181" s="3"/>
      <c r="J181" s="3"/>
      <c r="K181" s="7" t="str">
        <f>IF(OR(I181="",J181="",I181=0),"",(J181-I181)/I181)</f>
        <v/>
      </c>
      <c r="L181" s="3" t="str">
        <f>IF(J181="","",IF(J181/10&gt;='الإعدادات والمستهدفات'!B5,"ناجح ومستوفى","ضعيف - يلزم إعادة اختبار"))</f>
        <v/>
      </c>
      <c r="M181" s="3"/>
      <c r="N181" s="3"/>
    </row>
    <row r="182" spans="1:14" x14ac:dyDescent="0.2">
      <c r="A182" s="3" t="str">
        <f>IFERROR(VLOOKUP(B182,'جدول الجلسات التدريبية'!A:B,2,FALSE),"")</f>
        <v/>
      </c>
      <c r="B182" s="3"/>
      <c r="C182" s="3" t="str">
        <f>IFERROR(VLOOKUP(A182,'الخطة التدريبية المعتمدة'!A:C,3,FALSE),"")</f>
        <v/>
      </c>
      <c r="D182" s="3" t="str">
        <f>IFERROR(VLOOKUP(B182,'جدول الجلسات التدريبية'!A:D,4,FALSE),"")</f>
        <v/>
      </c>
      <c r="E182" s="3"/>
      <c r="F182" s="3" t="str">
        <f>IFERROR(VLOOKUP(E182,'سجل الموظفين والكفاءة'!B:C,2,FALSE),"")</f>
        <v/>
      </c>
      <c r="G182" s="3">
        <f>IFERROR(VLOOKUP(A182,'الخطة التدريبية المعتمدة'!A:J,10,FALSE),0)</f>
        <v>0</v>
      </c>
      <c r="H182" s="3"/>
      <c r="I182" s="3"/>
      <c r="J182" s="3"/>
      <c r="K182" s="7" t="str">
        <f>IF(OR(I182="",J182="",I182=0),"",(J182-I182)/I182)</f>
        <v/>
      </c>
      <c r="L182" s="3" t="str">
        <f>IF(J182="","",IF(J182/10&gt;='الإعدادات والمستهدفات'!B5,"ناجح ومستوفى","ضعيف - يلزم إعادة اختبار"))</f>
        <v/>
      </c>
      <c r="M182" s="3"/>
      <c r="N182" s="3"/>
    </row>
    <row r="183" spans="1:14" x14ac:dyDescent="0.2">
      <c r="A183" s="3" t="str">
        <f>IFERROR(VLOOKUP(B183,'جدول الجلسات التدريبية'!A:B,2,FALSE),"")</f>
        <v/>
      </c>
      <c r="B183" s="3"/>
      <c r="C183" s="3" t="str">
        <f>IFERROR(VLOOKUP(A183,'الخطة التدريبية المعتمدة'!A:C,3,FALSE),"")</f>
        <v/>
      </c>
      <c r="D183" s="3" t="str">
        <f>IFERROR(VLOOKUP(B183,'جدول الجلسات التدريبية'!A:D,4,FALSE),"")</f>
        <v/>
      </c>
      <c r="E183" s="3"/>
      <c r="F183" s="3" t="str">
        <f>IFERROR(VLOOKUP(E183,'سجل الموظفين والكفاءة'!B:C,2,FALSE),"")</f>
        <v/>
      </c>
      <c r="G183" s="3">
        <f>IFERROR(VLOOKUP(A183,'الخطة التدريبية المعتمدة'!A:J,10,FALSE),0)</f>
        <v>0</v>
      </c>
      <c r="H183" s="3"/>
      <c r="I183" s="3"/>
      <c r="J183" s="3"/>
      <c r="K183" s="7" t="str">
        <f>IF(OR(I183="",J183="",I183=0),"",(J183-I183)/I183)</f>
        <v/>
      </c>
      <c r="L183" s="3" t="str">
        <f>IF(J183="","",IF(J183/10&gt;='الإعدادات والمستهدفات'!B5,"ناجح ومستوفى","ضعيف - يلزم إعادة اختبار"))</f>
        <v/>
      </c>
      <c r="M183" s="3"/>
      <c r="N183" s="3"/>
    </row>
    <row r="184" spans="1:14" x14ac:dyDescent="0.2">
      <c r="A184" s="3" t="str">
        <f>IFERROR(VLOOKUP(B184,'جدول الجلسات التدريبية'!A:B,2,FALSE),"")</f>
        <v/>
      </c>
      <c r="B184" s="3"/>
      <c r="C184" s="3" t="str">
        <f>IFERROR(VLOOKUP(A184,'الخطة التدريبية المعتمدة'!A:C,3,FALSE),"")</f>
        <v/>
      </c>
      <c r="D184" s="3" t="str">
        <f>IFERROR(VLOOKUP(B184,'جدول الجلسات التدريبية'!A:D,4,FALSE),"")</f>
        <v/>
      </c>
      <c r="E184" s="3"/>
      <c r="F184" s="3" t="str">
        <f>IFERROR(VLOOKUP(E184,'سجل الموظفين والكفاءة'!B:C,2,FALSE),"")</f>
        <v/>
      </c>
      <c r="G184" s="3">
        <f>IFERROR(VLOOKUP(A184,'الخطة التدريبية المعتمدة'!A:J,10,FALSE),0)</f>
        <v>0</v>
      </c>
      <c r="H184" s="3"/>
      <c r="I184" s="3"/>
      <c r="J184" s="3"/>
      <c r="K184" s="7" t="str">
        <f>IF(OR(I184="",J184="",I184=0),"",(J184-I184)/I184)</f>
        <v/>
      </c>
      <c r="L184" s="3" t="str">
        <f>IF(J184="","",IF(J184/10&gt;='الإعدادات والمستهدفات'!B5,"ناجح ومستوفى","ضعيف - يلزم إعادة اختبار"))</f>
        <v/>
      </c>
      <c r="M184" s="3"/>
      <c r="N184" s="3"/>
    </row>
    <row r="185" spans="1:14" x14ac:dyDescent="0.2">
      <c r="A185" s="3" t="str">
        <f>IFERROR(VLOOKUP(B185,'جدول الجلسات التدريبية'!A:B,2,FALSE),"")</f>
        <v/>
      </c>
      <c r="B185" s="3"/>
      <c r="C185" s="3" t="str">
        <f>IFERROR(VLOOKUP(A185,'الخطة التدريبية المعتمدة'!A:C,3,FALSE),"")</f>
        <v/>
      </c>
      <c r="D185" s="3" t="str">
        <f>IFERROR(VLOOKUP(B185,'جدول الجلسات التدريبية'!A:D,4,FALSE),"")</f>
        <v/>
      </c>
      <c r="E185" s="3"/>
      <c r="F185" s="3" t="str">
        <f>IFERROR(VLOOKUP(E185,'سجل الموظفين والكفاءة'!B:C,2,FALSE),"")</f>
        <v/>
      </c>
      <c r="G185" s="3">
        <f>IFERROR(VLOOKUP(A185,'الخطة التدريبية المعتمدة'!A:J,10,FALSE),0)</f>
        <v>0</v>
      </c>
      <c r="H185" s="3"/>
      <c r="I185" s="3"/>
      <c r="J185" s="3"/>
      <c r="K185" s="7" t="str">
        <f>IF(OR(I185="",J185="",I185=0),"",(J185-I185)/I185)</f>
        <v/>
      </c>
      <c r="L185" s="3" t="str">
        <f>IF(J185="","",IF(J185/10&gt;='الإعدادات والمستهدفات'!B5,"ناجح ومستوفى","ضعيف - يلزم إعادة اختبار"))</f>
        <v/>
      </c>
      <c r="M185" s="3"/>
      <c r="N185" s="3"/>
    </row>
    <row r="186" spans="1:14" x14ac:dyDescent="0.2">
      <c r="A186" s="3" t="str">
        <f>IFERROR(VLOOKUP(B186,'جدول الجلسات التدريبية'!A:B,2,FALSE),"")</f>
        <v/>
      </c>
      <c r="B186" s="3"/>
      <c r="C186" s="3" t="str">
        <f>IFERROR(VLOOKUP(A186,'الخطة التدريبية المعتمدة'!A:C,3,FALSE),"")</f>
        <v/>
      </c>
      <c r="D186" s="3" t="str">
        <f>IFERROR(VLOOKUP(B186,'جدول الجلسات التدريبية'!A:D,4,FALSE),"")</f>
        <v/>
      </c>
      <c r="E186" s="3"/>
      <c r="F186" s="3" t="str">
        <f>IFERROR(VLOOKUP(E186,'سجل الموظفين والكفاءة'!B:C,2,FALSE),"")</f>
        <v/>
      </c>
      <c r="G186" s="3">
        <f>IFERROR(VLOOKUP(A186,'الخطة التدريبية المعتمدة'!A:J,10,FALSE),0)</f>
        <v>0</v>
      </c>
      <c r="H186" s="3"/>
      <c r="I186" s="3"/>
      <c r="J186" s="3"/>
      <c r="K186" s="7" t="str">
        <f>IF(OR(I186="",J186="",I186=0),"",(J186-I186)/I186)</f>
        <v/>
      </c>
      <c r="L186" s="3" t="str">
        <f>IF(J186="","",IF(J186/10&gt;='الإعدادات والمستهدفات'!B5,"ناجح ومستوفى","ضعيف - يلزم إعادة اختبار"))</f>
        <v/>
      </c>
      <c r="M186" s="3"/>
      <c r="N186" s="3"/>
    </row>
    <row r="187" spans="1:14" x14ac:dyDescent="0.2">
      <c r="A187" s="3" t="str">
        <f>IFERROR(VLOOKUP(B187,'جدول الجلسات التدريبية'!A:B,2,FALSE),"")</f>
        <v/>
      </c>
      <c r="B187" s="3"/>
      <c r="C187" s="3" t="str">
        <f>IFERROR(VLOOKUP(A187,'الخطة التدريبية المعتمدة'!A:C,3,FALSE),"")</f>
        <v/>
      </c>
      <c r="D187" s="3" t="str">
        <f>IFERROR(VLOOKUP(B187,'جدول الجلسات التدريبية'!A:D,4,FALSE),"")</f>
        <v/>
      </c>
      <c r="E187" s="3"/>
      <c r="F187" s="3" t="str">
        <f>IFERROR(VLOOKUP(E187,'سجل الموظفين والكفاءة'!B:C,2,FALSE),"")</f>
        <v/>
      </c>
      <c r="G187" s="3">
        <f>IFERROR(VLOOKUP(A187,'الخطة التدريبية المعتمدة'!A:J,10,FALSE),0)</f>
        <v>0</v>
      </c>
      <c r="H187" s="3"/>
      <c r="I187" s="3"/>
      <c r="J187" s="3"/>
      <c r="K187" s="7" t="str">
        <f>IF(OR(I187="",J187="",I187=0),"",(J187-I187)/I187)</f>
        <v/>
      </c>
      <c r="L187" s="3" t="str">
        <f>IF(J187="","",IF(J187/10&gt;='الإعدادات والمستهدفات'!B5,"ناجح ومستوفى","ضعيف - يلزم إعادة اختبار"))</f>
        <v/>
      </c>
      <c r="M187" s="3"/>
      <c r="N187" s="3"/>
    </row>
    <row r="188" spans="1:14" x14ac:dyDescent="0.2">
      <c r="A188" s="3" t="str">
        <f>IFERROR(VLOOKUP(B188,'جدول الجلسات التدريبية'!A:B,2,FALSE),"")</f>
        <v/>
      </c>
      <c r="B188" s="3"/>
      <c r="C188" s="3" t="str">
        <f>IFERROR(VLOOKUP(A188,'الخطة التدريبية المعتمدة'!A:C,3,FALSE),"")</f>
        <v/>
      </c>
      <c r="D188" s="3" t="str">
        <f>IFERROR(VLOOKUP(B188,'جدول الجلسات التدريبية'!A:D,4,FALSE),"")</f>
        <v/>
      </c>
      <c r="E188" s="3"/>
      <c r="F188" s="3" t="str">
        <f>IFERROR(VLOOKUP(E188,'سجل الموظفين والكفاءة'!B:C,2,FALSE),"")</f>
        <v/>
      </c>
      <c r="G188" s="3">
        <f>IFERROR(VLOOKUP(A188,'الخطة التدريبية المعتمدة'!A:J,10,FALSE),0)</f>
        <v>0</v>
      </c>
      <c r="H188" s="3"/>
      <c r="I188" s="3"/>
      <c r="J188" s="3"/>
      <c r="K188" s="7" t="str">
        <f>IF(OR(I188="",J188="",I188=0),"",(J188-I188)/I188)</f>
        <v/>
      </c>
      <c r="L188" s="3" t="str">
        <f>IF(J188="","",IF(J188/10&gt;='الإعدادات والمستهدفات'!B5,"ناجح ومستوفى","ضعيف - يلزم إعادة اختبار"))</f>
        <v/>
      </c>
      <c r="M188" s="3"/>
      <c r="N188" s="3"/>
    </row>
    <row r="189" spans="1:14" x14ac:dyDescent="0.2">
      <c r="A189" s="3" t="str">
        <f>IFERROR(VLOOKUP(B189,'جدول الجلسات التدريبية'!A:B,2,FALSE),"")</f>
        <v/>
      </c>
      <c r="B189" s="3"/>
      <c r="C189" s="3" t="str">
        <f>IFERROR(VLOOKUP(A189,'الخطة التدريبية المعتمدة'!A:C,3,FALSE),"")</f>
        <v/>
      </c>
      <c r="D189" s="3" t="str">
        <f>IFERROR(VLOOKUP(B189,'جدول الجلسات التدريبية'!A:D,4,FALSE),"")</f>
        <v/>
      </c>
      <c r="E189" s="3"/>
      <c r="F189" s="3" t="str">
        <f>IFERROR(VLOOKUP(E189,'سجل الموظفين والكفاءة'!B:C,2,FALSE),"")</f>
        <v/>
      </c>
      <c r="G189" s="3">
        <f>IFERROR(VLOOKUP(A189,'الخطة التدريبية المعتمدة'!A:J,10,FALSE),0)</f>
        <v>0</v>
      </c>
      <c r="H189" s="3"/>
      <c r="I189" s="3"/>
      <c r="J189" s="3"/>
      <c r="K189" s="7" t="str">
        <f>IF(OR(I189="",J189="",I189=0),"",(J189-I189)/I189)</f>
        <v/>
      </c>
      <c r="L189" s="3" t="str">
        <f>IF(J189="","",IF(J189/10&gt;='الإعدادات والمستهدفات'!B5,"ناجح ومستوفى","ضعيف - يلزم إعادة اختبار"))</f>
        <v/>
      </c>
      <c r="M189" s="3"/>
      <c r="N189" s="3"/>
    </row>
    <row r="190" spans="1:14" x14ac:dyDescent="0.2">
      <c r="A190" s="3" t="str">
        <f>IFERROR(VLOOKUP(B190,'جدول الجلسات التدريبية'!A:B,2,FALSE),"")</f>
        <v/>
      </c>
      <c r="B190" s="3"/>
      <c r="C190" s="3" t="str">
        <f>IFERROR(VLOOKUP(A190,'الخطة التدريبية المعتمدة'!A:C,3,FALSE),"")</f>
        <v/>
      </c>
      <c r="D190" s="3" t="str">
        <f>IFERROR(VLOOKUP(B190,'جدول الجلسات التدريبية'!A:D,4,FALSE),"")</f>
        <v/>
      </c>
      <c r="E190" s="3"/>
      <c r="F190" s="3" t="str">
        <f>IFERROR(VLOOKUP(E190,'سجل الموظفين والكفاءة'!B:C,2,FALSE),"")</f>
        <v/>
      </c>
      <c r="G190" s="3">
        <f>IFERROR(VLOOKUP(A190,'الخطة التدريبية المعتمدة'!A:J,10,FALSE),0)</f>
        <v>0</v>
      </c>
      <c r="H190" s="3"/>
      <c r="I190" s="3"/>
      <c r="J190" s="3"/>
      <c r="K190" s="7" t="str">
        <f>IF(OR(I190="",J190="",I190=0),"",(J190-I190)/I190)</f>
        <v/>
      </c>
      <c r="L190" s="3" t="str">
        <f>IF(J190="","",IF(J190/10&gt;='الإعدادات والمستهدفات'!B5,"ناجح ومستوفى","ضعيف - يلزم إعادة اختبار"))</f>
        <v/>
      </c>
      <c r="M190" s="3"/>
      <c r="N190" s="3"/>
    </row>
    <row r="191" spans="1:14" x14ac:dyDescent="0.2">
      <c r="A191" s="3" t="str">
        <f>IFERROR(VLOOKUP(B191,'جدول الجلسات التدريبية'!A:B,2,FALSE),"")</f>
        <v/>
      </c>
      <c r="B191" s="3"/>
      <c r="C191" s="3" t="str">
        <f>IFERROR(VLOOKUP(A191,'الخطة التدريبية المعتمدة'!A:C,3,FALSE),"")</f>
        <v/>
      </c>
      <c r="D191" s="3" t="str">
        <f>IFERROR(VLOOKUP(B191,'جدول الجلسات التدريبية'!A:D,4,FALSE),"")</f>
        <v/>
      </c>
      <c r="E191" s="3"/>
      <c r="F191" s="3" t="str">
        <f>IFERROR(VLOOKUP(E191,'سجل الموظفين والكفاءة'!B:C,2,FALSE),"")</f>
        <v/>
      </c>
      <c r="G191" s="3">
        <f>IFERROR(VLOOKUP(A191,'الخطة التدريبية المعتمدة'!A:J,10,FALSE),0)</f>
        <v>0</v>
      </c>
      <c r="H191" s="3"/>
      <c r="I191" s="3"/>
      <c r="J191" s="3"/>
      <c r="K191" s="7" t="str">
        <f>IF(OR(I191="",J191="",I191=0),"",(J191-I191)/I191)</f>
        <v/>
      </c>
      <c r="L191" s="3" t="str">
        <f>IF(J191="","",IF(J191/10&gt;='الإعدادات والمستهدفات'!B5,"ناجح ومستوفى","ضعيف - يلزم إعادة اختبار"))</f>
        <v/>
      </c>
      <c r="M191" s="3"/>
      <c r="N191" s="3"/>
    </row>
    <row r="192" spans="1:14" x14ac:dyDescent="0.2">
      <c r="A192" s="3" t="str">
        <f>IFERROR(VLOOKUP(B192,'جدول الجلسات التدريبية'!A:B,2,FALSE),"")</f>
        <v/>
      </c>
      <c r="B192" s="3"/>
      <c r="C192" s="3" t="str">
        <f>IFERROR(VLOOKUP(A192,'الخطة التدريبية المعتمدة'!A:C,3,FALSE),"")</f>
        <v/>
      </c>
      <c r="D192" s="3" t="str">
        <f>IFERROR(VLOOKUP(B192,'جدول الجلسات التدريبية'!A:D,4,FALSE),"")</f>
        <v/>
      </c>
      <c r="E192" s="3"/>
      <c r="F192" s="3" t="str">
        <f>IFERROR(VLOOKUP(E192,'سجل الموظفين والكفاءة'!B:C,2,FALSE),"")</f>
        <v/>
      </c>
      <c r="G192" s="3">
        <f>IFERROR(VLOOKUP(A192,'الخطة التدريبية المعتمدة'!A:J,10,FALSE),0)</f>
        <v>0</v>
      </c>
      <c r="H192" s="3"/>
      <c r="I192" s="3"/>
      <c r="J192" s="3"/>
      <c r="K192" s="7" t="str">
        <f>IF(OR(I192="",J192="",I192=0),"",(J192-I192)/I192)</f>
        <v/>
      </c>
      <c r="L192" s="3" t="str">
        <f>IF(J192="","",IF(J192/10&gt;='الإعدادات والمستهدفات'!B5,"ناجح ومستوفى","ضعيف - يلزم إعادة اختبار"))</f>
        <v/>
      </c>
      <c r="M192" s="3"/>
      <c r="N192" s="3"/>
    </row>
    <row r="193" spans="1:14" x14ac:dyDescent="0.2">
      <c r="A193" s="3" t="str">
        <f>IFERROR(VLOOKUP(B193,'جدول الجلسات التدريبية'!A:B,2,FALSE),"")</f>
        <v/>
      </c>
      <c r="B193" s="3"/>
      <c r="C193" s="3" t="str">
        <f>IFERROR(VLOOKUP(A193,'الخطة التدريبية المعتمدة'!A:C,3,FALSE),"")</f>
        <v/>
      </c>
      <c r="D193" s="3" t="str">
        <f>IFERROR(VLOOKUP(B193,'جدول الجلسات التدريبية'!A:D,4,FALSE),"")</f>
        <v/>
      </c>
      <c r="E193" s="3"/>
      <c r="F193" s="3" t="str">
        <f>IFERROR(VLOOKUP(E193,'سجل الموظفين والكفاءة'!B:C,2,FALSE),"")</f>
        <v/>
      </c>
      <c r="G193" s="3">
        <f>IFERROR(VLOOKUP(A193,'الخطة التدريبية المعتمدة'!A:J,10,FALSE),0)</f>
        <v>0</v>
      </c>
      <c r="H193" s="3"/>
      <c r="I193" s="3"/>
      <c r="J193" s="3"/>
      <c r="K193" s="7" t="str">
        <f>IF(OR(I193="",J193="",I193=0),"",(J193-I193)/I193)</f>
        <v/>
      </c>
      <c r="L193" s="3" t="str">
        <f>IF(J193="","",IF(J193/10&gt;='الإعدادات والمستهدفات'!B5,"ناجح ومستوفى","ضعيف - يلزم إعادة اختبار"))</f>
        <v/>
      </c>
      <c r="M193" s="3"/>
      <c r="N193" s="3"/>
    </row>
    <row r="194" spans="1:14" x14ac:dyDescent="0.2">
      <c r="A194" s="3" t="str">
        <f>IFERROR(VLOOKUP(B194,'جدول الجلسات التدريبية'!A:B,2,FALSE),"")</f>
        <v/>
      </c>
      <c r="B194" s="3"/>
      <c r="C194" s="3" t="str">
        <f>IFERROR(VLOOKUP(A194,'الخطة التدريبية المعتمدة'!A:C,3,FALSE),"")</f>
        <v/>
      </c>
      <c r="D194" s="3" t="str">
        <f>IFERROR(VLOOKUP(B194,'جدول الجلسات التدريبية'!A:D,4,FALSE),"")</f>
        <v/>
      </c>
      <c r="E194" s="3"/>
      <c r="F194" s="3" t="str">
        <f>IFERROR(VLOOKUP(E194,'سجل الموظفين والكفاءة'!B:C,2,FALSE),"")</f>
        <v/>
      </c>
      <c r="G194" s="3">
        <f>IFERROR(VLOOKUP(A194,'الخطة التدريبية المعتمدة'!A:J,10,FALSE),0)</f>
        <v>0</v>
      </c>
      <c r="H194" s="3"/>
      <c r="I194" s="3"/>
      <c r="J194" s="3"/>
      <c r="K194" s="7" t="str">
        <f>IF(OR(I194="",J194="",I194=0),"",(J194-I194)/I194)</f>
        <v/>
      </c>
      <c r="L194" s="3" t="str">
        <f>IF(J194="","",IF(J194/10&gt;='الإعدادات والمستهدفات'!B5,"ناجح ومستوفى","ضعيف - يلزم إعادة اختبار"))</f>
        <v/>
      </c>
      <c r="M194" s="3"/>
      <c r="N194" s="3"/>
    </row>
    <row r="195" spans="1:14" x14ac:dyDescent="0.2">
      <c r="A195" s="3" t="str">
        <f>IFERROR(VLOOKUP(B195,'جدول الجلسات التدريبية'!A:B,2,FALSE),"")</f>
        <v/>
      </c>
      <c r="B195" s="3"/>
      <c r="C195" s="3" t="str">
        <f>IFERROR(VLOOKUP(A195,'الخطة التدريبية المعتمدة'!A:C,3,FALSE),"")</f>
        <v/>
      </c>
      <c r="D195" s="3" t="str">
        <f>IFERROR(VLOOKUP(B195,'جدول الجلسات التدريبية'!A:D,4,FALSE),"")</f>
        <v/>
      </c>
      <c r="E195" s="3"/>
      <c r="F195" s="3" t="str">
        <f>IFERROR(VLOOKUP(E195,'سجل الموظفين والكفاءة'!B:C,2,FALSE),"")</f>
        <v/>
      </c>
      <c r="G195" s="3">
        <f>IFERROR(VLOOKUP(A195,'الخطة التدريبية المعتمدة'!A:J,10,FALSE),0)</f>
        <v>0</v>
      </c>
      <c r="H195" s="3"/>
      <c r="I195" s="3"/>
      <c r="J195" s="3"/>
      <c r="K195" s="7" t="str">
        <f>IF(OR(I195="",J195="",I195=0),"",(J195-I195)/I195)</f>
        <v/>
      </c>
      <c r="L195" s="3" t="str">
        <f>IF(J195="","",IF(J195/10&gt;='الإعدادات والمستهدفات'!B5,"ناجح ومستوفى","ضعيف - يلزم إعادة اختبار"))</f>
        <v/>
      </c>
      <c r="M195" s="3"/>
      <c r="N195" s="3"/>
    </row>
    <row r="196" spans="1:14" x14ac:dyDescent="0.2">
      <c r="A196" s="3" t="str">
        <f>IFERROR(VLOOKUP(B196,'جدول الجلسات التدريبية'!A:B,2,FALSE),"")</f>
        <v/>
      </c>
      <c r="B196" s="3"/>
      <c r="C196" s="3" t="str">
        <f>IFERROR(VLOOKUP(A196,'الخطة التدريبية المعتمدة'!A:C,3,FALSE),"")</f>
        <v/>
      </c>
      <c r="D196" s="3" t="str">
        <f>IFERROR(VLOOKUP(B196,'جدول الجلسات التدريبية'!A:D,4,FALSE),"")</f>
        <v/>
      </c>
      <c r="E196" s="3"/>
      <c r="F196" s="3" t="str">
        <f>IFERROR(VLOOKUP(E196,'سجل الموظفين والكفاءة'!B:C,2,FALSE),"")</f>
        <v/>
      </c>
      <c r="G196" s="3">
        <f>IFERROR(VLOOKUP(A196,'الخطة التدريبية المعتمدة'!A:J,10,FALSE),0)</f>
        <v>0</v>
      </c>
      <c r="H196" s="3"/>
      <c r="I196" s="3"/>
      <c r="J196" s="3"/>
      <c r="K196" s="7" t="str">
        <f>IF(OR(I196="",J196="",I196=0),"",(J196-I196)/I196)</f>
        <v/>
      </c>
      <c r="L196" s="3" t="str">
        <f>IF(J196="","",IF(J196/10&gt;='الإعدادات والمستهدفات'!B5,"ناجح ومستوفى","ضعيف - يلزم إعادة اختبار"))</f>
        <v/>
      </c>
      <c r="M196" s="3"/>
      <c r="N196" s="3"/>
    </row>
    <row r="197" spans="1:14" x14ac:dyDescent="0.2">
      <c r="A197" s="3" t="str">
        <f>IFERROR(VLOOKUP(B197,'جدول الجلسات التدريبية'!A:B,2,FALSE),"")</f>
        <v/>
      </c>
      <c r="B197" s="3"/>
      <c r="C197" s="3" t="str">
        <f>IFERROR(VLOOKUP(A197,'الخطة التدريبية المعتمدة'!A:C,3,FALSE),"")</f>
        <v/>
      </c>
      <c r="D197" s="3" t="str">
        <f>IFERROR(VLOOKUP(B197,'جدول الجلسات التدريبية'!A:D,4,FALSE),"")</f>
        <v/>
      </c>
      <c r="E197" s="3"/>
      <c r="F197" s="3" t="str">
        <f>IFERROR(VLOOKUP(E197,'سجل الموظفين والكفاءة'!B:C,2,FALSE),"")</f>
        <v/>
      </c>
      <c r="G197" s="3">
        <f>IFERROR(VLOOKUP(A197,'الخطة التدريبية المعتمدة'!A:J,10,FALSE),0)</f>
        <v>0</v>
      </c>
      <c r="H197" s="3"/>
      <c r="I197" s="3"/>
      <c r="J197" s="3"/>
      <c r="K197" s="7" t="str">
        <f>IF(OR(I197="",J197="",I197=0),"",(J197-I197)/I197)</f>
        <v/>
      </c>
      <c r="L197" s="3" t="str">
        <f>IF(J197="","",IF(J197/10&gt;='الإعدادات والمستهدفات'!B5,"ناجح ومستوفى","ضعيف - يلزم إعادة اختبار"))</f>
        <v/>
      </c>
      <c r="M197" s="3"/>
      <c r="N197" s="3"/>
    </row>
    <row r="198" spans="1:14" x14ac:dyDescent="0.2">
      <c r="A198" s="3" t="str">
        <f>IFERROR(VLOOKUP(B198,'جدول الجلسات التدريبية'!A:B,2,FALSE),"")</f>
        <v/>
      </c>
      <c r="B198" s="3"/>
      <c r="C198" s="3" t="str">
        <f>IFERROR(VLOOKUP(A198,'الخطة التدريبية المعتمدة'!A:C,3,FALSE),"")</f>
        <v/>
      </c>
      <c r="D198" s="3" t="str">
        <f>IFERROR(VLOOKUP(B198,'جدول الجلسات التدريبية'!A:D,4,FALSE),"")</f>
        <v/>
      </c>
      <c r="E198" s="3"/>
      <c r="F198" s="3" t="str">
        <f>IFERROR(VLOOKUP(E198,'سجل الموظفين والكفاءة'!B:C,2,FALSE),"")</f>
        <v/>
      </c>
      <c r="G198" s="3">
        <f>IFERROR(VLOOKUP(A198,'الخطة التدريبية المعتمدة'!A:J,10,FALSE),0)</f>
        <v>0</v>
      </c>
      <c r="H198" s="3"/>
      <c r="I198" s="3"/>
      <c r="J198" s="3"/>
      <c r="K198" s="7" t="str">
        <f>IF(OR(I198="",J198="",I198=0),"",(J198-I198)/I198)</f>
        <v/>
      </c>
      <c r="L198" s="3" t="str">
        <f>IF(J198="","",IF(J198/10&gt;='الإعدادات والمستهدفات'!B5,"ناجح ومستوفى","ضعيف - يلزم إعادة اختبار"))</f>
        <v/>
      </c>
      <c r="M198" s="3"/>
      <c r="N198" s="3"/>
    </row>
    <row r="199" spans="1:14" x14ac:dyDescent="0.2">
      <c r="A199" s="3" t="str">
        <f>IFERROR(VLOOKUP(B199,'جدول الجلسات التدريبية'!A:B,2,FALSE),"")</f>
        <v/>
      </c>
      <c r="B199" s="3"/>
      <c r="C199" s="3" t="str">
        <f>IFERROR(VLOOKUP(A199,'الخطة التدريبية المعتمدة'!A:C,3,FALSE),"")</f>
        <v/>
      </c>
      <c r="D199" s="3" t="str">
        <f>IFERROR(VLOOKUP(B199,'جدول الجلسات التدريبية'!A:D,4,FALSE),"")</f>
        <v/>
      </c>
      <c r="E199" s="3"/>
      <c r="F199" s="3" t="str">
        <f>IFERROR(VLOOKUP(E199,'سجل الموظفين والكفاءة'!B:C,2,FALSE),"")</f>
        <v/>
      </c>
      <c r="G199" s="3">
        <f>IFERROR(VLOOKUP(A199,'الخطة التدريبية المعتمدة'!A:J,10,FALSE),0)</f>
        <v>0</v>
      </c>
      <c r="H199" s="3"/>
      <c r="I199" s="3"/>
      <c r="J199" s="3"/>
      <c r="K199" s="7" t="str">
        <f>IF(OR(I199="",J199="",I199=0),"",(J199-I199)/I199)</f>
        <v/>
      </c>
      <c r="L199" s="3" t="str">
        <f>IF(J199="","",IF(J199/10&gt;='الإعدادات والمستهدفات'!B5,"ناجح ومستوفى","ضعيف - يلزم إعادة اختبار"))</f>
        <v/>
      </c>
      <c r="M199" s="3"/>
      <c r="N199" s="3"/>
    </row>
    <row r="200" spans="1:14" x14ac:dyDescent="0.2">
      <c r="A200" s="3" t="str">
        <f>IFERROR(VLOOKUP(B200,'جدول الجلسات التدريبية'!A:B,2,FALSE),"")</f>
        <v/>
      </c>
      <c r="B200" s="3"/>
      <c r="C200" s="3" t="str">
        <f>IFERROR(VLOOKUP(A200,'الخطة التدريبية المعتمدة'!A:C,3,FALSE),"")</f>
        <v/>
      </c>
      <c r="D200" s="3" t="str">
        <f>IFERROR(VLOOKUP(B200,'جدول الجلسات التدريبية'!A:D,4,FALSE),"")</f>
        <v/>
      </c>
      <c r="E200" s="3"/>
      <c r="F200" s="3" t="str">
        <f>IFERROR(VLOOKUP(E200,'سجل الموظفين والكفاءة'!B:C,2,FALSE),"")</f>
        <v/>
      </c>
      <c r="G200" s="3">
        <f>IFERROR(VLOOKUP(A200,'الخطة التدريبية المعتمدة'!A:J,10,FALSE),0)</f>
        <v>0</v>
      </c>
      <c r="H200" s="3"/>
      <c r="I200" s="3"/>
      <c r="J200" s="3"/>
      <c r="K200" s="7" t="str">
        <f>IF(OR(I200="",J200="",I200=0),"",(J200-I200)/I200)</f>
        <v/>
      </c>
      <c r="L200" s="3" t="str">
        <f>IF(J200="","",IF(J200/10&gt;='الإعدادات والمستهدفات'!B5,"ناجح ومستوفى","ضعيف - يلزم إعادة اختبار"))</f>
        <v/>
      </c>
      <c r="M200" s="3"/>
      <c r="N200" s="3"/>
    </row>
    <row r="201" spans="1:14" x14ac:dyDescent="0.2">
      <c r="A201" s="3" t="str">
        <f>IFERROR(VLOOKUP(B201,'جدول الجلسات التدريبية'!A:B,2,FALSE),"")</f>
        <v/>
      </c>
      <c r="B201" s="3"/>
      <c r="C201" s="3" t="str">
        <f>IFERROR(VLOOKUP(A201,'الخطة التدريبية المعتمدة'!A:C,3,FALSE),"")</f>
        <v/>
      </c>
      <c r="D201" s="3" t="str">
        <f>IFERROR(VLOOKUP(B201,'جدول الجلسات التدريبية'!A:D,4,FALSE),"")</f>
        <v/>
      </c>
      <c r="E201" s="3"/>
      <c r="F201" s="3" t="str">
        <f>IFERROR(VLOOKUP(E201,'سجل الموظفين والكفاءة'!B:C,2,FALSE),"")</f>
        <v/>
      </c>
      <c r="G201" s="3">
        <f>IFERROR(VLOOKUP(A201,'الخطة التدريبية المعتمدة'!A:J,10,FALSE),0)</f>
        <v>0</v>
      </c>
      <c r="H201" s="3"/>
      <c r="I201" s="3"/>
      <c r="J201" s="3"/>
      <c r="K201" s="7" t="str">
        <f>IF(OR(I201="",J201="",I201=0),"",(J201-I201)/I201)</f>
        <v/>
      </c>
      <c r="L201" s="3" t="str">
        <f>IF(J201="","",IF(J201/10&gt;='الإعدادات والمستهدفات'!B5,"ناجح ومستوفى","ضعيف - يلزم إعادة اختبار"))</f>
        <v/>
      </c>
      <c r="M201" s="3"/>
      <c r="N201" s="3"/>
    </row>
    <row r="202" spans="1:14" x14ac:dyDescent="0.2">
      <c r="A202" s="3" t="str">
        <f>IFERROR(VLOOKUP(B202,'جدول الجلسات التدريبية'!A:B,2,FALSE),"")</f>
        <v/>
      </c>
      <c r="B202" s="3"/>
      <c r="C202" s="3" t="str">
        <f>IFERROR(VLOOKUP(A202,'الخطة التدريبية المعتمدة'!A:C,3,FALSE),"")</f>
        <v/>
      </c>
      <c r="D202" s="3" t="str">
        <f>IFERROR(VLOOKUP(B202,'جدول الجلسات التدريبية'!A:D,4,FALSE),"")</f>
        <v/>
      </c>
      <c r="E202" s="3"/>
      <c r="F202" s="3" t="str">
        <f>IFERROR(VLOOKUP(E202,'سجل الموظفين والكفاءة'!B:C,2,FALSE),"")</f>
        <v/>
      </c>
      <c r="G202" s="3">
        <f>IFERROR(VLOOKUP(A202,'الخطة التدريبية المعتمدة'!A:J,10,FALSE),0)</f>
        <v>0</v>
      </c>
      <c r="H202" s="3"/>
      <c r="I202" s="3"/>
      <c r="J202" s="3"/>
      <c r="K202" s="7" t="str">
        <f>IF(OR(I202="",J202="",I202=0),"",(J202-I202)/I202)</f>
        <v/>
      </c>
      <c r="L202" s="3" t="str">
        <f>IF(J202="","",IF(J202/10&gt;='الإعدادات والمستهدفات'!B5,"ناجح ومستوفى","ضعيف - يلزم إعادة اختبار"))</f>
        <v/>
      </c>
      <c r="M202" s="3"/>
      <c r="N202" s="3"/>
    </row>
    <row r="203" spans="1:14" x14ac:dyDescent="0.2">
      <c r="A203" s="3" t="str">
        <f>IFERROR(VLOOKUP(B203,'جدول الجلسات التدريبية'!A:B,2,FALSE),"")</f>
        <v/>
      </c>
      <c r="B203" s="3"/>
      <c r="C203" s="3" t="str">
        <f>IFERROR(VLOOKUP(A203,'الخطة التدريبية المعتمدة'!A:C,3,FALSE),"")</f>
        <v/>
      </c>
      <c r="D203" s="3" t="str">
        <f>IFERROR(VLOOKUP(B203,'جدول الجلسات التدريبية'!A:D,4,FALSE),"")</f>
        <v/>
      </c>
      <c r="E203" s="3"/>
      <c r="F203" s="3" t="str">
        <f>IFERROR(VLOOKUP(E203,'سجل الموظفين والكفاءة'!B:C,2,FALSE),"")</f>
        <v/>
      </c>
      <c r="G203" s="3">
        <f>IFERROR(VLOOKUP(A203,'الخطة التدريبية المعتمدة'!A:J,10,FALSE),0)</f>
        <v>0</v>
      </c>
      <c r="H203" s="3"/>
      <c r="I203" s="3"/>
      <c r="J203" s="3"/>
      <c r="K203" s="7" t="str">
        <f>IF(OR(I203="",J203="",I203=0),"",(J203-I203)/I203)</f>
        <v/>
      </c>
      <c r="L203" s="3" t="str">
        <f>IF(J203="","",IF(J203/10&gt;='الإعدادات والمستهدفات'!B5,"ناجح ومستوفى","ضعيف - يلزم إعادة اختبار"))</f>
        <v/>
      </c>
      <c r="M203" s="3"/>
      <c r="N203" s="3"/>
    </row>
    <row r="204" spans="1:14" x14ac:dyDescent="0.2">
      <c r="A204" s="3" t="str">
        <f>IFERROR(VLOOKUP(B204,'جدول الجلسات التدريبية'!A:B,2,FALSE),"")</f>
        <v/>
      </c>
      <c r="B204" s="3"/>
      <c r="C204" s="3" t="str">
        <f>IFERROR(VLOOKUP(A204,'الخطة التدريبية المعتمدة'!A:C,3,FALSE),"")</f>
        <v/>
      </c>
      <c r="D204" s="3" t="str">
        <f>IFERROR(VLOOKUP(B204,'جدول الجلسات التدريبية'!A:D,4,FALSE),"")</f>
        <v/>
      </c>
      <c r="E204" s="3"/>
      <c r="F204" s="3" t="str">
        <f>IFERROR(VLOOKUP(E204,'سجل الموظفين والكفاءة'!B:C,2,FALSE),"")</f>
        <v/>
      </c>
      <c r="G204" s="3">
        <f>IFERROR(VLOOKUP(A204,'الخطة التدريبية المعتمدة'!A:J,10,FALSE),0)</f>
        <v>0</v>
      </c>
      <c r="H204" s="3"/>
      <c r="I204" s="3"/>
      <c r="J204" s="3"/>
      <c r="K204" s="7" t="str">
        <f>IF(OR(I204="",J204="",I204=0),"",(J204-I204)/I204)</f>
        <v/>
      </c>
      <c r="L204" s="3" t="str">
        <f>IF(J204="","",IF(J204/10&gt;='الإعدادات والمستهدفات'!B5,"ناجح ومستوفى","ضعيف - يلزم إعادة اختبار"))</f>
        <v/>
      </c>
      <c r="M204" s="3"/>
      <c r="N204" s="3"/>
    </row>
    <row r="205" spans="1:14" x14ac:dyDescent="0.2">
      <c r="A205" s="3" t="str">
        <f>IFERROR(VLOOKUP(B205,'جدول الجلسات التدريبية'!A:B,2,FALSE),"")</f>
        <v/>
      </c>
      <c r="B205" s="3"/>
      <c r="C205" s="3" t="str">
        <f>IFERROR(VLOOKUP(A205,'الخطة التدريبية المعتمدة'!A:C,3,FALSE),"")</f>
        <v/>
      </c>
      <c r="D205" s="3" t="str">
        <f>IFERROR(VLOOKUP(B205,'جدول الجلسات التدريبية'!A:D,4,FALSE),"")</f>
        <v/>
      </c>
      <c r="E205" s="3"/>
      <c r="F205" s="3" t="str">
        <f>IFERROR(VLOOKUP(E205,'سجل الموظفين والكفاءة'!B:C,2,FALSE),"")</f>
        <v/>
      </c>
      <c r="G205" s="3">
        <f>IFERROR(VLOOKUP(A205,'الخطة التدريبية المعتمدة'!A:J,10,FALSE),0)</f>
        <v>0</v>
      </c>
      <c r="H205" s="3"/>
      <c r="I205" s="3"/>
      <c r="J205" s="3"/>
      <c r="K205" s="7" t="str">
        <f>IF(OR(I205="",J205="",I205=0),"",(J205-I205)/I205)</f>
        <v/>
      </c>
      <c r="L205" s="3" t="str">
        <f>IF(J205="","",IF(J205/10&gt;='الإعدادات والمستهدفات'!B5,"ناجح ومستوفى","ضعيف - يلزم إعادة اختبار"))</f>
        <v/>
      </c>
      <c r="M205" s="3"/>
      <c r="N205" s="3"/>
    </row>
    <row r="206" spans="1:14" x14ac:dyDescent="0.2">
      <c r="A206" s="3" t="str">
        <f>IFERROR(VLOOKUP(B206,'جدول الجلسات التدريبية'!A:B,2,FALSE),"")</f>
        <v/>
      </c>
      <c r="B206" s="3"/>
      <c r="C206" s="3" t="str">
        <f>IFERROR(VLOOKUP(A206,'الخطة التدريبية المعتمدة'!A:C,3,FALSE),"")</f>
        <v/>
      </c>
      <c r="D206" s="3" t="str">
        <f>IFERROR(VLOOKUP(B206,'جدول الجلسات التدريبية'!A:D,4,FALSE),"")</f>
        <v/>
      </c>
      <c r="E206" s="3"/>
      <c r="F206" s="3" t="str">
        <f>IFERROR(VLOOKUP(E206,'سجل الموظفين والكفاءة'!B:C,2,FALSE),"")</f>
        <v/>
      </c>
      <c r="G206" s="3">
        <f>IFERROR(VLOOKUP(A206,'الخطة التدريبية المعتمدة'!A:J,10,FALSE),0)</f>
        <v>0</v>
      </c>
      <c r="H206" s="3"/>
      <c r="I206" s="3"/>
      <c r="J206" s="3"/>
      <c r="K206" s="7" t="str">
        <f>IF(OR(I206="",J206="",I206=0),"",(J206-I206)/I206)</f>
        <v/>
      </c>
      <c r="L206" s="3" t="str">
        <f>IF(J206="","",IF(J206/10&gt;='الإعدادات والمستهدفات'!B5,"ناجح ومستوفى","ضعيف - يلزم إعادة اختبار"))</f>
        <v/>
      </c>
      <c r="M206" s="3"/>
      <c r="N206" s="3"/>
    </row>
    <row r="207" spans="1:14" x14ac:dyDescent="0.2">
      <c r="A207" s="3" t="str">
        <f>IFERROR(VLOOKUP(B207,'جدول الجلسات التدريبية'!A:B,2,FALSE),"")</f>
        <v/>
      </c>
      <c r="B207" s="3"/>
      <c r="C207" s="3" t="str">
        <f>IFERROR(VLOOKUP(A207,'الخطة التدريبية المعتمدة'!A:C,3,FALSE),"")</f>
        <v/>
      </c>
      <c r="D207" s="3" t="str">
        <f>IFERROR(VLOOKUP(B207,'جدول الجلسات التدريبية'!A:D,4,FALSE),"")</f>
        <v/>
      </c>
      <c r="E207" s="3"/>
      <c r="F207" s="3" t="str">
        <f>IFERROR(VLOOKUP(E207,'سجل الموظفين والكفاءة'!B:C,2,FALSE),"")</f>
        <v/>
      </c>
      <c r="G207" s="3">
        <f>IFERROR(VLOOKUP(A207,'الخطة التدريبية المعتمدة'!A:J,10,FALSE),0)</f>
        <v>0</v>
      </c>
      <c r="H207" s="3"/>
      <c r="I207" s="3"/>
      <c r="J207" s="3"/>
      <c r="K207" s="7" t="str">
        <f>IF(OR(I207="",J207="",I207=0),"",(J207-I207)/I207)</f>
        <v/>
      </c>
      <c r="L207" s="3" t="str">
        <f>IF(J207="","",IF(J207/10&gt;='الإعدادات والمستهدفات'!B5,"ناجح ومستوفى","ضعيف - يلزم إعادة اختبار"))</f>
        <v/>
      </c>
      <c r="M207" s="3"/>
      <c r="N207" s="3"/>
    </row>
    <row r="208" spans="1:14" x14ac:dyDescent="0.2">
      <c r="A208" s="3" t="str">
        <f>IFERROR(VLOOKUP(B208,'جدول الجلسات التدريبية'!A:B,2,FALSE),"")</f>
        <v/>
      </c>
      <c r="B208" s="3"/>
      <c r="C208" s="3" t="str">
        <f>IFERROR(VLOOKUP(A208,'الخطة التدريبية المعتمدة'!A:C,3,FALSE),"")</f>
        <v/>
      </c>
      <c r="D208" s="3" t="str">
        <f>IFERROR(VLOOKUP(B208,'جدول الجلسات التدريبية'!A:D,4,FALSE),"")</f>
        <v/>
      </c>
      <c r="E208" s="3"/>
      <c r="F208" s="3" t="str">
        <f>IFERROR(VLOOKUP(E208,'سجل الموظفين والكفاءة'!B:C,2,FALSE),"")</f>
        <v/>
      </c>
      <c r="G208" s="3">
        <f>IFERROR(VLOOKUP(A208,'الخطة التدريبية المعتمدة'!A:J,10,FALSE),0)</f>
        <v>0</v>
      </c>
      <c r="H208" s="3"/>
      <c r="I208" s="3"/>
      <c r="J208" s="3"/>
      <c r="K208" s="7" t="str">
        <f>IF(OR(I208="",J208="",I208=0),"",(J208-I208)/I208)</f>
        <v/>
      </c>
      <c r="L208" s="3" t="str">
        <f>IF(J208="","",IF(J208/10&gt;='الإعدادات والمستهدفات'!B5,"ناجح ومستوفى","ضعيف - يلزم إعادة اختبار"))</f>
        <v/>
      </c>
      <c r="M208" s="3"/>
      <c r="N208" s="3"/>
    </row>
    <row r="209" spans="1:14" x14ac:dyDescent="0.2">
      <c r="A209" s="3" t="str">
        <f>IFERROR(VLOOKUP(B209,'جدول الجلسات التدريبية'!A:B,2,FALSE),"")</f>
        <v/>
      </c>
      <c r="B209" s="3"/>
      <c r="C209" s="3" t="str">
        <f>IFERROR(VLOOKUP(A209,'الخطة التدريبية المعتمدة'!A:C,3,FALSE),"")</f>
        <v/>
      </c>
      <c r="D209" s="3" t="str">
        <f>IFERROR(VLOOKUP(B209,'جدول الجلسات التدريبية'!A:D,4,FALSE),"")</f>
        <v/>
      </c>
      <c r="E209" s="3"/>
      <c r="F209" s="3" t="str">
        <f>IFERROR(VLOOKUP(E209,'سجل الموظفين والكفاءة'!B:C,2,FALSE),"")</f>
        <v/>
      </c>
      <c r="G209" s="3">
        <f>IFERROR(VLOOKUP(A209,'الخطة التدريبية المعتمدة'!A:J,10,FALSE),0)</f>
        <v>0</v>
      </c>
      <c r="H209" s="3"/>
      <c r="I209" s="3"/>
      <c r="J209" s="3"/>
      <c r="K209" s="7" t="str">
        <f>IF(OR(I209="",J209="",I209=0),"",(J209-I209)/I209)</f>
        <v/>
      </c>
      <c r="L209" s="3" t="str">
        <f>IF(J209="","",IF(J209/10&gt;='الإعدادات والمستهدفات'!B5,"ناجح ومستوفى","ضعيف - يلزم إعادة اختبار"))</f>
        <v/>
      </c>
      <c r="M209" s="3"/>
      <c r="N209" s="3"/>
    </row>
    <row r="210" spans="1:14" x14ac:dyDescent="0.2">
      <c r="A210" s="3" t="str">
        <f>IFERROR(VLOOKUP(B210,'جدول الجلسات التدريبية'!A:B,2,FALSE),"")</f>
        <v/>
      </c>
      <c r="B210" s="3"/>
      <c r="C210" s="3" t="str">
        <f>IFERROR(VLOOKUP(A210,'الخطة التدريبية المعتمدة'!A:C,3,FALSE),"")</f>
        <v/>
      </c>
      <c r="D210" s="3" t="str">
        <f>IFERROR(VLOOKUP(B210,'جدول الجلسات التدريبية'!A:D,4,FALSE),"")</f>
        <v/>
      </c>
      <c r="E210" s="3"/>
      <c r="F210" s="3" t="str">
        <f>IFERROR(VLOOKUP(E210,'سجل الموظفين والكفاءة'!B:C,2,FALSE),"")</f>
        <v/>
      </c>
      <c r="G210" s="3">
        <f>IFERROR(VLOOKUP(A210,'الخطة التدريبية المعتمدة'!A:J,10,FALSE),0)</f>
        <v>0</v>
      </c>
      <c r="H210" s="3"/>
      <c r="I210" s="3"/>
      <c r="J210" s="3"/>
      <c r="K210" s="7" t="str">
        <f>IF(OR(I210="",J210="",I210=0),"",(J210-I210)/I210)</f>
        <v/>
      </c>
      <c r="L210" s="3" t="str">
        <f>IF(J210="","",IF(J210/10&gt;='الإعدادات والمستهدفات'!B5,"ناجح ومستوفى","ضعيف - يلزم إعادة اختبار"))</f>
        <v/>
      </c>
      <c r="M210" s="3"/>
      <c r="N210" s="3"/>
    </row>
    <row r="211" spans="1:14" x14ac:dyDescent="0.2">
      <c r="A211" s="3" t="str">
        <f>IFERROR(VLOOKUP(B211,'جدول الجلسات التدريبية'!A:B,2,FALSE),"")</f>
        <v/>
      </c>
      <c r="B211" s="3"/>
      <c r="C211" s="3" t="str">
        <f>IFERROR(VLOOKUP(A211,'الخطة التدريبية المعتمدة'!A:C,3,FALSE),"")</f>
        <v/>
      </c>
      <c r="D211" s="3" t="str">
        <f>IFERROR(VLOOKUP(B211,'جدول الجلسات التدريبية'!A:D,4,FALSE),"")</f>
        <v/>
      </c>
      <c r="E211" s="3"/>
      <c r="F211" s="3" t="str">
        <f>IFERROR(VLOOKUP(E211,'سجل الموظفين والكفاءة'!B:C,2,FALSE),"")</f>
        <v/>
      </c>
      <c r="G211" s="3">
        <f>IFERROR(VLOOKUP(A211,'الخطة التدريبية المعتمدة'!A:J,10,FALSE),0)</f>
        <v>0</v>
      </c>
      <c r="H211" s="3"/>
      <c r="I211" s="3"/>
      <c r="J211" s="3"/>
      <c r="K211" s="7" t="str">
        <f>IF(OR(I211="",J211="",I211=0),"",(J211-I211)/I211)</f>
        <v/>
      </c>
      <c r="L211" s="3" t="str">
        <f>IF(J211="","",IF(J211/10&gt;='الإعدادات والمستهدفات'!B5,"ناجح ومستوفى","ضعيف - يلزم إعادة اختبار"))</f>
        <v/>
      </c>
      <c r="M211" s="3"/>
      <c r="N211" s="3"/>
    </row>
    <row r="212" spans="1:14" x14ac:dyDescent="0.2">
      <c r="A212" s="3" t="str">
        <f>IFERROR(VLOOKUP(B212,'جدول الجلسات التدريبية'!A:B,2,FALSE),"")</f>
        <v/>
      </c>
      <c r="B212" s="3"/>
      <c r="C212" s="3" t="str">
        <f>IFERROR(VLOOKUP(A212,'الخطة التدريبية المعتمدة'!A:C,3,FALSE),"")</f>
        <v/>
      </c>
      <c r="D212" s="3" t="str">
        <f>IFERROR(VLOOKUP(B212,'جدول الجلسات التدريبية'!A:D,4,FALSE),"")</f>
        <v/>
      </c>
      <c r="E212" s="3"/>
      <c r="F212" s="3" t="str">
        <f>IFERROR(VLOOKUP(E212,'سجل الموظفين والكفاءة'!B:C,2,FALSE),"")</f>
        <v/>
      </c>
      <c r="G212" s="3">
        <f>IFERROR(VLOOKUP(A212,'الخطة التدريبية المعتمدة'!A:J,10,FALSE),0)</f>
        <v>0</v>
      </c>
      <c r="H212" s="3"/>
      <c r="I212" s="3"/>
      <c r="J212" s="3"/>
      <c r="K212" s="7" t="str">
        <f>IF(OR(I212="",J212="",I212=0),"",(J212-I212)/I212)</f>
        <v/>
      </c>
      <c r="L212" s="3" t="str">
        <f>IF(J212="","",IF(J212/10&gt;='الإعدادات والمستهدفات'!B5,"ناجح ومستوفى","ضعيف - يلزم إعادة اختبار"))</f>
        <v/>
      </c>
      <c r="M212" s="3"/>
      <c r="N212" s="3"/>
    </row>
    <row r="213" spans="1:14" x14ac:dyDescent="0.2">
      <c r="A213" s="3" t="str">
        <f>IFERROR(VLOOKUP(B213,'جدول الجلسات التدريبية'!A:B,2,FALSE),"")</f>
        <v/>
      </c>
      <c r="B213" s="3"/>
      <c r="C213" s="3" t="str">
        <f>IFERROR(VLOOKUP(A213,'الخطة التدريبية المعتمدة'!A:C,3,FALSE),"")</f>
        <v/>
      </c>
      <c r="D213" s="3" t="str">
        <f>IFERROR(VLOOKUP(B213,'جدول الجلسات التدريبية'!A:D,4,FALSE),"")</f>
        <v/>
      </c>
      <c r="E213" s="3"/>
      <c r="F213" s="3" t="str">
        <f>IFERROR(VLOOKUP(E213,'سجل الموظفين والكفاءة'!B:C,2,FALSE),"")</f>
        <v/>
      </c>
      <c r="G213" s="3">
        <f>IFERROR(VLOOKUP(A213,'الخطة التدريبية المعتمدة'!A:J,10,FALSE),0)</f>
        <v>0</v>
      </c>
      <c r="H213" s="3"/>
      <c r="I213" s="3"/>
      <c r="J213" s="3"/>
      <c r="K213" s="7" t="str">
        <f>IF(OR(I213="",J213="",I213=0),"",(J213-I213)/I213)</f>
        <v/>
      </c>
      <c r="L213" s="3" t="str">
        <f>IF(J213="","",IF(J213/10&gt;='الإعدادات والمستهدفات'!B5,"ناجح ومستوفى","ضعيف - يلزم إعادة اختبار"))</f>
        <v/>
      </c>
      <c r="M213" s="3"/>
      <c r="N213" s="3"/>
    </row>
    <row r="214" spans="1:14" x14ac:dyDescent="0.2">
      <c r="A214" s="3" t="str">
        <f>IFERROR(VLOOKUP(B214,'جدول الجلسات التدريبية'!A:B,2,FALSE),"")</f>
        <v/>
      </c>
      <c r="B214" s="3"/>
      <c r="C214" s="3" t="str">
        <f>IFERROR(VLOOKUP(A214,'الخطة التدريبية المعتمدة'!A:C,3,FALSE),"")</f>
        <v/>
      </c>
      <c r="D214" s="3" t="str">
        <f>IFERROR(VLOOKUP(B214,'جدول الجلسات التدريبية'!A:D,4,FALSE),"")</f>
        <v/>
      </c>
      <c r="E214" s="3"/>
      <c r="F214" s="3" t="str">
        <f>IFERROR(VLOOKUP(E214,'سجل الموظفين والكفاءة'!B:C,2,FALSE),"")</f>
        <v/>
      </c>
      <c r="G214" s="3">
        <f>IFERROR(VLOOKUP(A214,'الخطة التدريبية المعتمدة'!A:J,10,FALSE),0)</f>
        <v>0</v>
      </c>
      <c r="H214" s="3"/>
      <c r="I214" s="3"/>
      <c r="J214" s="3"/>
      <c r="K214" s="7" t="str">
        <f>IF(OR(I214="",J214="",I214=0),"",(J214-I214)/I214)</f>
        <v/>
      </c>
      <c r="L214" s="3" t="str">
        <f>IF(J214="","",IF(J214/10&gt;='الإعدادات والمستهدفات'!B5,"ناجح ومستوفى","ضعيف - يلزم إعادة اختبار"))</f>
        <v/>
      </c>
      <c r="M214" s="3"/>
      <c r="N214" s="3"/>
    </row>
    <row r="215" spans="1:14" x14ac:dyDescent="0.2">
      <c r="A215" s="3" t="str">
        <f>IFERROR(VLOOKUP(B215,'جدول الجلسات التدريبية'!A:B,2,FALSE),"")</f>
        <v/>
      </c>
      <c r="B215" s="3"/>
      <c r="C215" s="3" t="str">
        <f>IFERROR(VLOOKUP(A215,'الخطة التدريبية المعتمدة'!A:C,3,FALSE),"")</f>
        <v/>
      </c>
      <c r="D215" s="3" t="str">
        <f>IFERROR(VLOOKUP(B215,'جدول الجلسات التدريبية'!A:D,4,FALSE),"")</f>
        <v/>
      </c>
      <c r="E215" s="3"/>
      <c r="F215" s="3" t="str">
        <f>IFERROR(VLOOKUP(E215,'سجل الموظفين والكفاءة'!B:C,2,FALSE),"")</f>
        <v/>
      </c>
      <c r="G215" s="3">
        <f>IFERROR(VLOOKUP(A215,'الخطة التدريبية المعتمدة'!A:J,10,FALSE),0)</f>
        <v>0</v>
      </c>
      <c r="H215" s="3"/>
      <c r="I215" s="3"/>
      <c r="J215" s="3"/>
      <c r="K215" s="7" t="str">
        <f>IF(OR(I215="",J215="",I215=0),"",(J215-I215)/I215)</f>
        <v/>
      </c>
      <c r="L215" s="3" t="str">
        <f>IF(J215="","",IF(J215/10&gt;='الإعدادات والمستهدفات'!B5,"ناجح ومستوفى","ضعيف - يلزم إعادة اختبار"))</f>
        <v/>
      </c>
      <c r="M215" s="3"/>
      <c r="N215" s="3"/>
    </row>
    <row r="216" spans="1:14" x14ac:dyDescent="0.2">
      <c r="A216" s="3" t="str">
        <f>IFERROR(VLOOKUP(B216,'جدول الجلسات التدريبية'!A:B,2,FALSE),"")</f>
        <v/>
      </c>
      <c r="B216" s="3"/>
      <c r="C216" s="3" t="str">
        <f>IFERROR(VLOOKUP(A216,'الخطة التدريبية المعتمدة'!A:C,3,FALSE),"")</f>
        <v/>
      </c>
      <c r="D216" s="3" t="str">
        <f>IFERROR(VLOOKUP(B216,'جدول الجلسات التدريبية'!A:D,4,FALSE),"")</f>
        <v/>
      </c>
      <c r="E216" s="3"/>
      <c r="F216" s="3" t="str">
        <f>IFERROR(VLOOKUP(E216,'سجل الموظفين والكفاءة'!B:C,2,FALSE),"")</f>
        <v/>
      </c>
      <c r="G216" s="3">
        <f>IFERROR(VLOOKUP(A216,'الخطة التدريبية المعتمدة'!A:J,10,FALSE),0)</f>
        <v>0</v>
      </c>
      <c r="H216" s="3"/>
      <c r="I216" s="3"/>
      <c r="J216" s="3"/>
      <c r="K216" s="7" t="str">
        <f>IF(OR(I216="",J216="",I216=0),"",(J216-I216)/I216)</f>
        <v/>
      </c>
      <c r="L216" s="3" t="str">
        <f>IF(J216="","",IF(J216/10&gt;='الإعدادات والمستهدفات'!B5,"ناجح ومستوفى","ضعيف - يلزم إعادة اختبار"))</f>
        <v/>
      </c>
      <c r="M216" s="3"/>
      <c r="N216" s="3"/>
    </row>
    <row r="217" spans="1:14" x14ac:dyDescent="0.2">
      <c r="A217" s="3" t="str">
        <f>IFERROR(VLOOKUP(B217,'جدول الجلسات التدريبية'!A:B,2,FALSE),"")</f>
        <v/>
      </c>
      <c r="B217" s="3"/>
      <c r="C217" s="3" t="str">
        <f>IFERROR(VLOOKUP(A217,'الخطة التدريبية المعتمدة'!A:C,3,FALSE),"")</f>
        <v/>
      </c>
      <c r="D217" s="3" t="str">
        <f>IFERROR(VLOOKUP(B217,'جدول الجلسات التدريبية'!A:D,4,FALSE),"")</f>
        <v/>
      </c>
      <c r="E217" s="3"/>
      <c r="F217" s="3" t="str">
        <f>IFERROR(VLOOKUP(E217,'سجل الموظفين والكفاءة'!B:C,2,FALSE),"")</f>
        <v/>
      </c>
      <c r="G217" s="3">
        <f>IFERROR(VLOOKUP(A217,'الخطة التدريبية المعتمدة'!A:J,10,FALSE),0)</f>
        <v>0</v>
      </c>
      <c r="H217" s="3"/>
      <c r="I217" s="3"/>
      <c r="J217" s="3"/>
      <c r="K217" s="7" t="str">
        <f>IF(OR(I217="",J217="",I217=0),"",(J217-I217)/I217)</f>
        <v/>
      </c>
      <c r="L217" s="3" t="str">
        <f>IF(J217="","",IF(J217/10&gt;='الإعدادات والمستهدفات'!B5,"ناجح ومستوفى","ضعيف - يلزم إعادة اختبار"))</f>
        <v/>
      </c>
      <c r="M217" s="3"/>
      <c r="N217" s="3"/>
    </row>
    <row r="218" spans="1:14" x14ac:dyDescent="0.2">
      <c r="A218" s="3" t="str">
        <f>IFERROR(VLOOKUP(B218,'جدول الجلسات التدريبية'!A:B,2,FALSE),"")</f>
        <v/>
      </c>
      <c r="B218" s="3"/>
      <c r="C218" s="3" t="str">
        <f>IFERROR(VLOOKUP(A218,'الخطة التدريبية المعتمدة'!A:C,3,FALSE),"")</f>
        <v/>
      </c>
      <c r="D218" s="3" t="str">
        <f>IFERROR(VLOOKUP(B218,'جدول الجلسات التدريبية'!A:D,4,FALSE),"")</f>
        <v/>
      </c>
      <c r="E218" s="3"/>
      <c r="F218" s="3" t="str">
        <f>IFERROR(VLOOKUP(E218,'سجل الموظفين والكفاءة'!B:C,2,FALSE),"")</f>
        <v/>
      </c>
      <c r="G218" s="3">
        <f>IFERROR(VLOOKUP(A218,'الخطة التدريبية المعتمدة'!A:J,10,FALSE),0)</f>
        <v>0</v>
      </c>
      <c r="H218" s="3"/>
      <c r="I218" s="3"/>
      <c r="J218" s="3"/>
      <c r="K218" s="7" t="str">
        <f>IF(OR(I218="",J218="",I218=0),"",(J218-I218)/I218)</f>
        <v/>
      </c>
      <c r="L218" s="3" t="str">
        <f>IF(J218="","",IF(J218/10&gt;='الإعدادات والمستهدفات'!B5,"ناجح ومستوفى","ضعيف - يلزم إعادة اختبار"))</f>
        <v/>
      </c>
      <c r="M218" s="3"/>
      <c r="N218" s="3"/>
    </row>
    <row r="219" spans="1:14" x14ac:dyDescent="0.2">
      <c r="A219" s="3" t="str">
        <f>IFERROR(VLOOKUP(B219,'جدول الجلسات التدريبية'!A:B,2,FALSE),"")</f>
        <v/>
      </c>
      <c r="B219" s="3"/>
      <c r="C219" s="3" t="str">
        <f>IFERROR(VLOOKUP(A219,'الخطة التدريبية المعتمدة'!A:C,3,FALSE),"")</f>
        <v/>
      </c>
      <c r="D219" s="3" t="str">
        <f>IFERROR(VLOOKUP(B219,'جدول الجلسات التدريبية'!A:D,4,FALSE),"")</f>
        <v/>
      </c>
      <c r="E219" s="3"/>
      <c r="F219" s="3" t="str">
        <f>IFERROR(VLOOKUP(E219,'سجل الموظفين والكفاءة'!B:C,2,FALSE),"")</f>
        <v/>
      </c>
      <c r="G219" s="3">
        <f>IFERROR(VLOOKUP(A219,'الخطة التدريبية المعتمدة'!A:J,10,FALSE),0)</f>
        <v>0</v>
      </c>
      <c r="H219" s="3"/>
      <c r="I219" s="3"/>
      <c r="J219" s="3"/>
      <c r="K219" s="7" t="str">
        <f>IF(OR(I219="",J219="",I219=0),"",(J219-I219)/I219)</f>
        <v/>
      </c>
      <c r="L219" s="3" t="str">
        <f>IF(J219="","",IF(J219/10&gt;='الإعدادات والمستهدفات'!B5,"ناجح ومستوفى","ضعيف - يلزم إعادة اختبار"))</f>
        <v/>
      </c>
      <c r="M219" s="3"/>
      <c r="N219" s="3"/>
    </row>
    <row r="220" spans="1:14" x14ac:dyDescent="0.2">
      <c r="A220" s="3" t="str">
        <f>IFERROR(VLOOKUP(B220,'جدول الجلسات التدريبية'!A:B,2,FALSE),"")</f>
        <v/>
      </c>
      <c r="B220" s="3"/>
      <c r="C220" s="3" t="str">
        <f>IFERROR(VLOOKUP(A220,'الخطة التدريبية المعتمدة'!A:C,3,FALSE),"")</f>
        <v/>
      </c>
      <c r="D220" s="3" t="str">
        <f>IFERROR(VLOOKUP(B220,'جدول الجلسات التدريبية'!A:D,4,FALSE),"")</f>
        <v/>
      </c>
      <c r="E220" s="3"/>
      <c r="F220" s="3" t="str">
        <f>IFERROR(VLOOKUP(E220,'سجل الموظفين والكفاءة'!B:C,2,FALSE),"")</f>
        <v/>
      </c>
      <c r="G220" s="3">
        <f>IFERROR(VLOOKUP(A220,'الخطة التدريبية المعتمدة'!A:J,10,FALSE),0)</f>
        <v>0</v>
      </c>
      <c r="H220" s="3"/>
      <c r="I220" s="3"/>
      <c r="J220" s="3"/>
      <c r="K220" s="7" t="str">
        <f>IF(OR(I220="",J220="",I220=0),"",(J220-I220)/I220)</f>
        <v/>
      </c>
      <c r="L220" s="3" t="str">
        <f>IF(J220="","",IF(J220/10&gt;='الإعدادات والمستهدفات'!B5,"ناجح ومستوفى","ضعيف - يلزم إعادة اختبار"))</f>
        <v/>
      </c>
      <c r="M220" s="3"/>
      <c r="N220" s="3"/>
    </row>
    <row r="221" spans="1:14" x14ac:dyDescent="0.2">
      <c r="A221" s="3" t="str">
        <f>IFERROR(VLOOKUP(B221,'جدول الجلسات التدريبية'!A:B,2,FALSE),"")</f>
        <v/>
      </c>
      <c r="B221" s="3"/>
      <c r="C221" s="3" t="str">
        <f>IFERROR(VLOOKUP(A221,'الخطة التدريبية المعتمدة'!A:C,3,FALSE),"")</f>
        <v/>
      </c>
      <c r="D221" s="3" t="str">
        <f>IFERROR(VLOOKUP(B221,'جدول الجلسات التدريبية'!A:D,4,FALSE),"")</f>
        <v/>
      </c>
      <c r="E221" s="3"/>
      <c r="F221" s="3" t="str">
        <f>IFERROR(VLOOKUP(E221,'سجل الموظفين والكفاءة'!B:C,2,FALSE),"")</f>
        <v/>
      </c>
      <c r="G221" s="3">
        <f>IFERROR(VLOOKUP(A221,'الخطة التدريبية المعتمدة'!A:J,10,FALSE),0)</f>
        <v>0</v>
      </c>
      <c r="H221" s="3"/>
      <c r="I221" s="3"/>
      <c r="J221" s="3"/>
      <c r="K221" s="7" t="str">
        <f>IF(OR(I221="",J221="",I221=0),"",(J221-I221)/I221)</f>
        <v/>
      </c>
      <c r="L221" s="3" t="str">
        <f>IF(J221="","",IF(J221/10&gt;='الإعدادات والمستهدفات'!B5,"ناجح ومستوفى","ضعيف - يلزم إعادة اختبار"))</f>
        <v/>
      </c>
      <c r="M221" s="3"/>
      <c r="N221" s="3"/>
    </row>
    <row r="222" spans="1:14" x14ac:dyDescent="0.2">
      <c r="A222" s="3" t="str">
        <f>IFERROR(VLOOKUP(B222,'جدول الجلسات التدريبية'!A:B,2,FALSE),"")</f>
        <v/>
      </c>
      <c r="B222" s="3"/>
      <c r="C222" s="3" t="str">
        <f>IFERROR(VLOOKUP(A222,'الخطة التدريبية المعتمدة'!A:C,3,FALSE),"")</f>
        <v/>
      </c>
      <c r="D222" s="3" t="str">
        <f>IFERROR(VLOOKUP(B222,'جدول الجلسات التدريبية'!A:D,4,FALSE),"")</f>
        <v/>
      </c>
      <c r="E222" s="3"/>
      <c r="F222" s="3" t="str">
        <f>IFERROR(VLOOKUP(E222,'سجل الموظفين والكفاءة'!B:C,2,FALSE),"")</f>
        <v/>
      </c>
      <c r="G222" s="3">
        <f>IFERROR(VLOOKUP(A222,'الخطة التدريبية المعتمدة'!A:J,10,FALSE),0)</f>
        <v>0</v>
      </c>
      <c r="H222" s="3"/>
      <c r="I222" s="3"/>
      <c r="J222" s="3"/>
      <c r="K222" s="7" t="str">
        <f>IF(OR(I222="",J222="",I222=0),"",(J222-I222)/I222)</f>
        <v/>
      </c>
      <c r="L222" s="3" t="str">
        <f>IF(J222="","",IF(J222/10&gt;='الإعدادات والمستهدفات'!B5,"ناجح ومستوفى","ضعيف - يلزم إعادة اختبار"))</f>
        <v/>
      </c>
      <c r="M222" s="3"/>
      <c r="N222" s="3"/>
    </row>
    <row r="223" spans="1:14" x14ac:dyDescent="0.2">
      <c r="A223" s="3" t="str">
        <f>IFERROR(VLOOKUP(B223,'جدول الجلسات التدريبية'!A:B,2,FALSE),"")</f>
        <v/>
      </c>
      <c r="B223" s="3"/>
      <c r="C223" s="3" t="str">
        <f>IFERROR(VLOOKUP(A223,'الخطة التدريبية المعتمدة'!A:C,3,FALSE),"")</f>
        <v/>
      </c>
      <c r="D223" s="3" t="str">
        <f>IFERROR(VLOOKUP(B223,'جدول الجلسات التدريبية'!A:D,4,FALSE),"")</f>
        <v/>
      </c>
      <c r="E223" s="3"/>
      <c r="F223" s="3" t="str">
        <f>IFERROR(VLOOKUP(E223,'سجل الموظفين والكفاءة'!B:C,2,FALSE),"")</f>
        <v/>
      </c>
      <c r="G223" s="3">
        <f>IFERROR(VLOOKUP(A223,'الخطة التدريبية المعتمدة'!A:J,10,FALSE),0)</f>
        <v>0</v>
      </c>
      <c r="H223" s="3"/>
      <c r="I223" s="3"/>
      <c r="J223" s="3"/>
      <c r="K223" s="7" t="str">
        <f>IF(OR(I223="",J223="",I223=0),"",(J223-I223)/I223)</f>
        <v/>
      </c>
      <c r="L223" s="3" t="str">
        <f>IF(J223="","",IF(J223/10&gt;='الإعدادات والمستهدفات'!B5,"ناجح ومستوفى","ضعيف - يلزم إعادة اختبار"))</f>
        <v/>
      </c>
      <c r="M223" s="3"/>
      <c r="N223" s="3"/>
    </row>
    <row r="224" spans="1:14" x14ac:dyDescent="0.2">
      <c r="A224" s="3" t="str">
        <f>IFERROR(VLOOKUP(B224,'جدول الجلسات التدريبية'!A:B,2,FALSE),"")</f>
        <v/>
      </c>
      <c r="B224" s="3"/>
      <c r="C224" s="3" t="str">
        <f>IFERROR(VLOOKUP(A224,'الخطة التدريبية المعتمدة'!A:C,3,FALSE),"")</f>
        <v/>
      </c>
      <c r="D224" s="3" t="str">
        <f>IFERROR(VLOOKUP(B224,'جدول الجلسات التدريبية'!A:D,4,FALSE),"")</f>
        <v/>
      </c>
      <c r="E224" s="3"/>
      <c r="F224" s="3" t="str">
        <f>IFERROR(VLOOKUP(E224,'سجل الموظفين والكفاءة'!B:C,2,FALSE),"")</f>
        <v/>
      </c>
      <c r="G224" s="3">
        <f>IFERROR(VLOOKUP(A224,'الخطة التدريبية المعتمدة'!A:J,10,FALSE),0)</f>
        <v>0</v>
      </c>
      <c r="H224" s="3"/>
      <c r="I224" s="3"/>
      <c r="J224" s="3"/>
      <c r="K224" s="7" t="str">
        <f>IF(OR(I224="",J224="",I224=0),"",(J224-I224)/I224)</f>
        <v/>
      </c>
      <c r="L224" s="3" t="str">
        <f>IF(J224="","",IF(J224/10&gt;='الإعدادات والمستهدفات'!B5,"ناجح ومستوفى","ضعيف - يلزم إعادة اختبار"))</f>
        <v/>
      </c>
      <c r="M224" s="3"/>
      <c r="N224" s="3"/>
    </row>
    <row r="225" spans="1:14" x14ac:dyDescent="0.2">
      <c r="A225" s="3" t="str">
        <f>IFERROR(VLOOKUP(B225,'جدول الجلسات التدريبية'!A:B,2,FALSE),"")</f>
        <v/>
      </c>
      <c r="B225" s="3"/>
      <c r="C225" s="3" t="str">
        <f>IFERROR(VLOOKUP(A225,'الخطة التدريبية المعتمدة'!A:C,3,FALSE),"")</f>
        <v/>
      </c>
      <c r="D225" s="3" t="str">
        <f>IFERROR(VLOOKUP(B225,'جدول الجلسات التدريبية'!A:D,4,FALSE),"")</f>
        <v/>
      </c>
      <c r="E225" s="3"/>
      <c r="F225" s="3" t="str">
        <f>IFERROR(VLOOKUP(E225,'سجل الموظفين والكفاءة'!B:C,2,FALSE),"")</f>
        <v/>
      </c>
      <c r="G225" s="3">
        <f>IFERROR(VLOOKUP(A225,'الخطة التدريبية المعتمدة'!A:J,10,FALSE),0)</f>
        <v>0</v>
      </c>
      <c r="H225" s="3"/>
      <c r="I225" s="3"/>
      <c r="J225" s="3"/>
      <c r="K225" s="7" t="str">
        <f>IF(OR(I225="",J225="",I225=0),"",(J225-I225)/I225)</f>
        <v/>
      </c>
      <c r="L225" s="3" t="str">
        <f>IF(J225="","",IF(J225/10&gt;='الإعدادات والمستهدفات'!B5,"ناجح ومستوفى","ضعيف - يلزم إعادة اختبار"))</f>
        <v/>
      </c>
      <c r="M225" s="3"/>
      <c r="N225" s="3"/>
    </row>
    <row r="226" spans="1:14" x14ac:dyDescent="0.2">
      <c r="A226" s="3" t="str">
        <f>IFERROR(VLOOKUP(B226,'جدول الجلسات التدريبية'!A:B,2,FALSE),"")</f>
        <v/>
      </c>
      <c r="B226" s="3"/>
      <c r="C226" s="3" t="str">
        <f>IFERROR(VLOOKUP(A226,'الخطة التدريبية المعتمدة'!A:C,3,FALSE),"")</f>
        <v/>
      </c>
      <c r="D226" s="3" t="str">
        <f>IFERROR(VLOOKUP(B226,'جدول الجلسات التدريبية'!A:D,4,FALSE),"")</f>
        <v/>
      </c>
      <c r="E226" s="3"/>
      <c r="F226" s="3" t="str">
        <f>IFERROR(VLOOKUP(E226,'سجل الموظفين والكفاءة'!B:C,2,FALSE),"")</f>
        <v/>
      </c>
      <c r="G226" s="3">
        <f>IFERROR(VLOOKUP(A226,'الخطة التدريبية المعتمدة'!A:J,10,FALSE),0)</f>
        <v>0</v>
      </c>
      <c r="H226" s="3"/>
      <c r="I226" s="3"/>
      <c r="J226" s="3"/>
      <c r="K226" s="7" t="str">
        <f>IF(OR(I226="",J226="",I226=0),"",(J226-I226)/I226)</f>
        <v/>
      </c>
      <c r="L226" s="3" t="str">
        <f>IF(J226="","",IF(J226/10&gt;='الإعدادات والمستهدفات'!B5,"ناجح ومستوفى","ضعيف - يلزم إعادة اختبار"))</f>
        <v/>
      </c>
      <c r="M226" s="3"/>
      <c r="N226" s="3"/>
    </row>
    <row r="227" spans="1:14" x14ac:dyDescent="0.2">
      <c r="A227" s="3" t="str">
        <f>IFERROR(VLOOKUP(B227,'جدول الجلسات التدريبية'!A:B,2,FALSE),"")</f>
        <v/>
      </c>
      <c r="B227" s="3"/>
      <c r="C227" s="3" t="str">
        <f>IFERROR(VLOOKUP(A227,'الخطة التدريبية المعتمدة'!A:C,3,FALSE),"")</f>
        <v/>
      </c>
      <c r="D227" s="3" t="str">
        <f>IFERROR(VLOOKUP(B227,'جدول الجلسات التدريبية'!A:D,4,FALSE),"")</f>
        <v/>
      </c>
      <c r="E227" s="3"/>
      <c r="F227" s="3" t="str">
        <f>IFERROR(VLOOKUP(E227,'سجل الموظفين والكفاءة'!B:C,2,FALSE),"")</f>
        <v/>
      </c>
      <c r="G227" s="3">
        <f>IFERROR(VLOOKUP(A227,'الخطة التدريبية المعتمدة'!A:J,10,FALSE),0)</f>
        <v>0</v>
      </c>
      <c r="H227" s="3"/>
      <c r="I227" s="3"/>
      <c r="J227" s="3"/>
      <c r="K227" s="7" t="str">
        <f>IF(OR(I227="",J227="",I227=0),"",(J227-I227)/I227)</f>
        <v/>
      </c>
      <c r="L227" s="3" t="str">
        <f>IF(J227="","",IF(J227/10&gt;='الإعدادات والمستهدفات'!B5,"ناجح ومستوفى","ضعيف - يلزم إعادة اختبار"))</f>
        <v/>
      </c>
      <c r="M227" s="3"/>
      <c r="N227" s="3"/>
    </row>
    <row r="228" spans="1:14" x14ac:dyDescent="0.2">
      <c r="A228" s="3" t="str">
        <f>IFERROR(VLOOKUP(B228,'جدول الجلسات التدريبية'!A:B,2,FALSE),"")</f>
        <v/>
      </c>
      <c r="B228" s="3"/>
      <c r="C228" s="3" t="str">
        <f>IFERROR(VLOOKUP(A228,'الخطة التدريبية المعتمدة'!A:C,3,FALSE),"")</f>
        <v/>
      </c>
      <c r="D228" s="3" t="str">
        <f>IFERROR(VLOOKUP(B228,'جدول الجلسات التدريبية'!A:D,4,FALSE),"")</f>
        <v/>
      </c>
      <c r="E228" s="3"/>
      <c r="F228" s="3" t="str">
        <f>IFERROR(VLOOKUP(E228,'سجل الموظفين والكفاءة'!B:C,2,FALSE),"")</f>
        <v/>
      </c>
      <c r="G228" s="3">
        <f>IFERROR(VLOOKUP(A228,'الخطة التدريبية المعتمدة'!A:J,10,FALSE),0)</f>
        <v>0</v>
      </c>
      <c r="H228" s="3"/>
      <c r="I228" s="3"/>
      <c r="J228" s="3"/>
      <c r="K228" s="7" t="str">
        <f>IF(OR(I228="",J228="",I228=0),"",(J228-I228)/I228)</f>
        <v/>
      </c>
      <c r="L228" s="3" t="str">
        <f>IF(J228="","",IF(J228/10&gt;='الإعدادات والمستهدفات'!B5,"ناجح ومستوفى","ضعيف - يلزم إعادة اختبار"))</f>
        <v/>
      </c>
      <c r="M228" s="3"/>
      <c r="N228" s="3"/>
    </row>
    <row r="229" spans="1:14" x14ac:dyDescent="0.2">
      <c r="A229" s="3" t="str">
        <f>IFERROR(VLOOKUP(B229,'جدول الجلسات التدريبية'!A:B,2,FALSE),"")</f>
        <v/>
      </c>
      <c r="B229" s="3"/>
      <c r="C229" s="3" t="str">
        <f>IFERROR(VLOOKUP(A229,'الخطة التدريبية المعتمدة'!A:C,3,FALSE),"")</f>
        <v/>
      </c>
      <c r="D229" s="3" t="str">
        <f>IFERROR(VLOOKUP(B229,'جدول الجلسات التدريبية'!A:D,4,FALSE),"")</f>
        <v/>
      </c>
      <c r="E229" s="3"/>
      <c r="F229" s="3" t="str">
        <f>IFERROR(VLOOKUP(E229,'سجل الموظفين والكفاءة'!B:C,2,FALSE),"")</f>
        <v/>
      </c>
      <c r="G229" s="3">
        <f>IFERROR(VLOOKUP(A229,'الخطة التدريبية المعتمدة'!A:J,10,FALSE),0)</f>
        <v>0</v>
      </c>
      <c r="H229" s="3"/>
      <c r="I229" s="3"/>
      <c r="J229" s="3"/>
      <c r="K229" s="7" t="str">
        <f>IF(OR(I229="",J229="",I229=0),"",(J229-I229)/I229)</f>
        <v/>
      </c>
      <c r="L229" s="3" t="str">
        <f>IF(J229="","",IF(J229/10&gt;='الإعدادات والمستهدفات'!B5,"ناجح ومستوفى","ضعيف - يلزم إعادة اختبار"))</f>
        <v/>
      </c>
      <c r="M229" s="3"/>
      <c r="N229" s="3"/>
    </row>
    <row r="230" spans="1:14" x14ac:dyDescent="0.2">
      <c r="A230" s="3" t="str">
        <f>IFERROR(VLOOKUP(B230,'جدول الجلسات التدريبية'!A:B,2,FALSE),"")</f>
        <v/>
      </c>
      <c r="B230" s="3"/>
      <c r="C230" s="3" t="str">
        <f>IFERROR(VLOOKUP(A230,'الخطة التدريبية المعتمدة'!A:C,3,FALSE),"")</f>
        <v/>
      </c>
      <c r="D230" s="3" t="str">
        <f>IFERROR(VLOOKUP(B230,'جدول الجلسات التدريبية'!A:D,4,FALSE),"")</f>
        <v/>
      </c>
      <c r="E230" s="3"/>
      <c r="F230" s="3" t="str">
        <f>IFERROR(VLOOKUP(E230,'سجل الموظفين والكفاءة'!B:C,2,FALSE),"")</f>
        <v/>
      </c>
      <c r="G230" s="3">
        <f>IFERROR(VLOOKUP(A230,'الخطة التدريبية المعتمدة'!A:J,10,FALSE),0)</f>
        <v>0</v>
      </c>
      <c r="H230" s="3"/>
      <c r="I230" s="3"/>
      <c r="J230" s="3"/>
      <c r="K230" s="7" t="str">
        <f>IF(OR(I230="",J230="",I230=0),"",(J230-I230)/I230)</f>
        <v/>
      </c>
      <c r="L230" s="3" t="str">
        <f>IF(J230="","",IF(J230/10&gt;='الإعدادات والمستهدفات'!B5,"ناجح ومستوفى","ضعيف - يلزم إعادة اختبار"))</f>
        <v/>
      </c>
      <c r="M230" s="3"/>
      <c r="N230" s="3"/>
    </row>
    <row r="231" spans="1:14" x14ac:dyDescent="0.2">
      <c r="A231" s="3" t="str">
        <f>IFERROR(VLOOKUP(B231,'جدول الجلسات التدريبية'!A:B,2,FALSE),"")</f>
        <v/>
      </c>
      <c r="B231" s="3"/>
      <c r="C231" s="3" t="str">
        <f>IFERROR(VLOOKUP(A231,'الخطة التدريبية المعتمدة'!A:C,3,FALSE),"")</f>
        <v/>
      </c>
      <c r="D231" s="3" t="str">
        <f>IFERROR(VLOOKUP(B231,'جدول الجلسات التدريبية'!A:D,4,FALSE),"")</f>
        <v/>
      </c>
      <c r="E231" s="3"/>
      <c r="F231" s="3" t="str">
        <f>IFERROR(VLOOKUP(E231,'سجل الموظفين والكفاءة'!B:C,2,FALSE),"")</f>
        <v/>
      </c>
      <c r="G231" s="3">
        <f>IFERROR(VLOOKUP(A231,'الخطة التدريبية المعتمدة'!A:J,10,FALSE),0)</f>
        <v>0</v>
      </c>
      <c r="H231" s="3"/>
      <c r="I231" s="3"/>
      <c r="J231" s="3"/>
      <c r="K231" s="7" t="str">
        <f>IF(OR(I231="",J231="",I231=0),"",(J231-I231)/I231)</f>
        <v/>
      </c>
      <c r="L231" s="3" t="str">
        <f>IF(J231="","",IF(J231/10&gt;='الإعدادات والمستهدفات'!B5,"ناجح ومستوفى","ضعيف - يلزم إعادة اختبار"))</f>
        <v/>
      </c>
      <c r="M231" s="3"/>
      <c r="N231" s="3"/>
    </row>
    <row r="232" spans="1:14" x14ac:dyDescent="0.2">
      <c r="A232" s="3" t="str">
        <f>IFERROR(VLOOKUP(B232,'جدول الجلسات التدريبية'!A:B,2,FALSE),"")</f>
        <v/>
      </c>
      <c r="B232" s="3"/>
      <c r="C232" s="3" t="str">
        <f>IFERROR(VLOOKUP(A232,'الخطة التدريبية المعتمدة'!A:C,3,FALSE),"")</f>
        <v/>
      </c>
      <c r="D232" s="3" t="str">
        <f>IFERROR(VLOOKUP(B232,'جدول الجلسات التدريبية'!A:D,4,FALSE),"")</f>
        <v/>
      </c>
      <c r="E232" s="3"/>
      <c r="F232" s="3" t="str">
        <f>IFERROR(VLOOKUP(E232,'سجل الموظفين والكفاءة'!B:C,2,FALSE),"")</f>
        <v/>
      </c>
      <c r="G232" s="3">
        <f>IFERROR(VLOOKUP(A232,'الخطة التدريبية المعتمدة'!A:J,10,FALSE),0)</f>
        <v>0</v>
      </c>
      <c r="H232" s="3"/>
      <c r="I232" s="3"/>
      <c r="J232" s="3"/>
      <c r="K232" s="7" t="str">
        <f>IF(OR(I232="",J232="",I232=0),"",(J232-I232)/I232)</f>
        <v/>
      </c>
      <c r="L232" s="3" t="str">
        <f>IF(J232="","",IF(J232/10&gt;='الإعدادات والمستهدفات'!B5,"ناجح ومستوفى","ضعيف - يلزم إعادة اختبار"))</f>
        <v/>
      </c>
      <c r="M232" s="3"/>
      <c r="N232" s="3"/>
    </row>
    <row r="233" spans="1:14" x14ac:dyDescent="0.2">
      <c r="A233" s="3" t="str">
        <f>IFERROR(VLOOKUP(B233,'جدول الجلسات التدريبية'!A:B,2,FALSE),"")</f>
        <v/>
      </c>
      <c r="B233" s="3"/>
      <c r="C233" s="3" t="str">
        <f>IFERROR(VLOOKUP(A233,'الخطة التدريبية المعتمدة'!A:C,3,FALSE),"")</f>
        <v/>
      </c>
      <c r="D233" s="3" t="str">
        <f>IFERROR(VLOOKUP(B233,'جدول الجلسات التدريبية'!A:D,4,FALSE),"")</f>
        <v/>
      </c>
      <c r="E233" s="3"/>
      <c r="F233" s="3" t="str">
        <f>IFERROR(VLOOKUP(E233,'سجل الموظفين والكفاءة'!B:C,2,FALSE),"")</f>
        <v/>
      </c>
      <c r="G233" s="3">
        <f>IFERROR(VLOOKUP(A233,'الخطة التدريبية المعتمدة'!A:J,10,FALSE),0)</f>
        <v>0</v>
      </c>
      <c r="H233" s="3"/>
      <c r="I233" s="3"/>
      <c r="J233" s="3"/>
      <c r="K233" s="7" t="str">
        <f>IF(OR(I233="",J233="",I233=0),"",(J233-I233)/I233)</f>
        <v/>
      </c>
      <c r="L233" s="3" t="str">
        <f>IF(J233="","",IF(J233/10&gt;='الإعدادات والمستهدفات'!B5,"ناجح ومستوفى","ضعيف - يلزم إعادة اختبار"))</f>
        <v/>
      </c>
      <c r="M233" s="3"/>
      <c r="N233" s="3"/>
    </row>
    <row r="234" spans="1:14" x14ac:dyDescent="0.2">
      <c r="A234" s="3" t="str">
        <f>IFERROR(VLOOKUP(B234,'جدول الجلسات التدريبية'!A:B,2,FALSE),"")</f>
        <v/>
      </c>
      <c r="B234" s="3"/>
      <c r="C234" s="3" t="str">
        <f>IFERROR(VLOOKUP(A234,'الخطة التدريبية المعتمدة'!A:C,3,FALSE),"")</f>
        <v/>
      </c>
      <c r="D234" s="3" t="str">
        <f>IFERROR(VLOOKUP(B234,'جدول الجلسات التدريبية'!A:D,4,FALSE),"")</f>
        <v/>
      </c>
      <c r="E234" s="3"/>
      <c r="F234" s="3" t="str">
        <f>IFERROR(VLOOKUP(E234,'سجل الموظفين والكفاءة'!B:C,2,FALSE),"")</f>
        <v/>
      </c>
      <c r="G234" s="3">
        <f>IFERROR(VLOOKUP(A234,'الخطة التدريبية المعتمدة'!A:J,10,FALSE),0)</f>
        <v>0</v>
      </c>
      <c r="H234" s="3"/>
      <c r="I234" s="3"/>
      <c r="J234" s="3"/>
      <c r="K234" s="7" t="str">
        <f>IF(OR(I234="",J234="",I234=0),"",(J234-I234)/I234)</f>
        <v/>
      </c>
      <c r="L234" s="3" t="str">
        <f>IF(J234="","",IF(J234/10&gt;='الإعدادات والمستهدفات'!B5,"ناجح ومستوفى","ضعيف - يلزم إعادة اختبار"))</f>
        <v/>
      </c>
      <c r="M234" s="3"/>
      <c r="N234" s="3"/>
    </row>
    <row r="235" spans="1:14" x14ac:dyDescent="0.2">
      <c r="A235" s="3" t="str">
        <f>IFERROR(VLOOKUP(B235,'جدول الجلسات التدريبية'!A:B,2,FALSE),"")</f>
        <v/>
      </c>
      <c r="B235" s="3"/>
      <c r="C235" s="3" t="str">
        <f>IFERROR(VLOOKUP(A235,'الخطة التدريبية المعتمدة'!A:C,3,FALSE),"")</f>
        <v/>
      </c>
      <c r="D235" s="3" t="str">
        <f>IFERROR(VLOOKUP(B235,'جدول الجلسات التدريبية'!A:D,4,FALSE),"")</f>
        <v/>
      </c>
      <c r="E235" s="3"/>
      <c r="F235" s="3" t="str">
        <f>IFERROR(VLOOKUP(E235,'سجل الموظفين والكفاءة'!B:C,2,FALSE),"")</f>
        <v/>
      </c>
      <c r="G235" s="3">
        <f>IFERROR(VLOOKUP(A235,'الخطة التدريبية المعتمدة'!A:J,10,FALSE),0)</f>
        <v>0</v>
      </c>
      <c r="H235" s="3"/>
      <c r="I235" s="3"/>
      <c r="J235" s="3"/>
      <c r="K235" s="7" t="str">
        <f>IF(OR(I235="",J235="",I235=0),"",(J235-I235)/I235)</f>
        <v/>
      </c>
      <c r="L235" s="3" t="str">
        <f>IF(J235="","",IF(J235/10&gt;='الإعدادات والمستهدفات'!B5,"ناجح ومستوفى","ضعيف - يلزم إعادة اختبار"))</f>
        <v/>
      </c>
      <c r="M235" s="3"/>
      <c r="N235" s="3"/>
    </row>
    <row r="236" spans="1:14" x14ac:dyDescent="0.2">
      <c r="A236" s="3" t="str">
        <f>IFERROR(VLOOKUP(B236,'جدول الجلسات التدريبية'!A:B,2,FALSE),"")</f>
        <v/>
      </c>
      <c r="B236" s="3"/>
      <c r="C236" s="3" t="str">
        <f>IFERROR(VLOOKUP(A236,'الخطة التدريبية المعتمدة'!A:C,3,FALSE),"")</f>
        <v/>
      </c>
      <c r="D236" s="3" t="str">
        <f>IFERROR(VLOOKUP(B236,'جدول الجلسات التدريبية'!A:D,4,FALSE),"")</f>
        <v/>
      </c>
      <c r="E236" s="3"/>
      <c r="F236" s="3" t="str">
        <f>IFERROR(VLOOKUP(E236,'سجل الموظفين والكفاءة'!B:C,2,FALSE),"")</f>
        <v/>
      </c>
      <c r="G236" s="3">
        <f>IFERROR(VLOOKUP(A236,'الخطة التدريبية المعتمدة'!A:J,10,FALSE),0)</f>
        <v>0</v>
      </c>
      <c r="H236" s="3"/>
      <c r="I236" s="3"/>
      <c r="J236" s="3"/>
      <c r="K236" s="7" t="str">
        <f>IF(OR(I236="",J236="",I236=0),"",(J236-I236)/I236)</f>
        <v/>
      </c>
      <c r="L236" s="3" t="str">
        <f>IF(J236="","",IF(J236/10&gt;='الإعدادات والمستهدفات'!B5,"ناجح ومستوفى","ضعيف - يلزم إعادة اختبار"))</f>
        <v/>
      </c>
      <c r="M236" s="3"/>
      <c r="N236" s="3"/>
    </row>
    <row r="237" spans="1:14" x14ac:dyDescent="0.2">
      <c r="A237" s="3" t="str">
        <f>IFERROR(VLOOKUP(B237,'جدول الجلسات التدريبية'!A:B,2,FALSE),"")</f>
        <v/>
      </c>
      <c r="B237" s="3"/>
      <c r="C237" s="3" t="str">
        <f>IFERROR(VLOOKUP(A237,'الخطة التدريبية المعتمدة'!A:C,3,FALSE),"")</f>
        <v/>
      </c>
      <c r="D237" s="3" t="str">
        <f>IFERROR(VLOOKUP(B237,'جدول الجلسات التدريبية'!A:D,4,FALSE),"")</f>
        <v/>
      </c>
      <c r="E237" s="3"/>
      <c r="F237" s="3" t="str">
        <f>IFERROR(VLOOKUP(E237,'سجل الموظفين والكفاءة'!B:C,2,FALSE),"")</f>
        <v/>
      </c>
      <c r="G237" s="3">
        <f>IFERROR(VLOOKUP(A237,'الخطة التدريبية المعتمدة'!A:J,10,FALSE),0)</f>
        <v>0</v>
      </c>
      <c r="H237" s="3"/>
      <c r="I237" s="3"/>
      <c r="J237" s="3"/>
      <c r="K237" s="7" t="str">
        <f>IF(OR(I237="",J237="",I237=0),"",(J237-I237)/I237)</f>
        <v/>
      </c>
      <c r="L237" s="3" t="str">
        <f>IF(J237="","",IF(J237/10&gt;='الإعدادات والمستهدفات'!B5,"ناجح ومستوفى","ضعيف - يلزم إعادة اختبار"))</f>
        <v/>
      </c>
      <c r="M237" s="3"/>
      <c r="N237" s="3"/>
    </row>
    <row r="238" spans="1:14" x14ac:dyDescent="0.2">
      <c r="A238" s="3" t="str">
        <f>IFERROR(VLOOKUP(B238,'جدول الجلسات التدريبية'!A:B,2,FALSE),"")</f>
        <v/>
      </c>
      <c r="B238" s="3"/>
      <c r="C238" s="3" t="str">
        <f>IFERROR(VLOOKUP(A238,'الخطة التدريبية المعتمدة'!A:C,3,FALSE),"")</f>
        <v/>
      </c>
      <c r="D238" s="3" t="str">
        <f>IFERROR(VLOOKUP(B238,'جدول الجلسات التدريبية'!A:D,4,FALSE),"")</f>
        <v/>
      </c>
      <c r="E238" s="3"/>
      <c r="F238" s="3" t="str">
        <f>IFERROR(VLOOKUP(E238,'سجل الموظفين والكفاءة'!B:C,2,FALSE),"")</f>
        <v/>
      </c>
      <c r="G238" s="3">
        <f>IFERROR(VLOOKUP(A238,'الخطة التدريبية المعتمدة'!A:J,10,FALSE),0)</f>
        <v>0</v>
      </c>
      <c r="H238" s="3"/>
      <c r="I238" s="3"/>
      <c r="J238" s="3"/>
      <c r="K238" s="7" t="str">
        <f>IF(OR(I238="",J238="",I238=0),"",(J238-I238)/I238)</f>
        <v/>
      </c>
      <c r="L238" s="3" t="str">
        <f>IF(J238="","",IF(J238/10&gt;='الإعدادات والمستهدفات'!B5,"ناجح ومستوفى","ضعيف - يلزم إعادة اختبار"))</f>
        <v/>
      </c>
      <c r="M238" s="3"/>
      <c r="N238" s="3"/>
    </row>
    <row r="239" spans="1:14" x14ac:dyDescent="0.2">
      <c r="A239" s="3" t="str">
        <f>IFERROR(VLOOKUP(B239,'جدول الجلسات التدريبية'!A:B,2,FALSE),"")</f>
        <v/>
      </c>
      <c r="B239" s="3"/>
      <c r="C239" s="3" t="str">
        <f>IFERROR(VLOOKUP(A239,'الخطة التدريبية المعتمدة'!A:C,3,FALSE),"")</f>
        <v/>
      </c>
      <c r="D239" s="3" t="str">
        <f>IFERROR(VLOOKUP(B239,'جدول الجلسات التدريبية'!A:D,4,FALSE),"")</f>
        <v/>
      </c>
      <c r="E239" s="3"/>
      <c r="F239" s="3" t="str">
        <f>IFERROR(VLOOKUP(E239,'سجل الموظفين والكفاءة'!B:C,2,FALSE),"")</f>
        <v/>
      </c>
      <c r="G239" s="3">
        <f>IFERROR(VLOOKUP(A239,'الخطة التدريبية المعتمدة'!A:J,10,FALSE),0)</f>
        <v>0</v>
      </c>
      <c r="H239" s="3"/>
      <c r="I239" s="3"/>
      <c r="J239" s="3"/>
      <c r="K239" s="7" t="str">
        <f>IF(OR(I239="",J239="",I239=0),"",(J239-I239)/I239)</f>
        <v/>
      </c>
      <c r="L239" s="3" t="str">
        <f>IF(J239="","",IF(J239/10&gt;='الإعدادات والمستهدفات'!B5,"ناجح ومستوفى","ضعيف - يلزم إعادة اختبار"))</f>
        <v/>
      </c>
      <c r="M239" s="3"/>
      <c r="N239" s="3"/>
    </row>
    <row r="240" spans="1:14" x14ac:dyDescent="0.2">
      <c r="A240" s="3" t="str">
        <f>IFERROR(VLOOKUP(B240,'جدول الجلسات التدريبية'!A:B,2,FALSE),"")</f>
        <v/>
      </c>
      <c r="B240" s="3"/>
      <c r="C240" s="3" t="str">
        <f>IFERROR(VLOOKUP(A240,'الخطة التدريبية المعتمدة'!A:C,3,FALSE),"")</f>
        <v/>
      </c>
      <c r="D240" s="3" t="str">
        <f>IFERROR(VLOOKUP(B240,'جدول الجلسات التدريبية'!A:D,4,FALSE),"")</f>
        <v/>
      </c>
      <c r="E240" s="3"/>
      <c r="F240" s="3" t="str">
        <f>IFERROR(VLOOKUP(E240,'سجل الموظفين والكفاءة'!B:C,2,FALSE),"")</f>
        <v/>
      </c>
      <c r="G240" s="3">
        <f>IFERROR(VLOOKUP(A240,'الخطة التدريبية المعتمدة'!A:J,10,FALSE),0)</f>
        <v>0</v>
      </c>
      <c r="H240" s="3"/>
      <c r="I240" s="3"/>
      <c r="J240" s="3"/>
      <c r="K240" s="7" t="str">
        <f>IF(OR(I240="",J240="",I240=0),"",(J240-I240)/I240)</f>
        <v/>
      </c>
      <c r="L240" s="3" t="str">
        <f>IF(J240="","",IF(J240/10&gt;='الإعدادات والمستهدفات'!B5,"ناجح ومستوفى","ضعيف - يلزم إعادة اختبار"))</f>
        <v/>
      </c>
      <c r="M240" s="3"/>
      <c r="N240" s="3"/>
    </row>
    <row r="241" spans="1:14" x14ac:dyDescent="0.2">
      <c r="A241" s="3" t="str">
        <f>IFERROR(VLOOKUP(B241,'جدول الجلسات التدريبية'!A:B,2,FALSE),"")</f>
        <v/>
      </c>
      <c r="B241" s="3"/>
      <c r="C241" s="3" t="str">
        <f>IFERROR(VLOOKUP(A241,'الخطة التدريبية المعتمدة'!A:C,3,FALSE),"")</f>
        <v/>
      </c>
      <c r="D241" s="3" t="str">
        <f>IFERROR(VLOOKUP(B241,'جدول الجلسات التدريبية'!A:D,4,FALSE),"")</f>
        <v/>
      </c>
      <c r="E241" s="3"/>
      <c r="F241" s="3" t="str">
        <f>IFERROR(VLOOKUP(E241,'سجل الموظفين والكفاءة'!B:C,2,FALSE),"")</f>
        <v/>
      </c>
      <c r="G241" s="3">
        <f>IFERROR(VLOOKUP(A241,'الخطة التدريبية المعتمدة'!A:J,10,FALSE),0)</f>
        <v>0</v>
      </c>
      <c r="H241" s="3"/>
      <c r="I241" s="3"/>
      <c r="J241" s="3"/>
      <c r="K241" s="7" t="str">
        <f>IF(OR(I241="",J241="",I241=0),"",(J241-I241)/I241)</f>
        <v/>
      </c>
      <c r="L241" s="3" t="str">
        <f>IF(J241="","",IF(J241/10&gt;='الإعدادات والمستهدفات'!B5,"ناجح ومستوفى","ضعيف - يلزم إعادة اختبار"))</f>
        <v/>
      </c>
      <c r="M241" s="3"/>
      <c r="N241" s="3"/>
    </row>
    <row r="242" spans="1:14" x14ac:dyDescent="0.2">
      <c r="A242" s="3" t="str">
        <f>IFERROR(VLOOKUP(B242,'جدول الجلسات التدريبية'!A:B,2,FALSE),"")</f>
        <v/>
      </c>
      <c r="B242" s="3"/>
      <c r="C242" s="3" t="str">
        <f>IFERROR(VLOOKUP(A242,'الخطة التدريبية المعتمدة'!A:C,3,FALSE),"")</f>
        <v/>
      </c>
      <c r="D242" s="3" t="str">
        <f>IFERROR(VLOOKUP(B242,'جدول الجلسات التدريبية'!A:D,4,FALSE),"")</f>
        <v/>
      </c>
      <c r="E242" s="3"/>
      <c r="F242" s="3" t="str">
        <f>IFERROR(VLOOKUP(E242,'سجل الموظفين والكفاءة'!B:C,2,FALSE),"")</f>
        <v/>
      </c>
      <c r="G242" s="3">
        <f>IFERROR(VLOOKUP(A242,'الخطة التدريبية المعتمدة'!A:J,10,FALSE),0)</f>
        <v>0</v>
      </c>
      <c r="H242" s="3"/>
      <c r="I242" s="3"/>
      <c r="J242" s="3"/>
      <c r="K242" s="7" t="str">
        <f>IF(OR(I242="",J242="",I242=0),"",(J242-I242)/I242)</f>
        <v/>
      </c>
      <c r="L242" s="3" t="str">
        <f>IF(J242="","",IF(J242/10&gt;='الإعدادات والمستهدفات'!B5,"ناجح ومستوفى","ضعيف - يلزم إعادة اختبار"))</f>
        <v/>
      </c>
      <c r="M242" s="3"/>
      <c r="N242" s="3"/>
    </row>
    <row r="243" spans="1:14" x14ac:dyDescent="0.2">
      <c r="A243" s="3" t="str">
        <f>IFERROR(VLOOKUP(B243,'جدول الجلسات التدريبية'!A:B,2,FALSE),"")</f>
        <v/>
      </c>
      <c r="B243" s="3"/>
      <c r="C243" s="3" t="str">
        <f>IFERROR(VLOOKUP(A243,'الخطة التدريبية المعتمدة'!A:C,3,FALSE),"")</f>
        <v/>
      </c>
      <c r="D243" s="3" t="str">
        <f>IFERROR(VLOOKUP(B243,'جدول الجلسات التدريبية'!A:D,4,FALSE),"")</f>
        <v/>
      </c>
      <c r="E243" s="3"/>
      <c r="F243" s="3" t="str">
        <f>IFERROR(VLOOKUP(E243,'سجل الموظفين والكفاءة'!B:C,2,FALSE),"")</f>
        <v/>
      </c>
      <c r="G243" s="3">
        <f>IFERROR(VLOOKUP(A243,'الخطة التدريبية المعتمدة'!A:J,10,FALSE),0)</f>
        <v>0</v>
      </c>
      <c r="H243" s="3"/>
      <c r="I243" s="3"/>
      <c r="J243" s="3"/>
      <c r="K243" s="7" t="str">
        <f>IF(OR(I243="",J243="",I243=0),"",(J243-I243)/I243)</f>
        <v/>
      </c>
      <c r="L243" s="3" t="str">
        <f>IF(J243="","",IF(J243/10&gt;='الإعدادات والمستهدفات'!B5,"ناجح ومستوفى","ضعيف - يلزم إعادة اختبار"))</f>
        <v/>
      </c>
      <c r="M243" s="3"/>
      <c r="N243" s="3"/>
    </row>
    <row r="244" spans="1:14" x14ac:dyDescent="0.2">
      <c r="A244" s="3" t="str">
        <f>IFERROR(VLOOKUP(B244,'جدول الجلسات التدريبية'!A:B,2,FALSE),"")</f>
        <v/>
      </c>
      <c r="B244" s="3"/>
      <c r="C244" s="3" t="str">
        <f>IFERROR(VLOOKUP(A244,'الخطة التدريبية المعتمدة'!A:C,3,FALSE),"")</f>
        <v/>
      </c>
      <c r="D244" s="3" t="str">
        <f>IFERROR(VLOOKUP(B244,'جدول الجلسات التدريبية'!A:D,4,FALSE),"")</f>
        <v/>
      </c>
      <c r="E244" s="3"/>
      <c r="F244" s="3" t="str">
        <f>IFERROR(VLOOKUP(E244,'سجل الموظفين والكفاءة'!B:C,2,FALSE),"")</f>
        <v/>
      </c>
      <c r="G244" s="3">
        <f>IFERROR(VLOOKUP(A244,'الخطة التدريبية المعتمدة'!A:J,10,FALSE),0)</f>
        <v>0</v>
      </c>
      <c r="H244" s="3"/>
      <c r="I244" s="3"/>
      <c r="J244" s="3"/>
      <c r="K244" s="7" t="str">
        <f>IF(OR(I244="",J244="",I244=0),"",(J244-I244)/I244)</f>
        <v/>
      </c>
      <c r="L244" s="3" t="str">
        <f>IF(J244="","",IF(J244/10&gt;='الإعدادات والمستهدفات'!B5,"ناجح ومستوفى","ضعيف - يلزم إعادة اختبار"))</f>
        <v/>
      </c>
      <c r="M244" s="3"/>
      <c r="N244" s="3"/>
    </row>
    <row r="245" spans="1:14" x14ac:dyDescent="0.2">
      <c r="A245" s="3" t="str">
        <f>IFERROR(VLOOKUP(B245,'جدول الجلسات التدريبية'!A:B,2,FALSE),"")</f>
        <v/>
      </c>
      <c r="B245" s="3"/>
      <c r="C245" s="3" t="str">
        <f>IFERROR(VLOOKUP(A245,'الخطة التدريبية المعتمدة'!A:C,3,FALSE),"")</f>
        <v/>
      </c>
      <c r="D245" s="3" t="str">
        <f>IFERROR(VLOOKUP(B245,'جدول الجلسات التدريبية'!A:D,4,FALSE),"")</f>
        <v/>
      </c>
      <c r="E245" s="3"/>
      <c r="F245" s="3" t="str">
        <f>IFERROR(VLOOKUP(E245,'سجل الموظفين والكفاءة'!B:C,2,FALSE),"")</f>
        <v/>
      </c>
      <c r="G245" s="3">
        <f>IFERROR(VLOOKUP(A245,'الخطة التدريبية المعتمدة'!A:J,10,FALSE),0)</f>
        <v>0</v>
      </c>
      <c r="H245" s="3"/>
      <c r="I245" s="3"/>
      <c r="J245" s="3"/>
      <c r="K245" s="7" t="str">
        <f>IF(OR(I245="",J245="",I245=0),"",(J245-I245)/I245)</f>
        <v/>
      </c>
      <c r="L245" s="3" t="str">
        <f>IF(J245="","",IF(J245/10&gt;='الإعدادات والمستهدفات'!B5,"ناجح ومستوفى","ضعيف - يلزم إعادة اختبار"))</f>
        <v/>
      </c>
      <c r="M245" s="3"/>
      <c r="N245" s="3"/>
    </row>
    <row r="246" spans="1:14" x14ac:dyDescent="0.2">
      <c r="A246" s="3" t="str">
        <f>IFERROR(VLOOKUP(B246,'جدول الجلسات التدريبية'!A:B,2,FALSE),"")</f>
        <v/>
      </c>
      <c r="B246" s="3"/>
      <c r="C246" s="3" t="str">
        <f>IFERROR(VLOOKUP(A246,'الخطة التدريبية المعتمدة'!A:C,3,FALSE),"")</f>
        <v/>
      </c>
      <c r="D246" s="3" t="str">
        <f>IFERROR(VLOOKUP(B246,'جدول الجلسات التدريبية'!A:D,4,FALSE),"")</f>
        <v/>
      </c>
      <c r="E246" s="3"/>
      <c r="F246" s="3" t="str">
        <f>IFERROR(VLOOKUP(E246,'سجل الموظفين والكفاءة'!B:C,2,FALSE),"")</f>
        <v/>
      </c>
      <c r="G246" s="3">
        <f>IFERROR(VLOOKUP(A246,'الخطة التدريبية المعتمدة'!A:J,10,FALSE),0)</f>
        <v>0</v>
      </c>
      <c r="H246" s="3"/>
      <c r="I246" s="3"/>
      <c r="J246" s="3"/>
      <c r="K246" s="7" t="str">
        <f>IF(OR(I246="",J246="",I246=0),"",(J246-I246)/I246)</f>
        <v/>
      </c>
      <c r="L246" s="3" t="str">
        <f>IF(J246="","",IF(J246/10&gt;='الإعدادات والمستهدفات'!B5,"ناجح ومستوفى","ضعيف - يلزم إعادة اختبار"))</f>
        <v/>
      </c>
      <c r="M246" s="3"/>
      <c r="N246" s="3"/>
    </row>
    <row r="247" spans="1:14" x14ac:dyDescent="0.2">
      <c r="A247" s="3" t="str">
        <f>IFERROR(VLOOKUP(B247,'جدول الجلسات التدريبية'!A:B,2,FALSE),"")</f>
        <v/>
      </c>
      <c r="B247" s="3"/>
      <c r="C247" s="3" t="str">
        <f>IFERROR(VLOOKUP(A247,'الخطة التدريبية المعتمدة'!A:C,3,FALSE),"")</f>
        <v/>
      </c>
      <c r="D247" s="3" t="str">
        <f>IFERROR(VLOOKUP(B247,'جدول الجلسات التدريبية'!A:D,4,FALSE),"")</f>
        <v/>
      </c>
      <c r="E247" s="3"/>
      <c r="F247" s="3" t="str">
        <f>IFERROR(VLOOKUP(E247,'سجل الموظفين والكفاءة'!B:C,2,FALSE),"")</f>
        <v/>
      </c>
      <c r="G247" s="3">
        <f>IFERROR(VLOOKUP(A247,'الخطة التدريبية المعتمدة'!A:J,10,FALSE),0)</f>
        <v>0</v>
      </c>
      <c r="H247" s="3"/>
      <c r="I247" s="3"/>
      <c r="J247" s="3"/>
      <c r="K247" s="7" t="str">
        <f>IF(OR(I247="",J247="",I247=0),"",(J247-I247)/I247)</f>
        <v/>
      </c>
      <c r="L247" s="3" t="str">
        <f>IF(J247="","",IF(J247/10&gt;='الإعدادات والمستهدفات'!B5,"ناجح ومستوفى","ضعيف - يلزم إعادة اختبار"))</f>
        <v/>
      </c>
      <c r="M247" s="3"/>
      <c r="N247" s="3"/>
    </row>
    <row r="248" spans="1:14" x14ac:dyDescent="0.2">
      <c r="A248" s="3" t="str">
        <f>IFERROR(VLOOKUP(B248,'جدول الجلسات التدريبية'!A:B,2,FALSE),"")</f>
        <v/>
      </c>
      <c r="B248" s="3"/>
      <c r="C248" s="3" t="str">
        <f>IFERROR(VLOOKUP(A248,'الخطة التدريبية المعتمدة'!A:C,3,FALSE),"")</f>
        <v/>
      </c>
      <c r="D248" s="3" t="str">
        <f>IFERROR(VLOOKUP(B248,'جدول الجلسات التدريبية'!A:D,4,FALSE),"")</f>
        <v/>
      </c>
      <c r="E248" s="3"/>
      <c r="F248" s="3" t="str">
        <f>IFERROR(VLOOKUP(E248,'سجل الموظفين والكفاءة'!B:C,2,FALSE),"")</f>
        <v/>
      </c>
      <c r="G248" s="3">
        <f>IFERROR(VLOOKUP(A248,'الخطة التدريبية المعتمدة'!A:J,10,FALSE),0)</f>
        <v>0</v>
      </c>
      <c r="H248" s="3"/>
      <c r="I248" s="3"/>
      <c r="J248" s="3"/>
      <c r="K248" s="7" t="str">
        <f>IF(OR(I248="",J248="",I248=0),"",(J248-I248)/I248)</f>
        <v/>
      </c>
      <c r="L248" s="3" t="str">
        <f>IF(J248="","",IF(J248/10&gt;='الإعدادات والمستهدفات'!B5,"ناجح ومستوفى","ضعيف - يلزم إعادة اختبار"))</f>
        <v/>
      </c>
      <c r="M248" s="3"/>
      <c r="N248" s="3"/>
    </row>
    <row r="249" spans="1:14" x14ac:dyDescent="0.2">
      <c r="A249" s="3" t="str">
        <f>IFERROR(VLOOKUP(B249,'جدول الجلسات التدريبية'!A:B,2,FALSE),"")</f>
        <v/>
      </c>
      <c r="B249" s="3"/>
      <c r="C249" s="3" t="str">
        <f>IFERROR(VLOOKUP(A249,'الخطة التدريبية المعتمدة'!A:C,3,FALSE),"")</f>
        <v/>
      </c>
      <c r="D249" s="3" t="str">
        <f>IFERROR(VLOOKUP(B249,'جدول الجلسات التدريبية'!A:D,4,FALSE),"")</f>
        <v/>
      </c>
      <c r="E249" s="3"/>
      <c r="F249" s="3" t="str">
        <f>IFERROR(VLOOKUP(E249,'سجل الموظفين والكفاءة'!B:C,2,FALSE),"")</f>
        <v/>
      </c>
      <c r="G249" s="3">
        <f>IFERROR(VLOOKUP(A249,'الخطة التدريبية المعتمدة'!A:J,10,FALSE),0)</f>
        <v>0</v>
      </c>
      <c r="H249" s="3"/>
      <c r="I249" s="3"/>
      <c r="J249" s="3"/>
      <c r="K249" s="7" t="str">
        <f>IF(OR(I249="",J249="",I249=0),"",(J249-I249)/I249)</f>
        <v/>
      </c>
      <c r="L249" s="3" t="str">
        <f>IF(J249="","",IF(J249/10&gt;='الإعدادات والمستهدفات'!B5,"ناجح ومستوفى","ضعيف - يلزم إعادة اختبار"))</f>
        <v/>
      </c>
      <c r="M249" s="3"/>
      <c r="N249" s="3"/>
    </row>
    <row r="250" spans="1:14" x14ac:dyDescent="0.2">
      <c r="A250" s="3" t="str">
        <f>IFERROR(VLOOKUP(B250,'جدول الجلسات التدريبية'!A:B,2,FALSE),"")</f>
        <v/>
      </c>
      <c r="B250" s="3"/>
      <c r="C250" s="3" t="str">
        <f>IFERROR(VLOOKUP(A250,'الخطة التدريبية المعتمدة'!A:C,3,FALSE),"")</f>
        <v/>
      </c>
      <c r="D250" s="3" t="str">
        <f>IFERROR(VLOOKUP(B250,'جدول الجلسات التدريبية'!A:D,4,FALSE),"")</f>
        <v/>
      </c>
      <c r="E250" s="3"/>
      <c r="F250" s="3" t="str">
        <f>IFERROR(VLOOKUP(E250,'سجل الموظفين والكفاءة'!B:C,2,FALSE),"")</f>
        <v/>
      </c>
      <c r="G250" s="3">
        <f>IFERROR(VLOOKUP(A250,'الخطة التدريبية المعتمدة'!A:J,10,FALSE),0)</f>
        <v>0</v>
      </c>
      <c r="H250" s="3"/>
      <c r="I250" s="3"/>
      <c r="J250" s="3"/>
      <c r="K250" s="7" t="str">
        <f>IF(OR(I250="",J250="",I250=0),"",(J250-I250)/I250)</f>
        <v/>
      </c>
      <c r="L250" s="3" t="str">
        <f>IF(J250="","",IF(J250/10&gt;='الإعدادات والمستهدفات'!B5,"ناجح ومستوفى","ضعيف - يلزم إعادة اختبار"))</f>
        <v/>
      </c>
      <c r="M250" s="3"/>
      <c r="N250" s="3"/>
    </row>
    <row r="251" spans="1:14" x14ac:dyDescent="0.2">
      <c r="A251" s="3" t="str">
        <f>IFERROR(VLOOKUP(B251,'جدول الجلسات التدريبية'!A:B,2,FALSE),"")</f>
        <v/>
      </c>
      <c r="B251" s="3"/>
      <c r="C251" s="3" t="str">
        <f>IFERROR(VLOOKUP(A251,'الخطة التدريبية المعتمدة'!A:C,3,FALSE),"")</f>
        <v/>
      </c>
      <c r="D251" s="3" t="str">
        <f>IFERROR(VLOOKUP(B251,'جدول الجلسات التدريبية'!A:D,4,FALSE),"")</f>
        <v/>
      </c>
      <c r="E251" s="3"/>
      <c r="F251" s="3" t="str">
        <f>IFERROR(VLOOKUP(E251,'سجل الموظفين والكفاءة'!B:C,2,FALSE),"")</f>
        <v/>
      </c>
      <c r="G251" s="3">
        <f>IFERROR(VLOOKUP(A251,'الخطة التدريبية المعتمدة'!A:J,10,FALSE),0)</f>
        <v>0</v>
      </c>
      <c r="H251" s="3"/>
      <c r="I251" s="3"/>
      <c r="J251" s="3"/>
      <c r="K251" s="7" t="str">
        <f>IF(OR(I251="",J251="",I251=0),"",(J251-I251)/I251)</f>
        <v/>
      </c>
      <c r="L251" s="3" t="str">
        <f>IF(J251="","",IF(J251/10&gt;='الإعدادات والمستهدفات'!B5,"ناجح ومستوفى","ضعيف - يلزم إعادة اختبار"))</f>
        <v/>
      </c>
      <c r="M251" s="3"/>
      <c r="N251" s="3"/>
    </row>
    <row r="252" spans="1:14" x14ac:dyDescent="0.2">
      <c r="A252" s="3" t="str">
        <f>IFERROR(VLOOKUP(B252,'جدول الجلسات التدريبية'!A:B,2,FALSE),"")</f>
        <v/>
      </c>
      <c r="B252" s="3"/>
      <c r="C252" s="3" t="str">
        <f>IFERROR(VLOOKUP(A252,'الخطة التدريبية المعتمدة'!A:C,3,FALSE),"")</f>
        <v/>
      </c>
      <c r="D252" s="3" t="str">
        <f>IFERROR(VLOOKUP(B252,'جدول الجلسات التدريبية'!A:D,4,FALSE),"")</f>
        <v/>
      </c>
      <c r="E252" s="3"/>
      <c r="F252" s="3" t="str">
        <f>IFERROR(VLOOKUP(E252,'سجل الموظفين والكفاءة'!B:C,2,FALSE),"")</f>
        <v/>
      </c>
      <c r="G252" s="3">
        <f>IFERROR(VLOOKUP(A252,'الخطة التدريبية المعتمدة'!A:J,10,FALSE),0)</f>
        <v>0</v>
      </c>
      <c r="H252" s="3"/>
      <c r="I252" s="3"/>
      <c r="J252" s="3"/>
      <c r="K252" s="7" t="str">
        <f>IF(OR(I252="",J252="",I252=0),"",(J252-I252)/I252)</f>
        <v/>
      </c>
      <c r="L252" s="3" t="str">
        <f>IF(J252="","",IF(J252/10&gt;='الإعدادات والمستهدفات'!B5,"ناجح ومستوفى","ضعيف - يلزم إعادة اختبار"))</f>
        <v/>
      </c>
      <c r="M252" s="3"/>
      <c r="N252" s="3"/>
    </row>
    <row r="253" spans="1:14" x14ac:dyDescent="0.2">
      <c r="A253" s="3" t="str">
        <f>IFERROR(VLOOKUP(B253,'جدول الجلسات التدريبية'!A:B,2,FALSE),"")</f>
        <v/>
      </c>
      <c r="B253" s="3"/>
      <c r="C253" s="3" t="str">
        <f>IFERROR(VLOOKUP(A253,'الخطة التدريبية المعتمدة'!A:C,3,FALSE),"")</f>
        <v/>
      </c>
      <c r="D253" s="3" t="str">
        <f>IFERROR(VLOOKUP(B253,'جدول الجلسات التدريبية'!A:D,4,FALSE),"")</f>
        <v/>
      </c>
      <c r="E253" s="3"/>
      <c r="F253" s="3" t="str">
        <f>IFERROR(VLOOKUP(E253,'سجل الموظفين والكفاءة'!B:C,2,FALSE),"")</f>
        <v/>
      </c>
      <c r="G253" s="3">
        <f>IFERROR(VLOOKUP(A253,'الخطة التدريبية المعتمدة'!A:J,10,FALSE),0)</f>
        <v>0</v>
      </c>
      <c r="H253" s="3"/>
      <c r="I253" s="3"/>
      <c r="J253" s="3"/>
      <c r="K253" s="7" t="str">
        <f>IF(OR(I253="",J253="",I253=0),"",(J253-I253)/I253)</f>
        <v/>
      </c>
      <c r="L253" s="3" t="str">
        <f>IF(J253="","",IF(J253/10&gt;='الإعدادات والمستهدفات'!B5,"ناجح ومستوفى","ضعيف - يلزم إعادة اختبار"))</f>
        <v/>
      </c>
      <c r="M253" s="3"/>
      <c r="N253" s="3"/>
    </row>
    <row r="254" spans="1:14" x14ac:dyDescent="0.2">
      <c r="A254" s="3" t="str">
        <f>IFERROR(VLOOKUP(B254,'جدول الجلسات التدريبية'!A:B,2,FALSE),"")</f>
        <v/>
      </c>
      <c r="B254" s="3"/>
      <c r="C254" s="3" t="str">
        <f>IFERROR(VLOOKUP(A254,'الخطة التدريبية المعتمدة'!A:C,3,FALSE),"")</f>
        <v/>
      </c>
      <c r="D254" s="3" t="str">
        <f>IFERROR(VLOOKUP(B254,'جدول الجلسات التدريبية'!A:D,4,FALSE),"")</f>
        <v/>
      </c>
      <c r="E254" s="3"/>
      <c r="F254" s="3" t="str">
        <f>IFERROR(VLOOKUP(E254,'سجل الموظفين والكفاءة'!B:C,2,FALSE),"")</f>
        <v/>
      </c>
      <c r="G254" s="3">
        <f>IFERROR(VLOOKUP(A254,'الخطة التدريبية المعتمدة'!A:J,10,FALSE),0)</f>
        <v>0</v>
      </c>
      <c r="H254" s="3"/>
      <c r="I254" s="3"/>
      <c r="J254" s="3"/>
      <c r="K254" s="7" t="str">
        <f>IF(OR(I254="",J254="",I254=0),"",(J254-I254)/I254)</f>
        <v/>
      </c>
      <c r="L254" s="3" t="str">
        <f>IF(J254="","",IF(J254/10&gt;='الإعدادات والمستهدفات'!B5,"ناجح ومستوفى","ضعيف - يلزم إعادة اختبار"))</f>
        <v/>
      </c>
      <c r="M254" s="3"/>
      <c r="N254" s="3"/>
    </row>
    <row r="255" spans="1:14" x14ac:dyDescent="0.2">
      <c r="A255" s="3" t="str">
        <f>IFERROR(VLOOKUP(B255,'جدول الجلسات التدريبية'!A:B,2,FALSE),"")</f>
        <v/>
      </c>
      <c r="B255" s="3"/>
      <c r="C255" s="3" t="str">
        <f>IFERROR(VLOOKUP(A255,'الخطة التدريبية المعتمدة'!A:C,3,FALSE),"")</f>
        <v/>
      </c>
      <c r="D255" s="3" t="str">
        <f>IFERROR(VLOOKUP(B255,'جدول الجلسات التدريبية'!A:D,4,FALSE),"")</f>
        <v/>
      </c>
      <c r="E255" s="3"/>
      <c r="F255" s="3" t="str">
        <f>IFERROR(VLOOKUP(E255,'سجل الموظفين والكفاءة'!B:C,2,FALSE),"")</f>
        <v/>
      </c>
      <c r="G255" s="3">
        <f>IFERROR(VLOOKUP(A255,'الخطة التدريبية المعتمدة'!A:J,10,FALSE),0)</f>
        <v>0</v>
      </c>
      <c r="H255" s="3"/>
      <c r="I255" s="3"/>
      <c r="J255" s="3"/>
      <c r="K255" s="7" t="str">
        <f>IF(OR(I255="",J255="",I255=0),"",(J255-I255)/I255)</f>
        <v/>
      </c>
      <c r="L255" s="3" t="str">
        <f>IF(J255="","",IF(J255/10&gt;='الإعدادات والمستهدفات'!B5,"ناجح ومستوفى","ضعيف - يلزم إعادة اختبار"))</f>
        <v/>
      </c>
      <c r="M255" s="3"/>
      <c r="N255" s="3"/>
    </row>
    <row r="256" spans="1:14" x14ac:dyDescent="0.2">
      <c r="A256" s="3" t="str">
        <f>IFERROR(VLOOKUP(B256,'جدول الجلسات التدريبية'!A:B,2,FALSE),"")</f>
        <v/>
      </c>
      <c r="B256" s="3"/>
      <c r="C256" s="3" t="str">
        <f>IFERROR(VLOOKUP(A256,'الخطة التدريبية المعتمدة'!A:C,3,FALSE),"")</f>
        <v/>
      </c>
      <c r="D256" s="3" t="str">
        <f>IFERROR(VLOOKUP(B256,'جدول الجلسات التدريبية'!A:D,4,FALSE),"")</f>
        <v/>
      </c>
      <c r="E256" s="3"/>
      <c r="F256" s="3" t="str">
        <f>IFERROR(VLOOKUP(E256,'سجل الموظفين والكفاءة'!B:C,2,FALSE),"")</f>
        <v/>
      </c>
      <c r="G256" s="3">
        <f>IFERROR(VLOOKUP(A256,'الخطة التدريبية المعتمدة'!A:J,10,FALSE),0)</f>
        <v>0</v>
      </c>
      <c r="H256" s="3"/>
      <c r="I256" s="3"/>
      <c r="J256" s="3"/>
      <c r="K256" s="7" t="str">
        <f>IF(OR(I256="",J256="",I256=0),"",(J256-I256)/I256)</f>
        <v/>
      </c>
      <c r="L256" s="3" t="str">
        <f>IF(J256="","",IF(J256/10&gt;='الإعدادات والمستهدفات'!B5,"ناجح ومستوفى","ضعيف - يلزم إعادة اختبار"))</f>
        <v/>
      </c>
      <c r="M256" s="3"/>
      <c r="N256" s="3"/>
    </row>
    <row r="257" spans="1:14" x14ac:dyDescent="0.2">
      <c r="A257" s="3" t="str">
        <f>IFERROR(VLOOKUP(B257,'جدول الجلسات التدريبية'!A:B,2,FALSE),"")</f>
        <v/>
      </c>
      <c r="B257" s="3"/>
      <c r="C257" s="3" t="str">
        <f>IFERROR(VLOOKUP(A257,'الخطة التدريبية المعتمدة'!A:C,3,FALSE),"")</f>
        <v/>
      </c>
      <c r="D257" s="3" t="str">
        <f>IFERROR(VLOOKUP(B257,'جدول الجلسات التدريبية'!A:D,4,FALSE),"")</f>
        <v/>
      </c>
      <c r="E257" s="3"/>
      <c r="F257" s="3" t="str">
        <f>IFERROR(VLOOKUP(E257,'سجل الموظفين والكفاءة'!B:C,2,FALSE),"")</f>
        <v/>
      </c>
      <c r="G257" s="3">
        <f>IFERROR(VLOOKUP(A257,'الخطة التدريبية المعتمدة'!A:J,10,FALSE),0)</f>
        <v>0</v>
      </c>
      <c r="H257" s="3"/>
      <c r="I257" s="3"/>
      <c r="J257" s="3"/>
      <c r="K257" s="7" t="str">
        <f>IF(OR(I257="",J257="",I257=0),"",(J257-I257)/I257)</f>
        <v/>
      </c>
      <c r="L257" s="3" t="str">
        <f>IF(J257="","",IF(J257/10&gt;='الإعدادات والمستهدفات'!B5,"ناجح ومستوفى","ضعيف - يلزم إعادة اختبار"))</f>
        <v/>
      </c>
      <c r="M257" s="3"/>
      <c r="N257" s="3"/>
    </row>
    <row r="258" spans="1:14" x14ac:dyDescent="0.2">
      <c r="A258" s="3" t="str">
        <f>IFERROR(VLOOKUP(B258,'جدول الجلسات التدريبية'!A:B,2,FALSE),"")</f>
        <v/>
      </c>
      <c r="B258" s="3"/>
      <c r="C258" s="3" t="str">
        <f>IFERROR(VLOOKUP(A258,'الخطة التدريبية المعتمدة'!A:C,3,FALSE),"")</f>
        <v/>
      </c>
      <c r="D258" s="3" t="str">
        <f>IFERROR(VLOOKUP(B258,'جدول الجلسات التدريبية'!A:D,4,FALSE),"")</f>
        <v/>
      </c>
      <c r="E258" s="3"/>
      <c r="F258" s="3" t="str">
        <f>IFERROR(VLOOKUP(E258,'سجل الموظفين والكفاءة'!B:C,2,FALSE),"")</f>
        <v/>
      </c>
      <c r="G258" s="3">
        <f>IFERROR(VLOOKUP(A258,'الخطة التدريبية المعتمدة'!A:J,10,FALSE),0)</f>
        <v>0</v>
      </c>
      <c r="H258" s="3"/>
      <c r="I258" s="3"/>
      <c r="J258" s="3"/>
      <c r="K258" s="7" t="str">
        <f>IF(OR(I258="",J258="",I258=0),"",(J258-I258)/I258)</f>
        <v/>
      </c>
      <c r="L258" s="3" t="str">
        <f>IF(J258="","",IF(J258/10&gt;='الإعدادات والمستهدفات'!B5,"ناجح ومستوفى","ضعيف - يلزم إعادة اختبار"))</f>
        <v/>
      </c>
      <c r="M258" s="3"/>
      <c r="N258" s="3"/>
    </row>
    <row r="259" spans="1:14" x14ac:dyDescent="0.2">
      <c r="A259" s="3" t="str">
        <f>IFERROR(VLOOKUP(B259,'جدول الجلسات التدريبية'!A:B,2,FALSE),"")</f>
        <v/>
      </c>
      <c r="B259" s="3"/>
      <c r="C259" s="3" t="str">
        <f>IFERROR(VLOOKUP(A259,'الخطة التدريبية المعتمدة'!A:C,3,FALSE),"")</f>
        <v/>
      </c>
      <c r="D259" s="3" t="str">
        <f>IFERROR(VLOOKUP(B259,'جدول الجلسات التدريبية'!A:D,4,FALSE),"")</f>
        <v/>
      </c>
      <c r="E259" s="3"/>
      <c r="F259" s="3" t="str">
        <f>IFERROR(VLOOKUP(E259,'سجل الموظفين والكفاءة'!B:C,2,FALSE),"")</f>
        <v/>
      </c>
      <c r="G259" s="3">
        <f>IFERROR(VLOOKUP(A259,'الخطة التدريبية المعتمدة'!A:J,10,FALSE),0)</f>
        <v>0</v>
      </c>
      <c r="H259" s="3"/>
      <c r="I259" s="3"/>
      <c r="J259" s="3"/>
      <c r="K259" s="7" t="str">
        <f>IF(OR(I259="",J259="",I259=0),"",(J259-I259)/I259)</f>
        <v/>
      </c>
      <c r="L259" s="3" t="str">
        <f>IF(J259="","",IF(J259/10&gt;='الإعدادات والمستهدفات'!B5,"ناجح ومستوفى","ضعيف - يلزم إعادة اختبار"))</f>
        <v/>
      </c>
      <c r="M259" s="3"/>
      <c r="N259" s="3"/>
    </row>
    <row r="260" spans="1:14" x14ac:dyDescent="0.2">
      <c r="A260" s="3" t="str">
        <f>IFERROR(VLOOKUP(B260,'جدول الجلسات التدريبية'!A:B,2,FALSE),"")</f>
        <v/>
      </c>
      <c r="B260" s="3"/>
      <c r="C260" s="3" t="str">
        <f>IFERROR(VLOOKUP(A260,'الخطة التدريبية المعتمدة'!A:C,3,FALSE),"")</f>
        <v/>
      </c>
      <c r="D260" s="3" t="str">
        <f>IFERROR(VLOOKUP(B260,'جدول الجلسات التدريبية'!A:D,4,FALSE),"")</f>
        <v/>
      </c>
      <c r="E260" s="3"/>
      <c r="F260" s="3" t="str">
        <f>IFERROR(VLOOKUP(E260,'سجل الموظفين والكفاءة'!B:C,2,FALSE),"")</f>
        <v/>
      </c>
      <c r="G260" s="3">
        <f>IFERROR(VLOOKUP(A260,'الخطة التدريبية المعتمدة'!A:J,10,FALSE),0)</f>
        <v>0</v>
      </c>
      <c r="H260" s="3"/>
      <c r="I260" s="3"/>
      <c r="J260" s="3"/>
      <c r="K260" s="7" t="str">
        <f>IF(OR(I260="",J260="",I260=0),"",(J260-I260)/I260)</f>
        <v/>
      </c>
      <c r="L260" s="3" t="str">
        <f>IF(J260="","",IF(J260/10&gt;='الإعدادات والمستهدفات'!B5,"ناجح ومستوفى","ضعيف - يلزم إعادة اختبار"))</f>
        <v/>
      </c>
      <c r="M260" s="3"/>
      <c r="N260" s="3"/>
    </row>
    <row r="261" spans="1:14" x14ac:dyDescent="0.2">
      <c r="A261" s="3" t="str">
        <f>IFERROR(VLOOKUP(B261,'جدول الجلسات التدريبية'!A:B,2,FALSE),"")</f>
        <v/>
      </c>
      <c r="B261" s="3"/>
      <c r="C261" s="3" t="str">
        <f>IFERROR(VLOOKUP(A261,'الخطة التدريبية المعتمدة'!A:C,3,FALSE),"")</f>
        <v/>
      </c>
      <c r="D261" s="3" t="str">
        <f>IFERROR(VLOOKUP(B261,'جدول الجلسات التدريبية'!A:D,4,FALSE),"")</f>
        <v/>
      </c>
      <c r="E261" s="3"/>
      <c r="F261" s="3" t="str">
        <f>IFERROR(VLOOKUP(E261,'سجل الموظفين والكفاءة'!B:C,2,FALSE),"")</f>
        <v/>
      </c>
      <c r="G261" s="3">
        <f>IFERROR(VLOOKUP(A261,'الخطة التدريبية المعتمدة'!A:J,10,FALSE),0)</f>
        <v>0</v>
      </c>
      <c r="H261" s="3"/>
      <c r="I261" s="3"/>
      <c r="J261" s="3"/>
      <c r="K261" s="7" t="str">
        <f>IF(OR(I261="",J261="",I261=0),"",(J261-I261)/I261)</f>
        <v/>
      </c>
      <c r="L261" s="3" t="str">
        <f>IF(J261="","",IF(J261/10&gt;='الإعدادات والمستهدفات'!B5,"ناجح ومستوفى","ضعيف - يلزم إعادة اختبار"))</f>
        <v/>
      </c>
      <c r="M261" s="3"/>
      <c r="N261" s="3"/>
    </row>
    <row r="262" spans="1:14" x14ac:dyDescent="0.2">
      <c r="A262" s="3" t="str">
        <f>IFERROR(VLOOKUP(B262,'جدول الجلسات التدريبية'!A:B,2,FALSE),"")</f>
        <v/>
      </c>
      <c r="B262" s="3"/>
      <c r="C262" s="3" t="str">
        <f>IFERROR(VLOOKUP(A262,'الخطة التدريبية المعتمدة'!A:C,3,FALSE),"")</f>
        <v/>
      </c>
      <c r="D262" s="3" t="str">
        <f>IFERROR(VLOOKUP(B262,'جدول الجلسات التدريبية'!A:D,4,FALSE),"")</f>
        <v/>
      </c>
      <c r="E262" s="3"/>
      <c r="F262" s="3" t="str">
        <f>IFERROR(VLOOKUP(E262,'سجل الموظفين والكفاءة'!B:C,2,FALSE),"")</f>
        <v/>
      </c>
      <c r="G262" s="3">
        <f>IFERROR(VLOOKUP(A262,'الخطة التدريبية المعتمدة'!A:J,10,FALSE),0)</f>
        <v>0</v>
      </c>
      <c r="H262" s="3"/>
      <c r="I262" s="3"/>
      <c r="J262" s="3"/>
      <c r="K262" s="7" t="str">
        <f>IF(OR(I262="",J262="",I262=0),"",(J262-I262)/I262)</f>
        <v/>
      </c>
      <c r="L262" s="3" t="str">
        <f>IF(J262="","",IF(J262/10&gt;='الإعدادات والمستهدفات'!B5,"ناجح ومستوفى","ضعيف - يلزم إعادة اختبار"))</f>
        <v/>
      </c>
      <c r="M262" s="3"/>
      <c r="N262" s="3"/>
    </row>
    <row r="263" spans="1:14" x14ac:dyDescent="0.2">
      <c r="A263" s="3" t="str">
        <f>IFERROR(VLOOKUP(B263,'جدول الجلسات التدريبية'!A:B,2,FALSE),"")</f>
        <v/>
      </c>
      <c r="B263" s="3"/>
      <c r="C263" s="3" t="str">
        <f>IFERROR(VLOOKUP(A263,'الخطة التدريبية المعتمدة'!A:C,3,FALSE),"")</f>
        <v/>
      </c>
      <c r="D263" s="3" t="str">
        <f>IFERROR(VLOOKUP(B263,'جدول الجلسات التدريبية'!A:D,4,FALSE),"")</f>
        <v/>
      </c>
      <c r="E263" s="3"/>
      <c r="F263" s="3" t="str">
        <f>IFERROR(VLOOKUP(E263,'سجل الموظفين والكفاءة'!B:C,2,FALSE),"")</f>
        <v/>
      </c>
      <c r="G263" s="3">
        <f>IFERROR(VLOOKUP(A263,'الخطة التدريبية المعتمدة'!A:J,10,FALSE),0)</f>
        <v>0</v>
      </c>
      <c r="H263" s="3"/>
      <c r="I263" s="3"/>
      <c r="J263" s="3"/>
      <c r="K263" s="7" t="str">
        <f>IF(OR(I263="",J263="",I263=0),"",(J263-I263)/I263)</f>
        <v/>
      </c>
      <c r="L263" s="3" t="str">
        <f>IF(J263="","",IF(J263/10&gt;='الإعدادات والمستهدفات'!B5,"ناجح ومستوفى","ضعيف - يلزم إعادة اختبار"))</f>
        <v/>
      </c>
      <c r="M263" s="3"/>
      <c r="N263" s="3"/>
    </row>
    <row r="264" spans="1:14" x14ac:dyDescent="0.2">
      <c r="A264" s="3" t="str">
        <f>IFERROR(VLOOKUP(B264,'جدول الجلسات التدريبية'!A:B,2,FALSE),"")</f>
        <v/>
      </c>
      <c r="B264" s="3"/>
      <c r="C264" s="3" t="str">
        <f>IFERROR(VLOOKUP(A264,'الخطة التدريبية المعتمدة'!A:C,3,FALSE),"")</f>
        <v/>
      </c>
      <c r="D264" s="3" t="str">
        <f>IFERROR(VLOOKUP(B264,'جدول الجلسات التدريبية'!A:D,4,FALSE),"")</f>
        <v/>
      </c>
      <c r="E264" s="3"/>
      <c r="F264" s="3" t="str">
        <f>IFERROR(VLOOKUP(E264,'سجل الموظفين والكفاءة'!B:C,2,FALSE),"")</f>
        <v/>
      </c>
      <c r="G264" s="3">
        <f>IFERROR(VLOOKUP(A264,'الخطة التدريبية المعتمدة'!A:J,10,FALSE),0)</f>
        <v>0</v>
      </c>
      <c r="H264" s="3"/>
      <c r="I264" s="3"/>
      <c r="J264" s="3"/>
      <c r="K264" s="7" t="str">
        <f>IF(OR(I264="",J264="",I264=0),"",(J264-I264)/I264)</f>
        <v/>
      </c>
      <c r="L264" s="3" t="str">
        <f>IF(J264="","",IF(J264/10&gt;='الإعدادات والمستهدفات'!B5,"ناجح ومستوفى","ضعيف - يلزم إعادة اختبار"))</f>
        <v/>
      </c>
      <c r="M264" s="3"/>
      <c r="N264" s="3"/>
    </row>
    <row r="265" spans="1:14" x14ac:dyDescent="0.2">
      <c r="A265" s="3" t="str">
        <f>IFERROR(VLOOKUP(B265,'جدول الجلسات التدريبية'!A:B,2,FALSE),"")</f>
        <v/>
      </c>
      <c r="B265" s="3"/>
      <c r="C265" s="3" t="str">
        <f>IFERROR(VLOOKUP(A265,'الخطة التدريبية المعتمدة'!A:C,3,FALSE),"")</f>
        <v/>
      </c>
      <c r="D265" s="3" t="str">
        <f>IFERROR(VLOOKUP(B265,'جدول الجلسات التدريبية'!A:D,4,FALSE),"")</f>
        <v/>
      </c>
      <c r="E265" s="3"/>
      <c r="F265" s="3" t="str">
        <f>IFERROR(VLOOKUP(E265,'سجل الموظفين والكفاءة'!B:C,2,FALSE),"")</f>
        <v/>
      </c>
      <c r="G265" s="3">
        <f>IFERROR(VLOOKUP(A265,'الخطة التدريبية المعتمدة'!A:J,10,FALSE),0)</f>
        <v>0</v>
      </c>
      <c r="H265" s="3"/>
      <c r="I265" s="3"/>
      <c r="J265" s="3"/>
      <c r="K265" s="7" t="str">
        <f>IF(OR(I265="",J265="",I265=0),"",(J265-I265)/I265)</f>
        <v/>
      </c>
      <c r="L265" s="3" t="str">
        <f>IF(J265="","",IF(J265/10&gt;='الإعدادات والمستهدفات'!B5,"ناجح ومستوفى","ضعيف - يلزم إعادة اختبار"))</f>
        <v/>
      </c>
      <c r="M265" s="3"/>
      <c r="N265" s="3"/>
    </row>
    <row r="266" spans="1:14" x14ac:dyDescent="0.2">
      <c r="A266" s="3" t="str">
        <f>IFERROR(VLOOKUP(B266,'جدول الجلسات التدريبية'!A:B,2,FALSE),"")</f>
        <v/>
      </c>
      <c r="B266" s="3"/>
      <c r="C266" s="3" t="str">
        <f>IFERROR(VLOOKUP(A266,'الخطة التدريبية المعتمدة'!A:C,3,FALSE),"")</f>
        <v/>
      </c>
      <c r="D266" s="3" t="str">
        <f>IFERROR(VLOOKUP(B266,'جدول الجلسات التدريبية'!A:D,4,FALSE),"")</f>
        <v/>
      </c>
      <c r="E266" s="3"/>
      <c r="F266" s="3" t="str">
        <f>IFERROR(VLOOKUP(E266,'سجل الموظفين والكفاءة'!B:C,2,FALSE),"")</f>
        <v/>
      </c>
      <c r="G266" s="3">
        <f>IFERROR(VLOOKUP(A266,'الخطة التدريبية المعتمدة'!A:J,10,FALSE),0)</f>
        <v>0</v>
      </c>
      <c r="H266" s="3"/>
      <c r="I266" s="3"/>
      <c r="J266" s="3"/>
      <c r="K266" s="7" t="str">
        <f>IF(OR(I266="",J266="",I266=0),"",(J266-I266)/I266)</f>
        <v/>
      </c>
      <c r="L266" s="3" t="str">
        <f>IF(J266="","",IF(J266/10&gt;='الإعدادات والمستهدفات'!B5,"ناجح ومستوفى","ضعيف - يلزم إعادة اختبار"))</f>
        <v/>
      </c>
      <c r="M266" s="3"/>
      <c r="N266" s="3"/>
    </row>
    <row r="267" spans="1:14" x14ac:dyDescent="0.2">
      <c r="A267" s="3" t="str">
        <f>IFERROR(VLOOKUP(B267,'جدول الجلسات التدريبية'!A:B,2,FALSE),"")</f>
        <v/>
      </c>
      <c r="B267" s="3"/>
      <c r="C267" s="3" t="str">
        <f>IFERROR(VLOOKUP(A267,'الخطة التدريبية المعتمدة'!A:C,3,FALSE),"")</f>
        <v/>
      </c>
      <c r="D267" s="3" t="str">
        <f>IFERROR(VLOOKUP(B267,'جدول الجلسات التدريبية'!A:D,4,FALSE),"")</f>
        <v/>
      </c>
      <c r="E267" s="3"/>
      <c r="F267" s="3" t="str">
        <f>IFERROR(VLOOKUP(E267,'سجل الموظفين والكفاءة'!B:C,2,FALSE),"")</f>
        <v/>
      </c>
      <c r="G267" s="3">
        <f>IFERROR(VLOOKUP(A267,'الخطة التدريبية المعتمدة'!A:J,10,FALSE),0)</f>
        <v>0</v>
      </c>
      <c r="H267" s="3"/>
      <c r="I267" s="3"/>
      <c r="J267" s="3"/>
      <c r="K267" s="7" t="str">
        <f>IF(OR(I267="",J267="",I267=0),"",(J267-I267)/I267)</f>
        <v/>
      </c>
      <c r="L267" s="3" t="str">
        <f>IF(J267="","",IF(J267/10&gt;='الإعدادات والمستهدفات'!B5,"ناجح ومستوفى","ضعيف - يلزم إعادة اختبار"))</f>
        <v/>
      </c>
      <c r="M267" s="3"/>
      <c r="N267" s="3"/>
    </row>
    <row r="268" spans="1:14" x14ac:dyDescent="0.2">
      <c r="A268" s="3" t="str">
        <f>IFERROR(VLOOKUP(B268,'جدول الجلسات التدريبية'!A:B,2,FALSE),"")</f>
        <v/>
      </c>
      <c r="B268" s="3"/>
      <c r="C268" s="3" t="str">
        <f>IFERROR(VLOOKUP(A268,'الخطة التدريبية المعتمدة'!A:C,3,FALSE),"")</f>
        <v/>
      </c>
      <c r="D268" s="3" t="str">
        <f>IFERROR(VLOOKUP(B268,'جدول الجلسات التدريبية'!A:D,4,FALSE),"")</f>
        <v/>
      </c>
      <c r="E268" s="3"/>
      <c r="F268" s="3" t="str">
        <f>IFERROR(VLOOKUP(E268,'سجل الموظفين والكفاءة'!B:C,2,FALSE),"")</f>
        <v/>
      </c>
      <c r="G268" s="3">
        <f>IFERROR(VLOOKUP(A268,'الخطة التدريبية المعتمدة'!A:J,10,FALSE),0)</f>
        <v>0</v>
      </c>
      <c r="H268" s="3"/>
      <c r="I268" s="3"/>
      <c r="J268" s="3"/>
      <c r="K268" s="7" t="str">
        <f>IF(OR(I268="",J268="",I268=0),"",(J268-I268)/I268)</f>
        <v/>
      </c>
      <c r="L268" s="3" t="str">
        <f>IF(J268="","",IF(J268/10&gt;='الإعدادات والمستهدفات'!B5,"ناجح ومستوفى","ضعيف - يلزم إعادة اختبار"))</f>
        <v/>
      </c>
      <c r="M268" s="3"/>
      <c r="N268" s="3"/>
    </row>
    <row r="269" spans="1:14" x14ac:dyDescent="0.2">
      <c r="A269" s="3" t="str">
        <f>IFERROR(VLOOKUP(B269,'جدول الجلسات التدريبية'!A:B,2,FALSE),"")</f>
        <v/>
      </c>
      <c r="B269" s="3"/>
      <c r="C269" s="3" t="str">
        <f>IFERROR(VLOOKUP(A269,'الخطة التدريبية المعتمدة'!A:C,3,FALSE),"")</f>
        <v/>
      </c>
      <c r="D269" s="3" t="str">
        <f>IFERROR(VLOOKUP(B269,'جدول الجلسات التدريبية'!A:D,4,FALSE),"")</f>
        <v/>
      </c>
      <c r="E269" s="3"/>
      <c r="F269" s="3" t="str">
        <f>IFERROR(VLOOKUP(E269,'سجل الموظفين والكفاءة'!B:C,2,FALSE),"")</f>
        <v/>
      </c>
      <c r="G269" s="3">
        <f>IFERROR(VLOOKUP(A269,'الخطة التدريبية المعتمدة'!A:J,10,FALSE),0)</f>
        <v>0</v>
      </c>
      <c r="H269" s="3"/>
      <c r="I269" s="3"/>
      <c r="J269" s="3"/>
      <c r="K269" s="7" t="str">
        <f>IF(OR(I269="",J269="",I269=0),"",(J269-I269)/I269)</f>
        <v/>
      </c>
      <c r="L269" s="3" t="str">
        <f>IF(J269="","",IF(J269/10&gt;='الإعدادات والمستهدفات'!B5,"ناجح ومستوفى","ضعيف - يلزم إعادة اختبار"))</f>
        <v/>
      </c>
      <c r="M269" s="3"/>
      <c r="N269" s="3"/>
    </row>
    <row r="270" spans="1:14" x14ac:dyDescent="0.2">
      <c r="A270" s="3" t="str">
        <f>IFERROR(VLOOKUP(B270,'جدول الجلسات التدريبية'!A:B,2,FALSE),"")</f>
        <v/>
      </c>
      <c r="B270" s="3"/>
      <c r="C270" s="3" t="str">
        <f>IFERROR(VLOOKUP(A270,'الخطة التدريبية المعتمدة'!A:C,3,FALSE),"")</f>
        <v/>
      </c>
      <c r="D270" s="3" t="str">
        <f>IFERROR(VLOOKUP(B270,'جدول الجلسات التدريبية'!A:D,4,FALSE),"")</f>
        <v/>
      </c>
      <c r="E270" s="3"/>
      <c r="F270" s="3" t="str">
        <f>IFERROR(VLOOKUP(E270,'سجل الموظفين والكفاءة'!B:C,2,FALSE),"")</f>
        <v/>
      </c>
      <c r="G270" s="3">
        <f>IFERROR(VLOOKUP(A270,'الخطة التدريبية المعتمدة'!A:J,10,FALSE),0)</f>
        <v>0</v>
      </c>
      <c r="H270" s="3"/>
      <c r="I270" s="3"/>
      <c r="J270" s="3"/>
      <c r="K270" s="7" t="str">
        <f>IF(OR(I270="",J270="",I270=0),"",(J270-I270)/I270)</f>
        <v/>
      </c>
      <c r="L270" s="3" t="str">
        <f>IF(J270="","",IF(J270/10&gt;='الإعدادات والمستهدفات'!B5,"ناجح ومستوفى","ضعيف - يلزم إعادة اختبار"))</f>
        <v/>
      </c>
      <c r="M270" s="3"/>
      <c r="N270" s="3"/>
    </row>
    <row r="271" spans="1:14" x14ac:dyDescent="0.2">
      <c r="A271" s="3" t="str">
        <f>IFERROR(VLOOKUP(B271,'جدول الجلسات التدريبية'!A:B,2,FALSE),"")</f>
        <v/>
      </c>
      <c r="B271" s="3"/>
      <c r="C271" s="3" t="str">
        <f>IFERROR(VLOOKUP(A271,'الخطة التدريبية المعتمدة'!A:C,3,FALSE),"")</f>
        <v/>
      </c>
      <c r="D271" s="3" t="str">
        <f>IFERROR(VLOOKUP(B271,'جدول الجلسات التدريبية'!A:D,4,FALSE),"")</f>
        <v/>
      </c>
      <c r="E271" s="3"/>
      <c r="F271" s="3" t="str">
        <f>IFERROR(VLOOKUP(E271,'سجل الموظفين والكفاءة'!B:C,2,FALSE),"")</f>
        <v/>
      </c>
      <c r="G271" s="3">
        <f>IFERROR(VLOOKUP(A271,'الخطة التدريبية المعتمدة'!A:J,10,FALSE),0)</f>
        <v>0</v>
      </c>
      <c r="H271" s="3"/>
      <c r="I271" s="3"/>
      <c r="J271" s="3"/>
      <c r="K271" s="7" t="str">
        <f>IF(OR(I271="",J271="",I271=0),"",(J271-I271)/I271)</f>
        <v/>
      </c>
      <c r="L271" s="3" t="str">
        <f>IF(J271="","",IF(J271/10&gt;='الإعدادات والمستهدفات'!B5,"ناجح ومستوفى","ضعيف - يلزم إعادة اختبار"))</f>
        <v/>
      </c>
      <c r="M271" s="3"/>
      <c r="N271" s="3"/>
    </row>
    <row r="272" spans="1:14" x14ac:dyDescent="0.2">
      <c r="A272" s="3" t="str">
        <f>IFERROR(VLOOKUP(B272,'جدول الجلسات التدريبية'!A:B,2,FALSE),"")</f>
        <v/>
      </c>
      <c r="B272" s="3"/>
      <c r="C272" s="3" t="str">
        <f>IFERROR(VLOOKUP(A272,'الخطة التدريبية المعتمدة'!A:C,3,FALSE),"")</f>
        <v/>
      </c>
      <c r="D272" s="3" t="str">
        <f>IFERROR(VLOOKUP(B272,'جدول الجلسات التدريبية'!A:D,4,FALSE),"")</f>
        <v/>
      </c>
      <c r="E272" s="3"/>
      <c r="F272" s="3" t="str">
        <f>IFERROR(VLOOKUP(E272,'سجل الموظفين والكفاءة'!B:C,2,FALSE),"")</f>
        <v/>
      </c>
      <c r="G272" s="3">
        <f>IFERROR(VLOOKUP(A272,'الخطة التدريبية المعتمدة'!A:J,10,FALSE),0)</f>
        <v>0</v>
      </c>
      <c r="H272" s="3"/>
      <c r="I272" s="3"/>
      <c r="J272" s="3"/>
      <c r="K272" s="7" t="str">
        <f>IF(OR(I272="",J272="",I272=0),"",(J272-I272)/I272)</f>
        <v/>
      </c>
      <c r="L272" s="3" t="str">
        <f>IF(J272="","",IF(J272/10&gt;='الإعدادات والمستهدفات'!B5,"ناجح ومستوفى","ضعيف - يلزم إعادة اختبار"))</f>
        <v/>
      </c>
      <c r="M272" s="3"/>
      <c r="N272" s="3"/>
    </row>
    <row r="273" spans="1:14" x14ac:dyDescent="0.2">
      <c r="A273" s="3" t="str">
        <f>IFERROR(VLOOKUP(B273,'جدول الجلسات التدريبية'!A:B,2,FALSE),"")</f>
        <v/>
      </c>
      <c r="B273" s="3"/>
      <c r="C273" s="3" t="str">
        <f>IFERROR(VLOOKUP(A273,'الخطة التدريبية المعتمدة'!A:C,3,FALSE),"")</f>
        <v/>
      </c>
      <c r="D273" s="3" t="str">
        <f>IFERROR(VLOOKUP(B273,'جدول الجلسات التدريبية'!A:D,4,FALSE),"")</f>
        <v/>
      </c>
      <c r="E273" s="3"/>
      <c r="F273" s="3" t="str">
        <f>IFERROR(VLOOKUP(E273,'سجل الموظفين والكفاءة'!B:C,2,FALSE),"")</f>
        <v/>
      </c>
      <c r="G273" s="3">
        <f>IFERROR(VLOOKUP(A273,'الخطة التدريبية المعتمدة'!A:J,10,FALSE),0)</f>
        <v>0</v>
      </c>
      <c r="H273" s="3"/>
      <c r="I273" s="3"/>
      <c r="J273" s="3"/>
      <c r="K273" s="7" t="str">
        <f>IF(OR(I273="",J273="",I273=0),"",(J273-I273)/I273)</f>
        <v/>
      </c>
      <c r="L273" s="3" t="str">
        <f>IF(J273="","",IF(J273/10&gt;='الإعدادات والمستهدفات'!B5,"ناجح ومستوفى","ضعيف - يلزم إعادة اختبار"))</f>
        <v/>
      </c>
      <c r="M273" s="3"/>
      <c r="N273" s="3"/>
    </row>
    <row r="274" spans="1:14" x14ac:dyDescent="0.2">
      <c r="A274" s="3" t="str">
        <f>IFERROR(VLOOKUP(B274,'جدول الجلسات التدريبية'!A:B,2,FALSE),"")</f>
        <v/>
      </c>
      <c r="B274" s="3"/>
      <c r="C274" s="3" t="str">
        <f>IFERROR(VLOOKUP(A274,'الخطة التدريبية المعتمدة'!A:C,3,FALSE),"")</f>
        <v/>
      </c>
      <c r="D274" s="3" t="str">
        <f>IFERROR(VLOOKUP(B274,'جدول الجلسات التدريبية'!A:D,4,FALSE),"")</f>
        <v/>
      </c>
      <c r="E274" s="3"/>
      <c r="F274" s="3" t="str">
        <f>IFERROR(VLOOKUP(E274,'سجل الموظفين والكفاءة'!B:C,2,FALSE),"")</f>
        <v/>
      </c>
      <c r="G274" s="3">
        <f>IFERROR(VLOOKUP(A274,'الخطة التدريبية المعتمدة'!A:J,10,FALSE),0)</f>
        <v>0</v>
      </c>
      <c r="H274" s="3"/>
      <c r="I274" s="3"/>
      <c r="J274" s="3"/>
      <c r="K274" s="7" t="str">
        <f>IF(OR(I274="",J274="",I274=0),"",(J274-I274)/I274)</f>
        <v/>
      </c>
      <c r="L274" s="3" t="str">
        <f>IF(J274="","",IF(J274/10&gt;='الإعدادات والمستهدفات'!B5,"ناجح ومستوفى","ضعيف - يلزم إعادة اختبار"))</f>
        <v/>
      </c>
      <c r="M274" s="3"/>
      <c r="N274" s="3"/>
    </row>
    <row r="275" spans="1:14" x14ac:dyDescent="0.2">
      <c r="A275" s="3" t="str">
        <f>IFERROR(VLOOKUP(B275,'جدول الجلسات التدريبية'!A:B,2,FALSE),"")</f>
        <v/>
      </c>
      <c r="B275" s="3"/>
      <c r="C275" s="3" t="str">
        <f>IFERROR(VLOOKUP(A275,'الخطة التدريبية المعتمدة'!A:C,3,FALSE),"")</f>
        <v/>
      </c>
      <c r="D275" s="3" t="str">
        <f>IFERROR(VLOOKUP(B275,'جدول الجلسات التدريبية'!A:D,4,FALSE),"")</f>
        <v/>
      </c>
      <c r="E275" s="3"/>
      <c r="F275" s="3" t="str">
        <f>IFERROR(VLOOKUP(E275,'سجل الموظفين والكفاءة'!B:C,2,FALSE),"")</f>
        <v/>
      </c>
      <c r="G275" s="3">
        <f>IFERROR(VLOOKUP(A275,'الخطة التدريبية المعتمدة'!A:J,10,FALSE),0)</f>
        <v>0</v>
      </c>
      <c r="H275" s="3"/>
      <c r="I275" s="3"/>
      <c r="J275" s="3"/>
      <c r="K275" s="7" t="str">
        <f>IF(OR(I275="",J275="",I275=0),"",(J275-I275)/I275)</f>
        <v/>
      </c>
      <c r="L275" s="3" t="str">
        <f>IF(J275="","",IF(J275/10&gt;='الإعدادات والمستهدفات'!B5,"ناجح ومستوفى","ضعيف - يلزم إعادة اختبار"))</f>
        <v/>
      </c>
      <c r="M275" s="3"/>
      <c r="N275" s="3"/>
    </row>
    <row r="276" spans="1:14" x14ac:dyDescent="0.2">
      <c r="A276" s="3" t="str">
        <f>IFERROR(VLOOKUP(B276,'جدول الجلسات التدريبية'!A:B,2,FALSE),"")</f>
        <v/>
      </c>
      <c r="B276" s="3"/>
      <c r="C276" s="3" t="str">
        <f>IFERROR(VLOOKUP(A276,'الخطة التدريبية المعتمدة'!A:C,3,FALSE),"")</f>
        <v/>
      </c>
      <c r="D276" s="3" t="str">
        <f>IFERROR(VLOOKUP(B276,'جدول الجلسات التدريبية'!A:D,4,FALSE),"")</f>
        <v/>
      </c>
      <c r="E276" s="3"/>
      <c r="F276" s="3" t="str">
        <f>IFERROR(VLOOKUP(E276,'سجل الموظفين والكفاءة'!B:C,2,FALSE),"")</f>
        <v/>
      </c>
      <c r="G276" s="3">
        <f>IFERROR(VLOOKUP(A276,'الخطة التدريبية المعتمدة'!A:J,10,FALSE),0)</f>
        <v>0</v>
      </c>
      <c r="H276" s="3"/>
      <c r="I276" s="3"/>
      <c r="J276" s="3"/>
      <c r="K276" s="7" t="str">
        <f>IF(OR(I276="",J276="",I276=0),"",(J276-I276)/I276)</f>
        <v/>
      </c>
      <c r="L276" s="3" t="str">
        <f>IF(J276="","",IF(J276/10&gt;='الإعدادات والمستهدفات'!B5,"ناجح ومستوفى","ضعيف - يلزم إعادة اختبار"))</f>
        <v/>
      </c>
      <c r="M276" s="3"/>
      <c r="N276" s="3"/>
    </row>
    <row r="277" spans="1:14" x14ac:dyDescent="0.2">
      <c r="A277" s="3" t="str">
        <f>IFERROR(VLOOKUP(B277,'جدول الجلسات التدريبية'!A:B,2,FALSE),"")</f>
        <v/>
      </c>
      <c r="B277" s="3"/>
      <c r="C277" s="3" t="str">
        <f>IFERROR(VLOOKUP(A277,'الخطة التدريبية المعتمدة'!A:C,3,FALSE),"")</f>
        <v/>
      </c>
      <c r="D277" s="3" t="str">
        <f>IFERROR(VLOOKUP(B277,'جدول الجلسات التدريبية'!A:D,4,FALSE),"")</f>
        <v/>
      </c>
      <c r="E277" s="3"/>
      <c r="F277" s="3" t="str">
        <f>IFERROR(VLOOKUP(E277,'سجل الموظفين والكفاءة'!B:C,2,FALSE),"")</f>
        <v/>
      </c>
      <c r="G277" s="3">
        <f>IFERROR(VLOOKUP(A277,'الخطة التدريبية المعتمدة'!A:J,10,FALSE),0)</f>
        <v>0</v>
      </c>
      <c r="H277" s="3"/>
      <c r="I277" s="3"/>
      <c r="J277" s="3"/>
      <c r="K277" s="7" t="str">
        <f>IF(OR(I277="",J277="",I277=0),"",(J277-I277)/I277)</f>
        <v/>
      </c>
      <c r="L277" s="3" t="str">
        <f>IF(J277="","",IF(J277/10&gt;='الإعدادات والمستهدفات'!B5,"ناجح ومستوفى","ضعيف - يلزم إعادة اختبار"))</f>
        <v/>
      </c>
      <c r="M277" s="3"/>
      <c r="N277" s="3"/>
    </row>
    <row r="278" spans="1:14" x14ac:dyDescent="0.2">
      <c r="A278" s="3" t="str">
        <f>IFERROR(VLOOKUP(B278,'جدول الجلسات التدريبية'!A:B,2,FALSE),"")</f>
        <v/>
      </c>
      <c r="B278" s="3"/>
      <c r="C278" s="3" t="str">
        <f>IFERROR(VLOOKUP(A278,'الخطة التدريبية المعتمدة'!A:C,3,FALSE),"")</f>
        <v/>
      </c>
      <c r="D278" s="3" t="str">
        <f>IFERROR(VLOOKUP(B278,'جدول الجلسات التدريبية'!A:D,4,FALSE),"")</f>
        <v/>
      </c>
      <c r="E278" s="3"/>
      <c r="F278" s="3" t="str">
        <f>IFERROR(VLOOKUP(E278,'سجل الموظفين والكفاءة'!B:C,2,FALSE),"")</f>
        <v/>
      </c>
      <c r="G278" s="3">
        <f>IFERROR(VLOOKUP(A278,'الخطة التدريبية المعتمدة'!A:J,10,FALSE),0)</f>
        <v>0</v>
      </c>
      <c r="H278" s="3"/>
      <c r="I278" s="3"/>
      <c r="J278" s="3"/>
      <c r="K278" s="7" t="str">
        <f>IF(OR(I278="",J278="",I278=0),"",(J278-I278)/I278)</f>
        <v/>
      </c>
      <c r="L278" s="3" t="str">
        <f>IF(J278="","",IF(J278/10&gt;='الإعدادات والمستهدفات'!B5,"ناجح ومستوفى","ضعيف - يلزم إعادة اختبار"))</f>
        <v/>
      </c>
      <c r="M278" s="3"/>
      <c r="N278" s="3"/>
    </row>
    <row r="279" spans="1:14" x14ac:dyDescent="0.2">
      <c r="A279" s="3" t="str">
        <f>IFERROR(VLOOKUP(B279,'جدول الجلسات التدريبية'!A:B,2,FALSE),"")</f>
        <v/>
      </c>
      <c r="B279" s="3"/>
      <c r="C279" s="3" t="str">
        <f>IFERROR(VLOOKUP(A279,'الخطة التدريبية المعتمدة'!A:C,3,FALSE),"")</f>
        <v/>
      </c>
      <c r="D279" s="3" t="str">
        <f>IFERROR(VLOOKUP(B279,'جدول الجلسات التدريبية'!A:D,4,FALSE),"")</f>
        <v/>
      </c>
      <c r="E279" s="3"/>
      <c r="F279" s="3" t="str">
        <f>IFERROR(VLOOKUP(E279,'سجل الموظفين والكفاءة'!B:C,2,FALSE),"")</f>
        <v/>
      </c>
      <c r="G279" s="3">
        <f>IFERROR(VLOOKUP(A279,'الخطة التدريبية المعتمدة'!A:J,10,FALSE),0)</f>
        <v>0</v>
      </c>
      <c r="H279" s="3"/>
      <c r="I279" s="3"/>
      <c r="J279" s="3"/>
      <c r="K279" s="7" t="str">
        <f>IF(OR(I279="",J279="",I279=0),"",(J279-I279)/I279)</f>
        <v/>
      </c>
      <c r="L279" s="3" t="str">
        <f>IF(J279="","",IF(J279/10&gt;='الإعدادات والمستهدفات'!B5,"ناجح ومستوفى","ضعيف - يلزم إعادة اختبار"))</f>
        <v/>
      </c>
      <c r="M279" s="3"/>
      <c r="N279" s="3"/>
    </row>
    <row r="280" spans="1:14" x14ac:dyDescent="0.2">
      <c r="A280" s="3" t="str">
        <f>IFERROR(VLOOKUP(B280,'جدول الجلسات التدريبية'!A:B,2,FALSE),"")</f>
        <v/>
      </c>
      <c r="B280" s="3"/>
      <c r="C280" s="3" t="str">
        <f>IFERROR(VLOOKUP(A280,'الخطة التدريبية المعتمدة'!A:C,3,FALSE),"")</f>
        <v/>
      </c>
      <c r="D280" s="3" t="str">
        <f>IFERROR(VLOOKUP(B280,'جدول الجلسات التدريبية'!A:D,4,FALSE),"")</f>
        <v/>
      </c>
      <c r="E280" s="3"/>
      <c r="F280" s="3" t="str">
        <f>IFERROR(VLOOKUP(E280,'سجل الموظفين والكفاءة'!B:C,2,FALSE),"")</f>
        <v/>
      </c>
      <c r="G280" s="3">
        <f>IFERROR(VLOOKUP(A280,'الخطة التدريبية المعتمدة'!A:J,10,FALSE),0)</f>
        <v>0</v>
      </c>
      <c r="H280" s="3"/>
      <c r="I280" s="3"/>
      <c r="J280" s="3"/>
      <c r="K280" s="7" t="str">
        <f>IF(OR(I280="",J280="",I280=0),"",(J280-I280)/I280)</f>
        <v/>
      </c>
      <c r="L280" s="3" t="str">
        <f>IF(J280="","",IF(J280/10&gt;='الإعدادات والمستهدفات'!B5,"ناجح ومستوفى","ضعيف - يلزم إعادة اختبار"))</f>
        <v/>
      </c>
      <c r="M280" s="3"/>
      <c r="N280" s="3"/>
    </row>
    <row r="281" spans="1:14" x14ac:dyDescent="0.2">
      <c r="A281" s="3" t="str">
        <f>IFERROR(VLOOKUP(B281,'جدول الجلسات التدريبية'!A:B,2,FALSE),"")</f>
        <v/>
      </c>
      <c r="B281" s="3"/>
      <c r="C281" s="3" t="str">
        <f>IFERROR(VLOOKUP(A281,'الخطة التدريبية المعتمدة'!A:C,3,FALSE),"")</f>
        <v/>
      </c>
      <c r="D281" s="3" t="str">
        <f>IFERROR(VLOOKUP(B281,'جدول الجلسات التدريبية'!A:D,4,FALSE),"")</f>
        <v/>
      </c>
      <c r="E281" s="3"/>
      <c r="F281" s="3" t="str">
        <f>IFERROR(VLOOKUP(E281,'سجل الموظفين والكفاءة'!B:C,2,FALSE),"")</f>
        <v/>
      </c>
      <c r="G281" s="3">
        <f>IFERROR(VLOOKUP(A281,'الخطة التدريبية المعتمدة'!A:J,10,FALSE),0)</f>
        <v>0</v>
      </c>
      <c r="H281" s="3"/>
      <c r="I281" s="3"/>
      <c r="J281" s="3"/>
      <c r="K281" s="7" t="str">
        <f>IF(OR(I281="",J281="",I281=0),"",(J281-I281)/I281)</f>
        <v/>
      </c>
      <c r="L281" s="3" t="str">
        <f>IF(J281="","",IF(J281/10&gt;='الإعدادات والمستهدفات'!B5,"ناجح ومستوفى","ضعيف - يلزم إعادة اختبار"))</f>
        <v/>
      </c>
      <c r="M281" s="3"/>
      <c r="N281" s="3"/>
    </row>
    <row r="282" spans="1:14" x14ac:dyDescent="0.2">
      <c r="A282" s="3" t="str">
        <f>IFERROR(VLOOKUP(B282,'جدول الجلسات التدريبية'!A:B,2,FALSE),"")</f>
        <v/>
      </c>
      <c r="B282" s="3"/>
      <c r="C282" s="3" t="str">
        <f>IFERROR(VLOOKUP(A282,'الخطة التدريبية المعتمدة'!A:C,3,FALSE),"")</f>
        <v/>
      </c>
      <c r="D282" s="3" t="str">
        <f>IFERROR(VLOOKUP(B282,'جدول الجلسات التدريبية'!A:D,4,FALSE),"")</f>
        <v/>
      </c>
      <c r="E282" s="3"/>
      <c r="F282" s="3" t="str">
        <f>IFERROR(VLOOKUP(E282,'سجل الموظفين والكفاءة'!B:C,2,FALSE),"")</f>
        <v/>
      </c>
      <c r="G282" s="3">
        <f>IFERROR(VLOOKUP(A282,'الخطة التدريبية المعتمدة'!A:J,10,FALSE),0)</f>
        <v>0</v>
      </c>
      <c r="H282" s="3"/>
      <c r="I282" s="3"/>
      <c r="J282" s="3"/>
      <c r="K282" s="7" t="str">
        <f>IF(OR(I282="",J282="",I282=0),"",(J282-I282)/I282)</f>
        <v/>
      </c>
      <c r="L282" s="3" t="str">
        <f>IF(J282="","",IF(J282/10&gt;='الإعدادات والمستهدفات'!B5,"ناجح ومستوفى","ضعيف - يلزم إعادة اختبار"))</f>
        <v/>
      </c>
      <c r="M282" s="3"/>
      <c r="N282" s="3"/>
    </row>
    <row r="283" spans="1:14" x14ac:dyDescent="0.2">
      <c r="A283" s="3" t="str">
        <f>IFERROR(VLOOKUP(B283,'جدول الجلسات التدريبية'!A:B,2,FALSE),"")</f>
        <v/>
      </c>
      <c r="B283" s="3"/>
      <c r="C283" s="3" t="str">
        <f>IFERROR(VLOOKUP(A283,'الخطة التدريبية المعتمدة'!A:C,3,FALSE),"")</f>
        <v/>
      </c>
      <c r="D283" s="3" t="str">
        <f>IFERROR(VLOOKUP(B283,'جدول الجلسات التدريبية'!A:D,4,FALSE),"")</f>
        <v/>
      </c>
      <c r="E283" s="3"/>
      <c r="F283" s="3" t="str">
        <f>IFERROR(VLOOKUP(E283,'سجل الموظفين والكفاءة'!B:C,2,FALSE),"")</f>
        <v/>
      </c>
      <c r="G283" s="3">
        <f>IFERROR(VLOOKUP(A283,'الخطة التدريبية المعتمدة'!A:J,10,FALSE),0)</f>
        <v>0</v>
      </c>
      <c r="H283" s="3"/>
      <c r="I283" s="3"/>
      <c r="J283" s="3"/>
      <c r="K283" s="7" t="str">
        <f>IF(OR(I283="",J283="",I283=0),"",(J283-I283)/I283)</f>
        <v/>
      </c>
      <c r="L283" s="3" t="str">
        <f>IF(J283="","",IF(J283/10&gt;='الإعدادات والمستهدفات'!B5,"ناجح ومستوفى","ضعيف - يلزم إعادة اختبار"))</f>
        <v/>
      </c>
      <c r="M283" s="3"/>
      <c r="N283" s="3"/>
    </row>
    <row r="284" spans="1:14" x14ac:dyDescent="0.2">
      <c r="A284" s="3" t="str">
        <f>IFERROR(VLOOKUP(B284,'جدول الجلسات التدريبية'!A:B,2,FALSE),"")</f>
        <v/>
      </c>
      <c r="B284" s="3"/>
      <c r="C284" s="3" t="str">
        <f>IFERROR(VLOOKUP(A284,'الخطة التدريبية المعتمدة'!A:C,3,FALSE),"")</f>
        <v/>
      </c>
      <c r="D284" s="3" t="str">
        <f>IFERROR(VLOOKUP(B284,'جدول الجلسات التدريبية'!A:D,4,FALSE),"")</f>
        <v/>
      </c>
      <c r="E284" s="3"/>
      <c r="F284" s="3" t="str">
        <f>IFERROR(VLOOKUP(E284,'سجل الموظفين والكفاءة'!B:C,2,FALSE),"")</f>
        <v/>
      </c>
      <c r="G284" s="3">
        <f>IFERROR(VLOOKUP(A284,'الخطة التدريبية المعتمدة'!A:J,10,FALSE),0)</f>
        <v>0</v>
      </c>
      <c r="H284" s="3"/>
      <c r="I284" s="3"/>
      <c r="J284" s="3"/>
      <c r="K284" s="7" t="str">
        <f>IF(OR(I284="",J284="",I284=0),"",(J284-I284)/I284)</f>
        <v/>
      </c>
      <c r="L284" s="3" t="str">
        <f>IF(J284="","",IF(J284/10&gt;='الإعدادات والمستهدفات'!B5,"ناجح ومستوفى","ضعيف - يلزم إعادة اختبار"))</f>
        <v/>
      </c>
      <c r="M284" s="3"/>
      <c r="N284" s="3"/>
    </row>
    <row r="285" spans="1:14" x14ac:dyDescent="0.2">
      <c r="A285" s="3" t="str">
        <f>IFERROR(VLOOKUP(B285,'جدول الجلسات التدريبية'!A:B,2,FALSE),"")</f>
        <v/>
      </c>
      <c r="B285" s="3"/>
      <c r="C285" s="3" t="str">
        <f>IFERROR(VLOOKUP(A285,'الخطة التدريبية المعتمدة'!A:C,3,FALSE),"")</f>
        <v/>
      </c>
      <c r="D285" s="3" t="str">
        <f>IFERROR(VLOOKUP(B285,'جدول الجلسات التدريبية'!A:D,4,FALSE),"")</f>
        <v/>
      </c>
      <c r="E285" s="3"/>
      <c r="F285" s="3" t="str">
        <f>IFERROR(VLOOKUP(E285,'سجل الموظفين والكفاءة'!B:C,2,FALSE),"")</f>
        <v/>
      </c>
      <c r="G285" s="3">
        <f>IFERROR(VLOOKUP(A285,'الخطة التدريبية المعتمدة'!A:J,10,FALSE),0)</f>
        <v>0</v>
      </c>
      <c r="H285" s="3"/>
      <c r="I285" s="3"/>
      <c r="J285" s="3"/>
      <c r="K285" s="7" t="str">
        <f>IF(OR(I285="",J285="",I285=0),"",(J285-I285)/I285)</f>
        <v/>
      </c>
      <c r="L285" s="3" t="str">
        <f>IF(J285="","",IF(J285/10&gt;='الإعدادات والمستهدفات'!B5,"ناجح ومستوفى","ضعيف - يلزم إعادة اختبار"))</f>
        <v/>
      </c>
      <c r="M285" s="3"/>
      <c r="N285" s="3"/>
    </row>
    <row r="286" spans="1:14" x14ac:dyDescent="0.2">
      <c r="A286" s="3" t="str">
        <f>IFERROR(VLOOKUP(B286,'جدول الجلسات التدريبية'!A:B,2,FALSE),"")</f>
        <v/>
      </c>
      <c r="B286" s="3"/>
      <c r="C286" s="3" t="str">
        <f>IFERROR(VLOOKUP(A286,'الخطة التدريبية المعتمدة'!A:C,3,FALSE),"")</f>
        <v/>
      </c>
      <c r="D286" s="3" t="str">
        <f>IFERROR(VLOOKUP(B286,'جدول الجلسات التدريبية'!A:D,4,FALSE),"")</f>
        <v/>
      </c>
      <c r="E286" s="3"/>
      <c r="F286" s="3" t="str">
        <f>IFERROR(VLOOKUP(E286,'سجل الموظفين والكفاءة'!B:C,2,FALSE),"")</f>
        <v/>
      </c>
      <c r="G286" s="3">
        <f>IFERROR(VLOOKUP(A286,'الخطة التدريبية المعتمدة'!A:J,10,FALSE),0)</f>
        <v>0</v>
      </c>
      <c r="H286" s="3"/>
      <c r="I286" s="3"/>
      <c r="J286" s="3"/>
      <c r="K286" s="7" t="str">
        <f>IF(OR(I286="",J286="",I286=0),"",(J286-I286)/I286)</f>
        <v/>
      </c>
      <c r="L286" s="3" t="str">
        <f>IF(J286="","",IF(J286/10&gt;='الإعدادات والمستهدفات'!B5,"ناجح ومستوفى","ضعيف - يلزم إعادة اختبار"))</f>
        <v/>
      </c>
      <c r="M286" s="3"/>
      <c r="N286" s="3"/>
    </row>
    <row r="287" spans="1:14" x14ac:dyDescent="0.2">
      <c r="A287" s="3" t="str">
        <f>IFERROR(VLOOKUP(B287,'جدول الجلسات التدريبية'!A:B,2,FALSE),"")</f>
        <v/>
      </c>
      <c r="B287" s="3"/>
      <c r="C287" s="3" t="str">
        <f>IFERROR(VLOOKUP(A287,'الخطة التدريبية المعتمدة'!A:C,3,FALSE),"")</f>
        <v/>
      </c>
      <c r="D287" s="3" t="str">
        <f>IFERROR(VLOOKUP(B287,'جدول الجلسات التدريبية'!A:D,4,FALSE),"")</f>
        <v/>
      </c>
      <c r="E287" s="3"/>
      <c r="F287" s="3" t="str">
        <f>IFERROR(VLOOKUP(E287,'سجل الموظفين والكفاءة'!B:C,2,FALSE),"")</f>
        <v/>
      </c>
      <c r="G287" s="3">
        <f>IFERROR(VLOOKUP(A287,'الخطة التدريبية المعتمدة'!A:J,10,FALSE),0)</f>
        <v>0</v>
      </c>
      <c r="H287" s="3"/>
      <c r="I287" s="3"/>
      <c r="J287" s="3"/>
      <c r="K287" s="7" t="str">
        <f>IF(OR(I287="",J287="",I287=0),"",(J287-I287)/I287)</f>
        <v/>
      </c>
      <c r="L287" s="3" t="str">
        <f>IF(J287="","",IF(J287/10&gt;='الإعدادات والمستهدفات'!B5,"ناجح ومستوفى","ضعيف - يلزم إعادة اختبار"))</f>
        <v/>
      </c>
      <c r="M287" s="3"/>
      <c r="N287" s="3"/>
    </row>
    <row r="288" spans="1:14" x14ac:dyDescent="0.2">
      <c r="A288" s="3" t="str">
        <f>IFERROR(VLOOKUP(B288,'جدول الجلسات التدريبية'!A:B,2,FALSE),"")</f>
        <v/>
      </c>
      <c r="B288" s="3"/>
      <c r="C288" s="3" t="str">
        <f>IFERROR(VLOOKUP(A288,'الخطة التدريبية المعتمدة'!A:C,3,FALSE),"")</f>
        <v/>
      </c>
      <c r="D288" s="3" t="str">
        <f>IFERROR(VLOOKUP(B288,'جدول الجلسات التدريبية'!A:D,4,FALSE),"")</f>
        <v/>
      </c>
      <c r="E288" s="3"/>
      <c r="F288" s="3" t="str">
        <f>IFERROR(VLOOKUP(E288,'سجل الموظفين والكفاءة'!B:C,2,FALSE),"")</f>
        <v/>
      </c>
      <c r="G288" s="3">
        <f>IFERROR(VLOOKUP(A288,'الخطة التدريبية المعتمدة'!A:J,10,FALSE),0)</f>
        <v>0</v>
      </c>
      <c r="H288" s="3"/>
      <c r="I288" s="3"/>
      <c r="J288" s="3"/>
      <c r="K288" s="7" t="str">
        <f>IF(OR(I288="",J288="",I288=0),"",(J288-I288)/I288)</f>
        <v/>
      </c>
      <c r="L288" s="3" t="str">
        <f>IF(J288="","",IF(J288/10&gt;='الإعدادات والمستهدفات'!B5,"ناجح ومستوفى","ضعيف - يلزم إعادة اختبار"))</f>
        <v/>
      </c>
      <c r="M288" s="3"/>
      <c r="N288" s="3"/>
    </row>
    <row r="289" spans="1:14" x14ac:dyDescent="0.2">
      <c r="A289" s="3" t="str">
        <f>IFERROR(VLOOKUP(B289,'جدول الجلسات التدريبية'!A:B,2,FALSE),"")</f>
        <v/>
      </c>
      <c r="B289" s="3"/>
      <c r="C289" s="3" t="str">
        <f>IFERROR(VLOOKUP(A289,'الخطة التدريبية المعتمدة'!A:C,3,FALSE),"")</f>
        <v/>
      </c>
      <c r="D289" s="3" t="str">
        <f>IFERROR(VLOOKUP(B289,'جدول الجلسات التدريبية'!A:D,4,FALSE),"")</f>
        <v/>
      </c>
      <c r="E289" s="3"/>
      <c r="F289" s="3" t="str">
        <f>IFERROR(VLOOKUP(E289,'سجل الموظفين والكفاءة'!B:C,2,FALSE),"")</f>
        <v/>
      </c>
      <c r="G289" s="3">
        <f>IFERROR(VLOOKUP(A289,'الخطة التدريبية المعتمدة'!A:J,10,FALSE),0)</f>
        <v>0</v>
      </c>
      <c r="H289" s="3"/>
      <c r="I289" s="3"/>
      <c r="J289" s="3"/>
      <c r="K289" s="7" t="str">
        <f>IF(OR(I289="",J289="",I289=0),"",(J289-I289)/I289)</f>
        <v/>
      </c>
      <c r="L289" s="3" t="str">
        <f>IF(J289="","",IF(J289/10&gt;='الإعدادات والمستهدفات'!B5,"ناجح ومستوفى","ضعيف - يلزم إعادة اختبار"))</f>
        <v/>
      </c>
      <c r="M289" s="3"/>
      <c r="N289" s="3"/>
    </row>
    <row r="290" spans="1:14" x14ac:dyDescent="0.2">
      <c r="A290" s="3" t="str">
        <f>IFERROR(VLOOKUP(B290,'جدول الجلسات التدريبية'!A:B,2,FALSE),"")</f>
        <v/>
      </c>
      <c r="B290" s="3"/>
      <c r="C290" s="3" t="str">
        <f>IFERROR(VLOOKUP(A290,'الخطة التدريبية المعتمدة'!A:C,3,FALSE),"")</f>
        <v/>
      </c>
      <c r="D290" s="3" t="str">
        <f>IFERROR(VLOOKUP(B290,'جدول الجلسات التدريبية'!A:D,4,FALSE),"")</f>
        <v/>
      </c>
      <c r="E290" s="3"/>
      <c r="F290" s="3" t="str">
        <f>IFERROR(VLOOKUP(E290,'سجل الموظفين والكفاءة'!B:C,2,FALSE),"")</f>
        <v/>
      </c>
      <c r="G290" s="3">
        <f>IFERROR(VLOOKUP(A290,'الخطة التدريبية المعتمدة'!A:J,10,FALSE),0)</f>
        <v>0</v>
      </c>
      <c r="H290" s="3"/>
      <c r="I290" s="3"/>
      <c r="J290" s="3"/>
      <c r="K290" s="7" t="str">
        <f>IF(OR(I290="",J290="",I290=0),"",(J290-I290)/I290)</f>
        <v/>
      </c>
      <c r="L290" s="3" t="str">
        <f>IF(J290="","",IF(J290/10&gt;='الإعدادات والمستهدفات'!B5,"ناجح ومستوفى","ضعيف - يلزم إعادة اختبار"))</f>
        <v/>
      </c>
      <c r="M290" s="3"/>
      <c r="N290" s="3"/>
    </row>
    <row r="291" spans="1:14" x14ac:dyDescent="0.2">
      <c r="A291" s="3" t="str">
        <f>IFERROR(VLOOKUP(B291,'جدول الجلسات التدريبية'!A:B,2,FALSE),"")</f>
        <v/>
      </c>
      <c r="B291" s="3"/>
      <c r="C291" s="3" t="str">
        <f>IFERROR(VLOOKUP(A291,'الخطة التدريبية المعتمدة'!A:C,3,FALSE),"")</f>
        <v/>
      </c>
      <c r="D291" s="3" t="str">
        <f>IFERROR(VLOOKUP(B291,'جدول الجلسات التدريبية'!A:D,4,FALSE),"")</f>
        <v/>
      </c>
      <c r="E291" s="3"/>
      <c r="F291" s="3" t="str">
        <f>IFERROR(VLOOKUP(E291,'سجل الموظفين والكفاءة'!B:C,2,FALSE),"")</f>
        <v/>
      </c>
      <c r="G291" s="3">
        <f>IFERROR(VLOOKUP(A291,'الخطة التدريبية المعتمدة'!A:J,10,FALSE),0)</f>
        <v>0</v>
      </c>
      <c r="H291" s="3"/>
      <c r="I291" s="3"/>
      <c r="J291" s="3"/>
      <c r="K291" s="7" t="str">
        <f>IF(OR(I291="",J291="",I291=0),"",(J291-I291)/I291)</f>
        <v/>
      </c>
      <c r="L291" s="3" t="str">
        <f>IF(J291="","",IF(J291/10&gt;='الإعدادات والمستهدفات'!B5,"ناجح ومستوفى","ضعيف - يلزم إعادة اختبار"))</f>
        <v/>
      </c>
      <c r="M291" s="3"/>
      <c r="N291" s="3"/>
    </row>
    <row r="292" spans="1:14" x14ac:dyDescent="0.2">
      <c r="A292" s="3" t="str">
        <f>IFERROR(VLOOKUP(B292,'جدول الجلسات التدريبية'!A:B,2,FALSE),"")</f>
        <v/>
      </c>
      <c r="B292" s="3"/>
      <c r="C292" s="3" t="str">
        <f>IFERROR(VLOOKUP(A292,'الخطة التدريبية المعتمدة'!A:C,3,FALSE),"")</f>
        <v/>
      </c>
      <c r="D292" s="3" t="str">
        <f>IFERROR(VLOOKUP(B292,'جدول الجلسات التدريبية'!A:D,4,FALSE),"")</f>
        <v/>
      </c>
      <c r="E292" s="3"/>
      <c r="F292" s="3" t="str">
        <f>IFERROR(VLOOKUP(E292,'سجل الموظفين والكفاءة'!B:C,2,FALSE),"")</f>
        <v/>
      </c>
      <c r="G292" s="3">
        <f>IFERROR(VLOOKUP(A292,'الخطة التدريبية المعتمدة'!A:J,10,FALSE),0)</f>
        <v>0</v>
      </c>
      <c r="H292" s="3"/>
      <c r="I292" s="3"/>
      <c r="J292" s="3"/>
      <c r="K292" s="7" t="str">
        <f>IF(OR(I292="",J292="",I292=0),"",(J292-I292)/I292)</f>
        <v/>
      </c>
      <c r="L292" s="3" t="str">
        <f>IF(J292="","",IF(J292/10&gt;='الإعدادات والمستهدفات'!B5,"ناجح ومستوفى","ضعيف - يلزم إعادة اختبار"))</f>
        <v/>
      </c>
      <c r="M292" s="3"/>
      <c r="N292" s="3"/>
    </row>
    <row r="293" spans="1:14" x14ac:dyDescent="0.2">
      <c r="A293" s="3" t="str">
        <f>IFERROR(VLOOKUP(B293,'جدول الجلسات التدريبية'!A:B,2,FALSE),"")</f>
        <v/>
      </c>
      <c r="B293" s="3"/>
      <c r="C293" s="3" t="str">
        <f>IFERROR(VLOOKUP(A293,'الخطة التدريبية المعتمدة'!A:C,3,FALSE),"")</f>
        <v/>
      </c>
      <c r="D293" s="3" t="str">
        <f>IFERROR(VLOOKUP(B293,'جدول الجلسات التدريبية'!A:D,4,FALSE),"")</f>
        <v/>
      </c>
      <c r="E293" s="3"/>
      <c r="F293" s="3" t="str">
        <f>IFERROR(VLOOKUP(E293,'سجل الموظفين والكفاءة'!B:C,2,FALSE),"")</f>
        <v/>
      </c>
      <c r="G293" s="3">
        <f>IFERROR(VLOOKUP(A293,'الخطة التدريبية المعتمدة'!A:J,10,FALSE),0)</f>
        <v>0</v>
      </c>
      <c r="H293" s="3"/>
      <c r="I293" s="3"/>
      <c r="J293" s="3"/>
      <c r="K293" s="7" t="str">
        <f>IF(OR(I293="",J293="",I293=0),"",(J293-I293)/I293)</f>
        <v/>
      </c>
      <c r="L293" s="3" t="str">
        <f>IF(J293="","",IF(J293/10&gt;='الإعدادات والمستهدفات'!B5,"ناجح ومستوفى","ضعيف - يلزم إعادة اختبار"))</f>
        <v/>
      </c>
      <c r="M293" s="3"/>
      <c r="N293" s="3"/>
    </row>
    <row r="294" spans="1:14" x14ac:dyDescent="0.2">
      <c r="A294" s="3" t="str">
        <f>IFERROR(VLOOKUP(B294,'جدول الجلسات التدريبية'!A:B,2,FALSE),"")</f>
        <v/>
      </c>
      <c r="B294" s="3"/>
      <c r="C294" s="3" t="str">
        <f>IFERROR(VLOOKUP(A294,'الخطة التدريبية المعتمدة'!A:C,3,FALSE),"")</f>
        <v/>
      </c>
      <c r="D294" s="3" t="str">
        <f>IFERROR(VLOOKUP(B294,'جدول الجلسات التدريبية'!A:D,4,FALSE),"")</f>
        <v/>
      </c>
      <c r="E294" s="3"/>
      <c r="F294" s="3" t="str">
        <f>IFERROR(VLOOKUP(E294,'سجل الموظفين والكفاءة'!B:C,2,FALSE),"")</f>
        <v/>
      </c>
      <c r="G294" s="3">
        <f>IFERROR(VLOOKUP(A294,'الخطة التدريبية المعتمدة'!A:J,10,FALSE),0)</f>
        <v>0</v>
      </c>
      <c r="H294" s="3"/>
      <c r="I294" s="3"/>
      <c r="J294" s="3"/>
      <c r="K294" s="7" t="str">
        <f>IF(OR(I294="",J294="",I294=0),"",(J294-I294)/I294)</f>
        <v/>
      </c>
      <c r="L294" s="3" t="str">
        <f>IF(J294="","",IF(J294/10&gt;='الإعدادات والمستهدفات'!B5,"ناجح ومستوفى","ضعيف - يلزم إعادة اختبار"))</f>
        <v/>
      </c>
      <c r="M294" s="3"/>
      <c r="N294" s="3"/>
    </row>
    <row r="295" spans="1:14" x14ac:dyDescent="0.2">
      <c r="A295" s="3" t="str">
        <f>IFERROR(VLOOKUP(B295,'جدول الجلسات التدريبية'!A:B,2,FALSE),"")</f>
        <v/>
      </c>
      <c r="B295" s="3"/>
      <c r="C295" s="3" t="str">
        <f>IFERROR(VLOOKUP(A295,'الخطة التدريبية المعتمدة'!A:C,3,FALSE),"")</f>
        <v/>
      </c>
      <c r="D295" s="3" t="str">
        <f>IFERROR(VLOOKUP(B295,'جدول الجلسات التدريبية'!A:D,4,FALSE),"")</f>
        <v/>
      </c>
      <c r="E295" s="3"/>
      <c r="F295" s="3" t="str">
        <f>IFERROR(VLOOKUP(E295,'سجل الموظفين والكفاءة'!B:C,2,FALSE),"")</f>
        <v/>
      </c>
      <c r="G295" s="3">
        <f>IFERROR(VLOOKUP(A295,'الخطة التدريبية المعتمدة'!A:J,10,FALSE),0)</f>
        <v>0</v>
      </c>
      <c r="H295" s="3"/>
      <c r="I295" s="3"/>
      <c r="J295" s="3"/>
      <c r="K295" s="7" t="str">
        <f>IF(OR(I295="",J295="",I295=0),"",(J295-I295)/I295)</f>
        <v/>
      </c>
      <c r="L295" s="3" t="str">
        <f>IF(J295="","",IF(J295/10&gt;='الإعدادات والمستهدفات'!B5,"ناجح ومستوفى","ضعيف - يلزم إعادة اختبار"))</f>
        <v/>
      </c>
      <c r="M295" s="3"/>
      <c r="N295" s="3"/>
    </row>
    <row r="296" spans="1:14" x14ac:dyDescent="0.2">
      <c r="A296" s="3" t="str">
        <f>IFERROR(VLOOKUP(B296,'جدول الجلسات التدريبية'!A:B,2,FALSE),"")</f>
        <v/>
      </c>
      <c r="B296" s="3"/>
      <c r="C296" s="3" t="str">
        <f>IFERROR(VLOOKUP(A296,'الخطة التدريبية المعتمدة'!A:C,3,FALSE),"")</f>
        <v/>
      </c>
      <c r="D296" s="3" t="str">
        <f>IFERROR(VLOOKUP(B296,'جدول الجلسات التدريبية'!A:D,4,FALSE),"")</f>
        <v/>
      </c>
      <c r="E296" s="3"/>
      <c r="F296" s="3" t="str">
        <f>IFERROR(VLOOKUP(E296,'سجل الموظفين والكفاءة'!B:C,2,FALSE),"")</f>
        <v/>
      </c>
      <c r="G296" s="3">
        <f>IFERROR(VLOOKUP(A296,'الخطة التدريبية المعتمدة'!A:J,10,FALSE),0)</f>
        <v>0</v>
      </c>
      <c r="H296" s="3"/>
      <c r="I296" s="3"/>
      <c r="J296" s="3"/>
      <c r="K296" s="7" t="str">
        <f>IF(OR(I296="",J296="",I296=0),"",(J296-I296)/I296)</f>
        <v/>
      </c>
      <c r="L296" s="3" t="str">
        <f>IF(J296="","",IF(J296/10&gt;='الإعدادات والمستهدفات'!B5,"ناجح ومستوفى","ضعيف - يلزم إعادة اختبار"))</f>
        <v/>
      </c>
      <c r="M296" s="3"/>
      <c r="N296" s="3"/>
    </row>
    <row r="297" spans="1:14" x14ac:dyDescent="0.2">
      <c r="A297" s="3" t="str">
        <f>IFERROR(VLOOKUP(B297,'جدول الجلسات التدريبية'!A:B,2,FALSE),"")</f>
        <v/>
      </c>
      <c r="B297" s="3"/>
      <c r="C297" s="3" t="str">
        <f>IFERROR(VLOOKUP(A297,'الخطة التدريبية المعتمدة'!A:C,3,FALSE),"")</f>
        <v/>
      </c>
      <c r="D297" s="3" t="str">
        <f>IFERROR(VLOOKUP(B297,'جدول الجلسات التدريبية'!A:D,4,FALSE),"")</f>
        <v/>
      </c>
      <c r="E297" s="3"/>
      <c r="F297" s="3" t="str">
        <f>IFERROR(VLOOKUP(E297,'سجل الموظفين والكفاءة'!B:C,2,FALSE),"")</f>
        <v/>
      </c>
      <c r="G297" s="3">
        <f>IFERROR(VLOOKUP(A297,'الخطة التدريبية المعتمدة'!A:J,10,FALSE),0)</f>
        <v>0</v>
      </c>
      <c r="H297" s="3"/>
      <c r="I297" s="3"/>
      <c r="J297" s="3"/>
      <c r="K297" s="7" t="str">
        <f>IF(OR(I297="",J297="",I297=0),"",(J297-I297)/I297)</f>
        <v/>
      </c>
      <c r="L297" s="3" t="str">
        <f>IF(J297="","",IF(J297/10&gt;='الإعدادات والمستهدفات'!B5,"ناجح ومستوفى","ضعيف - يلزم إعادة اختبار"))</f>
        <v/>
      </c>
      <c r="M297" s="3"/>
      <c r="N297" s="3"/>
    </row>
    <row r="298" spans="1:14" x14ac:dyDescent="0.2">
      <c r="A298" s="3" t="str">
        <f>IFERROR(VLOOKUP(B298,'جدول الجلسات التدريبية'!A:B,2,FALSE),"")</f>
        <v/>
      </c>
      <c r="B298" s="3"/>
      <c r="C298" s="3" t="str">
        <f>IFERROR(VLOOKUP(A298,'الخطة التدريبية المعتمدة'!A:C,3,FALSE),"")</f>
        <v/>
      </c>
      <c r="D298" s="3" t="str">
        <f>IFERROR(VLOOKUP(B298,'جدول الجلسات التدريبية'!A:D,4,FALSE),"")</f>
        <v/>
      </c>
      <c r="E298" s="3"/>
      <c r="F298" s="3" t="str">
        <f>IFERROR(VLOOKUP(E298,'سجل الموظفين والكفاءة'!B:C,2,FALSE),"")</f>
        <v/>
      </c>
      <c r="G298" s="3">
        <f>IFERROR(VLOOKUP(A298,'الخطة التدريبية المعتمدة'!A:J,10,FALSE),0)</f>
        <v>0</v>
      </c>
      <c r="H298" s="3"/>
      <c r="I298" s="3"/>
      <c r="J298" s="3"/>
      <c r="K298" s="7" t="str">
        <f>IF(OR(I298="",J298="",I298=0),"",(J298-I298)/I298)</f>
        <v/>
      </c>
      <c r="L298" s="3" t="str">
        <f>IF(J298="","",IF(J298/10&gt;='الإعدادات والمستهدفات'!B5,"ناجح ومستوفى","ضعيف - يلزم إعادة اختبار"))</f>
        <v/>
      </c>
      <c r="M298" s="3"/>
      <c r="N298" s="3"/>
    </row>
    <row r="299" spans="1:14" x14ac:dyDescent="0.2">
      <c r="A299" s="3" t="str">
        <f>IFERROR(VLOOKUP(B299,'جدول الجلسات التدريبية'!A:B,2,FALSE),"")</f>
        <v/>
      </c>
      <c r="B299" s="3"/>
      <c r="C299" s="3" t="str">
        <f>IFERROR(VLOOKUP(A299,'الخطة التدريبية المعتمدة'!A:C,3,FALSE),"")</f>
        <v/>
      </c>
      <c r="D299" s="3" t="str">
        <f>IFERROR(VLOOKUP(B299,'جدول الجلسات التدريبية'!A:D,4,FALSE),"")</f>
        <v/>
      </c>
      <c r="E299" s="3"/>
      <c r="F299" s="3" t="str">
        <f>IFERROR(VLOOKUP(E299,'سجل الموظفين والكفاءة'!B:C,2,FALSE),"")</f>
        <v/>
      </c>
      <c r="G299" s="3">
        <f>IFERROR(VLOOKUP(A299,'الخطة التدريبية المعتمدة'!A:J,10,FALSE),0)</f>
        <v>0</v>
      </c>
      <c r="H299" s="3"/>
      <c r="I299" s="3"/>
      <c r="J299" s="3"/>
      <c r="K299" s="7" t="str">
        <f>IF(OR(I299="",J299="",I299=0),"",(J299-I299)/I299)</f>
        <v/>
      </c>
      <c r="L299" s="3" t="str">
        <f>IF(J299="","",IF(J299/10&gt;='الإعدادات والمستهدفات'!B5,"ناجح ومستوفى","ضعيف - يلزم إعادة اختبار"))</f>
        <v/>
      </c>
      <c r="M299" s="3"/>
      <c r="N299" s="3"/>
    </row>
    <row r="300" spans="1:14" x14ac:dyDescent="0.2">
      <c r="A300" s="3" t="str">
        <f>IFERROR(VLOOKUP(B300,'جدول الجلسات التدريبية'!A:B,2,FALSE),"")</f>
        <v/>
      </c>
      <c r="B300" s="3"/>
      <c r="C300" s="3" t="str">
        <f>IFERROR(VLOOKUP(A300,'الخطة التدريبية المعتمدة'!A:C,3,FALSE),"")</f>
        <v/>
      </c>
      <c r="D300" s="3" t="str">
        <f>IFERROR(VLOOKUP(B300,'جدول الجلسات التدريبية'!A:D,4,FALSE),"")</f>
        <v/>
      </c>
      <c r="E300" s="3"/>
      <c r="F300" s="3" t="str">
        <f>IFERROR(VLOOKUP(E300,'سجل الموظفين والكفاءة'!B:C,2,FALSE),"")</f>
        <v/>
      </c>
      <c r="G300" s="3">
        <f>IFERROR(VLOOKUP(A300,'الخطة التدريبية المعتمدة'!A:J,10,FALSE),0)</f>
        <v>0</v>
      </c>
      <c r="H300" s="3"/>
      <c r="I300" s="3"/>
      <c r="J300" s="3"/>
      <c r="K300" s="7" t="str">
        <f>IF(OR(I300="",J300="",I300=0),"",(J300-I300)/I300)</f>
        <v/>
      </c>
      <c r="L300" s="3" t="str">
        <f>IF(J300="","",IF(J300/10&gt;='الإعدادات والمستهدفات'!B5,"ناجح ومستوفى","ضعيف - يلزم إعادة اختبار"))</f>
        <v/>
      </c>
      <c r="M300" s="3"/>
      <c r="N300" s="3"/>
    </row>
    <row r="301" spans="1:14" x14ac:dyDescent="0.2">
      <c r="A301" s="3" t="str">
        <f>IFERROR(VLOOKUP(B301,'جدول الجلسات التدريبية'!A:B,2,FALSE),"")</f>
        <v/>
      </c>
      <c r="B301" s="3"/>
      <c r="C301" s="3" t="str">
        <f>IFERROR(VLOOKUP(A301,'الخطة التدريبية المعتمدة'!A:C,3,FALSE),"")</f>
        <v/>
      </c>
      <c r="D301" s="3" t="str">
        <f>IFERROR(VLOOKUP(B301,'جدول الجلسات التدريبية'!A:D,4,FALSE),"")</f>
        <v/>
      </c>
      <c r="E301" s="3"/>
      <c r="F301" s="3" t="str">
        <f>IFERROR(VLOOKUP(E301,'سجل الموظفين والكفاءة'!B:C,2,FALSE),"")</f>
        <v/>
      </c>
      <c r="G301" s="3">
        <f>IFERROR(VLOOKUP(A301,'الخطة التدريبية المعتمدة'!A:J,10,FALSE),0)</f>
        <v>0</v>
      </c>
      <c r="H301" s="3"/>
      <c r="I301" s="3"/>
      <c r="J301" s="3"/>
      <c r="K301" s="7" t="str">
        <f>IF(OR(I301="",J301="",I301=0),"",(J301-I301)/I301)</f>
        <v/>
      </c>
      <c r="L301" s="3" t="str">
        <f>IF(J301="","",IF(J301/10&gt;='الإعدادات والمستهدفات'!B5,"ناجح ومستوفى","ضعيف - يلزم إعادة اختبار"))</f>
        <v/>
      </c>
      <c r="M301" s="3"/>
      <c r="N301" s="3"/>
    </row>
    <row r="302" spans="1:14" x14ac:dyDescent="0.2">
      <c r="A302" s="3" t="str">
        <f>IFERROR(VLOOKUP(B302,'جدول الجلسات التدريبية'!A:B,2,FALSE),"")</f>
        <v/>
      </c>
      <c r="B302" s="3"/>
      <c r="C302" s="3" t="str">
        <f>IFERROR(VLOOKUP(A302,'الخطة التدريبية المعتمدة'!A:C,3,FALSE),"")</f>
        <v/>
      </c>
      <c r="D302" s="3" t="str">
        <f>IFERROR(VLOOKUP(B302,'جدول الجلسات التدريبية'!A:D,4,FALSE),"")</f>
        <v/>
      </c>
      <c r="E302" s="3"/>
      <c r="F302" s="3" t="str">
        <f>IFERROR(VLOOKUP(E302,'سجل الموظفين والكفاءة'!B:C,2,FALSE),"")</f>
        <v/>
      </c>
      <c r="G302" s="3">
        <f>IFERROR(VLOOKUP(A302,'الخطة التدريبية المعتمدة'!A:J,10,FALSE),0)</f>
        <v>0</v>
      </c>
      <c r="H302" s="3"/>
      <c r="I302" s="3"/>
      <c r="J302" s="3"/>
      <c r="K302" s="7" t="str">
        <f>IF(OR(I302="",J302="",I302=0),"",(J302-I302)/I302)</f>
        <v/>
      </c>
      <c r="L302" s="3" t="str">
        <f>IF(J302="","",IF(J302/10&gt;='الإعدادات والمستهدفات'!B5,"ناجح ومستوفى","ضعيف - يلزم إعادة اختبار"))</f>
        <v/>
      </c>
      <c r="M302" s="3"/>
      <c r="N302" s="3"/>
    </row>
    <row r="303" spans="1:14" x14ac:dyDescent="0.2">
      <c r="A303" s="3" t="str">
        <f>IFERROR(VLOOKUP(B303,'جدول الجلسات التدريبية'!A:B,2,FALSE),"")</f>
        <v/>
      </c>
      <c r="B303" s="3"/>
      <c r="C303" s="3" t="str">
        <f>IFERROR(VLOOKUP(A303,'الخطة التدريبية المعتمدة'!A:C,3,FALSE),"")</f>
        <v/>
      </c>
      <c r="D303" s="3" t="str">
        <f>IFERROR(VLOOKUP(B303,'جدول الجلسات التدريبية'!A:D,4,FALSE),"")</f>
        <v/>
      </c>
      <c r="E303" s="3"/>
      <c r="F303" s="3" t="str">
        <f>IFERROR(VLOOKUP(E303,'سجل الموظفين والكفاءة'!B:C,2,FALSE),"")</f>
        <v/>
      </c>
      <c r="G303" s="3">
        <f>IFERROR(VLOOKUP(A303,'الخطة التدريبية المعتمدة'!A:J,10,FALSE),0)</f>
        <v>0</v>
      </c>
      <c r="H303" s="3"/>
      <c r="I303" s="3"/>
      <c r="J303" s="3"/>
      <c r="K303" s="7" t="str">
        <f>IF(OR(I303="",J303="",I303=0),"",(J303-I303)/I303)</f>
        <v/>
      </c>
      <c r="L303" s="3" t="str">
        <f>IF(J303="","",IF(J303/10&gt;='الإعدادات والمستهدفات'!B5,"ناجح ومستوفى","ضعيف - يلزم إعادة اختبار"))</f>
        <v/>
      </c>
      <c r="M303" s="3"/>
      <c r="N303" s="3"/>
    </row>
    <row r="304" spans="1:14" x14ac:dyDescent="0.2">
      <c r="A304" s="3" t="str">
        <f>IFERROR(VLOOKUP(B304,'جدول الجلسات التدريبية'!A:B,2,FALSE),"")</f>
        <v/>
      </c>
      <c r="B304" s="3"/>
      <c r="C304" s="3" t="str">
        <f>IFERROR(VLOOKUP(A304,'الخطة التدريبية المعتمدة'!A:C,3,FALSE),"")</f>
        <v/>
      </c>
      <c r="D304" s="3" t="str">
        <f>IFERROR(VLOOKUP(B304,'جدول الجلسات التدريبية'!A:D,4,FALSE),"")</f>
        <v/>
      </c>
      <c r="E304" s="3"/>
      <c r="F304" s="3" t="str">
        <f>IFERROR(VLOOKUP(E304,'سجل الموظفين والكفاءة'!B:C,2,FALSE),"")</f>
        <v/>
      </c>
      <c r="G304" s="3">
        <f>IFERROR(VLOOKUP(A304,'الخطة التدريبية المعتمدة'!A:J,10,FALSE),0)</f>
        <v>0</v>
      </c>
      <c r="H304" s="3"/>
      <c r="I304" s="3"/>
      <c r="J304" s="3"/>
      <c r="K304" s="7" t="str">
        <f>IF(OR(I304="",J304="",I304=0),"",(J304-I304)/I304)</f>
        <v/>
      </c>
      <c r="L304" s="3" t="str">
        <f>IF(J304="","",IF(J304/10&gt;='الإعدادات والمستهدفات'!B5,"ناجح ومستوفى","ضعيف - يلزم إعادة اختبار"))</f>
        <v/>
      </c>
      <c r="M304" s="3"/>
      <c r="N304" s="3"/>
    </row>
    <row r="305" spans="1:14" x14ac:dyDescent="0.2">
      <c r="A305" s="3" t="str">
        <f>IFERROR(VLOOKUP(B305,'جدول الجلسات التدريبية'!A:B,2,FALSE),"")</f>
        <v/>
      </c>
      <c r="B305" s="3"/>
      <c r="C305" s="3" t="str">
        <f>IFERROR(VLOOKUP(A305,'الخطة التدريبية المعتمدة'!A:C,3,FALSE),"")</f>
        <v/>
      </c>
      <c r="D305" s="3" t="str">
        <f>IFERROR(VLOOKUP(B305,'جدول الجلسات التدريبية'!A:D,4,FALSE),"")</f>
        <v/>
      </c>
      <c r="E305" s="3"/>
      <c r="F305" s="3" t="str">
        <f>IFERROR(VLOOKUP(E305,'سجل الموظفين والكفاءة'!B:C,2,FALSE),"")</f>
        <v/>
      </c>
      <c r="G305" s="3">
        <f>IFERROR(VLOOKUP(A305,'الخطة التدريبية المعتمدة'!A:J,10,FALSE),0)</f>
        <v>0</v>
      </c>
      <c r="H305" s="3"/>
      <c r="I305" s="3"/>
      <c r="J305" s="3"/>
      <c r="K305" s="7" t="str">
        <f>IF(OR(I305="",J305="",I305=0),"",(J305-I305)/I305)</f>
        <v/>
      </c>
      <c r="L305" s="3" t="str">
        <f>IF(J305="","",IF(J305/10&gt;='الإعدادات والمستهدفات'!B5,"ناجح ومستوفى","ضعيف - يلزم إعادة اختبار"))</f>
        <v/>
      </c>
      <c r="M305" s="3"/>
      <c r="N305" s="3"/>
    </row>
    <row r="306" spans="1:14" x14ac:dyDescent="0.2">
      <c r="A306" s="3" t="str">
        <f>IFERROR(VLOOKUP(B306,'جدول الجلسات التدريبية'!A:B,2,FALSE),"")</f>
        <v/>
      </c>
      <c r="B306" s="3"/>
      <c r="C306" s="3" t="str">
        <f>IFERROR(VLOOKUP(A306,'الخطة التدريبية المعتمدة'!A:C,3,FALSE),"")</f>
        <v/>
      </c>
      <c r="D306" s="3" t="str">
        <f>IFERROR(VLOOKUP(B306,'جدول الجلسات التدريبية'!A:D,4,FALSE),"")</f>
        <v/>
      </c>
      <c r="E306" s="3"/>
      <c r="F306" s="3" t="str">
        <f>IFERROR(VLOOKUP(E306,'سجل الموظفين والكفاءة'!B:C,2,FALSE),"")</f>
        <v/>
      </c>
      <c r="G306" s="3">
        <f>IFERROR(VLOOKUP(A306,'الخطة التدريبية المعتمدة'!A:J,10,FALSE),0)</f>
        <v>0</v>
      </c>
      <c r="H306" s="3"/>
      <c r="I306" s="3"/>
      <c r="J306" s="3"/>
      <c r="K306" s="7" t="str">
        <f>IF(OR(I306="",J306="",I306=0),"",(J306-I306)/I306)</f>
        <v/>
      </c>
      <c r="L306" s="3" t="str">
        <f>IF(J306="","",IF(J306/10&gt;='الإعدادات والمستهدفات'!B5,"ناجح ومستوفى","ضعيف - يلزم إعادة اختبار"))</f>
        <v/>
      </c>
      <c r="M306" s="3"/>
      <c r="N306" s="3"/>
    </row>
    <row r="307" spans="1:14" x14ac:dyDescent="0.2">
      <c r="A307" s="3" t="str">
        <f>IFERROR(VLOOKUP(B307,'جدول الجلسات التدريبية'!A:B,2,FALSE),"")</f>
        <v/>
      </c>
      <c r="B307" s="3"/>
      <c r="C307" s="3" t="str">
        <f>IFERROR(VLOOKUP(A307,'الخطة التدريبية المعتمدة'!A:C,3,FALSE),"")</f>
        <v/>
      </c>
      <c r="D307" s="3" t="str">
        <f>IFERROR(VLOOKUP(B307,'جدول الجلسات التدريبية'!A:D,4,FALSE),"")</f>
        <v/>
      </c>
      <c r="E307" s="3"/>
      <c r="F307" s="3" t="str">
        <f>IFERROR(VLOOKUP(E307,'سجل الموظفين والكفاءة'!B:C,2,FALSE),"")</f>
        <v/>
      </c>
      <c r="G307" s="3">
        <f>IFERROR(VLOOKUP(A307,'الخطة التدريبية المعتمدة'!A:J,10,FALSE),0)</f>
        <v>0</v>
      </c>
      <c r="H307" s="3"/>
      <c r="I307" s="3"/>
      <c r="J307" s="3"/>
      <c r="K307" s="7" t="str">
        <f>IF(OR(I307="",J307="",I307=0),"",(J307-I307)/I307)</f>
        <v/>
      </c>
      <c r="L307" s="3" t="str">
        <f>IF(J307="","",IF(J307/10&gt;='الإعدادات والمستهدفات'!B5,"ناجح ومستوفى","ضعيف - يلزم إعادة اختبار"))</f>
        <v/>
      </c>
      <c r="M307" s="3"/>
      <c r="N307" s="3"/>
    </row>
    <row r="308" spans="1:14" x14ac:dyDescent="0.2">
      <c r="A308" s="3" t="str">
        <f>IFERROR(VLOOKUP(B308,'جدول الجلسات التدريبية'!A:B,2,FALSE),"")</f>
        <v/>
      </c>
      <c r="B308" s="3"/>
      <c r="C308" s="3" t="str">
        <f>IFERROR(VLOOKUP(A308,'الخطة التدريبية المعتمدة'!A:C,3,FALSE),"")</f>
        <v/>
      </c>
      <c r="D308" s="3" t="str">
        <f>IFERROR(VLOOKUP(B308,'جدول الجلسات التدريبية'!A:D,4,FALSE),"")</f>
        <v/>
      </c>
      <c r="E308" s="3"/>
      <c r="F308" s="3" t="str">
        <f>IFERROR(VLOOKUP(E308,'سجل الموظفين والكفاءة'!B:C,2,FALSE),"")</f>
        <v/>
      </c>
      <c r="G308" s="3">
        <f>IFERROR(VLOOKUP(A308,'الخطة التدريبية المعتمدة'!A:J,10,FALSE),0)</f>
        <v>0</v>
      </c>
      <c r="H308" s="3"/>
      <c r="I308" s="3"/>
      <c r="J308" s="3"/>
      <c r="K308" s="7" t="str">
        <f>IF(OR(I308="",J308="",I308=0),"",(J308-I308)/I308)</f>
        <v/>
      </c>
      <c r="L308" s="3" t="str">
        <f>IF(J308="","",IF(J308/10&gt;='الإعدادات والمستهدفات'!B5,"ناجح ومستوفى","ضعيف - يلزم إعادة اختبار"))</f>
        <v/>
      </c>
      <c r="M308" s="3"/>
      <c r="N308" s="3"/>
    </row>
    <row r="309" spans="1:14" x14ac:dyDescent="0.2">
      <c r="A309" s="3" t="str">
        <f>IFERROR(VLOOKUP(B309,'جدول الجلسات التدريبية'!A:B,2,FALSE),"")</f>
        <v/>
      </c>
      <c r="B309" s="3"/>
      <c r="C309" s="3" t="str">
        <f>IFERROR(VLOOKUP(A309,'الخطة التدريبية المعتمدة'!A:C,3,FALSE),"")</f>
        <v/>
      </c>
      <c r="D309" s="3" t="str">
        <f>IFERROR(VLOOKUP(B309,'جدول الجلسات التدريبية'!A:D,4,FALSE),"")</f>
        <v/>
      </c>
      <c r="E309" s="3"/>
      <c r="F309" s="3" t="str">
        <f>IFERROR(VLOOKUP(E309,'سجل الموظفين والكفاءة'!B:C,2,FALSE),"")</f>
        <v/>
      </c>
      <c r="G309" s="3">
        <f>IFERROR(VLOOKUP(A309,'الخطة التدريبية المعتمدة'!A:J,10,FALSE),0)</f>
        <v>0</v>
      </c>
      <c r="H309" s="3"/>
      <c r="I309" s="3"/>
      <c r="J309" s="3"/>
      <c r="K309" s="7" t="str">
        <f>IF(OR(I309="",J309="",I309=0),"",(J309-I309)/I309)</f>
        <v/>
      </c>
      <c r="L309" s="3" t="str">
        <f>IF(J309="","",IF(J309/10&gt;='الإعدادات والمستهدفات'!B5,"ناجح ومستوفى","ضعيف - يلزم إعادة اختبار"))</f>
        <v/>
      </c>
      <c r="M309" s="3"/>
      <c r="N309" s="3"/>
    </row>
    <row r="310" spans="1:14" x14ac:dyDescent="0.2">
      <c r="A310" s="3" t="str">
        <f>IFERROR(VLOOKUP(B310,'جدول الجلسات التدريبية'!A:B,2,FALSE),"")</f>
        <v/>
      </c>
      <c r="B310" s="3"/>
      <c r="C310" s="3" t="str">
        <f>IFERROR(VLOOKUP(A310,'الخطة التدريبية المعتمدة'!A:C,3,FALSE),"")</f>
        <v/>
      </c>
      <c r="D310" s="3" t="str">
        <f>IFERROR(VLOOKUP(B310,'جدول الجلسات التدريبية'!A:D,4,FALSE),"")</f>
        <v/>
      </c>
      <c r="E310" s="3"/>
      <c r="F310" s="3" t="str">
        <f>IFERROR(VLOOKUP(E310,'سجل الموظفين والكفاءة'!B:C,2,FALSE),"")</f>
        <v/>
      </c>
      <c r="G310" s="3">
        <f>IFERROR(VLOOKUP(A310,'الخطة التدريبية المعتمدة'!A:J,10,FALSE),0)</f>
        <v>0</v>
      </c>
      <c r="H310" s="3"/>
      <c r="I310" s="3"/>
      <c r="J310" s="3"/>
      <c r="K310" s="7" t="str">
        <f>IF(OR(I310="",J310="",I310=0),"",(J310-I310)/I310)</f>
        <v/>
      </c>
      <c r="L310" s="3" t="str">
        <f>IF(J310="","",IF(J310/10&gt;='الإعدادات والمستهدفات'!B5,"ناجح ومستوفى","ضعيف - يلزم إعادة اختبار"))</f>
        <v/>
      </c>
      <c r="M310" s="3"/>
      <c r="N310" s="3"/>
    </row>
    <row r="311" spans="1:14" x14ac:dyDescent="0.2">
      <c r="A311" s="3" t="str">
        <f>IFERROR(VLOOKUP(B311,'جدول الجلسات التدريبية'!A:B,2,FALSE),"")</f>
        <v/>
      </c>
      <c r="B311" s="3"/>
      <c r="C311" s="3" t="str">
        <f>IFERROR(VLOOKUP(A311,'الخطة التدريبية المعتمدة'!A:C,3,FALSE),"")</f>
        <v/>
      </c>
      <c r="D311" s="3" t="str">
        <f>IFERROR(VLOOKUP(B311,'جدول الجلسات التدريبية'!A:D,4,FALSE),"")</f>
        <v/>
      </c>
      <c r="E311" s="3"/>
      <c r="F311" s="3" t="str">
        <f>IFERROR(VLOOKUP(E311,'سجل الموظفين والكفاءة'!B:C,2,FALSE),"")</f>
        <v/>
      </c>
      <c r="G311" s="3">
        <f>IFERROR(VLOOKUP(A311,'الخطة التدريبية المعتمدة'!A:J,10,FALSE),0)</f>
        <v>0</v>
      </c>
      <c r="H311" s="3"/>
      <c r="I311" s="3"/>
      <c r="J311" s="3"/>
      <c r="K311" s="7" t="str">
        <f>IF(OR(I311="",J311="",I311=0),"",(J311-I311)/I311)</f>
        <v/>
      </c>
      <c r="L311" s="3" t="str">
        <f>IF(J311="","",IF(J311/10&gt;='الإعدادات والمستهدفات'!B5,"ناجح ومستوفى","ضعيف - يلزم إعادة اختبار"))</f>
        <v/>
      </c>
      <c r="M311" s="3"/>
      <c r="N311" s="3"/>
    </row>
    <row r="312" spans="1:14" x14ac:dyDescent="0.2">
      <c r="A312" s="3" t="str">
        <f>IFERROR(VLOOKUP(B312,'جدول الجلسات التدريبية'!A:B,2,FALSE),"")</f>
        <v/>
      </c>
      <c r="B312" s="3"/>
      <c r="C312" s="3" t="str">
        <f>IFERROR(VLOOKUP(A312,'الخطة التدريبية المعتمدة'!A:C,3,FALSE),"")</f>
        <v/>
      </c>
      <c r="D312" s="3" t="str">
        <f>IFERROR(VLOOKUP(B312,'جدول الجلسات التدريبية'!A:D,4,FALSE),"")</f>
        <v/>
      </c>
      <c r="E312" s="3"/>
      <c r="F312" s="3" t="str">
        <f>IFERROR(VLOOKUP(E312,'سجل الموظفين والكفاءة'!B:C,2,FALSE),"")</f>
        <v/>
      </c>
      <c r="G312" s="3">
        <f>IFERROR(VLOOKUP(A312,'الخطة التدريبية المعتمدة'!A:J,10,FALSE),0)</f>
        <v>0</v>
      </c>
      <c r="H312" s="3"/>
      <c r="I312" s="3"/>
      <c r="J312" s="3"/>
      <c r="K312" s="7" t="str">
        <f>IF(OR(I312="",J312="",I312=0),"",(J312-I312)/I312)</f>
        <v/>
      </c>
      <c r="L312" s="3" t="str">
        <f>IF(J312="","",IF(J312/10&gt;='الإعدادات والمستهدفات'!B5,"ناجح ومستوفى","ضعيف - يلزم إعادة اختبار"))</f>
        <v/>
      </c>
      <c r="M312" s="3"/>
      <c r="N312" s="3"/>
    </row>
    <row r="313" spans="1:14" x14ac:dyDescent="0.2">
      <c r="A313" s="3" t="str">
        <f>IFERROR(VLOOKUP(B313,'جدول الجلسات التدريبية'!A:B,2,FALSE),"")</f>
        <v/>
      </c>
      <c r="B313" s="3"/>
      <c r="C313" s="3" t="str">
        <f>IFERROR(VLOOKUP(A313,'الخطة التدريبية المعتمدة'!A:C,3,FALSE),"")</f>
        <v/>
      </c>
      <c r="D313" s="3" t="str">
        <f>IFERROR(VLOOKUP(B313,'جدول الجلسات التدريبية'!A:D,4,FALSE),"")</f>
        <v/>
      </c>
      <c r="E313" s="3"/>
      <c r="F313" s="3" t="str">
        <f>IFERROR(VLOOKUP(E313,'سجل الموظفين والكفاءة'!B:C,2,FALSE),"")</f>
        <v/>
      </c>
      <c r="G313" s="3">
        <f>IFERROR(VLOOKUP(A313,'الخطة التدريبية المعتمدة'!A:J,10,FALSE),0)</f>
        <v>0</v>
      </c>
      <c r="H313" s="3"/>
      <c r="I313" s="3"/>
      <c r="J313" s="3"/>
      <c r="K313" s="7" t="str">
        <f>IF(OR(I313="",J313="",I313=0),"",(J313-I313)/I313)</f>
        <v/>
      </c>
      <c r="L313" s="3" t="str">
        <f>IF(J313="","",IF(J313/10&gt;='الإعدادات والمستهدفات'!B5,"ناجح ومستوفى","ضعيف - يلزم إعادة اختبار"))</f>
        <v/>
      </c>
      <c r="M313" s="3"/>
      <c r="N313" s="3"/>
    </row>
    <row r="314" spans="1:14" x14ac:dyDescent="0.2">
      <c r="A314" s="3" t="str">
        <f>IFERROR(VLOOKUP(B314,'جدول الجلسات التدريبية'!A:B,2,FALSE),"")</f>
        <v/>
      </c>
      <c r="B314" s="3"/>
      <c r="C314" s="3" t="str">
        <f>IFERROR(VLOOKUP(A314,'الخطة التدريبية المعتمدة'!A:C,3,FALSE),"")</f>
        <v/>
      </c>
      <c r="D314" s="3" t="str">
        <f>IFERROR(VLOOKUP(B314,'جدول الجلسات التدريبية'!A:D,4,FALSE),"")</f>
        <v/>
      </c>
      <c r="E314" s="3"/>
      <c r="F314" s="3" t="str">
        <f>IFERROR(VLOOKUP(E314,'سجل الموظفين والكفاءة'!B:C,2,FALSE),"")</f>
        <v/>
      </c>
      <c r="G314" s="3">
        <f>IFERROR(VLOOKUP(A314,'الخطة التدريبية المعتمدة'!A:J,10,FALSE),0)</f>
        <v>0</v>
      </c>
      <c r="H314" s="3"/>
      <c r="I314" s="3"/>
      <c r="J314" s="3"/>
      <c r="K314" s="7" t="str">
        <f>IF(OR(I314="",J314="",I314=0),"",(J314-I314)/I314)</f>
        <v/>
      </c>
      <c r="L314" s="3" t="str">
        <f>IF(J314="","",IF(J314/10&gt;='الإعدادات والمستهدفات'!B5,"ناجح ومستوفى","ضعيف - يلزم إعادة اختبار"))</f>
        <v/>
      </c>
      <c r="M314" s="3"/>
      <c r="N314" s="3"/>
    </row>
    <row r="315" spans="1:14" x14ac:dyDescent="0.2">
      <c r="A315" s="3" t="str">
        <f>IFERROR(VLOOKUP(B315,'جدول الجلسات التدريبية'!A:B,2,FALSE),"")</f>
        <v/>
      </c>
      <c r="B315" s="3"/>
      <c r="C315" s="3" t="str">
        <f>IFERROR(VLOOKUP(A315,'الخطة التدريبية المعتمدة'!A:C,3,FALSE),"")</f>
        <v/>
      </c>
      <c r="D315" s="3" t="str">
        <f>IFERROR(VLOOKUP(B315,'جدول الجلسات التدريبية'!A:D,4,FALSE),"")</f>
        <v/>
      </c>
      <c r="E315" s="3"/>
      <c r="F315" s="3" t="str">
        <f>IFERROR(VLOOKUP(E315,'سجل الموظفين والكفاءة'!B:C,2,FALSE),"")</f>
        <v/>
      </c>
      <c r="G315" s="3">
        <f>IFERROR(VLOOKUP(A315,'الخطة التدريبية المعتمدة'!A:J,10,FALSE),0)</f>
        <v>0</v>
      </c>
      <c r="H315" s="3"/>
      <c r="I315" s="3"/>
      <c r="J315" s="3"/>
      <c r="K315" s="7" t="str">
        <f>IF(OR(I315="",J315="",I315=0),"",(J315-I315)/I315)</f>
        <v/>
      </c>
      <c r="L315" s="3" t="str">
        <f>IF(J315="","",IF(J315/10&gt;='الإعدادات والمستهدفات'!B5,"ناجح ومستوفى","ضعيف - يلزم إعادة اختبار"))</f>
        <v/>
      </c>
      <c r="M315" s="3"/>
      <c r="N315" s="3"/>
    </row>
    <row r="316" spans="1:14" x14ac:dyDescent="0.2">
      <c r="A316" s="3" t="str">
        <f>IFERROR(VLOOKUP(B316,'جدول الجلسات التدريبية'!A:B,2,FALSE),"")</f>
        <v/>
      </c>
      <c r="B316" s="3"/>
      <c r="C316" s="3" t="str">
        <f>IFERROR(VLOOKUP(A316,'الخطة التدريبية المعتمدة'!A:C,3,FALSE),"")</f>
        <v/>
      </c>
      <c r="D316" s="3" t="str">
        <f>IFERROR(VLOOKUP(B316,'جدول الجلسات التدريبية'!A:D,4,FALSE),"")</f>
        <v/>
      </c>
      <c r="E316" s="3"/>
      <c r="F316" s="3" t="str">
        <f>IFERROR(VLOOKUP(E316,'سجل الموظفين والكفاءة'!B:C,2,FALSE),"")</f>
        <v/>
      </c>
      <c r="G316" s="3">
        <f>IFERROR(VLOOKUP(A316,'الخطة التدريبية المعتمدة'!A:J,10,FALSE),0)</f>
        <v>0</v>
      </c>
      <c r="H316" s="3"/>
      <c r="I316" s="3"/>
      <c r="J316" s="3"/>
      <c r="K316" s="7" t="str">
        <f>IF(OR(I316="",J316="",I316=0),"",(J316-I316)/I316)</f>
        <v/>
      </c>
      <c r="L316" s="3" t="str">
        <f>IF(J316="","",IF(J316/10&gt;='الإعدادات والمستهدفات'!B5,"ناجح ومستوفى","ضعيف - يلزم إعادة اختبار"))</f>
        <v/>
      </c>
      <c r="M316" s="3"/>
      <c r="N316" s="3"/>
    </row>
    <row r="317" spans="1:14" x14ac:dyDescent="0.2">
      <c r="A317" s="3" t="str">
        <f>IFERROR(VLOOKUP(B317,'جدول الجلسات التدريبية'!A:B,2,FALSE),"")</f>
        <v/>
      </c>
      <c r="B317" s="3"/>
      <c r="C317" s="3" t="str">
        <f>IFERROR(VLOOKUP(A317,'الخطة التدريبية المعتمدة'!A:C,3,FALSE),"")</f>
        <v/>
      </c>
      <c r="D317" s="3" t="str">
        <f>IFERROR(VLOOKUP(B317,'جدول الجلسات التدريبية'!A:D,4,FALSE),"")</f>
        <v/>
      </c>
      <c r="E317" s="3"/>
      <c r="F317" s="3" t="str">
        <f>IFERROR(VLOOKUP(E317,'سجل الموظفين والكفاءة'!B:C,2,FALSE),"")</f>
        <v/>
      </c>
      <c r="G317" s="3">
        <f>IFERROR(VLOOKUP(A317,'الخطة التدريبية المعتمدة'!A:J,10,FALSE),0)</f>
        <v>0</v>
      </c>
      <c r="H317" s="3"/>
      <c r="I317" s="3"/>
      <c r="J317" s="3"/>
      <c r="K317" s="7" t="str">
        <f>IF(OR(I317="",J317="",I317=0),"",(J317-I317)/I317)</f>
        <v/>
      </c>
      <c r="L317" s="3" t="str">
        <f>IF(J317="","",IF(J317/10&gt;='الإعدادات والمستهدفات'!B5,"ناجح ومستوفى","ضعيف - يلزم إعادة اختبار"))</f>
        <v/>
      </c>
      <c r="M317" s="3"/>
      <c r="N317" s="3"/>
    </row>
    <row r="318" spans="1:14" x14ac:dyDescent="0.2">
      <c r="A318" s="3" t="str">
        <f>IFERROR(VLOOKUP(B318,'جدول الجلسات التدريبية'!A:B,2,FALSE),"")</f>
        <v/>
      </c>
      <c r="B318" s="3"/>
      <c r="C318" s="3" t="str">
        <f>IFERROR(VLOOKUP(A318,'الخطة التدريبية المعتمدة'!A:C,3,FALSE),"")</f>
        <v/>
      </c>
      <c r="D318" s="3" t="str">
        <f>IFERROR(VLOOKUP(B318,'جدول الجلسات التدريبية'!A:D,4,FALSE),"")</f>
        <v/>
      </c>
      <c r="E318" s="3"/>
      <c r="F318" s="3" t="str">
        <f>IFERROR(VLOOKUP(E318,'سجل الموظفين والكفاءة'!B:C,2,FALSE),"")</f>
        <v/>
      </c>
      <c r="G318" s="3">
        <f>IFERROR(VLOOKUP(A318,'الخطة التدريبية المعتمدة'!A:J,10,FALSE),0)</f>
        <v>0</v>
      </c>
      <c r="H318" s="3"/>
      <c r="I318" s="3"/>
      <c r="J318" s="3"/>
      <c r="K318" s="7" t="str">
        <f>IF(OR(I318="",J318="",I318=0),"",(J318-I318)/I318)</f>
        <v/>
      </c>
      <c r="L318" s="3" t="str">
        <f>IF(J318="","",IF(J318/10&gt;='الإعدادات والمستهدفات'!B5,"ناجح ومستوفى","ضعيف - يلزم إعادة اختبار"))</f>
        <v/>
      </c>
      <c r="M318" s="3"/>
      <c r="N318" s="3"/>
    </row>
    <row r="319" spans="1:14" x14ac:dyDescent="0.2">
      <c r="A319" s="3" t="str">
        <f>IFERROR(VLOOKUP(B319,'جدول الجلسات التدريبية'!A:B,2,FALSE),"")</f>
        <v/>
      </c>
      <c r="B319" s="3"/>
      <c r="C319" s="3" t="str">
        <f>IFERROR(VLOOKUP(A319,'الخطة التدريبية المعتمدة'!A:C,3,FALSE),"")</f>
        <v/>
      </c>
      <c r="D319" s="3" t="str">
        <f>IFERROR(VLOOKUP(B319,'جدول الجلسات التدريبية'!A:D,4,FALSE),"")</f>
        <v/>
      </c>
      <c r="E319" s="3"/>
      <c r="F319" s="3" t="str">
        <f>IFERROR(VLOOKUP(E319,'سجل الموظفين والكفاءة'!B:C,2,FALSE),"")</f>
        <v/>
      </c>
      <c r="G319" s="3">
        <f>IFERROR(VLOOKUP(A319,'الخطة التدريبية المعتمدة'!A:J,10,FALSE),0)</f>
        <v>0</v>
      </c>
      <c r="H319" s="3"/>
      <c r="I319" s="3"/>
      <c r="J319" s="3"/>
      <c r="K319" s="7" t="str">
        <f>IF(OR(I319="",J319="",I319=0),"",(J319-I319)/I319)</f>
        <v/>
      </c>
      <c r="L319" s="3" t="str">
        <f>IF(J319="","",IF(J319/10&gt;='الإعدادات والمستهدفات'!B5,"ناجح ومستوفى","ضعيف - يلزم إعادة اختبار"))</f>
        <v/>
      </c>
      <c r="M319" s="3"/>
      <c r="N319" s="3"/>
    </row>
    <row r="320" spans="1:14" x14ac:dyDescent="0.2">
      <c r="A320" s="3" t="str">
        <f>IFERROR(VLOOKUP(B320,'جدول الجلسات التدريبية'!A:B,2,FALSE),"")</f>
        <v/>
      </c>
      <c r="B320" s="3"/>
      <c r="C320" s="3" t="str">
        <f>IFERROR(VLOOKUP(A320,'الخطة التدريبية المعتمدة'!A:C,3,FALSE),"")</f>
        <v/>
      </c>
      <c r="D320" s="3" t="str">
        <f>IFERROR(VLOOKUP(B320,'جدول الجلسات التدريبية'!A:D,4,FALSE),"")</f>
        <v/>
      </c>
      <c r="E320" s="3"/>
      <c r="F320" s="3" t="str">
        <f>IFERROR(VLOOKUP(E320,'سجل الموظفين والكفاءة'!B:C,2,FALSE),"")</f>
        <v/>
      </c>
      <c r="G320" s="3">
        <f>IFERROR(VLOOKUP(A320,'الخطة التدريبية المعتمدة'!A:J,10,FALSE),0)</f>
        <v>0</v>
      </c>
      <c r="H320" s="3"/>
      <c r="I320" s="3"/>
      <c r="J320" s="3"/>
      <c r="K320" s="7" t="str">
        <f>IF(OR(I320="",J320="",I320=0),"",(J320-I320)/I320)</f>
        <v/>
      </c>
      <c r="L320" s="3" t="str">
        <f>IF(J320="","",IF(J320/10&gt;='الإعدادات والمستهدفات'!B5,"ناجح ومستوفى","ضعيف - يلزم إعادة اختبار"))</f>
        <v/>
      </c>
      <c r="M320" s="3"/>
      <c r="N320" s="3"/>
    </row>
    <row r="321" spans="1:14" x14ac:dyDescent="0.2">
      <c r="A321" s="3" t="str">
        <f>IFERROR(VLOOKUP(B321,'جدول الجلسات التدريبية'!A:B,2,FALSE),"")</f>
        <v/>
      </c>
      <c r="B321" s="3"/>
      <c r="C321" s="3" t="str">
        <f>IFERROR(VLOOKUP(A321,'الخطة التدريبية المعتمدة'!A:C,3,FALSE),"")</f>
        <v/>
      </c>
      <c r="D321" s="3" t="str">
        <f>IFERROR(VLOOKUP(B321,'جدول الجلسات التدريبية'!A:D,4,FALSE),"")</f>
        <v/>
      </c>
      <c r="E321" s="3"/>
      <c r="F321" s="3" t="str">
        <f>IFERROR(VLOOKUP(E321,'سجل الموظفين والكفاءة'!B:C,2,FALSE),"")</f>
        <v/>
      </c>
      <c r="G321" s="3">
        <f>IFERROR(VLOOKUP(A321,'الخطة التدريبية المعتمدة'!A:J,10,FALSE),0)</f>
        <v>0</v>
      </c>
      <c r="H321" s="3"/>
      <c r="I321" s="3"/>
      <c r="J321" s="3"/>
      <c r="K321" s="7" t="str">
        <f>IF(OR(I321="",J321="",I321=0),"",(J321-I321)/I321)</f>
        <v/>
      </c>
      <c r="L321" s="3" t="str">
        <f>IF(J321="","",IF(J321/10&gt;='الإعدادات والمستهدفات'!B5,"ناجح ومستوفى","ضعيف - يلزم إعادة اختبار"))</f>
        <v/>
      </c>
      <c r="M321" s="3"/>
      <c r="N321" s="3"/>
    </row>
    <row r="322" spans="1:14" x14ac:dyDescent="0.2">
      <c r="A322" s="3" t="str">
        <f>IFERROR(VLOOKUP(B322,'جدول الجلسات التدريبية'!A:B,2,FALSE),"")</f>
        <v/>
      </c>
      <c r="B322" s="3"/>
      <c r="C322" s="3" t="str">
        <f>IFERROR(VLOOKUP(A322,'الخطة التدريبية المعتمدة'!A:C,3,FALSE),"")</f>
        <v/>
      </c>
      <c r="D322" s="3" t="str">
        <f>IFERROR(VLOOKUP(B322,'جدول الجلسات التدريبية'!A:D,4,FALSE),"")</f>
        <v/>
      </c>
      <c r="E322" s="3"/>
      <c r="F322" s="3" t="str">
        <f>IFERROR(VLOOKUP(E322,'سجل الموظفين والكفاءة'!B:C,2,FALSE),"")</f>
        <v/>
      </c>
      <c r="G322" s="3">
        <f>IFERROR(VLOOKUP(A322,'الخطة التدريبية المعتمدة'!A:J,10,FALSE),0)</f>
        <v>0</v>
      </c>
      <c r="H322" s="3"/>
      <c r="I322" s="3"/>
      <c r="J322" s="3"/>
      <c r="K322" s="7" t="str">
        <f>IF(OR(I322="",J322="",I322=0),"",(J322-I322)/I322)</f>
        <v/>
      </c>
      <c r="L322" s="3" t="str">
        <f>IF(J322="","",IF(J322/10&gt;='الإعدادات والمستهدفات'!B5,"ناجح ومستوفى","ضعيف - يلزم إعادة اختبار"))</f>
        <v/>
      </c>
      <c r="M322" s="3"/>
      <c r="N322" s="3"/>
    </row>
    <row r="323" spans="1:14" x14ac:dyDescent="0.2">
      <c r="A323" s="3" t="str">
        <f>IFERROR(VLOOKUP(B323,'جدول الجلسات التدريبية'!A:B,2,FALSE),"")</f>
        <v/>
      </c>
      <c r="B323" s="3"/>
      <c r="C323" s="3" t="str">
        <f>IFERROR(VLOOKUP(A323,'الخطة التدريبية المعتمدة'!A:C,3,FALSE),"")</f>
        <v/>
      </c>
      <c r="D323" s="3" t="str">
        <f>IFERROR(VLOOKUP(B323,'جدول الجلسات التدريبية'!A:D,4,FALSE),"")</f>
        <v/>
      </c>
      <c r="E323" s="3"/>
      <c r="F323" s="3" t="str">
        <f>IFERROR(VLOOKUP(E323,'سجل الموظفين والكفاءة'!B:C,2,FALSE),"")</f>
        <v/>
      </c>
      <c r="G323" s="3">
        <f>IFERROR(VLOOKUP(A323,'الخطة التدريبية المعتمدة'!A:J,10,FALSE),0)</f>
        <v>0</v>
      </c>
      <c r="H323" s="3"/>
      <c r="I323" s="3"/>
      <c r="J323" s="3"/>
      <c r="K323" s="7" t="str">
        <f>IF(OR(I323="",J323="",I323=0),"",(J323-I323)/I323)</f>
        <v/>
      </c>
      <c r="L323" s="3" t="str">
        <f>IF(J323="","",IF(J323/10&gt;='الإعدادات والمستهدفات'!B5,"ناجح ومستوفى","ضعيف - يلزم إعادة اختبار"))</f>
        <v/>
      </c>
      <c r="M323" s="3"/>
      <c r="N323" s="3"/>
    </row>
    <row r="324" spans="1:14" x14ac:dyDescent="0.2">
      <c r="A324" s="3" t="str">
        <f>IFERROR(VLOOKUP(B324,'جدول الجلسات التدريبية'!A:B,2,FALSE),"")</f>
        <v/>
      </c>
      <c r="B324" s="3"/>
      <c r="C324" s="3" t="str">
        <f>IFERROR(VLOOKUP(A324,'الخطة التدريبية المعتمدة'!A:C,3,FALSE),"")</f>
        <v/>
      </c>
      <c r="D324" s="3" t="str">
        <f>IFERROR(VLOOKUP(B324,'جدول الجلسات التدريبية'!A:D,4,FALSE),"")</f>
        <v/>
      </c>
      <c r="E324" s="3"/>
      <c r="F324" s="3" t="str">
        <f>IFERROR(VLOOKUP(E324,'سجل الموظفين والكفاءة'!B:C,2,FALSE),"")</f>
        <v/>
      </c>
      <c r="G324" s="3">
        <f>IFERROR(VLOOKUP(A324,'الخطة التدريبية المعتمدة'!A:J,10,FALSE),0)</f>
        <v>0</v>
      </c>
      <c r="H324" s="3"/>
      <c r="I324" s="3"/>
      <c r="J324" s="3"/>
      <c r="K324" s="7" t="str">
        <f>IF(OR(I324="",J324="",I324=0),"",(J324-I324)/I324)</f>
        <v/>
      </c>
      <c r="L324" s="3" t="str">
        <f>IF(J324="","",IF(J324/10&gt;='الإعدادات والمستهدفات'!B5,"ناجح ومستوفى","ضعيف - يلزم إعادة اختبار"))</f>
        <v/>
      </c>
      <c r="M324" s="3"/>
      <c r="N324" s="3"/>
    </row>
    <row r="325" spans="1:14" x14ac:dyDescent="0.2">
      <c r="A325" s="3" t="str">
        <f>IFERROR(VLOOKUP(B325,'جدول الجلسات التدريبية'!A:B,2,FALSE),"")</f>
        <v/>
      </c>
      <c r="B325" s="3"/>
      <c r="C325" s="3" t="str">
        <f>IFERROR(VLOOKUP(A325,'الخطة التدريبية المعتمدة'!A:C,3,FALSE),"")</f>
        <v/>
      </c>
      <c r="D325" s="3" t="str">
        <f>IFERROR(VLOOKUP(B325,'جدول الجلسات التدريبية'!A:D,4,FALSE),"")</f>
        <v/>
      </c>
      <c r="E325" s="3"/>
      <c r="F325" s="3" t="str">
        <f>IFERROR(VLOOKUP(E325,'سجل الموظفين والكفاءة'!B:C,2,FALSE),"")</f>
        <v/>
      </c>
      <c r="G325" s="3">
        <f>IFERROR(VLOOKUP(A325,'الخطة التدريبية المعتمدة'!A:J,10,FALSE),0)</f>
        <v>0</v>
      </c>
      <c r="H325" s="3"/>
      <c r="I325" s="3"/>
      <c r="J325" s="3"/>
      <c r="K325" s="7" t="str">
        <f>IF(OR(I325="",J325="",I325=0),"",(J325-I325)/I325)</f>
        <v/>
      </c>
      <c r="L325" s="3" t="str">
        <f>IF(J325="","",IF(J325/10&gt;='الإعدادات والمستهدفات'!B5,"ناجح ومستوفى","ضعيف - يلزم إعادة اختبار"))</f>
        <v/>
      </c>
      <c r="M325" s="3"/>
      <c r="N325" s="3"/>
    </row>
    <row r="326" spans="1:14" x14ac:dyDescent="0.2">
      <c r="A326" s="3" t="str">
        <f>IFERROR(VLOOKUP(B326,'جدول الجلسات التدريبية'!A:B,2,FALSE),"")</f>
        <v/>
      </c>
      <c r="B326" s="3"/>
      <c r="C326" s="3" t="str">
        <f>IFERROR(VLOOKUP(A326,'الخطة التدريبية المعتمدة'!A:C,3,FALSE),"")</f>
        <v/>
      </c>
      <c r="D326" s="3" t="str">
        <f>IFERROR(VLOOKUP(B326,'جدول الجلسات التدريبية'!A:D,4,FALSE),"")</f>
        <v/>
      </c>
      <c r="E326" s="3"/>
      <c r="F326" s="3" t="str">
        <f>IFERROR(VLOOKUP(E326,'سجل الموظفين والكفاءة'!B:C,2,FALSE),"")</f>
        <v/>
      </c>
      <c r="G326" s="3">
        <f>IFERROR(VLOOKUP(A326,'الخطة التدريبية المعتمدة'!A:J,10,FALSE),0)</f>
        <v>0</v>
      </c>
      <c r="H326" s="3"/>
      <c r="I326" s="3"/>
      <c r="J326" s="3"/>
      <c r="K326" s="7" t="str">
        <f>IF(OR(I326="",J326="",I326=0),"",(J326-I326)/I326)</f>
        <v/>
      </c>
      <c r="L326" s="3" t="str">
        <f>IF(J326="","",IF(J326/10&gt;='الإعدادات والمستهدفات'!B5,"ناجح ومستوفى","ضعيف - يلزم إعادة اختبار"))</f>
        <v/>
      </c>
      <c r="M326" s="3"/>
      <c r="N326" s="3"/>
    </row>
    <row r="327" spans="1:14" x14ac:dyDescent="0.2">
      <c r="A327" s="3" t="str">
        <f>IFERROR(VLOOKUP(B327,'جدول الجلسات التدريبية'!A:B,2,FALSE),"")</f>
        <v/>
      </c>
      <c r="B327" s="3"/>
      <c r="C327" s="3" t="str">
        <f>IFERROR(VLOOKUP(A327,'الخطة التدريبية المعتمدة'!A:C,3,FALSE),"")</f>
        <v/>
      </c>
      <c r="D327" s="3" t="str">
        <f>IFERROR(VLOOKUP(B327,'جدول الجلسات التدريبية'!A:D,4,FALSE),"")</f>
        <v/>
      </c>
      <c r="E327" s="3"/>
      <c r="F327" s="3" t="str">
        <f>IFERROR(VLOOKUP(E327,'سجل الموظفين والكفاءة'!B:C,2,FALSE),"")</f>
        <v/>
      </c>
      <c r="G327" s="3">
        <f>IFERROR(VLOOKUP(A327,'الخطة التدريبية المعتمدة'!A:J,10,FALSE),0)</f>
        <v>0</v>
      </c>
      <c r="H327" s="3"/>
      <c r="I327" s="3"/>
      <c r="J327" s="3"/>
      <c r="K327" s="7" t="str">
        <f>IF(OR(I327="",J327="",I327=0),"",(J327-I327)/I327)</f>
        <v/>
      </c>
      <c r="L327" s="3" t="str">
        <f>IF(J327="","",IF(J327/10&gt;='الإعدادات والمستهدفات'!B5,"ناجح ومستوفى","ضعيف - يلزم إعادة اختبار"))</f>
        <v/>
      </c>
      <c r="M327" s="3"/>
      <c r="N327" s="3"/>
    </row>
    <row r="328" spans="1:14" x14ac:dyDescent="0.2">
      <c r="A328" s="3" t="str">
        <f>IFERROR(VLOOKUP(B328,'جدول الجلسات التدريبية'!A:B,2,FALSE),"")</f>
        <v/>
      </c>
      <c r="B328" s="3"/>
      <c r="C328" s="3" t="str">
        <f>IFERROR(VLOOKUP(A328,'الخطة التدريبية المعتمدة'!A:C,3,FALSE),"")</f>
        <v/>
      </c>
      <c r="D328" s="3" t="str">
        <f>IFERROR(VLOOKUP(B328,'جدول الجلسات التدريبية'!A:D,4,FALSE),"")</f>
        <v/>
      </c>
      <c r="E328" s="3"/>
      <c r="F328" s="3" t="str">
        <f>IFERROR(VLOOKUP(E328,'سجل الموظفين والكفاءة'!B:C,2,FALSE),"")</f>
        <v/>
      </c>
      <c r="G328" s="3">
        <f>IFERROR(VLOOKUP(A328,'الخطة التدريبية المعتمدة'!A:J,10,FALSE),0)</f>
        <v>0</v>
      </c>
      <c r="H328" s="3"/>
      <c r="I328" s="3"/>
      <c r="J328" s="3"/>
      <c r="K328" s="7" t="str">
        <f>IF(OR(I328="",J328="",I328=0),"",(J328-I328)/I328)</f>
        <v/>
      </c>
      <c r="L328" s="3" t="str">
        <f>IF(J328="","",IF(J328/10&gt;='الإعدادات والمستهدفات'!B5,"ناجح ومستوفى","ضعيف - يلزم إعادة اختبار"))</f>
        <v/>
      </c>
      <c r="M328" s="3"/>
      <c r="N328" s="3"/>
    </row>
    <row r="329" spans="1:14" x14ac:dyDescent="0.2">
      <c r="A329" s="3" t="str">
        <f>IFERROR(VLOOKUP(B329,'جدول الجلسات التدريبية'!A:B,2,FALSE),"")</f>
        <v/>
      </c>
      <c r="B329" s="3"/>
      <c r="C329" s="3" t="str">
        <f>IFERROR(VLOOKUP(A329,'الخطة التدريبية المعتمدة'!A:C,3,FALSE),"")</f>
        <v/>
      </c>
      <c r="D329" s="3" t="str">
        <f>IFERROR(VLOOKUP(B329,'جدول الجلسات التدريبية'!A:D,4,FALSE),"")</f>
        <v/>
      </c>
      <c r="E329" s="3"/>
      <c r="F329" s="3" t="str">
        <f>IFERROR(VLOOKUP(E329,'سجل الموظفين والكفاءة'!B:C,2,FALSE),"")</f>
        <v/>
      </c>
      <c r="G329" s="3">
        <f>IFERROR(VLOOKUP(A329,'الخطة التدريبية المعتمدة'!A:J,10,FALSE),0)</f>
        <v>0</v>
      </c>
      <c r="H329" s="3"/>
      <c r="I329" s="3"/>
      <c r="J329" s="3"/>
      <c r="K329" s="7" t="str">
        <f>IF(OR(I329="",J329="",I329=0),"",(J329-I329)/I329)</f>
        <v/>
      </c>
      <c r="L329" s="3" t="str">
        <f>IF(J329="","",IF(J329/10&gt;='الإعدادات والمستهدفات'!B5,"ناجح ومستوفى","ضعيف - يلزم إعادة اختبار"))</f>
        <v/>
      </c>
      <c r="M329" s="3"/>
      <c r="N329" s="3"/>
    </row>
    <row r="330" spans="1:14" x14ac:dyDescent="0.2">
      <c r="A330" s="3" t="str">
        <f>IFERROR(VLOOKUP(B330,'جدول الجلسات التدريبية'!A:B,2,FALSE),"")</f>
        <v/>
      </c>
      <c r="B330" s="3"/>
      <c r="C330" s="3" t="str">
        <f>IFERROR(VLOOKUP(A330,'الخطة التدريبية المعتمدة'!A:C,3,FALSE),"")</f>
        <v/>
      </c>
      <c r="D330" s="3" t="str">
        <f>IFERROR(VLOOKUP(B330,'جدول الجلسات التدريبية'!A:D,4,FALSE),"")</f>
        <v/>
      </c>
      <c r="E330" s="3"/>
      <c r="F330" s="3" t="str">
        <f>IFERROR(VLOOKUP(E330,'سجل الموظفين والكفاءة'!B:C,2,FALSE),"")</f>
        <v/>
      </c>
      <c r="G330" s="3">
        <f>IFERROR(VLOOKUP(A330,'الخطة التدريبية المعتمدة'!A:J,10,FALSE),0)</f>
        <v>0</v>
      </c>
      <c r="H330" s="3"/>
      <c r="I330" s="3"/>
      <c r="J330" s="3"/>
      <c r="K330" s="7" t="str">
        <f>IF(OR(I330="",J330="",I330=0),"",(J330-I330)/I330)</f>
        <v/>
      </c>
      <c r="L330" s="3" t="str">
        <f>IF(J330="","",IF(J330/10&gt;='الإعدادات والمستهدفات'!B5,"ناجح ومستوفى","ضعيف - يلزم إعادة اختبار"))</f>
        <v/>
      </c>
      <c r="M330" s="3"/>
      <c r="N330" s="3"/>
    </row>
    <row r="331" spans="1:14" x14ac:dyDescent="0.2">
      <c r="A331" s="3" t="str">
        <f>IFERROR(VLOOKUP(B331,'جدول الجلسات التدريبية'!A:B,2,FALSE),"")</f>
        <v/>
      </c>
      <c r="B331" s="3"/>
      <c r="C331" s="3" t="str">
        <f>IFERROR(VLOOKUP(A331,'الخطة التدريبية المعتمدة'!A:C,3,FALSE),"")</f>
        <v/>
      </c>
      <c r="D331" s="3" t="str">
        <f>IFERROR(VLOOKUP(B331,'جدول الجلسات التدريبية'!A:D,4,FALSE),"")</f>
        <v/>
      </c>
      <c r="E331" s="3"/>
      <c r="F331" s="3" t="str">
        <f>IFERROR(VLOOKUP(E331,'سجل الموظفين والكفاءة'!B:C,2,FALSE),"")</f>
        <v/>
      </c>
      <c r="G331" s="3">
        <f>IFERROR(VLOOKUP(A331,'الخطة التدريبية المعتمدة'!A:J,10,FALSE),0)</f>
        <v>0</v>
      </c>
      <c r="H331" s="3"/>
      <c r="I331" s="3"/>
      <c r="J331" s="3"/>
      <c r="K331" s="7" t="str">
        <f>IF(OR(I331="",J331="",I331=0),"",(J331-I331)/I331)</f>
        <v/>
      </c>
      <c r="L331" s="3" t="str">
        <f>IF(J331="","",IF(J331/10&gt;='الإعدادات والمستهدفات'!B5,"ناجح ومستوفى","ضعيف - يلزم إعادة اختبار"))</f>
        <v/>
      </c>
      <c r="M331" s="3"/>
      <c r="N331" s="3"/>
    </row>
    <row r="332" spans="1:14" x14ac:dyDescent="0.2">
      <c r="A332" s="3" t="str">
        <f>IFERROR(VLOOKUP(B332,'جدول الجلسات التدريبية'!A:B,2,FALSE),"")</f>
        <v/>
      </c>
      <c r="B332" s="3"/>
      <c r="C332" s="3" t="str">
        <f>IFERROR(VLOOKUP(A332,'الخطة التدريبية المعتمدة'!A:C,3,FALSE),"")</f>
        <v/>
      </c>
      <c r="D332" s="3" t="str">
        <f>IFERROR(VLOOKUP(B332,'جدول الجلسات التدريبية'!A:D,4,FALSE),"")</f>
        <v/>
      </c>
      <c r="E332" s="3"/>
      <c r="F332" s="3" t="str">
        <f>IFERROR(VLOOKUP(E332,'سجل الموظفين والكفاءة'!B:C,2,FALSE),"")</f>
        <v/>
      </c>
      <c r="G332" s="3">
        <f>IFERROR(VLOOKUP(A332,'الخطة التدريبية المعتمدة'!A:J,10,FALSE),0)</f>
        <v>0</v>
      </c>
      <c r="H332" s="3"/>
      <c r="I332" s="3"/>
      <c r="J332" s="3"/>
      <c r="K332" s="7" t="str">
        <f>IF(OR(I332="",J332="",I332=0),"",(J332-I332)/I332)</f>
        <v/>
      </c>
      <c r="L332" s="3" t="str">
        <f>IF(J332="","",IF(J332/10&gt;='الإعدادات والمستهدفات'!B5,"ناجح ومستوفى","ضعيف - يلزم إعادة اختبار"))</f>
        <v/>
      </c>
      <c r="M332" s="3"/>
      <c r="N332" s="3"/>
    </row>
    <row r="333" spans="1:14" x14ac:dyDescent="0.2">
      <c r="A333" s="3" t="str">
        <f>IFERROR(VLOOKUP(B333,'جدول الجلسات التدريبية'!A:B,2,FALSE),"")</f>
        <v/>
      </c>
      <c r="B333" s="3"/>
      <c r="C333" s="3" t="str">
        <f>IFERROR(VLOOKUP(A333,'الخطة التدريبية المعتمدة'!A:C,3,FALSE),"")</f>
        <v/>
      </c>
      <c r="D333" s="3" t="str">
        <f>IFERROR(VLOOKUP(B333,'جدول الجلسات التدريبية'!A:D,4,FALSE),"")</f>
        <v/>
      </c>
      <c r="E333" s="3"/>
      <c r="F333" s="3" t="str">
        <f>IFERROR(VLOOKUP(E333,'سجل الموظفين والكفاءة'!B:C,2,FALSE),"")</f>
        <v/>
      </c>
      <c r="G333" s="3">
        <f>IFERROR(VLOOKUP(A333,'الخطة التدريبية المعتمدة'!A:J,10,FALSE),0)</f>
        <v>0</v>
      </c>
      <c r="H333" s="3"/>
      <c r="I333" s="3"/>
      <c r="J333" s="3"/>
      <c r="K333" s="7" t="str">
        <f>IF(OR(I333="",J333="",I333=0),"",(J333-I333)/I333)</f>
        <v/>
      </c>
      <c r="L333" s="3" t="str">
        <f>IF(J333="","",IF(J333/10&gt;='الإعدادات والمستهدفات'!B5,"ناجح ومستوفى","ضعيف - يلزم إعادة اختبار"))</f>
        <v/>
      </c>
      <c r="M333" s="3"/>
      <c r="N333" s="3"/>
    </row>
    <row r="334" spans="1:14" x14ac:dyDescent="0.2">
      <c r="A334" s="3" t="str">
        <f>IFERROR(VLOOKUP(B334,'جدول الجلسات التدريبية'!A:B,2,FALSE),"")</f>
        <v/>
      </c>
      <c r="B334" s="3"/>
      <c r="C334" s="3" t="str">
        <f>IFERROR(VLOOKUP(A334,'الخطة التدريبية المعتمدة'!A:C,3,FALSE),"")</f>
        <v/>
      </c>
      <c r="D334" s="3" t="str">
        <f>IFERROR(VLOOKUP(B334,'جدول الجلسات التدريبية'!A:D,4,FALSE),"")</f>
        <v/>
      </c>
      <c r="E334" s="3"/>
      <c r="F334" s="3" t="str">
        <f>IFERROR(VLOOKUP(E334,'سجل الموظفين والكفاءة'!B:C,2,FALSE),"")</f>
        <v/>
      </c>
      <c r="G334" s="3">
        <f>IFERROR(VLOOKUP(A334,'الخطة التدريبية المعتمدة'!A:J,10,FALSE),0)</f>
        <v>0</v>
      </c>
      <c r="H334" s="3"/>
      <c r="I334" s="3"/>
      <c r="J334" s="3"/>
      <c r="K334" s="7" t="str">
        <f>IF(OR(I334="",J334="",I334=0),"",(J334-I334)/I334)</f>
        <v/>
      </c>
      <c r="L334" s="3" t="str">
        <f>IF(J334="","",IF(J334/10&gt;='الإعدادات والمستهدفات'!B5,"ناجح ومستوفى","ضعيف - يلزم إعادة اختبار"))</f>
        <v/>
      </c>
      <c r="M334" s="3"/>
      <c r="N334" s="3"/>
    </row>
    <row r="335" spans="1:14" x14ac:dyDescent="0.2">
      <c r="A335" s="3" t="str">
        <f>IFERROR(VLOOKUP(B335,'جدول الجلسات التدريبية'!A:B,2,FALSE),"")</f>
        <v/>
      </c>
      <c r="B335" s="3"/>
      <c r="C335" s="3" t="str">
        <f>IFERROR(VLOOKUP(A335,'الخطة التدريبية المعتمدة'!A:C,3,FALSE),"")</f>
        <v/>
      </c>
      <c r="D335" s="3" t="str">
        <f>IFERROR(VLOOKUP(B335,'جدول الجلسات التدريبية'!A:D,4,FALSE),"")</f>
        <v/>
      </c>
      <c r="E335" s="3"/>
      <c r="F335" s="3" t="str">
        <f>IFERROR(VLOOKUP(E335,'سجل الموظفين والكفاءة'!B:C,2,FALSE),"")</f>
        <v/>
      </c>
      <c r="G335" s="3">
        <f>IFERROR(VLOOKUP(A335,'الخطة التدريبية المعتمدة'!A:J,10,FALSE),0)</f>
        <v>0</v>
      </c>
      <c r="H335" s="3"/>
      <c r="I335" s="3"/>
      <c r="J335" s="3"/>
      <c r="K335" s="7" t="str">
        <f>IF(OR(I335="",J335="",I335=0),"",(J335-I335)/I335)</f>
        <v/>
      </c>
      <c r="L335" s="3" t="str">
        <f>IF(J335="","",IF(J335/10&gt;='الإعدادات والمستهدفات'!B5,"ناجح ومستوفى","ضعيف - يلزم إعادة اختبار"))</f>
        <v/>
      </c>
      <c r="M335" s="3"/>
      <c r="N335" s="3"/>
    </row>
    <row r="336" spans="1:14" x14ac:dyDescent="0.2">
      <c r="A336" s="3" t="str">
        <f>IFERROR(VLOOKUP(B336,'جدول الجلسات التدريبية'!A:B,2,FALSE),"")</f>
        <v/>
      </c>
      <c r="B336" s="3"/>
      <c r="C336" s="3" t="str">
        <f>IFERROR(VLOOKUP(A336,'الخطة التدريبية المعتمدة'!A:C,3,FALSE),"")</f>
        <v/>
      </c>
      <c r="D336" s="3" t="str">
        <f>IFERROR(VLOOKUP(B336,'جدول الجلسات التدريبية'!A:D,4,FALSE),"")</f>
        <v/>
      </c>
      <c r="E336" s="3"/>
      <c r="F336" s="3" t="str">
        <f>IFERROR(VLOOKUP(E336,'سجل الموظفين والكفاءة'!B:C,2,FALSE),"")</f>
        <v/>
      </c>
      <c r="G336" s="3">
        <f>IFERROR(VLOOKUP(A336,'الخطة التدريبية المعتمدة'!A:J,10,FALSE),0)</f>
        <v>0</v>
      </c>
      <c r="H336" s="3"/>
      <c r="I336" s="3"/>
      <c r="J336" s="3"/>
      <c r="K336" s="7" t="str">
        <f>IF(OR(I336="",J336="",I336=0),"",(J336-I336)/I336)</f>
        <v/>
      </c>
      <c r="L336" s="3" t="str">
        <f>IF(J336="","",IF(J336/10&gt;='الإعدادات والمستهدفات'!B5,"ناجح ومستوفى","ضعيف - يلزم إعادة اختبار"))</f>
        <v/>
      </c>
      <c r="M336" s="3"/>
      <c r="N336" s="3"/>
    </row>
    <row r="337" spans="1:14" x14ac:dyDescent="0.2">
      <c r="A337" s="3" t="str">
        <f>IFERROR(VLOOKUP(B337,'جدول الجلسات التدريبية'!A:B,2,FALSE),"")</f>
        <v/>
      </c>
      <c r="B337" s="3"/>
      <c r="C337" s="3" t="str">
        <f>IFERROR(VLOOKUP(A337,'الخطة التدريبية المعتمدة'!A:C,3,FALSE),"")</f>
        <v/>
      </c>
      <c r="D337" s="3" t="str">
        <f>IFERROR(VLOOKUP(B337,'جدول الجلسات التدريبية'!A:D,4,FALSE),"")</f>
        <v/>
      </c>
      <c r="E337" s="3"/>
      <c r="F337" s="3" t="str">
        <f>IFERROR(VLOOKUP(E337,'سجل الموظفين والكفاءة'!B:C,2,FALSE),"")</f>
        <v/>
      </c>
      <c r="G337" s="3">
        <f>IFERROR(VLOOKUP(A337,'الخطة التدريبية المعتمدة'!A:J,10,FALSE),0)</f>
        <v>0</v>
      </c>
      <c r="H337" s="3"/>
      <c r="I337" s="3"/>
      <c r="J337" s="3"/>
      <c r="K337" s="7" t="str">
        <f>IF(OR(I337="",J337="",I337=0),"",(J337-I337)/I337)</f>
        <v/>
      </c>
      <c r="L337" s="3" t="str">
        <f>IF(J337="","",IF(J337/10&gt;='الإعدادات والمستهدفات'!B5,"ناجح ومستوفى","ضعيف - يلزم إعادة اختبار"))</f>
        <v/>
      </c>
      <c r="M337" s="3"/>
      <c r="N337" s="3"/>
    </row>
    <row r="338" spans="1:14" x14ac:dyDescent="0.2">
      <c r="A338" s="3" t="str">
        <f>IFERROR(VLOOKUP(B338,'جدول الجلسات التدريبية'!A:B,2,FALSE),"")</f>
        <v/>
      </c>
      <c r="B338" s="3"/>
      <c r="C338" s="3" t="str">
        <f>IFERROR(VLOOKUP(A338,'الخطة التدريبية المعتمدة'!A:C,3,FALSE),"")</f>
        <v/>
      </c>
      <c r="D338" s="3" t="str">
        <f>IFERROR(VLOOKUP(B338,'جدول الجلسات التدريبية'!A:D,4,FALSE),"")</f>
        <v/>
      </c>
      <c r="E338" s="3"/>
      <c r="F338" s="3" t="str">
        <f>IFERROR(VLOOKUP(E338,'سجل الموظفين والكفاءة'!B:C,2,FALSE),"")</f>
        <v/>
      </c>
      <c r="G338" s="3">
        <f>IFERROR(VLOOKUP(A338,'الخطة التدريبية المعتمدة'!A:J,10,FALSE),0)</f>
        <v>0</v>
      </c>
      <c r="H338" s="3"/>
      <c r="I338" s="3"/>
      <c r="J338" s="3"/>
      <c r="K338" s="7" t="str">
        <f>IF(OR(I338="",J338="",I338=0),"",(J338-I338)/I338)</f>
        <v/>
      </c>
      <c r="L338" s="3" t="str">
        <f>IF(J338="","",IF(J338/10&gt;='الإعدادات والمستهدفات'!B5,"ناجح ومستوفى","ضعيف - يلزم إعادة اختبار"))</f>
        <v/>
      </c>
      <c r="M338" s="3"/>
      <c r="N338" s="3"/>
    </row>
    <row r="339" spans="1:14" x14ac:dyDescent="0.2">
      <c r="A339" s="3" t="str">
        <f>IFERROR(VLOOKUP(B339,'جدول الجلسات التدريبية'!A:B,2,FALSE),"")</f>
        <v/>
      </c>
      <c r="B339" s="3"/>
      <c r="C339" s="3" t="str">
        <f>IFERROR(VLOOKUP(A339,'الخطة التدريبية المعتمدة'!A:C,3,FALSE),"")</f>
        <v/>
      </c>
      <c r="D339" s="3" t="str">
        <f>IFERROR(VLOOKUP(B339,'جدول الجلسات التدريبية'!A:D,4,FALSE),"")</f>
        <v/>
      </c>
      <c r="E339" s="3"/>
      <c r="F339" s="3" t="str">
        <f>IFERROR(VLOOKUP(E339,'سجل الموظفين والكفاءة'!B:C,2,FALSE),"")</f>
        <v/>
      </c>
      <c r="G339" s="3">
        <f>IFERROR(VLOOKUP(A339,'الخطة التدريبية المعتمدة'!A:J,10,FALSE),0)</f>
        <v>0</v>
      </c>
      <c r="H339" s="3"/>
      <c r="I339" s="3"/>
      <c r="J339" s="3"/>
      <c r="K339" s="7" t="str">
        <f>IF(OR(I339="",J339="",I339=0),"",(J339-I339)/I339)</f>
        <v/>
      </c>
      <c r="L339" s="3" t="str">
        <f>IF(J339="","",IF(J339/10&gt;='الإعدادات والمستهدفات'!B5,"ناجح ومستوفى","ضعيف - يلزم إعادة اختبار"))</f>
        <v/>
      </c>
      <c r="M339" s="3"/>
      <c r="N339" s="3"/>
    </row>
    <row r="340" spans="1:14" x14ac:dyDescent="0.2">
      <c r="A340" s="3" t="str">
        <f>IFERROR(VLOOKUP(B340,'جدول الجلسات التدريبية'!A:B,2,FALSE),"")</f>
        <v/>
      </c>
      <c r="B340" s="3"/>
      <c r="C340" s="3" t="str">
        <f>IFERROR(VLOOKUP(A340,'الخطة التدريبية المعتمدة'!A:C,3,FALSE),"")</f>
        <v/>
      </c>
      <c r="D340" s="3" t="str">
        <f>IFERROR(VLOOKUP(B340,'جدول الجلسات التدريبية'!A:D,4,FALSE),"")</f>
        <v/>
      </c>
      <c r="E340" s="3"/>
      <c r="F340" s="3" t="str">
        <f>IFERROR(VLOOKUP(E340,'سجل الموظفين والكفاءة'!B:C,2,FALSE),"")</f>
        <v/>
      </c>
      <c r="G340" s="3">
        <f>IFERROR(VLOOKUP(A340,'الخطة التدريبية المعتمدة'!A:J,10,FALSE),0)</f>
        <v>0</v>
      </c>
      <c r="H340" s="3"/>
      <c r="I340" s="3"/>
      <c r="J340" s="3"/>
      <c r="K340" s="7" t="str">
        <f>IF(OR(I340="",J340="",I340=0),"",(J340-I340)/I340)</f>
        <v/>
      </c>
      <c r="L340" s="3" t="str">
        <f>IF(J340="","",IF(J340/10&gt;='الإعدادات والمستهدفات'!B5,"ناجح ومستوفى","ضعيف - يلزم إعادة اختبار"))</f>
        <v/>
      </c>
      <c r="M340" s="3"/>
      <c r="N340" s="3"/>
    </row>
    <row r="341" spans="1:14" x14ac:dyDescent="0.2">
      <c r="A341" s="3" t="str">
        <f>IFERROR(VLOOKUP(B341,'جدول الجلسات التدريبية'!A:B,2,FALSE),"")</f>
        <v/>
      </c>
      <c r="B341" s="3"/>
      <c r="C341" s="3" t="str">
        <f>IFERROR(VLOOKUP(A341,'الخطة التدريبية المعتمدة'!A:C,3,FALSE),"")</f>
        <v/>
      </c>
      <c r="D341" s="3" t="str">
        <f>IFERROR(VLOOKUP(B341,'جدول الجلسات التدريبية'!A:D,4,FALSE),"")</f>
        <v/>
      </c>
      <c r="E341" s="3"/>
      <c r="F341" s="3" t="str">
        <f>IFERROR(VLOOKUP(E341,'سجل الموظفين والكفاءة'!B:C,2,FALSE),"")</f>
        <v/>
      </c>
      <c r="G341" s="3">
        <f>IFERROR(VLOOKUP(A341,'الخطة التدريبية المعتمدة'!A:J,10,FALSE),0)</f>
        <v>0</v>
      </c>
      <c r="H341" s="3"/>
      <c r="I341" s="3"/>
      <c r="J341" s="3"/>
      <c r="K341" s="7" t="str">
        <f>IF(OR(I341="",J341="",I341=0),"",(J341-I341)/I341)</f>
        <v/>
      </c>
      <c r="L341" s="3" t="str">
        <f>IF(J341="","",IF(J341/10&gt;='الإعدادات والمستهدفات'!B5,"ناجح ومستوفى","ضعيف - يلزم إعادة اختبار"))</f>
        <v/>
      </c>
      <c r="M341" s="3"/>
      <c r="N341" s="3"/>
    </row>
    <row r="342" spans="1:14" x14ac:dyDescent="0.2">
      <c r="A342" s="3" t="str">
        <f>IFERROR(VLOOKUP(B342,'جدول الجلسات التدريبية'!A:B,2,FALSE),"")</f>
        <v/>
      </c>
      <c r="B342" s="3"/>
      <c r="C342" s="3" t="str">
        <f>IFERROR(VLOOKUP(A342,'الخطة التدريبية المعتمدة'!A:C,3,FALSE),"")</f>
        <v/>
      </c>
      <c r="D342" s="3" t="str">
        <f>IFERROR(VLOOKUP(B342,'جدول الجلسات التدريبية'!A:D,4,FALSE),"")</f>
        <v/>
      </c>
      <c r="E342" s="3"/>
      <c r="F342" s="3" t="str">
        <f>IFERROR(VLOOKUP(E342,'سجل الموظفين والكفاءة'!B:C,2,FALSE),"")</f>
        <v/>
      </c>
      <c r="G342" s="3">
        <f>IFERROR(VLOOKUP(A342,'الخطة التدريبية المعتمدة'!A:J,10,FALSE),0)</f>
        <v>0</v>
      </c>
      <c r="H342" s="3"/>
      <c r="I342" s="3"/>
      <c r="J342" s="3"/>
      <c r="K342" s="7" t="str">
        <f>IF(OR(I342="",J342="",I342=0),"",(J342-I342)/I342)</f>
        <v/>
      </c>
      <c r="L342" s="3" t="str">
        <f>IF(J342="","",IF(J342/10&gt;='الإعدادات والمستهدفات'!B5,"ناجح ومستوفى","ضعيف - يلزم إعادة اختبار"))</f>
        <v/>
      </c>
      <c r="M342" s="3"/>
      <c r="N342" s="3"/>
    </row>
    <row r="343" spans="1:14" x14ac:dyDescent="0.2">
      <c r="A343" s="3" t="str">
        <f>IFERROR(VLOOKUP(B343,'جدول الجلسات التدريبية'!A:B,2,FALSE),"")</f>
        <v/>
      </c>
      <c r="B343" s="3"/>
      <c r="C343" s="3" t="str">
        <f>IFERROR(VLOOKUP(A343,'الخطة التدريبية المعتمدة'!A:C,3,FALSE),"")</f>
        <v/>
      </c>
      <c r="D343" s="3" t="str">
        <f>IFERROR(VLOOKUP(B343,'جدول الجلسات التدريبية'!A:D,4,FALSE),"")</f>
        <v/>
      </c>
      <c r="E343" s="3"/>
      <c r="F343" s="3" t="str">
        <f>IFERROR(VLOOKUP(E343,'سجل الموظفين والكفاءة'!B:C,2,FALSE),"")</f>
        <v/>
      </c>
      <c r="G343" s="3">
        <f>IFERROR(VLOOKUP(A343,'الخطة التدريبية المعتمدة'!A:J,10,FALSE),0)</f>
        <v>0</v>
      </c>
      <c r="H343" s="3"/>
      <c r="I343" s="3"/>
      <c r="J343" s="3"/>
      <c r="K343" s="7" t="str">
        <f>IF(OR(I343="",J343="",I343=0),"",(J343-I343)/I343)</f>
        <v/>
      </c>
      <c r="L343" s="3" t="str">
        <f>IF(J343="","",IF(J343/10&gt;='الإعدادات والمستهدفات'!B5,"ناجح ومستوفى","ضعيف - يلزم إعادة اختبار"))</f>
        <v/>
      </c>
      <c r="M343" s="3"/>
      <c r="N343" s="3"/>
    </row>
    <row r="344" spans="1:14" x14ac:dyDescent="0.2">
      <c r="A344" s="3" t="str">
        <f>IFERROR(VLOOKUP(B344,'جدول الجلسات التدريبية'!A:B,2,FALSE),"")</f>
        <v/>
      </c>
      <c r="B344" s="3"/>
      <c r="C344" s="3" t="str">
        <f>IFERROR(VLOOKUP(A344,'الخطة التدريبية المعتمدة'!A:C,3,FALSE),"")</f>
        <v/>
      </c>
      <c r="D344" s="3" t="str">
        <f>IFERROR(VLOOKUP(B344,'جدول الجلسات التدريبية'!A:D,4,FALSE),"")</f>
        <v/>
      </c>
      <c r="E344" s="3"/>
      <c r="F344" s="3" t="str">
        <f>IFERROR(VLOOKUP(E344,'سجل الموظفين والكفاءة'!B:C,2,FALSE),"")</f>
        <v/>
      </c>
      <c r="G344" s="3">
        <f>IFERROR(VLOOKUP(A344,'الخطة التدريبية المعتمدة'!A:J,10,FALSE),0)</f>
        <v>0</v>
      </c>
      <c r="H344" s="3"/>
      <c r="I344" s="3"/>
      <c r="J344" s="3"/>
      <c r="K344" s="7" t="str">
        <f>IF(OR(I344="",J344="",I344=0),"",(J344-I344)/I344)</f>
        <v/>
      </c>
      <c r="L344" s="3" t="str">
        <f>IF(J344="","",IF(J344/10&gt;='الإعدادات والمستهدفات'!B5,"ناجح ومستوفى","ضعيف - يلزم إعادة اختبار"))</f>
        <v/>
      </c>
      <c r="M344" s="3"/>
      <c r="N344" s="3"/>
    </row>
    <row r="345" spans="1:14" x14ac:dyDescent="0.2">
      <c r="A345" s="3" t="str">
        <f>IFERROR(VLOOKUP(B345,'جدول الجلسات التدريبية'!A:B,2,FALSE),"")</f>
        <v/>
      </c>
      <c r="B345" s="3"/>
      <c r="C345" s="3" t="str">
        <f>IFERROR(VLOOKUP(A345,'الخطة التدريبية المعتمدة'!A:C,3,FALSE),"")</f>
        <v/>
      </c>
      <c r="D345" s="3" t="str">
        <f>IFERROR(VLOOKUP(B345,'جدول الجلسات التدريبية'!A:D,4,FALSE),"")</f>
        <v/>
      </c>
      <c r="E345" s="3"/>
      <c r="F345" s="3" t="str">
        <f>IFERROR(VLOOKUP(E345,'سجل الموظفين والكفاءة'!B:C,2,FALSE),"")</f>
        <v/>
      </c>
      <c r="G345" s="3">
        <f>IFERROR(VLOOKUP(A345,'الخطة التدريبية المعتمدة'!A:J,10,FALSE),0)</f>
        <v>0</v>
      </c>
      <c r="H345" s="3"/>
      <c r="I345" s="3"/>
      <c r="J345" s="3"/>
      <c r="K345" s="7" t="str">
        <f>IF(OR(I345="",J345="",I345=0),"",(J345-I345)/I345)</f>
        <v/>
      </c>
      <c r="L345" s="3" t="str">
        <f>IF(J345="","",IF(J345/10&gt;='الإعدادات والمستهدفات'!B5,"ناجح ومستوفى","ضعيف - يلزم إعادة اختبار"))</f>
        <v/>
      </c>
      <c r="M345" s="3"/>
      <c r="N345" s="3"/>
    </row>
    <row r="346" spans="1:14" x14ac:dyDescent="0.2">
      <c r="A346" s="3" t="str">
        <f>IFERROR(VLOOKUP(B346,'جدول الجلسات التدريبية'!A:B,2,FALSE),"")</f>
        <v/>
      </c>
      <c r="B346" s="3"/>
      <c r="C346" s="3" t="str">
        <f>IFERROR(VLOOKUP(A346,'الخطة التدريبية المعتمدة'!A:C,3,FALSE),"")</f>
        <v/>
      </c>
      <c r="D346" s="3" t="str">
        <f>IFERROR(VLOOKUP(B346,'جدول الجلسات التدريبية'!A:D,4,FALSE),"")</f>
        <v/>
      </c>
      <c r="E346" s="3"/>
      <c r="F346" s="3" t="str">
        <f>IFERROR(VLOOKUP(E346,'سجل الموظفين والكفاءة'!B:C,2,FALSE),"")</f>
        <v/>
      </c>
      <c r="G346" s="3">
        <f>IFERROR(VLOOKUP(A346,'الخطة التدريبية المعتمدة'!A:J,10,FALSE),0)</f>
        <v>0</v>
      </c>
      <c r="H346" s="3"/>
      <c r="I346" s="3"/>
      <c r="J346" s="3"/>
      <c r="K346" s="7" t="str">
        <f>IF(OR(I346="",J346="",I346=0),"",(J346-I346)/I346)</f>
        <v/>
      </c>
      <c r="L346" s="3" t="str">
        <f>IF(J346="","",IF(J346/10&gt;='الإعدادات والمستهدفات'!B5,"ناجح ومستوفى","ضعيف - يلزم إعادة اختبار"))</f>
        <v/>
      </c>
      <c r="M346" s="3"/>
      <c r="N346" s="3"/>
    </row>
    <row r="347" spans="1:14" x14ac:dyDescent="0.2">
      <c r="A347" s="3" t="str">
        <f>IFERROR(VLOOKUP(B347,'جدول الجلسات التدريبية'!A:B,2,FALSE),"")</f>
        <v/>
      </c>
      <c r="B347" s="3"/>
      <c r="C347" s="3" t="str">
        <f>IFERROR(VLOOKUP(A347,'الخطة التدريبية المعتمدة'!A:C,3,FALSE),"")</f>
        <v/>
      </c>
      <c r="D347" s="3" t="str">
        <f>IFERROR(VLOOKUP(B347,'جدول الجلسات التدريبية'!A:D,4,FALSE),"")</f>
        <v/>
      </c>
      <c r="E347" s="3"/>
      <c r="F347" s="3" t="str">
        <f>IFERROR(VLOOKUP(E347,'سجل الموظفين والكفاءة'!B:C,2,FALSE),"")</f>
        <v/>
      </c>
      <c r="G347" s="3">
        <f>IFERROR(VLOOKUP(A347,'الخطة التدريبية المعتمدة'!A:J,10,FALSE),0)</f>
        <v>0</v>
      </c>
      <c r="H347" s="3"/>
      <c r="I347" s="3"/>
      <c r="J347" s="3"/>
      <c r="K347" s="7" t="str">
        <f>IF(OR(I347="",J347="",I347=0),"",(J347-I347)/I347)</f>
        <v/>
      </c>
      <c r="L347" s="3" t="str">
        <f>IF(J347="","",IF(J347/10&gt;='الإعدادات والمستهدفات'!B5,"ناجح ومستوفى","ضعيف - يلزم إعادة اختبار"))</f>
        <v/>
      </c>
      <c r="M347" s="3"/>
      <c r="N347" s="3"/>
    </row>
    <row r="348" spans="1:14" x14ac:dyDescent="0.2">
      <c r="A348" s="3" t="str">
        <f>IFERROR(VLOOKUP(B348,'جدول الجلسات التدريبية'!A:B,2,FALSE),"")</f>
        <v/>
      </c>
      <c r="B348" s="3"/>
      <c r="C348" s="3" t="str">
        <f>IFERROR(VLOOKUP(A348,'الخطة التدريبية المعتمدة'!A:C,3,FALSE),"")</f>
        <v/>
      </c>
      <c r="D348" s="3" t="str">
        <f>IFERROR(VLOOKUP(B348,'جدول الجلسات التدريبية'!A:D,4,FALSE),"")</f>
        <v/>
      </c>
      <c r="E348" s="3"/>
      <c r="F348" s="3" t="str">
        <f>IFERROR(VLOOKUP(E348,'سجل الموظفين والكفاءة'!B:C,2,FALSE),"")</f>
        <v/>
      </c>
      <c r="G348" s="3">
        <f>IFERROR(VLOOKUP(A348,'الخطة التدريبية المعتمدة'!A:J,10,FALSE),0)</f>
        <v>0</v>
      </c>
      <c r="H348" s="3"/>
      <c r="I348" s="3"/>
      <c r="J348" s="3"/>
      <c r="K348" s="7" t="str">
        <f>IF(OR(I348="",J348="",I348=0),"",(J348-I348)/I348)</f>
        <v/>
      </c>
      <c r="L348" s="3" t="str">
        <f>IF(J348="","",IF(J348/10&gt;='الإعدادات والمستهدفات'!B5,"ناجح ومستوفى","ضعيف - يلزم إعادة اختبار"))</f>
        <v/>
      </c>
      <c r="M348" s="3"/>
      <c r="N348" s="3"/>
    </row>
    <row r="349" spans="1:14" x14ac:dyDescent="0.2">
      <c r="A349" s="3" t="str">
        <f>IFERROR(VLOOKUP(B349,'جدول الجلسات التدريبية'!A:B,2,FALSE),"")</f>
        <v/>
      </c>
      <c r="B349" s="3"/>
      <c r="C349" s="3" t="str">
        <f>IFERROR(VLOOKUP(A349,'الخطة التدريبية المعتمدة'!A:C,3,FALSE),"")</f>
        <v/>
      </c>
      <c r="D349" s="3" t="str">
        <f>IFERROR(VLOOKUP(B349,'جدول الجلسات التدريبية'!A:D,4,FALSE),"")</f>
        <v/>
      </c>
      <c r="E349" s="3"/>
      <c r="F349" s="3" t="str">
        <f>IFERROR(VLOOKUP(E349,'سجل الموظفين والكفاءة'!B:C,2,FALSE),"")</f>
        <v/>
      </c>
      <c r="G349" s="3">
        <f>IFERROR(VLOOKUP(A349,'الخطة التدريبية المعتمدة'!A:J,10,FALSE),0)</f>
        <v>0</v>
      </c>
      <c r="H349" s="3"/>
      <c r="I349" s="3"/>
      <c r="J349" s="3"/>
      <c r="K349" s="7" t="str">
        <f>IF(OR(I349="",J349="",I349=0),"",(J349-I349)/I349)</f>
        <v/>
      </c>
      <c r="L349" s="3" t="str">
        <f>IF(J349="","",IF(J349/10&gt;='الإعدادات والمستهدفات'!B5,"ناجح ومستوفى","ضعيف - يلزم إعادة اختبار"))</f>
        <v/>
      </c>
      <c r="M349" s="3"/>
      <c r="N349" s="3"/>
    </row>
    <row r="350" spans="1:14" x14ac:dyDescent="0.2">
      <c r="A350" s="3" t="str">
        <f>IFERROR(VLOOKUP(B350,'جدول الجلسات التدريبية'!A:B,2,FALSE),"")</f>
        <v/>
      </c>
      <c r="B350" s="3"/>
      <c r="C350" s="3" t="str">
        <f>IFERROR(VLOOKUP(A350,'الخطة التدريبية المعتمدة'!A:C,3,FALSE),"")</f>
        <v/>
      </c>
      <c r="D350" s="3" t="str">
        <f>IFERROR(VLOOKUP(B350,'جدول الجلسات التدريبية'!A:D,4,FALSE),"")</f>
        <v/>
      </c>
      <c r="E350" s="3"/>
      <c r="F350" s="3" t="str">
        <f>IFERROR(VLOOKUP(E350,'سجل الموظفين والكفاءة'!B:C,2,FALSE),"")</f>
        <v/>
      </c>
      <c r="G350" s="3">
        <f>IFERROR(VLOOKUP(A350,'الخطة التدريبية المعتمدة'!A:J,10,FALSE),0)</f>
        <v>0</v>
      </c>
      <c r="H350" s="3"/>
      <c r="I350" s="3"/>
      <c r="J350" s="3"/>
      <c r="K350" s="7" t="str">
        <f>IF(OR(I350="",J350="",I350=0),"",(J350-I350)/I350)</f>
        <v/>
      </c>
      <c r="L350" s="3" t="str">
        <f>IF(J350="","",IF(J350/10&gt;='الإعدادات والمستهدفات'!B5,"ناجح ومستوفى","ضعيف - يلزم إعادة اختبار"))</f>
        <v/>
      </c>
      <c r="M350" s="3"/>
      <c r="N350" s="3"/>
    </row>
    <row r="351" spans="1:14" x14ac:dyDescent="0.2">
      <c r="A351" s="3" t="str">
        <f>IFERROR(VLOOKUP(B351,'جدول الجلسات التدريبية'!A:B,2,FALSE),"")</f>
        <v/>
      </c>
      <c r="B351" s="3"/>
      <c r="C351" s="3" t="str">
        <f>IFERROR(VLOOKUP(A351,'الخطة التدريبية المعتمدة'!A:C,3,FALSE),"")</f>
        <v/>
      </c>
      <c r="D351" s="3" t="str">
        <f>IFERROR(VLOOKUP(B351,'جدول الجلسات التدريبية'!A:D,4,FALSE),"")</f>
        <v/>
      </c>
      <c r="E351" s="3"/>
      <c r="F351" s="3" t="str">
        <f>IFERROR(VLOOKUP(E351,'سجل الموظفين والكفاءة'!B:C,2,FALSE),"")</f>
        <v/>
      </c>
      <c r="G351" s="3">
        <f>IFERROR(VLOOKUP(A351,'الخطة التدريبية المعتمدة'!A:J,10,FALSE),0)</f>
        <v>0</v>
      </c>
      <c r="H351" s="3"/>
      <c r="I351" s="3"/>
      <c r="J351" s="3"/>
      <c r="K351" s="7" t="str">
        <f>IF(OR(I351="",J351="",I351=0),"",(J351-I351)/I351)</f>
        <v/>
      </c>
      <c r="L351" s="3" t="str">
        <f>IF(J351="","",IF(J351/10&gt;='الإعدادات والمستهدفات'!B5,"ناجح ومستوفى","ضعيف - يلزم إعادة اختبار"))</f>
        <v/>
      </c>
      <c r="M351" s="3"/>
      <c r="N351" s="3"/>
    </row>
    <row r="352" spans="1:14" x14ac:dyDescent="0.2">
      <c r="A352" s="3" t="str">
        <f>IFERROR(VLOOKUP(B352,'جدول الجلسات التدريبية'!A:B,2,FALSE),"")</f>
        <v/>
      </c>
      <c r="B352" s="3"/>
      <c r="C352" s="3" t="str">
        <f>IFERROR(VLOOKUP(A352,'الخطة التدريبية المعتمدة'!A:C,3,FALSE),"")</f>
        <v/>
      </c>
      <c r="D352" s="3" t="str">
        <f>IFERROR(VLOOKUP(B352,'جدول الجلسات التدريبية'!A:D,4,FALSE),"")</f>
        <v/>
      </c>
      <c r="E352" s="3"/>
      <c r="F352" s="3" t="str">
        <f>IFERROR(VLOOKUP(E352,'سجل الموظفين والكفاءة'!B:C,2,FALSE),"")</f>
        <v/>
      </c>
      <c r="G352" s="3">
        <f>IFERROR(VLOOKUP(A352,'الخطة التدريبية المعتمدة'!A:J,10,FALSE),0)</f>
        <v>0</v>
      </c>
      <c r="H352" s="3"/>
      <c r="I352" s="3"/>
      <c r="J352" s="3"/>
      <c r="K352" s="7" t="str">
        <f>IF(OR(I352="",J352="",I352=0),"",(J352-I352)/I352)</f>
        <v/>
      </c>
      <c r="L352" s="3" t="str">
        <f>IF(J352="","",IF(J352/10&gt;='الإعدادات والمستهدفات'!B5,"ناجح ومستوفى","ضعيف - يلزم إعادة اختبار"))</f>
        <v/>
      </c>
      <c r="M352" s="3"/>
      <c r="N352" s="3"/>
    </row>
    <row r="353" spans="1:14" x14ac:dyDescent="0.2">
      <c r="A353" s="3" t="str">
        <f>IFERROR(VLOOKUP(B353,'جدول الجلسات التدريبية'!A:B,2,FALSE),"")</f>
        <v/>
      </c>
      <c r="B353" s="3"/>
      <c r="C353" s="3" t="str">
        <f>IFERROR(VLOOKUP(A353,'الخطة التدريبية المعتمدة'!A:C,3,FALSE),"")</f>
        <v/>
      </c>
      <c r="D353" s="3" t="str">
        <f>IFERROR(VLOOKUP(B353,'جدول الجلسات التدريبية'!A:D,4,FALSE),"")</f>
        <v/>
      </c>
      <c r="E353" s="3"/>
      <c r="F353" s="3" t="str">
        <f>IFERROR(VLOOKUP(E353,'سجل الموظفين والكفاءة'!B:C,2,FALSE),"")</f>
        <v/>
      </c>
      <c r="G353" s="3">
        <f>IFERROR(VLOOKUP(A353,'الخطة التدريبية المعتمدة'!A:J,10,FALSE),0)</f>
        <v>0</v>
      </c>
      <c r="H353" s="3"/>
      <c r="I353" s="3"/>
      <c r="J353" s="3"/>
      <c r="K353" s="7" t="str">
        <f>IF(OR(I353="",J353="",I353=0),"",(J353-I353)/I353)</f>
        <v/>
      </c>
      <c r="L353" s="3" t="str">
        <f>IF(J353="","",IF(J353/10&gt;='الإعدادات والمستهدفات'!B5,"ناجح ومستوفى","ضعيف - يلزم إعادة اختبار"))</f>
        <v/>
      </c>
      <c r="M353" s="3"/>
      <c r="N353" s="3"/>
    </row>
    <row r="354" spans="1:14" x14ac:dyDescent="0.2">
      <c r="A354" s="3" t="str">
        <f>IFERROR(VLOOKUP(B354,'جدول الجلسات التدريبية'!A:B,2,FALSE),"")</f>
        <v/>
      </c>
      <c r="B354" s="3"/>
      <c r="C354" s="3" t="str">
        <f>IFERROR(VLOOKUP(A354,'الخطة التدريبية المعتمدة'!A:C,3,FALSE),"")</f>
        <v/>
      </c>
      <c r="D354" s="3" t="str">
        <f>IFERROR(VLOOKUP(B354,'جدول الجلسات التدريبية'!A:D,4,FALSE),"")</f>
        <v/>
      </c>
      <c r="E354" s="3"/>
      <c r="F354" s="3" t="str">
        <f>IFERROR(VLOOKUP(E354,'سجل الموظفين والكفاءة'!B:C,2,FALSE),"")</f>
        <v/>
      </c>
      <c r="G354" s="3">
        <f>IFERROR(VLOOKUP(A354,'الخطة التدريبية المعتمدة'!A:J,10,FALSE),0)</f>
        <v>0</v>
      </c>
      <c r="H354" s="3"/>
      <c r="I354" s="3"/>
      <c r="J354" s="3"/>
      <c r="K354" s="7" t="str">
        <f>IF(OR(I354="",J354="",I354=0),"",(J354-I354)/I354)</f>
        <v/>
      </c>
      <c r="L354" s="3" t="str">
        <f>IF(J354="","",IF(J354/10&gt;='الإعدادات والمستهدفات'!B5,"ناجح ومستوفى","ضعيف - يلزم إعادة اختبار"))</f>
        <v/>
      </c>
      <c r="M354" s="3"/>
      <c r="N354" s="3"/>
    </row>
    <row r="355" spans="1:14" x14ac:dyDescent="0.2">
      <c r="A355" s="3" t="str">
        <f>IFERROR(VLOOKUP(B355,'جدول الجلسات التدريبية'!A:B,2,FALSE),"")</f>
        <v/>
      </c>
      <c r="B355" s="3"/>
      <c r="C355" s="3" t="str">
        <f>IFERROR(VLOOKUP(A355,'الخطة التدريبية المعتمدة'!A:C,3,FALSE),"")</f>
        <v/>
      </c>
      <c r="D355" s="3" t="str">
        <f>IFERROR(VLOOKUP(B355,'جدول الجلسات التدريبية'!A:D,4,FALSE),"")</f>
        <v/>
      </c>
      <c r="E355" s="3"/>
      <c r="F355" s="3" t="str">
        <f>IFERROR(VLOOKUP(E355,'سجل الموظفين والكفاءة'!B:C,2,FALSE),"")</f>
        <v/>
      </c>
      <c r="G355" s="3">
        <f>IFERROR(VLOOKUP(A355,'الخطة التدريبية المعتمدة'!A:J,10,FALSE),0)</f>
        <v>0</v>
      </c>
      <c r="H355" s="3"/>
      <c r="I355" s="3"/>
      <c r="J355" s="3"/>
      <c r="K355" s="7" t="str">
        <f>IF(OR(I355="",J355="",I355=0),"",(J355-I355)/I355)</f>
        <v/>
      </c>
      <c r="L355" s="3" t="str">
        <f>IF(J355="","",IF(J355/10&gt;='الإعدادات والمستهدفات'!B5,"ناجح ومستوفى","ضعيف - يلزم إعادة اختبار"))</f>
        <v/>
      </c>
      <c r="M355" s="3"/>
      <c r="N355" s="3"/>
    </row>
    <row r="356" spans="1:14" x14ac:dyDescent="0.2">
      <c r="A356" s="3" t="str">
        <f>IFERROR(VLOOKUP(B356,'جدول الجلسات التدريبية'!A:B,2,FALSE),"")</f>
        <v/>
      </c>
      <c r="B356" s="3"/>
      <c r="C356" s="3" t="str">
        <f>IFERROR(VLOOKUP(A356,'الخطة التدريبية المعتمدة'!A:C,3,FALSE),"")</f>
        <v/>
      </c>
      <c r="D356" s="3" t="str">
        <f>IFERROR(VLOOKUP(B356,'جدول الجلسات التدريبية'!A:D,4,FALSE),"")</f>
        <v/>
      </c>
      <c r="E356" s="3"/>
      <c r="F356" s="3" t="str">
        <f>IFERROR(VLOOKUP(E356,'سجل الموظفين والكفاءة'!B:C,2,FALSE),"")</f>
        <v/>
      </c>
      <c r="G356" s="3">
        <f>IFERROR(VLOOKUP(A356,'الخطة التدريبية المعتمدة'!A:J,10,FALSE),0)</f>
        <v>0</v>
      </c>
      <c r="H356" s="3"/>
      <c r="I356" s="3"/>
      <c r="J356" s="3"/>
      <c r="K356" s="7" t="str">
        <f>IF(OR(I356="",J356="",I356=0),"",(J356-I356)/I356)</f>
        <v/>
      </c>
      <c r="L356" s="3" t="str">
        <f>IF(J356="","",IF(J356/10&gt;='الإعدادات والمستهدفات'!B5,"ناجح ومستوفى","ضعيف - يلزم إعادة اختبار"))</f>
        <v/>
      </c>
      <c r="M356" s="3"/>
      <c r="N356" s="3"/>
    </row>
    <row r="357" spans="1:14" x14ac:dyDescent="0.2">
      <c r="A357" s="3" t="str">
        <f>IFERROR(VLOOKUP(B357,'جدول الجلسات التدريبية'!A:B,2,FALSE),"")</f>
        <v/>
      </c>
      <c r="B357" s="3"/>
      <c r="C357" s="3" t="str">
        <f>IFERROR(VLOOKUP(A357,'الخطة التدريبية المعتمدة'!A:C,3,FALSE),"")</f>
        <v/>
      </c>
      <c r="D357" s="3" t="str">
        <f>IFERROR(VLOOKUP(B357,'جدول الجلسات التدريبية'!A:D,4,FALSE),"")</f>
        <v/>
      </c>
      <c r="E357" s="3"/>
      <c r="F357" s="3" t="str">
        <f>IFERROR(VLOOKUP(E357,'سجل الموظفين والكفاءة'!B:C,2,FALSE),"")</f>
        <v/>
      </c>
      <c r="G357" s="3">
        <f>IFERROR(VLOOKUP(A357,'الخطة التدريبية المعتمدة'!A:J,10,FALSE),0)</f>
        <v>0</v>
      </c>
      <c r="H357" s="3"/>
      <c r="I357" s="3"/>
      <c r="J357" s="3"/>
      <c r="K357" s="7" t="str">
        <f>IF(OR(I357="",J357="",I357=0),"",(J357-I357)/I357)</f>
        <v/>
      </c>
      <c r="L357" s="3" t="str">
        <f>IF(J357="","",IF(J357/10&gt;='الإعدادات والمستهدفات'!B5,"ناجح ومستوفى","ضعيف - يلزم إعادة اختبار"))</f>
        <v/>
      </c>
      <c r="M357" s="3"/>
      <c r="N357" s="3"/>
    </row>
    <row r="358" spans="1:14" x14ac:dyDescent="0.2">
      <c r="A358" s="3" t="str">
        <f>IFERROR(VLOOKUP(B358,'جدول الجلسات التدريبية'!A:B,2,FALSE),"")</f>
        <v/>
      </c>
      <c r="B358" s="3"/>
      <c r="C358" s="3" t="str">
        <f>IFERROR(VLOOKUP(A358,'الخطة التدريبية المعتمدة'!A:C,3,FALSE),"")</f>
        <v/>
      </c>
      <c r="D358" s="3" t="str">
        <f>IFERROR(VLOOKUP(B358,'جدول الجلسات التدريبية'!A:D,4,FALSE),"")</f>
        <v/>
      </c>
      <c r="E358" s="3"/>
      <c r="F358" s="3" t="str">
        <f>IFERROR(VLOOKUP(E358,'سجل الموظفين والكفاءة'!B:C,2,FALSE),"")</f>
        <v/>
      </c>
      <c r="G358" s="3">
        <f>IFERROR(VLOOKUP(A358,'الخطة التدريبية المعتمدة'!A:J,10,FALSE),0)</f>
        <v>0</v>
      </c>
      <c r="H358" s="3"/>
      <c r="I358" s="3"/>
      <c r="J358" s="3"/>
      <c r="K358" s="7" t="str">
        <f>IF(OR(I358="",J358="",I358=0),"",(J358-I358)/I358)</f>
        <v/>
      </c>
      <c r="L358" s="3" t="str">
        <f>IF(J358="","",IF(J358/10&gt;='الإعدادات والمستهدفات'!B5,"ناجح ومستوفى","ضعيف - يلزم إعادة اختبار"))</f>
        <v/>
      </c>
      <c r="M358" s="3"/>
      <c r="N358" s="3"/>
    </row>
    <row r="359" spans="1:14" x14ac:dyDescent="0.2">
      <c r="A359" s="3" t="str">
        <f>IFERROR(VLOOKUP(B359,'جدول الجلسات التدريبية'!A:B,2,FALSE),"")</f>
        <v/>
      </c>
      <c r="B359" s="3"/>
      <c r="C359" s="3" t="str">
        <f>IFERROR(VLOOKUP(A359,'الخطة التدريبية المعتمدة'!A:C,3,FALSE),"")</f>
        <v/>
      </c>
      <c r="D359" s="3" t="str">
        <f>IFERROR(VLOOKUP(B359,'جدول الجلسات التدريبية'!A:D,4,FALSE),"")</f>
        <v/>
      </c>
      <c r="E359" s="3"/>
      <c r="F359" s="3" t="str">
        <f>IFERROR(VLOOKUP(E359,'سجل الموظفين والكفاءة'!B:C,2,FALSE),"")</f>
        <v/>
      </c>
      <c r="G359" s="3">
        <f>IFERROR(VLOOKUP(A359,'الخطة التدريبية المعتمدة'!A:J,10,FALSE),0)</f>
        <v>0</v>
      </c>
      <c r="H359" s="3"/>
      <c r="I359" s="3"/>
      <c r="J359" s="3"/>
      <c r="K359" s="7" t="str">
        <f>IF(OR(I359="",J359="",I359=0),"",(J359-I359)/I359)</f>
        <v/>
      </c>
      <c r="L359" s="3" t="str">
        <f>IF(J359="","",IF(J359/10&gt;='الإعدادات والمستهدفات'!B5,"ناجح ومستوفى","ضعيف - يلزم إعادة اختبار"))</f>
        <v/>
      </c>
      <c r="M359" s="3"/>
      <c r="N359" s="3"/>
    </row>
    <row r="360" spans="1:14" x14ac:dyDescent="0.2">
      <c r="A360" s="3" t="str">
        <f>IFERROR(VLOOKUP(B360,'جدول الجلسات التدريبية'!A:B,2,FALSE),"")</f>
        <v/>
      </c>
      <c r="B360" s="3"/>
      <c r="C360" s="3" t="str">
        <f>IFERROR(VLOOKUP(A360,'الخطة التدريبية المعتمدة'!A:C,3,FALSE),"")</f>
        <v/>
      </c>
      <c r="D360" s="3" t="str">
        <f>IFERROR(VLOOKUP(B360,'جدول الجلسات التدريبية'!A:D,4,FALSE),"")</f>
        <v/>
      </c>
      <c r="E360" s="3"/>
      <c r="F360" s="3" t="str">
        <f>IFERROR(VLOOKUP(E360,'سجل الموظفين والكفاءة'!B:C,2,FALSE),"")</f>
        <v/>
      </c>
      <c r="G360" s="3">
        <f>IFERROR(VLOOKUP(A360,'الخطة التدريبية المعتمدة'!A:J,10,FALSE),0)</f>
        <v>0</v>
      </c>
      <c r="H360" s="3"/>
      <c r="I360" s="3"/>
      <c r="J360" s="3"/>
      <c r="K360" s="7" t="str">
        <f>IF(OR(I360="",J360="",I360=0),"",(J360-I360)/I360)</f>
        <v/>
      </c>
      <c r="L360" s="3" t="str">
        <f>IF(J360="","",IF(J360/10&gt;='الإعدادات والمستهدفات'!B5,"ناجح ومستوفى","ضعيف - يلزم إعادة اختبار"))</f>
        <v/>
      </c>
      <c r="M360" s="3"/>
      <c r="N360" s="3"/>
    </row>
    <row r="361" spans="1:14" x14ac:dyDescent="0.2">
      <c r="A361" s="3" t="str">
        <f>IFERROR(VLOOKUP(B361,'جدول الجلسات التدريبية'!A:B,2,FALSE),"")</f>
        <v/>
      </c>
      <c r="B361" s="3"/>
      <c r="C361" s="3" t="str">
        <f>IFERROR(VLOOKUP(A361,'الخطة التدريبية المعتمدة'!A:C,3,FALSE),"")</f>
        <v/>
      </c>
      <c r="D361" s="3" t="str">
        <f>IFERROR(VLOOKUP(B361,'جدول الجلسات التدريبية'!A:D,4,FALSE),"")</f>
        <v/>
      </c>
      <c r="E361" s="3"/>
      <c r="F361" s="3" t="str">
        <f>IFERROR(VLOOKUP(E361,'سجل الموظفين والكفاءة'!B:C,2,FALSE),"")</f>
        <v/>
      </c>
      <c r="G361" s="3">
        <f>IFERROR(VLOOKUP(A361,'الخطة التدريبية المعتمدة'!A:J,10,FALSE),0)</f>
        <v>0</v>
      </c>
      <c r="H361" s="3"/>
      <c r="I361" s="3"/>
      <c r="J361" s="3"/>
      <c r="K361" s="7" t="str">
        <f>IF(OR(I361="",J361="",I361=0),"",(J361-I361)/I361)</f>
        <v/>
      </c>
      <c r="L361" s="3" t="str">
        <f>IF(J361="","",IF(J361/10&gt;='الإعدادات والمستهدفات'!B5,"ناجح ومستوفى","ضعيف - يلزم إعادة اختبار"))</f>
        <v/>
      </c>
      <c r="M361" s="3"/>
      <c r="N361" s="3"/>
    </row>
    <row r="362" spans="1:14" x14ac:dyDescent="0.2">
      <c r="A362" s="3" t="str">
        <f>IFERROR(VLOOKUP(B362,'جدول الجلسات التدريبية'!A:B,2,FALSE),"")</f>
        <v/>
      </c>
      <c r="B362" s="3"/>
      <c r="C362" s="3" t="str">
        <f>IFERROR(VLOOKUP(A362,'الخطة التدريبية المعتمدة'!A:C,3,FALSE),"")</f>
        <v/>
      </c>
      <c r="D362" s="3" t="str">
        <f>IFERROR(VLOOKUP(B362,'جدول الجلسات التدريبية'!A:D,4,FALSE),"")</f>
        <v/>
      </c>
      <c r="E362" s="3"/>
      <c r="F362" s="3" t="str">
        <f>IFERROR(VLOOKUP(E362,'سجل الموظفين والكفاءة'!B:C,2,FALSE),"")</f>
        <v/>
      </c>
      <c r="G362" s="3">
        <f>IFERROR(VLOOKUP(A362,'الخطة التدريبية المعتمدة'!A:J,10,FALSE),0)</f>
        <v>0</v>
      </c>
      <c r="H362" s="3"/>
      <c r="I362" s="3"/>
      <c r="J362" s="3"/>
      <c r="K362" s="7" t="str">
        <f>IF(OR(I362="",J362="",I362=0),"",(J362-I362)/I362)</f>
        <v/>
      </c>
      <c r="L362" s="3" t="str">
        <f>IF(J362="","",IF(J362/10&gt;='الإعدادات والمستهدفات'!B5,"ناجح ومستوفى","ضعيف - يلزم إعادة اختبار"))</f>
        <v/>
      </c>
      <c r="M362" s="3"/>
      <c r="N362" s="3"/>
    </row>
    <row r="363" spans="1:14" x14ac:dyDescent="0.2">
      <c r="A363" s="3" t="str">
        <f>IFERROR(VLOOKUP(B363,'جدول الجلسات التدريبية'!A:B,2,FALSE),"")</f>
        <v/>
      </c>
      <c r="B363" s="3"/>
      <c r="C363" s="3" t="str">
        <f>IFERROR(VLOOKUP(A363,'الخطة التدريبية المعتمدة'!A:C,3,FALSE),"")</f>
        <v/>
      </c>
      <c r="D363" s="3" t="str">
        <f>IFERROR(VLOOKUP(B363,'جدول الجلسات التدريبية'!A:D,4,FALSE),"")</f>
        <v/>
      </c>
      <c r="E363" s="3"/>
      <c r="F363" s="3" t="str">
        <f>IFERROR(VLOOKUP(E363,'سجل الموظفين والكفاءة'!B:C,2,FALSE),"")</f>
        <v/>
      </c>
      <c r="G363" s="3">
        <f>IFERROR(VLOOKUP(A363,'الخطة التدريبية المعتمدة'!A:J,10,FALSE),0)</f>
        <v>0</v>
      </c>
      <c r="H363" s="3"/>
      <c r="I363" s="3"/>
      <c r="J363" s="3"/>
      <c r="K363" s="7" t="str">
        <f>IF(OR(I363="",J363="",I363=0),"",(J363-I363)/I363)</f>
        <v/>
      </c>
      <c r="L363" s="3" t="str">
        <f>IF(J363="","",IF(J363/10&gt;='الإعدادات والمستهدفات'!B5,"ناجح ومستوفى","ضعيف - يلزم إعادة اختبار"))</f>
        <v/>
      </c>
      <c r="M363" s="3"/>
      <c r="N363" s="3"/>
    </row>
    <row r="364" spans="1:14" x14ac:dyDescent="0.2">
      <c r="A364" s="3" t="str">
        <f>IFERROR(VLOOKUP(B364,'جدول الجلسات التدريبية'!A:B,2,FALSE),"")</f>
        <v/>
      </c>
      <c r="B364" s="3"/>
      <c r="C364" s="3" t="str">
        <f>IFERROR(VLOOKUP(A364,'الخطة التدريبية المعتمدة'!A:C,3,FALSE),"")</f>
        <v/>
      </c>
      <c r="D364" s="3" t="str">
        <f>IFERROR(VLOOKUP(B364,'جدول الجلسات التدريبية'!A:D,4,FALSE),"")</f>
        <v/>
      </c>
      <c r="E364" s="3"/>
      <c r="F364" s="3" t="str">
        <f>IFERROR(VLOOKUP(E364,'سجل الموظفين والكفاءة'!B:C,2,FALSE),"")</f>
        <v/>
      </c>
      <c r="G364" s="3">
        <f>IFERROR(VLOOKUP(A364,'الخطة التدريبية المعتمدة'!A:J,10,FALSE),0)</f>
        <v>0</v>
      </c>
      <c r="H364" s="3"/>
      <c r="I364" s="3"/>
      <c r="J364" s="3"/>
      <c r="K364" s="7" t="str">
        <f>IF(OR(I364="",J364="",I364=0),"",(J364-I364)/I364)</f>
        <v/>
      </c>
      <c r="L364" s="3" t="str">
        <f>IF(J364="","",IF(J364/10&gt;='الإعدادات والمستهدفات'!B5,"ناجح ومستوفى","ضعيف - يلزم إعادة اختبار"))</f>
        <v/>
      </c>
      <c r="M364" s="3"/>
      <c r="N364" s="3"/>
    </row>
    <row r="365" spans="1:14" x14ac:dyDescent="0.2">
      <c r="A365" s="3" t="str">
        <f>IFERROR(VLOOKUP(B365,'جدول الجلسات التدريبية'!A:B,2,FALSE),"")</f>
        <v/>
      </c>
      <c r="B365" s="3"/>
      <c r="C365" s="3" t="str">
        <f>IFERROR(VLOOKUP(A365,'الخطة التدريبية المعتمدة'!A:C,3,FALSE),"")</f>
        <v/>
      </c>
      <c r="D365" s="3" t="str">
        <f>IFERROR(VLOOKUP(B365,'جدول الجلسات التدريبية'!A:D,4,FALSE),"")</f>
        <v/>
      </c>
      <c r="E365" s="3"/>
      <c r="F365" s="3" t="str">
        <f>IFERROR(VLOOKUP(E365,'سجل الموظفين والكفاءة'!B:C,2,FALSE),"")</f>
        <v/>
      </c>
      <c r="G365" s="3">
        <f>IFERROR(VLOOKUP(A365,'الخطة التدريبية المعتمدة'!A:J,10,FALSE),0)</f>
        <v>0</v>
      </c>
      <c r="H365" s="3"/>
      <c r="I365" s="3"/>
      <c r="J365" s="3"/>
      <c r="K365" s="7" t="str">
        <f>IF(OR(I365="",J365="",I365=0),"",(J365-I365)/I365)</f>
        <v/>
      </c>
      <c r="L365" s="3" t="str">
        <f>IF(J365="","",IF(J365/10&gt;='الإعدادات والمستهدفات'!B5,"ناجح ومستوفى","ضعيف - يلزم إعادة اختبار"))</f>
        <v/>
      </c>
      <c r="M365" s="3"/>
      <c r="N365" s="3"/>
    </row>
    <row r="366" spans="1:14" x14ac:dyDescent="0.2">
      <c r="A366" s="3" t="str">
        <f>IFERROR(VLOOKUP(B366,'جدول الجلسات التدريبية'!A:B,2,FALSE),"")</f>
        <v/>
      </c>
      <c r="B366" s="3"/>
      <c r="C366" s="3" t="str">
        <f>IFERROR(VLOOKUP(A366,'الخطة التدريبية المعتمدة'!A:C,3,FALSE),"")</f>
        <v/>
      </c>
      <c r="D366" s="3" t="str">
        <f>IFERROR(VLOOKUP(B366,'جدول الجلسات التدريبية'!A:D,4,FALSE),"")</f>
        <v/>
      </c>
      <c r="E366" s="3"/>
      <c r="F366" s="3" t="str">
        <f>IFERROR(VLOOKUP(E366,'سجل الموظفين والكفاءة'!B:C,2,FALSE),"")</f>
        <v/>
      </c>
      <c r="G366" s="3">
        <f>IFERROR(VLOOKUP(A366,'الخطة التدريبية المعتمدة'!A:J,10,FALSE),0)</f>
        <v>0</v>
      </c>
      <c r="H366" s="3"/>
      <c r="I366" s="3"/>
      <c r="J366" s="3"/>
      <c r="K366" s="7" t="str">
        <f>IF(OR(I366="",J366="",I366=0),"",(J366-I366)/I366)</f>
        <v/>
      </c>
      <c r="L366" s="3" t="str">
        <f>IF(J366="","",IF(J366/10&gt;='الإعدادات والمستهدفات'!B5,"ناجح ومستوفى","ضعيف - يلزم إعادة اختبار"))</f>
        <v/>
      </c>
      <c r="M366" s="3"/>
      <c r="N366" s="3"/>
    </row>
    <row r="367" spans="1:14" x14ac:dyDescent="0.2">
      <c r="A367" s="3" t="str">
        <f>IFERROR(VLOOKUP(B367,'جدول الجلسات التدريبية'!A:B,2,FALSE),"")</f>
        <v/>
      </c>
      <c r="B367" s="3"/>
      <c r="C367" s="3" t="str">
        <f>IFERROR(VLOOKUP(A367,'الخطة التدريبية المعتمدة'!A:C,3,FALSE),"")</f>
        <v/>
      </c>
      <c r="D367" s="3" t="str">
        <f>IFERROR(VLOOKUP(B367,'جدول الجلسات التدريبية'!A:D,4,FALSE),"")</f>
        <v/>
      </c>
      <c r="E367" s="3"/>
      <c r="F367" s="3" t="str">
        <f>IFERROR(VLOOKUP(E367,'سجل الموظفين والكفاءة'!B:C,2,FALSE),"")</f>
        <v/>
      </c>
      <c r="G367" s="3">
        <f>IFERROR(VLOOKUP(A367,'الخطة التدريبية المعتمدة'!A:J,10,FALSE),0)</f>
        <v>0</v>
      </c>
      <c r="H367" s="3"/>
      <c r="I367" s="3"/>
      <c r="J367" s="3"/>
      <c r="K367" s="7" t="str">
        <f>IF(OR(I367="",J367="",I367=0),"",(J367-I367)/I367)</f>
        <v/>
      </c>
      <c r="L367" s="3" t="str">
        <f>IF(J367="","",IF(J367/10&gt;='الإعدادات والمستهدفات'!B5,"ناجح ومستوفى","ضعيف - يلزم إعادة اختبار"))</f>
        <v/>
      </c>
      <c r="M367" s="3"/>
      <c r="N367" s="3"/>
    </row>
    <row r="368" spans="1:14" x14ac:dyDescent="0.2">
      <c r="A368" s="3" t="str">
        <f>IFERROR(VLOOKUP(B368,'جدول الجلسات التدريبية'!A:B,2,FALSE),"")</f>
        <v/>
      </c>
      <c r="B368" s="3"/>
      <c r="C368" s="3" t="str">
        <f>IFERROR(VLOOKUP(A368,'الخطة التدريبية المعتمدة'!A:C,3,FALSE),"")</f>
        <v/>
      </c>
      <c r="D368" s="3" t="str">
        <f>IFERROR(VLOOKUP(B368,'جدول الجلسات التدريبية'!A:D,4,FALSE),"")</f>
        <v/>
      </c>
      <c r="E368" s="3"/>
      <c r="F368" s="3" t="str">
        <f>IFERROR(VLOOKUP(E368,'سجل الموظفين والكفاءة'!B:C,2,FALSE),"")</f>
        <v/>
      </c>
      <c r="G368" s="3">
        <f>IFERROR(VLOOKUP(A368,'الخطة التدريبية المعتمدة'!A:J,10,FALSE),0)</f>
        <v>0</v>
      </c>
      <c r="H368" s="3"/>
      <c r="I368" s="3"/>
      <c r="J368" s="3"/>
      <c r="K368" s="7" t="str">
        <f>IF(OR(I368="",J368="",I368=0),"",(J368-I368)/I368)</f>
        <v/>
      </c>
      <c r="L368" s="3" t="str">
        <f>IF(J368="","",IF(J368/10&gt;='الإعدادات والمستهدفات'!B5,"ناجح ومستوفى","ضعيف - يلزم إعادة اختبار"))</f>
        <v/>
      </c>
      <c r="M368" s="3"/>
      <c r="N368" s="3"/>
    </row>
    <row r="369" spans="1:14" x14ac:dyDescent="0.2">
      <c r="A369" s="3" t="str">
        <f>IFERROR(VLOOKUP(B369,'جدول الجلسات التدريبية'!A:B,2,FALSE),"")</f>
        <v/>
      </c>
      <c r="B369" s="3"/>
      <c r="C369" s="3" t="str">
        <f>IFERROR(VLOOKUP(A369,'الخطة التدريبية المعتمدة'!A:C,3,FALSE),"")</f>
        <v/>
      </c>
      <c r="D369" s="3" t="str">
        <f>IFERROR(VLOOKUP(B369,'جدول الجلسات التدريبية'!A:D,4,FALSE),"")</f>
        <v/>
      </c>
      <c r="E369" s="3"/>
      <c r="F369" s="3" t="str">
        <f>IFERROR(VLOOKUP(E369,'سجل الموظفين والكفاءة'!B:C,2,FALSE),"")</f>
        <v/>
      </c>
      <c r="G369" s="3">
        <f>IFERROR(VLOOKUP(A369,'الخطة التدريبية المعتمدة'!A:J,10,FALSE),0)</f>
        <v>0</v>
      </c>
      <c r="H369" s="3"/>
      <c r="I369" s="3"/>
      <c r="J369" s="3"/>
      <c r="K369" s="7" t="str">
        <f>IF(OR(I369="",J369="",I369=0),"",(J369-I369)/I369)</f>
        <v/>
      </c>
      <c r="L369" s="3" t="str">
        <f>IF(J369="","",IF(J369/10&gt;='الإعدادات والمستهدفات'!B5,"ناجح ومستوفى","ضعيف - يلزم إعادة اختبار"))</f>
        <v/>
      </c>
      <c r="M369" s="3"/>
      <c r="N369" s="3"/>
    </row>
    <row r="370" spans="1:14" x14ac:dyDescent="0.2">
      <c r="A370" s="3" t="str">
        <f>IFERROR(VLOOKUP(B370,'جدول الجلسات التدريبية'!A:B,2,FALSE),"")</f>
        <v/>
      </c>
      <c r="B370" s="3"/>
      <c r="C370" s="3" t="str">
        <f>IFERROR(VLOOKUP(A370,'الخطة التدريبية المعتمدة'!A:C,3,FALSE),"")</f>
        <v/>
      </c>
      <c r="D370" s="3" t="str">
        <f>IFERROR(VLOOKUP(B370,'جدول الجلسات التدريبية'!A:D,4,FALSE),"")</f>
        <v/>
      </c>
      <c r="E370" s="3"/>
      <c r="F370" s="3" t="str">
        <f>IFERROR(VLOOKUP(E370,'سجل الموظفين والكفاءة'!B:C,2,FALSE),"")</f>
        <v/>
      </c>
      <c r="G370" s="3">
        <f>IFERROR(VLOOKUP(A370,'الخطة التدريبية المعتمدة'!A:J,10,FALSE),0)</f>
        <v>0</v>
      </c>
      <c r="H370" s="3"/>
      <c r="I370" s="3"/>
      <c r="J370" s="3"/>
      <c r="K370" s="7" t="str">
        <f>IF(OR(I370="",J370="",I370=0),"",(J370-I370)/I370)</f>
        <v/>
      </c>
      <c r="L370" s="3" t="str">
        <f>IF(J370="","",IF(J370/10&gt;='الإعدادات والمستهدفات'!B5,"ناجح ومستوفى","ضعيف - يلزم إعادة اختبار"))</f>
        <v/>
      </c>
      <c r="M370" s="3"/>
      <c r="N370" s="3"/>
    </row>
    <row r="371" spans="1:14" x14ac:dyDescent="0.2">
      <c r="A371" s="3" t="str">
        <f>IFERROR(VLOOKUP(B371,'جدول الجلسات التدريبية'!A:B,2,FALSE),"")</f>
        <v/>
      </c>
      <c r="B371" s="3"/>
      <c r="C371" s="3" t="str">
        <f>IFERROR(VLOOKUP(A371,'الخطة التدريبية المعتمدة'!A:C,3,FALSE),"")</f>
        <v/>
      </c>
      <c r="D371" s="3" t="str">
        <f>IFERROR(VLOOKUP(B371,'جدول الجلسات التدريبية'!A:D,4,FALSE),"")</f>
        <v/>
      </c>
      <c r="E371" s="3"/>
      <c r="F371" s="3" t="str">
        <f>IFERROR(VLOOKUP(E371,'سجل الموظفين والكفاءة'!B:C,2,FALSE),"")</f>
        <v/>
      </c>
      <c r="G371" s="3">
        <f>IFERROR(VLOOKUP(A371,'الخطة التدريبية المعتمدة'!A:J,10,FALSE),0)</f>
        <v>0</v>
      </c>
      <c r="H371" s="3"/>
      <c r="I371" s="3"/>
      <c r="J371" s="3"/>
      <c r="K371" s="7" t="str">
        <f>IF(OR(I371="",J371="",I371=0),"",(J371-I371)/I371)</f>
        <v/>
      </c>
      <c r="L371" s="3" t="str">
        <f>IF(J371="","",IF(J371/10&gt;='الإعدادات والمستهدفات'!B5,"ناجح ومستوفى","ضعيف - يلزم إعادة اختبار"))</f>
        <v/>
      </c>
      <c r="M371" s="3"/>
      <c r="N371" s="3"/>
    </row>
    <row r="372" spans="1:14" x14ac:dyDescent="0.2">
      <c r="A372" s="3" t="str">
        <f>IFERROR(VLOOKUP(B372,'جدول الجلسات التدريبية'!A:B,2,FALSE),"")</f>
        <v/>
      </c>
      <c r="B372" s="3"/>
      <c r="C372" s="3" t="str">
        <f>IFERROR(VLOOKUP(A372,'الخطة التدريبية المعتمدة'!A:C,3,FALSE),"")</f>
        <v/>
      </c>
      <c r="D372" s="3" t="str">
        <f>IFERROR(VLOOKUP(B372,'جدول الجلسات التدريبية'!A:D,4,FALSE),"")</f>
        <v/>
      </c>
      <c r="E372" s="3"/>
      <c r="F372" s="3" t="str">
        <f>IFERROR(VLOOKUP(E372,'سجل الموظفين والكفاءة'!B:C,2,FALSE),"")</f>
        <v/>
      </c>
      <c r="G372" s="3">
        <f>IFERROR(VLOOKUP(A372,'الخطة التدريبية المعتمدة'!A:J,10,FALSE),0)</f>
        <v>0</v>
      </c>
      <c r="H372" s="3"/>
      <c r="I372" s="3"/>
      <c r="J372" s="3"/>
      <c r="K372" s="7" t="str">
        <f>IF(OR(I372="",J372="",I372=0),"",(J372-I372)/I372)</f>
        <v/>
      </c>
      <c r="L372" s="3" t="str">
        <f>IF(J372="","",IF(J372/10&gt;='الإعدادات والمستهدفات'!B5,"ناجح ومستوفى","ضعيف - يلزم إعادة اختبار"))</f>
        <v/>
      </c>
      <c r="M372" s="3"/>
      <c r="N372" s="3"/>
    </row>
    <row r="373" spans="1:14" x14ac:dyDescent="0.2">
      <c r="A373" s="3" t="str">
        <f>IFERROR(VLOOKUP(B373,'جدول الجلسات التدريبية'!A:B,2,FALSE),"")</f>
        <v/>
      </c>
      <c r="B373" s="3"/>
      <c r="C373" s="3" t="str">
        <f>IFERROR(VLOOKUP(A373,'الخطة التدريبية المعتمدة'!A:C,3,FALSE),"")</f>
        <v/>
      </c>
      <c r="D373" s="3" t="str">
        <f>IFERROR(VLOOKUP(B373,'جدول الجلسات التدريبية'!A:D,4,FALSE),"")</f>
        <v/>
      </c>
      <c r="E373" s="3"/>
      <c r="F373" s="3" t="str">
        <f>IFERROR(VLOOKUP(E373,'سجل الموظفين والكفاءة'!B:C,2,FALSE),"")</f>
        <v/>
      </c>
      <c r="G373" s="3">
        <f>IFERROR(VLOOKUP(A373,'الخطة التدريبية المعتمدة'!A:J,10,FALSE),0)</f>
        <v>0</v>
      </c>
      <c r="H373" s="3"/>
      <c r="I373" s="3"/>
      <c r="J373" s="3"/>
      <c r="K373" s="7" t="str">
        <f>IF(OR(I373="",J373="",I373=0),"",(J373-I373)/I373)</f>
        <v/>
      </c>
      <c r="L373" s="3" t="str">
        <f>IF(J373="","",IF(J373/10&gt;='الإعدادات والمستهدفات'!B5,"ناجح ومستوفى","ضعيف - يلزم إعادة اختبار"))</f>
        <v/>
      </c>
      <c r="M373" s="3"/>
      <c r="N373" s="3"/>
    </row>
    <row r="374" spans="1:14" x14ac:dyDescent="0.2">
      <c r="A374" s="3" t="str">
        <f>IFERROR(VLOOKUP(B374,'جدول الجلسات التدريبية'!A:B,2,FALSE),"")</f>
        <v/>
      </c>
      <c r="B374" s="3"/>
      <c r="C374" s="3" t="str">
        <f>IFERROR(VLOOKUP(A374,'الخطة التدريبية المعتمدة'!A:C,3,FALSE),"")</f>
        <v/>
      </c>
      <c r="D374" s="3" t="str">
        <f>IFERROR(VLOOKUP(B374,'جدول الجلسات التدريبية'!A:D,4,FALSE),"")</f>
        <v/>
      </c>
      <c r="E374" s="3"/>
      <c r="F374" s="3" t="str">
        <f>IFERROR(VLOOKUP(E374,'سجل الموظفين والكفاءة'!B:C,2,FALSE),"")</f>
        <v/>
      </c>
      <c r="G374" s="3">
        <f>IFERROR(VLOOKUP(A374,'الخطة التدريبية المعتمدة'!A:J,10,FALSE),0)</f>
        <v>0</v>
      </c>
      <c r="H374" s="3"/>
      <c r="I374" s="3"/>
      <c r="J374" s="3"/>
      <c r="K374" s="7" t="str">
        <f>IF(OR(I374="",J374="",I374=0),"",(J374-I374)/I374)</f>
        <v/>
      </c>
      <c r="L374" s="3" t="str">
        <f>IF(J374="","",IF(J374/10&gt;='الإعدادات والمستهدفات'!B5,"ناجح ومستوفى","ضعيف - يلزم إعادة اختبار"))</f>
        <v/>
      </c>
      <c r="M374" s="3"/>
      <c r="N374" s="3"/>
    </row>
    <row r="375" spans="1:14" x14ac:dyDescent="0.2">
      <c r="A375" s="3" t="str">
        <f>IFERROR(VLOOKUP(B375,'جدول الجلسات التدريبية'!A:B,2,FALSE),"")</f>
        <v/>
      </c>
      <c r="B375" s="3"/>
      <c r="C375" s="3" t="str">
        <f>IFERROR(VLOOKUP(A375,'الخطة التدريبية المعتمدة'!A:C,3,FALSE),"")</f>
        <v/>
      </c>
      <c r="D375" s="3" t="str">
        <f>IFERROR(VLOOKUP(B375,'جدول الجلسات التدريبية'!A:D,4,FALSE),"")</f>
        <v/>
      </c>
      <c r="E375" s="3"/>
      <c r="F375" s="3" t="str">
        <f>IFERROR(VLOOKUP(E375,'سجل الموظفين والكفاءة'!B:C,2,FALSE),"")</f>
        <v/>
      </c>
      <c r="G375" s="3">
        <f>IFERROR(VLOOKUP(A375,'الخطة التدريبية المعتمدة'!A:J,10,FALSE),0)</f>
        <v>0</v>
      </c>
      <c r="H375" s="3"/>
      <c r="I375" s="3"/>
      <c r="J375" s="3"/>
      <c r="K375" s="7" t="str">
        <f>IF(OR(I375="",J375="",I375=0),"",(J375-I375)/I375)</f>
        <v/>
      </c>
      <c r="L375" s="3" t="str">
        <f>IF(J375="","",IF(J375/10&gt;='الإعدادات والمستهدفات'!B5,"ناجح ومستوفى","ضعيف - يلزم إعادة اختبار"))</f>
        <v/>
      </c>
      <c r="M375" s="3"/>
      <c r="N375" s="3"/>
    </row>
    <row r="376" spans="1:14" x14ac:dyDescent="0.2">
      <c r="A376" s="3" t="str">
        <f>IFERROR(VLOOKUP(B376,'جدول الجلسات التدريبية'!A:B,2,FALSE),"")</f>
        <v/>
      </c>
      <c r="B376" s="3"/>
      <c r="C376" s="3" t="str">
        <f>IFERROR(VLOOKUP(A376,'الخطة التدريبية المعتمدة'!A:C,3,FALSE),"")</f>
        <v/>
      </c>
      <c r="D376" s="3" t="str">
        <f>IFERROR(VLOOKUP(B376,'جدول الجلسات التدريبية'!A:D,4,FALSE),"")</f>
        <v/>
      </c>
      <c r="E376" s="3"/>
      <c r="F376" s="3" t="str">
        <f>IFERROR(VLOOKUP(E376,'سجل الموظفين والكفاءة'!B:C,2,FALSE),"")</f>
        <v/>
      </c>
      <c r="G376" s="3">
        <f>IFERROR(VLOOKUP(A376,'الخطة التدريبية المعتمدة'!A:J,10,FALSE),0)</f>
        <v>0</v>
      </c>
      <c r="H376" s="3"/>
      <c r="I376" s="3"/>
      <c r="J376" s="3"/>
      <c r="K376" s="7" t="str">
        <f>IF(OR(I376="",J376="",I376=0),"",(J376-I376)/I376)</f>
        <v/>
      </c>
      <c r="L376" s="3" t="str">
        <f>IF(J376="","",IF(J376/10&gt;='الإعدادات والمستهدفات'!B5,"ناجح ومستوفى","ضعيف - يلزم إعادة اختبار"))</f>
        <v/>
      </c>
      <c r="M376" s="3"/>
      <c r="N376" s="3"/>
    </row>
    <row r="377" spans="1:14" x14ac:dyDescent="0.2">
      <c r="A377" s="3" t="str">
        <f>IFERROR(VLOOKUP(B377,'جدول الجلسات التدريبية'!A:B,2,FALSE),"")</f>
        <v/>
      </c>
      <c r="B377" s="3"/>
      <c r="C377" s="3" t="str">
        <f>IFERROR(VLOOKUP(A377,'الخطة التدريبية المعتمدة'!A:C,3,FALSE),"")</f>
        <v/>
      </c>
      <c r="D377" s="3" t="str">
        <f>IFERROR(VLOOKUP(B377,'جدول الجلسات التدريبية'!A:D,4,FALSE),"")</f>
        <v/>
      </c>
      <c r="E377" s="3"/>
      <c r="F377" s="3" t="str">
        <f>IFERROR(VLOOKUP(E377,'سجل الموظفين والكفاءة'!B:C,2,FALSE),"")</f>
        <v/>
      </c>
      <c r="G377" s="3">
        <f>IFERROR(VLOOKUP(A377,'الخطة التدريبية المعتمدة'!A:J,10,FALSE),0)</f>
        <v>0</v>
      </c>
      <c r="H377" s="3"/>
      <c r="I377" s="3"/>
      <c r="J377" s="3"/>
      <c r="K377" s="7" t="str">
        <f>IF(OR(I377="",J377="",I377=0),"",(J377-I377)/I377)</f>
        <v/>
      </c>
      <c r="L377" s="3" t="str">
        <f>IF(J377="","",IF(J377/10&gt;='الإعدادات والمستهدفات'!B5,"ناجح ومستوفى","ضعيف - يلزم إعادة اختبار"))</f>
        <v/>
      </c>
      <c r="M377" s="3"/>
      <c r="N377" s="3"/>
    </row>
    <row r="378" spans="1:14" x14ac:dyDescent="0.2">
      <c r="A378" s="3" t="str">
        <f>IFERROR(VLOOKUP(B378,'جدول الجلسات التدريبية'!A:B,2,FALSE),"")</f>
        <v/>
      </c>
      <c r="B378" s="3"/>
      <c r="C378" s="3" t="str">
        <f>IFERROR(VLOOKUP(A378,'الخطة التدريبية المعتمدة'!A:C,3,FALSE),"")</f>
        <v/>
      </c>
      <c r="D378" s="3" t="str">
        <f>IFERROR(VLOOKUP(B378,'جدول الجلسات التدريبية'!A:D,4,FALSE),"")</f>
        <v/>
      </c>
      <c r="E378" s="3"/>
      <c r="F378" s="3" t="str">
        <f>IFERROR(VLOOKUP(E378,'سجل الموظفين والكفاءة'!B:C,2,FALSE),"")</f>
        <v/>
      </c>
      <c r="G378" s="3">
        <f>IFERROR(VLOOKUP(A378,'الخطة التدريبية المعتمدة'!A:J,10,FALSE),0)</f>
        <v>0</v>
      </c>
      <c r="H378" s="3"/>
      <c r="I378" s="3"/>
      <c r="J378" s="3"/>
      <c r="K378" s="7" t="str">
        <f>IF(OR(I378="",J378="",I378=0),"",(J378-I378)/I378)</f>
        <v/>
      </c>
      <c r="L378" s="3" t="str">
        <f>IF(J378="","",IF(J378/10&gt;='الإعدادات والمستهدفات'!B5,"ناجح ومستوفى","ضعيف - يلزم إعادة اختبار"))</f>
        <v/>
      </c>
      <c r="M378" s="3"/>
      <c r="N378" s="3"/>
    </row>
    <row r="379" spans="1:14" x14ac:dyDescent="0.2">
      <c r="A379" s="3" t="str">
        <f>IFERROR(VLOOKUP(B379,'جدول الجلسات التدريبية'!A:B,2,FALSE),"")</f>
        <v/>
      </c>
      <c r="B379" s="3"/>
      <c r="C379" s="3" t="str">
        <f>IFERROR(VLOOKUP(A379,'الخطة التدريبية المعتمدة'!A:C,3,FALSE),"")</f>
        <v/>
      </c>
      <c r="D379" s="3" t="str">
        <f>IFERROR(VLOOKUP(B379,'جدول الجلسات التدريبية'!A:D,4,FALSE),"")</f>
        <v/>
      </c>
      <c r="E379" s="3"/>
      <c r="F379" s="3" t="str">
        <f>IFERROR(VLOOKUP(E379,'سجل الموظفين والكفاءة'!B:C,2,FALSE),"")</f>
        <v/>
      </c>
      <c r="G379" s="3">
        <f>IFERROR(VLOOKUP(A379,'الخطة التدريبية المعتمدة'!A:J,10,FALSE),0)</f>
        <v>0</v>
      </c>
      <c r="H379" s="3"/>
      <c r="I379" s="3"/>
      <c r="J379" s="3"/>
      <c r="K379" s="7" t="str">
        <f>IF(OR(I379="",J379="",I379=0),"",(J379-I379)/I379)</f>
        <v/>
      </c>
      <c r="L379" s="3" t="str">
        <f>IF(J379="","",IF(J379/10&gt;='الإعدادات والمستهدفات'!B5,"ناجح ومستوفى","ضعيف - يلزم إعادة اختبار"))</f>
        <v/>
      </c>
      <c r="M379" s="3"/>
      <c r="N379" s="3"/>
    </row>
    <row r="380" spans="1:14" x14ac:dyDescent="0.2">
      <c r="A380" s="3" t="str">
        <f>IFERROR(VLOOKUP(B380,'جدول الجلسات التدريبية'!A:B,2,FALSE),"")</f>
        <v/>
      </c>
      <c r="B380" s="3"/>
      <c r="C380" s="3" t="str">
        <f>IFERROR(VLOOKUP(A380,'الخطة التدريبية المعتمدة'!A:C,3,FALSE),"")</f>
        <v/>
      </c>
      <c r="D380" s="3" t="str">
        <f>IFERROR(VLOOKUP(B380,'جدول الجلسات التدريبية'!A:D,4,FALSE),"")</f>
        <v/>
      </c>
      <c r="E380" s="3"/>
      <c r="F380" s="3" t="str">
        <f>IFERROR(VLOOKUP(E380,'سجل الموظفين والكفاءة'!B:C,2,FALSE),"")</f>
        <v/>
      </c>
      <c r="G380" s="3">
        <f>IFERROR(VLOOKUP(A380,'الخطة التدريبية المعتمدة'!A:J,10,FALSE),0)</f>
        <v>0</v>
      </c>
      <c r="H380" s="3"/>
      <c r="I380" s="3"/>
      <c r="J380" s="3"/>
      <c r="K380" s="7" t="str">
        <f>IF(OR(I380="",J380="",I380=0),"",(J380-I380)/I380)</f>
        <v/>
      </c>
      <c r="L380" s="3" t="str">
        <f>IF(J380="","",IF(J380/10&gt;='الإعدادات والمستهدفات'!B5,"ناجح ومستوفى","ضعيف - يلزم إعادة اختبار"))</f>
        <v/>
      </c>
      <c r="M380" s="3"/>
      <c r="N380" s="3"/>
    </row>
    <row r="381" spans="1:14" x14ac:dyDescent="0.2">
      <c r="A381" s="3" t="str">
        <f>IFERROR(VLOOKUP(B381,'جدول الجلسات التدريبية'!A:B,2,FALSE),"")</f>
        <v/>
      </c>
      <c r="B381" s="3"/>
      <c r="C381" s="3" t="str">
        <f>IFERROR(VLOOKUP(A381,'الخطة التدريبية المعتمدة'!A:C,3,FALSE),"")</f>
        <v/>
      </c>
      <c r="D381" s="3" t="str">
        <f>IFERROR(VLOOKUP(B381,'جدول الجلسات التدريبية'!A:D,4,FALSE),"")</f>
        <v/>
      </c>
      <c r="E381" s="3"/>
      <c r="F381" s="3" t="str">
        <f>IFERROR(VLOOKUP(E381,'سجل الموظفين والكفاءة'!B:C,2,FALSE),"")</f>
        <v/>
      </c>
      <c r="G381" s="3">
        <f>IFERROR(VLOOKUP(A381,'الخطة التدريبية المعتمدة'!A:J,10,FALSE),0)</f>
        <v>0</v>
      </c>
      <c r="H381" s="3"/>
      <c r="I381" s="3"/>
      <c r="J381" s="3"/>
      <c r="K381" s="7" t="str">
        <f>IF(OR(I381="",J381="",I381=0),"",(J381-I381)/I381)</f>
        <v/>
      </c>
      <c r="L381" s="3" t="str">
        <f>IF(J381="","",IF(J381/10&gt;='الإعدادات والمستهدفات'!B5,"ناجح ومستوفى","ضعيف - يلزم إعادة اختبار"))</f>
        <v/>
      </c>
      <c r="M381" s="3"/>
      <c r="N381" s="3"/>
    </row>
    <row r="382" spans="1:14" x14ac:dyDescent="0.2">
      <c r="A382" s="3" t="str">
        <f>IFERROR(VLOOKUP(B382,'جدول الجلسات التدريبية'!A:B,2,FALSE),"")</f>
        <v/>
      </c>
      <c r="B382" s="3"/>
      <c r="C382" s="3" t="str">
        <f>IFERROR(VLOOKUP(A382,'الخطة التدريبية المعتمدة'!A:C,3,FALSE),"")</f>
        <v/>
      </c>
      <c r="D382" s="3" t="str">
        <f>IFERROR(VLOOKUP(B382,'جدول الجلسات التدريبية'!A:D,4,FALSE),"")</f>
        <v/>
      </c>
      <c r="E382" s="3"/>
      <c r="F382" s="3" t="str">
        <f>IFERROR(VLOOKUP(E382,'سجل الموظفين والكفاءة'!B:C,2,FALSE),"")</f>
        <v/>
      </c>
      <c r="G382" s="3">
        <f>IFERROR(VLOOKUP(A382,'الخطة التدريبية المعتمدة'!A:J,10,FALSE),0)</f>
        <v>0</v>
      </c>
      <c r="H382" s="3"/>
      <c r="I382" s="3"/>
      <c r="J382" s="3"/>
      <c r="K382" s="7" t="str">
        <f>IF(OR(I382="",J382="",I382=0),"",(J382-I382)/I382)</f>
        <v/>
      </c>
      <c r="L382" s="3" t="str">
        <f>IF(J382="","",IF(J382/10&gt;='الإعدادات والمستهدفات'!B5,"ناجح ومستوفى","ضعيف - يلزم إعادة اختبار"))</f>
        <v/>
      </c>
      <c r="M382" s="3"/>
      <c r="N382" s="3"/>
    </row>
    <row r="383" spans="1:14" x14ac:dyDescent="0.2">
      <c r="A383" s="3" t="str">
        <f>IFERROR(VLOOKUP(B383,'جدول الجلسات التدريبية'!A:B,2,FALSE),"")</f>
        <v/>
      </c>
      <c r="B383" s="3"/>
      <c r="C383" s="3" t="str">
        <f>IFERROR(VLOOKUP(A383,'الخطة التدريبية المعتمدة'!A:C,3,FALSE),"")</f>
        <v/>
      </c>
      <c r="D383" s="3" t="str">
        <f>IFERROR(VLOOKUP(B383,'جدول الجلسات التدريبية'!A:D,4,FALSE),"")</f>
        <v/>
      </c>
      <c r="E383" s="3"/>
      <c r="F383" s="3" t="str">
        <f>IFERROR(VLOOKUP(E383,'سجل الموظفين والكفاءة'!B:C,2,FALSE),"")</f>
        <v/>
      </c>
      <c r="G383" s="3">
        <f>IFERROR(VLOOKUP(A383,'الخطة التدريبية المعتمدة'!A:J,10,FALSE),0)</f>
        <v>0</v>
      </c>
      <c r="H383" s="3"/>
      <c r="I383" s="3"/>
      <c r="J383" s="3"/>
      <c r="K383" s="7" t="str">
        <f>IF(OR(I383="",J383="",I383=0),"",(J383-I383)/I383)</f>
        <v/>
      </c>
      <c r="L383" s="3" t="str">
        <f>IF(J383="","",IF(J383/10&gt;='الإعدادات والمستهدفات'!B5,"ناجح ومستوفى","ضعيف - يلزم إعادة اختبار"))</f>
        <v/>
      </c>
      <c r="M383" s="3"/>
      <c r="N383" s="3"/>
    </row>
    <row r="384" spans="1:14" x14ac:dyDescent="0.2">
      <c r="A384" s="3" t="str">
        <f>IFERROR(VLOOKUP(B384,'جدول الجلسات التدريبية'!A:B,2,FALSE),"")</f>
        <v/>
      </c>
      <c r="B384" s="3"/>
      <c r="C384" s="3" t="str">
        <f>IFERROR(VLOOKUP(A384,'الخطة التدريبية المعتمدة'!A:C,3,FALSE),"")</f>
        <v/>
      </c>
      <c r="D384" s="3" t="str">
        <f>IFERROR(VLOOKUP(B384,'جدول الجلسات التدريبية'!A:D,4,FALSE),"")</f>
        <v/>
      </c>
      <c r="E384" s="3"/>
      <c r="F384" s="3" t="str">
        <f>IFERROR(VLOOKUP(E384,'سجل الموظفين والكفاءة'!B:C,2,FALSE),"")</f>
        <v/>
      </c>
      <c r="G384" s="3">
        <f>IFERROR(VLOOKUP(A384,'الخطة التدريبية المعتمدة'!A:J,10,FALSE),0)</f>
        <v>0</v>
      </c>
      <c r="H384" s="3"/>
      <c r="I384" s="3"/>
      <c r="J384" s="3"/>
      <c r="K384" s="7" t="str">
        <f>IF(OR(I384="",J384="",I384=0),"",(J384-I384)/I384)</f>
        <v/>
      </c>
      <c r="L384" s="3" t="str">
        <f>IF(J384="","",IF(J384/10&gt;='الإعدادات والمستهدفات'!B5,"ناجح ومستوفى","ضعيف - يلزم إعادة اختبار"))</f>
        <v/>
      </c>
      <c r="M384" s="3"/>
      <c r="N384" s="3"/>
    </row>
    <row r="385" spans="1:14" x14ac:dyDescent="0.2">
      <c r="A385" s="3" t="str">
        <f>IFERROR(VLOOKUP(B385,'جدول الجلسات التدريبية'!A:B,2,FALSE),"")</f>
        <v/>
      </c>
      <c r="B385" s="3"/>
      <c r="C385" s="3" t="str">
        <f>IFERROR(VLOOKUP(A385,'الخطة التدريبية المعتمدة'!A:C,3,FALSE),"")</f>
        <v/>
      </c>
      <c r="D385" s="3" t="str">
        <f>IFERROR(VLOOKUP(B385,'جدول الجلسات التدريبية'!A:D,4,FALSE),"")</f>
        <v/>
      </c>
      <c r="E385" s="3"/>
      <c r="F385" s="3" t="str">
        <f>IFERROR(VLOOKUP(E385,'سجل الموظفين والكفاءة'!B:C,2,FALSE),"")</f>
        <v/>
      </c>
      <c r="G385" s="3">
        <f>IFERROR(VLOOKUP(A385,'الخطة التدريبية المعتمدة'!A:J,10,FALSE),0)</f>
        <v>0</v>
      </c>
      <c r="H385" s="3"/>
      <c r="I385" s="3"/>
      <c r="J385" s="3"/>
      <c r="K385" s="7" t="str">
        <f>IF(OR(I385="",J385="",I385=0),"",(J385-I385)/I385)</f>
        <v/>
      </c>
      <c r="L385" s="3" t="str">
        <f>IF(J385="","",IF(J385/10&gt;='الإعدادات والمستهدفات'!B5,"ناجح ومستوفى","ضعيف - يلزم إعادة اختبار"))</f>
        <v/>
      </c>
      <c r="M385" s="3"/>
      <c r="N385" s="3"/>
    </row>
    <row r="386" spans="1:14" x14ac:dyDescent="0.2">
      <c r="A386" s="3" t="str">
        <f>IFERROR(VLOOKUP(B386,'جدول الجلسات التدريبية'!A:B,2,FALSE),"")</f>
        <v/>
      </c>
      <c r="B386" s="3"/>
      <c r="C386" s="3" t="str">
        <f>IFERROR(VLOOKUP(A386,'الخطة التدريبية المعتمدة'!A:C,3,FALSE),"")</f>
        <v/>
      </c>
      <c r="D386" s="3" t="str">
        <f>IFERROR(VLOOKUP(B386,'جدول الجلسات التدريبية'!A:D,4,FALSE),"")</f>
        <v/>
      </c>
      <c r="E386" s="3"/>
      <c r="F386" s="3" t="str">
        <f>IFERROR(VLOOKUP(E386,'سجل الموظفين والكفاءة'!B:C,2,FALSE),"")</f>
        <v/>
      </c>
      <c r="G386" s="3">
        <f>IFERROR(VLOOKUP(A386,'الخطة التدريبية المعتمدة'!A:J,10,FALSE),0)</f>
        <v>0</v>
      </c>
      <c r="H386" s="3"/>
      <c r="I386" s="3"/>
      <c r="J386" s="3"/>
      <c r="K386" s="7" t="str">
        <f>IF(OR(I386="",J386="",I386=0),"",(J386-I386)/I386)</f>
        <v/>
      </c>
      <c r="L386" s="3" t="str">
        <f>IF(J386="","",IF(J386/10&gt;='الإعدادات والمستهدفات'!B5,"ناجح ومستوفى","ضعيف - يلزم إعادة اختبار"))</f>
        <v/>
      </c>
      <c r="M386" s="3"/>
      <c r="N386" s="3"/>
    </row>
    <row r="387" spans="1:14" x14ac:dyDescent="0.2">
      <c r="A387" s="3" t="str">
        <f>IFERROR(VLOOKUP(B387,'جدول الجلسات التدريبية'!A:B,2,FALSE),"")</f>
        <v/>
      </c>
      <c r="B387" s="3"/>
      <c r="C387" s="3" t="str">
        <f>IFERROR(VLOOKUP(A387,'الخطة التدريبية المعتمدة'!A:C,3,FALSE),"")</f>
        <v/>
      </c>
      <c r="D387" s="3" t="str">
        <f>IFERROR(VLOOKUP(B387,'جدول الجلسات التدريبية'!A:D,4,FALSE),"")</f>
        <v/>
      </c>
      <c r="E387" s="3"/>
      <c r="F387" s="3" t="str">
        <f>IFERROR(VLOOKUP(E387,'سجل الموظفين والكفاءة'!B:C,2,FALSE),"")</f>
        <v/>
      </c>
      <c r="G387" s="3">
        <f>IFERROR(VLOOKUP(A387,'الخطة التدريبية المعتمدة'!A:J,10,FALSE),0)</f>
        <v>0</v>
      </c>
      <c r="H387" s="3"/>
      <c r="I387" s="3"/>
      <c r="J387" s="3"/>
      <c r="K387" s="7" t="str">
        <f>IF(OR(I387="",J387="",I387=0),"",(J387-I387)/I387)</f>
        <v/>
      </c>
      <c r="L387" s="3" t="str">
        <f>IF(J387="","",IF(J387/10&gt;='الإعدادات والمستهدفات'!B5,"ناجح ومستوفى","ضعيف - يلزم إعادة اختبار"))</f>
        <v/>
      </c>
      <c r="M387" s="3"/>
      <c r="N387" s="3"/>
    </row>
    <row r="388" spans="1:14" x14ac:dyDescent="0.2">
      <c r="A388" s="3" t="str">
        <f>IFERROR(VLOOKUP(B388,'جدول الجلسات التدريبية'!A:B,2,FALSE),"")</f>
        <v/>
      </c>
      <c r="B388" s="3"/>
      <c r="C388" s="3" t="str">
        <f>IFERROR(VLOOKUP(A388,'الخطة التدريبية المعتمدة'!A:C,3,FALSE),"")</f>
        <v/>
      </c>
      <c r="D388" s="3" t="str">
        <f>IFERROR(VLOOKUP(B388,'جدول الجلسات التدريبية'!A:D,4,FALSE),"")</f>
        <v/>
      </c>
      <c r="E388" s="3"/>
      <c r="F388" s="3" t="str">
        <f>IFERROR(VLOOKUP(E388,'سجل الموظفين والكفاءة'!B:C,2,FALSE),"")</f>
        <v/>
      </c>
      <c r="G388" s="3">
        <f>IFERROR(VLOOKUP(A388,'الخطة التدريبية المعتمدة'!A:J,10,FALSE),0)</f>
        <v>0</v>
      </c>
      <c r="H388" s="3"/>
      <c r="I388" s="3"/>
      <c r="J388" s="3"/>
      <c r="K388" s="7" t="str">
        <f>IF(OR(I388="",J388="",I388=0),"",(J388-I388)/I388)</f>
        <v/>
      </c>
      <c r="L388" s="3" t="str">
        <f>IF(J388="","",IF(J388/10&gt;='الإعدادات والمستهدفات'!B5,"ناجح ومستوفى","ضعيف - يلزم إعادة اختبار"))</f>
        <v/>
      </c>
      <c r="M388" s="3"/>
      <c r="N388" s="3"/>
    </row>
    <row r="389" spans="1:14" x14ac:dyDescent="0.2">
      <c r="A389" s="3" t="str">
        <f>IFERROR(VLOOKUP(B389,'جدول الجلسات التدريبية'!A:B,2,FALSE),"")</f>
        <v/>
      </c>
      <c r="B389" s="3"/>
      <c r="C389" s="3" t="str">
        <f>IFERROR(VLOOKUP(A389,'الخطة التدريبية المعتمدة'!A:C,3,FALSE),"")</f>
        <v/>
      </c>
      <c r="D389" s="3" t="str">
        <f>IFERROR(VLOOKUP(B389,'جدول الجلسات التدريبية'!A:D,4,FALSE),"")</f>
        <v/>
      </c>
      <c r="E389" s="3"/>
      <c r="F389" s="3" t="str">
        <f>IFERROR(VLOOKUP(E389,'سجل الموظفين والكفاءة'!B:C,2,FALSE),"")</f>
        <v/>
      </c>
      <c r="G389" s="3">
        <f>IFERROR(VLOOKUP(A389,'الخطة التدريبية المعتمدة'!A:J,10,FALSE),0)</f>
        <v>0</v>
      </c>
      <c r="H389" s="3"/>
      <c r="I389" s="3"/>
      <c r="J389" s="3"/>
      <c r="K389" s="7" t="str">
        <f>IF(OR(I389="",J389="",I389=0),"",(J389-I389)/I389)</f>
        <v/>
      </c>
      <c r="L389" s="3" t="str">
        <f>IF(J389="","",IF(J389/10&gt;='الإعدادات والمستهدفات'!B5,"ناجح ومستوفى","ضعيف - يلزم إعادة اختبار"))</f>
        <v/>
      </c>
      <c r="M389" s="3"/>
      <c r="N389" s="3"/>
    </row>
    <row r="390" spans="1:14" x14ac:dyDescent="0.2">
      <c r="A390" s="3" t="str">
        <f>IFERROR(VLOOKUP(B390,'جدول الجلسات التدريبية'!A:B,2,FALSE),"")</f>
        <v/>
      </c>
      <c r="B390" s="3"/>
      <c r="C390" s="3" t="str">
        <f>IFERROR(VLOOKUP(A390,'الخطة التدريبية المعتمدة'!A:C,3,FALSE),"")</f>
        <v/>
      </c>
      <c r="D390" s="3" t="str">
        <f>IFERROR(VLOOKUP(B390,'جدول الجلسات التدريبية'!A:D,4,FALSE),"")</f>
        <v/>
      </c>
      <c r="E390" s="3"/>
      <c r="F390" s="3" t="str">
        <f>IFERROR(VLOOKUP(E390,'سجل الموظفين والكفاءة'!B:C,2,FALSE),"")</f>
        <v/>
      </c>
      <c r="G390" s="3">
        <f>IFERROR(VLOOKUP(A390,'الخطة التدريبية المعتمدة'!A:J,10,FALSE),0)</f>
        <v>0</v>
      </c>
      <c r="H390" s="3"/>
      <c r="I390" s="3"/>
      <c r="J390" s="3"/>
      <c r="K390" s="7" t="str">
        <f>IF(OR(I390="",J390="",I390=0),"",(J390-I390)/I390)</f>
        <v/>
      </c>
      <c r="L390" s="3" t="str">
        <f>IF(J390="","",IF(J390/10&gt;='الإعدادات والمستهدفات'!B5,"ناجح ومستوفى","ضعيف - يلزم إعادة اختبار"))</f>
        <v/>
      </c>
      <c r="M390" s="3"/>
      <c r="N390" s="3"/>
    </row>
    <row r="391" spans="1:14" x14ac:dyDescent="0.2">
      <c r="A391" s="3" t="str">
        <f>IFERROR(VLOOKUP(B391,'جدول الجلسات التدريبية'!A:B,2,FALSE),"")</f>
        <v/>
      </c>
      <c r="B391" s="3"/>
      <c r="C391" s="3" t="str">
        <f>IFERROR(VLOOKUP(A391,'الخطة التدريبية المعتمدة'!A:C,3,FALSE),"")</f>
        <v/>
      </c>
      <c r="D391" s="3" t="str">
        <f>IFERROR(VLOOKUP(B391,'جدول الجلسات التدريبية'!A:D,4,FALSE),"")</f>
        <v/>
      </c>
      <c r="E391" s="3"/>
      <c r="F391" s="3" t="str">
        <f>IFERROR(VLOOKUP(E391,'سجل الموظفين والكفاءة'!B:C,2,FALSE),"")</f>
        <v/>
      </c>
      <c r="G391" s="3">
        <f>IFERROR(VLOOKUP(A391,'الخطة التدريبية المعتمدة'!A:J,10,FALSE),0)</f>
        <v>0</v>
      </c>
      <c r="H391" s="3"/>
      <c r="I391" s="3"/>
      <c r="J391" s="3"/>
      <c r="K391" s="7" t="str">
        <f>IF(OR(I391="",J391="",I391=0),"",(J391-I391)/I391)</f>
        <v/>
      </c>
      <c r="L391" s="3" t="str">
        <f>IF(J391="","",IF(J391/10&gt;='الإعدادات والمستهدفات'!B5,"ناجح ومستوفى","ضعيف - يلزم إعادة اختبار"))</f>
        <v/>
      </c>
      <c r="M391" s="3"/>
      <c r="N391" s="3"/>
    </row>
    <row r="392" spans="1:14" x14ac:dyDescent="0.2">
      <c r="A392" s="3" t="str">
        <f>IFERROR(VLOOKUP(B392,'جدول الجلسات التدريبية'!A:B,2,FALSE),"")</f>
        <v/>
      </c>
      <c r="B392" s="3"/>
      <c r="C392" s="3" t="str">
        <f>IFERROR(VLOOKUP(A392,'الخطة التدريبية المعتمدة'!A:C,3,FALSE),"")</f>
        <v/>
      </c>
      <c r="D392" s="3" t="str">
        <f>IFERROR(VLOOKUP(B392,'جدول الجلسات التدريبية'!A:D,4,FALSE),"")</f>
        <v/>
      </c>
      <c r="E392" s="3"/>
      <c r="F392" s="3" t="str">
        <f>IFERROR(VLOOKUP(E392,'سجل الموظفين والكفاءة'!B:C,2,FALSE),"")</f>
        <v/>
      </c>
      <c r="G392" s="3">
        <f>IFERROR(VLOOKUP(A392,'الخطة التدريبية المعتمدة'!A:J,10,FALSE),0)</f>
        <v>0</v>
      </c>
      <c r="H392" s="3"/>
      <c r="I392" s="3"/>
      <c r="J392" s="3"/>
      <c r="K392" s="7" t="str">
        <f>IF(OR(I392="",J392="",I392=0),"",(J392-I392)/I392)</f>
        <v/>
      </c>
      <c r="L392" s="3" t="str">
        <f>IF(J392="","",IF(J392/10&gt;='الإعدادات والمستهدفات'!B5,"ناجح ومستوفى","ضعيف - يلزم إعادة اختبار"))</f>
        <v/>
      </c>
      <c r="M392" s="3"/>
      <c r="N392" s="3"/>
    </row>
    <row r="393" spans="1:14" x14ac:dyDescent="0.2">
      <c r="A393" s="3" t="str">
        <f>IFERROR(VLOOKUP(B393,'جدول الجلسات التدريبية'!A:B,2,FALSE),"")</f>
        <v/>
      </c>
      <c r="B393" s="3"/>
      <c r="C393" s="3" t="str">
        <f>IFERROR(VLOOKUP(A393,'الخطة التدريبية المعتمدة'!A:C,3,FALSE),"")</f>
        <v/>
      </c>
      <c r="D393" s="3" t="str">
        <f>IFERROR(VLOOKUP(B393,'جدول الجلسات التدريبية'!A:D,4,FALSE),"")</f>
        <v/>
      </c>
      <c r="E393" s="3"/>
      <c r="F393" s="3" t="str">
        <f>IFERROR(VLOOKUP(E393,'سجل الموظفين والكفاءة'!B:C,2,FALSE),"")</f>
        <v/>
      </c>
      <c r="G393" s="3">
        <f>IFERROR(VLOOKUP(A393,'الخطة التدريبية المعتمدة'!A:J,10,FALSE),0)</f>
        <v>0</v>
      </c>
      <c r="H393" s="3"/>
      <c r="I393" s="3"/>
      <c r="J393" s="3"/>
      <c r="K393" s="7" t="str">
        <f>IF(OR(I393="",J393="",I393=0),"",(J393-I393)/I393)</f>
        <v/>
      </c>
      <c r="L393" s="3" t="str">
        <f>IF(J393="","",IF(J393/10&gt;='الإعدادات والمستهدفات'!B5,"ناجح ومستوفى","ضعيف - يلزم إعادة اختبار"))</f>
        <v/>
      </c>
      <c r="M393" s="3"/>
      <c r="N393" s="3"/>
    </row>
    <row r="394" spans="1:14" x14ac:dyDescent="0.2">
      <c r="A394" s="3" t="str">
        <f>IFERROR(VLOOKUP(B394,'جدول الجلسات التدريبية'!A:B,2,FALSE),"")</f>
        <v/>
      </c>
      <c r="B394" s="3"/>
      <c r="C394" s="3" t="str">
        <f>IFERROR(VLOOKUP(A394,'الخطة التدريبية المعتمدة'!A:C,3,FALSE),"")</f>
        <v/>
      </c>
      <c r="D394" s="3" t="str">
        <f>IFERROR(VLOOKUP(B394,'جدول الجلسات التدريبية'!A:D,4,FALSE),"")</f>
        <v/>
      </c>
      <c r="E394" s="3"/>
      <c r="F394" s="3" t="str">
        <f>IFERROR(VLOOKUP(E394,'سجل الموظفين والكفاءة'!B:C,2,FALSE),"")</f>
        <v/>
      </c>
      <c r="G394" s="3">
        <f>IFERROR(VLOOKUP(A394,'الخطة التدريبية المعتمدة'!A:J,10,FALSE),0)</f>
        <v>0</v>
      </c>
      <c r="H394" s="3"/>
      <c r="I394" s="3"/>
      <c r="J394" s="3"/>
      <c r="K394" s="7" t="str">
        <f>IF(OR(I394="",J394="",I394=0),"",(J394-I394)/I394)</f>
        <v/>
      </c>
      <c r="L394" s="3" t="str">
        <f>IF(J394="","",IF(J394/10&gt;='الإعدادات والمستهدفات'!B5,"ناجح ومستوفى","ضعيف - يلزم إعادة اختبار"))</f>
        <v/>
      </c>
      <c r="M394" s="3"/>
      <c r="N394" s="3"/>
    </row>
    <row r="395" spans="1:14" x14ac:dyDescent="0.2">
      <c r="A395" s="3" t="str">
        <f>IFERROR(VLOOKUP(B395,'جدول الجلسات التدريبية'!A:B,2,FALSE),"")</f>
        <v/>
      </c>
      <c r="B395" s="3"/>
      <c r="C395" s="3" t="str">
        <f>IFERROR(VLOOKUP(A395,'الخطة التدريبية المعتمدة'!A:C,3,FALSE),"")</f>
        <v/>
      </c>
      <c r="D395" s="3" t="str">
        <f>IFERROR(VLOOKUP(B395,'جدول الجلسات التدريبية'!A:D,4,FALSE),"")</f>
        <v/>
      </c>
      <c r="E395" s="3"/>
      <c r="F395" s="3" t="str">
        <f>IFERROR(VLOOKUP(E395,'سجل الموظفين والكفاءة'!B:C,2,FALSE),"")</f>
        <v/>
      </c>
      <c r="G395" s="3">
        <f>IFERROR(VLOOKUP(A395,'الخطة التدريبية المعتمدة'!A:J,10,FALSE),0)</f>
        <v>0</v>
      </c>
      <c r="H395" s="3"/>
      <c r="I395" s="3"/>
      <c r="J395" s="3"/>
      <c r="K395" s="7" t="str">
        <f>IF(OR(I395="",J395="",I395=0),"",(J395-I395)/I395)</f>
        <v/>
      </c>
      <c r="L395" s="3" t="str">
        <f>IF(J395="","",IF(J395/10&gt;='الإعدادات والمستهدفات'!B5,"ناجح ومستوفى","ضعيف - يلزم إعادة اختبار"))</f>
        <v/>
      </c>
      <c r="M395" s="3"/>
      <c r="N395" s="3"/>
    </row>
    <row r="396" spans="1:14" x14ac:dyDescent="0.2">
      <c r="A396" s="3" t="str">
        <f>IFERROR(VLOOKUP(B396,'جدول الجلسات التدريبية'!A:B,2,FALSE),"")</f>
        <v/>
      </c>
      <c r="B396" s="3"/>
      <c r="C396" s="3" t="str">
        <f>IFERROR(VLOOKUP(A396,'الخطة التدريبية المعتمدة'!A:C,3,FALSE),"")</f>
        <v/>
      </c>
      <c r="D396" s="3" t="str">
        <f>IFERROR(VLOOKUP(B396,'جدول الجلسات التدريبية'!A:D,4,FALSE),"")</f>
        <v/>
      </c>
      <c r="E396" s="3"/>
      <c r="F396" s="3" t="str">
        <f>IFERROR(VLOOKUP(E396,'سجل الموظفين والكفاءة'!B:C,2,FALSE),"")</f>
        <v/>
      </c>
      <c r="G396" s="3">
        <f>IFERROR(VLOOKUP(A396,'الخطة التدريبية المعتمدة'!A:J,10,FALSE),0)</f>
        <v>0</v>
      </c>
      <c r="H396" s="3"/>
      <c r="I396" s="3"/>
      <c r="J396" s="3"/>
      <c r="K396" s="7" t="str">
        <f>IF(OR(I396="",J396="",I396=0),"",(J396-I396)/I396)</f>
        <v/>
      </c>
      <c r="L396" s="3" t="str">
        <f>IF(J396="","",IF(J396/10&gt;='الإعدادات والمستهدفات'!B5,"ناجح ومستوفى","ضعيف - يلزم إعادة اختبار"))</f>
        <v/>
      </c>
      <c r="M396" s="3"/>
      <c r="N396" s="3"/>
    </row>
    <row r="397" spans="1:14" x14ac:dyDescent="0.2">
      <c r="A397" s="3" t="str">
        <f>IFERROR(VLOOKUP(B397,'جدول الجلسات التدريبية'!A:B,2,FALSE),"")</f>
        <v/>
      </c>
      <c r="B397" s="3"/>
      <c r="C397" s="3" t="str">
        <f>IFERROR(VLOOKUP(A397,'الخطة التدريبية المعتمدة'!A:C,3,FALSE),"")</f>
        <v/>
      </c>
      <c r="D397" s="3" t="str">
        <f>IFERROR(VLOOKUP(B397,'جدول الجلسات التدريبية'!A:D,4,FALSE),"")</f>
        <v/>
      </c>
      <c r="E397" s="3"/>
      <c r="F397" s="3" t="str">
        <f>IFERROR(VLOOKUP(E397,'سجل الموظفين والكفاءة'!B:C,2,FALSE),"")</f>
        <v/>
      </c>
      <c r="G397" s="3">
        <f>IFERROR(VLOOKUP(A397,'الخطة التدريبية المعتمدة'!A:J,10,FALSE),0)</f>
        <v>0</v>
      </c>
      <c r="H397" s="3"/>
      <c r="I397" s="3"/>
      <c r="J397" s="3"/>
      <c r="K397" s="7" t="str">
        <f>IF(OR(I397="",J397="",I397=0),"",(J397-I397)/I397)</f>
        <v/>
      </c>
      <c r="L397" s="3" t="str">
        <f>IF(J397="","",IF(J397/10&gt;='الإعدادات والمستهدفات'!B5,"ناجح ومستوفى","ضعيف - يلزم إعادة اختبار"))</f>
        <v/>
      </c>
      <c r="M397" s="3"/>
      <c r="N397" s="3"/>
    </row>
    <row r="398" spans="1:14" x14ac:dyDescent="0.2">
      <c r="A398" s="3" t="str">
        <f>IFERROR(VLOOKUP(B398,'جدول الجلسات التدريبية'!A:B,2,FALSE),"")</f>
        <v/>
      </c>
      <c r="B398" s="3"/>
      <c r="C398" s="3" t="str">
        <f>IFERROR(VLOOKUP(A398,'الخطة التدريبية المعتمدة'!A:C,3,FALSE),"")</f>
        <v/>
      </c>
      <c r="D398" s="3" t="str">
        <f>IFERROR(VLOOKUP(B398,'جدول الجلسات التدريبية'!A:D,4,FALSE),"")</f>
        <v/>
      </c>
      <c r="E398" s="3"/>
      <c r="F398" s="3" t="str">
        <f>IFERROR(VLOOKUP(E398,'سجل الموظفين والكفاءة'!B:C,2,FALSE),"")</f>
        <v/>
      </c>
      <c r="G398" s="3">
        <f>IFERROR(VLOOKUP(A398,'الخطة التدريبية المعتمدة'!A:J,10,FALSE),0)</f>
        <v>0</v>
      </c>
      <c r="H398" s="3"/>
      <c r="I398" s="3"/>
      <c r="J398" s="3"/>
      <c r="K398" s="7" t="str">
        <f>IF(OR(I398="",J398="",I398=0),"",(J398-I398)/I398)</f>
        <v/>
      </c>
      <c r="L398" s="3" t="str">
        <f>IF(J398="","",IF(J398/10&gt;='الإعدادات والمستهدفات'!B5,"ناجح ومستوفى","ضعيف - يلزم إعادة اختبار"))</f>
        <v/>
      </c>
      <c r="M398" s="3"/>
      <c r="N398" s="3"/>
    </row>
    <row r="399" spans="1:14" x14ac:dyDescent="0.2">
      <c r="A399" s="3" t="str">
        <f>IFERROR(VLOOKUP(B399,'جدول الجلسات التدريبية'!A:B,2,FALSE),"")</f>
        <v/>
      </c>
      <c r="B399" s="3"/>
      <c r="C399" s="3" t="str">
        <f>IFERROR(VLOOKUP(A399,'الخطة التدريبية المعتمدة'!A:C,3,FALSE),"")</f>
        <v/>
      </c>
      <c r="D399" s="3" t="str">
        <f>IFERROR(VLOOKUP(B399,'جدول الجلسات التدريبية'!A:D,4,FALSE),"")</f>
        <v/>
      </c>
      <c r="E399" s="3"/>
      <c r="F399" s="3" t="str">
        <f>IFERROR(VLOOKUP(E399,'سجل الموظفين والكفاءة'!B:C,2,FALSE),"")</f>
        <v/>
      </c>
      <c r="G399" s="3">
        <f>IFERROR(VLOOKUP(A399,'الخطة التدريبية المعتمدة'!A:J,10,FALSE),0)</f>
        <v>0</v>
      </c>
      <c r="H399" s="3"/>
      <c r="I399" s="3"/>
      <c r="J399" s="3"/>
      <c r="K399" s="7" t="str">
        <f>IF(OR(I399="",J399="",I399=0),"",(J399-I399)/I399)</f>
        <v/>
      </c>
      <c r="L399" s="3" t="str">
        <f>IF(J399="","",IF(J399/10&gt;='الإعدادات والمستهدفات'!B5,"ناجح ومستوفى","ضعيف - يلزم إعادة اختبار"))</f>
        <v/>
      </c>
      <c r="M399" s="3"/>
      <c r="N399" s="3"/>
    </row>
    <row r="400" spans="1:14" x14ac:dyDescent="0.2">
      <c r="A400" s="3" t="str">
        <f>IFERROR(VLOOKUP(B400,'جدول الجلسات التدريبية'!A:B,2,FALSE),"")</f>
        <v/>
      </c>
      <c r="B400" s="3"/>
      <c r="C400" s="3" t="str">
        <f>IFERROR(VLOOKUP(A400,'الخطة التدريبية المعتمدة'!A:C,3,FALSE),"")</f>
        <v/>
      </c>
      <c r="D400" s="3" t="str">
        <f>IFERROR(VLOOKUP(B400,'جدول الجلسات التدريبية'!A:D,4,FALSE),"")</f>
        <v/>
      </c>
      <c r="E400" s="3"/>
      <c r="F400" s="3" t="str">
        <f>IFERROR(VLOOKUP(E400,'سجل الموظفين والكفاءة'!B:C,2,FALSE),"")</f>
        <v/>
      </c>
      <c r="G400" s="3">
        <f>IFERROR(VLOOKUP(A400,'الخطة التدريبية المعتمدة'!A:J,10,FALSE),0)</f>
        <v>0</v>
      </c>
      <c r="H400" s="3"/>
      <c r="I400" s="3"/>
      <c r="J400" s="3"/>
      <c r="K400" s="7" t="str">
        <f>IF(OR(I400="",J400="",I400=0),"",(J400-I400)/I400)</f>
        <v/>
      </c>
      <c r="L400" s="3" t="str">
        <f>IF(J400="","",IF(J400/10&gt;='الإعدادات والمستهدفات'!B5,"ناجح ومستوفى","ضعيف - يلزم إعادة اختبار"))</f>
        <v/>
      </c>
      <c r="M400" s="3"/>
      <c r="N400" s="3"/>
    </row>
    <row r="401" spans="1:14" x14ac:dyDescent="0.2">
      <c r="A401" s="3" t="str">
        <f>IFERROR(VLOOKUP(B401,'جدول الجلسات التدريبية'!A:B,2,FALSE),"")</f>
        <v/>
      </c>
      <c r="B401" s="3"/>
      <c r="C401" s="3" t="str">
        <f>IFERROR(VLOOKUP(A401,'الخطة التدريبية المعتمدة'!A:C,3,FALSE),"")</f>
        <v/>
      </c>
      <c r="D401" s="3" t="str">
        <f>IFERROR(VLOOKUP(B401,'جدول الجلسات التدريبية'!A:D,4,FALSE),"")</f>
        <v/>
      </c>
      <c r="E401" s="3"/>
      <c r="F401" s="3" t="str">
        <f>IFERROR(VLOOKUP(E401,'سجل الموظفين والكفاءة'!B:C,2,FALSE),"")</f>
        <v/>
      </c>
      <c r="G401" s="3">
        <f>IFERROR(VLOOKUP(A401,'الخطة التدريبية المعتمدة'!A:J,10,FALSE),0)</f>
        <v>0</v>
      </c>
      <c r="H401" s="3"/>
      <c r="I401" s="3"/>
      <c r="J401" s="3"/>
      <c r="K401" s="7" t="str">
        <f>IF(OR(I401="",J401="",I401=0),"",(J401-I401)/I401)</f>
        <v/>
      </c>
      <c r="L401" s="3" t="str">
        <f>IF(J401="","",IF(J401/10&gt;='الإعدادات والمستهدفات'!B5,"ناجح ومستوفى","ضعيف - يلزم إعادة اختبار"))</f>
        <v/>
      </c>
      <c r="M401" s="3"/>
      <c r="N401" s="3"/>
    </row>
    <row r="402" spans="1:14" x14ac:dyDescent="0.2">
      <c r="A402" s="3" t="str">
        <f>IFERROR(VLOOKUP(B402,'جدول الجلسات التدريبية'!A:B,2,FALSE),"")</f>
        <v/>
      </c>
      <c r="B402" s="3"/>
      <c r="C402" s="3" t="str">
        <f>IFERROR(VLOOKUP(A402,'الخطة التدريبية المعتمدة'!A:C,3,FALSE),"")</f>
        <v/>
      </c>
      <c r="D402" s="3" t="str">
        <f>IFERROR(VLOOKUP(B402,'جدول الجلسات التدريبية'!A:D,4,FALSE),"")</f>
        <v/>
      </c>
      <c r="E402" s="3"/>
      <c r="F402" s="3" t="str">
        <f>IFERROR(VLOOKUP(E402,'سجل الموظفين والكفاءة'!B:C,2,FALSE),"")</f>
        <v/>
      </c>
      <c r="G402" s="3">
        <f>IFERROR(VLOOKUP(A402,'الخطة التدريبية المعتمدة'!A:J,10,FALSE),0)</f>
        <v>0</v>
      </c>
      <c r="H402" s="3"/>
      <c r="I402" s="3"/>
      <c r="J402" s="3"/>
      <c r="K402" s="7" t="str">
        <f>IF(OR(I402="",J402="",I402=0),"",(J402-I402)/I402)</f>
        <v/>
      </c>
      <c r="L402" s="3" t="str">
        <f>IF(J402="","",IF(J402/10&gt;='الإعدادات والمستهدفات'!B5,"ناجح ومستوفى","ضعيف - يلزم إعادة اختبار"))</f>
        <v/>
      </c>
      <c r="M402" s="3"/>
      <c r="N402" s="3"/>
    </row>
    <row r="403" spans="1:14" x14ac:dyDescent="0.2">
      <c r="A403" s="3" t="str">
        <f>IFERROR(VLOOKUP(B403,'جدول الجلسات التدريبية'!A:B,2,FALSE),"")</f>
        <v/>
      </c>
      <c r="B403" s="3"/>
      <c r="C403" s="3" t="str">
        <f>IFERROR(VLOOKUP(A403,'الخطة التدريبية المعتمدة'!A:C,3,FALSE),"")</f>
        <v/>
      </c>
      <c r="D403" s="3" t="str">
        <f>IFERROR(VLOOKUP(B403,'جدول الجلسات التدريبية'!A:D,4,FALSE),"")</f>
        <v/>
      </c>
      <c r="E403" s="3"/>
      <c r="F403" s="3" t="str">
        <f>IFERROR(VLOOKUP(E403,'سجل الموظفين والكفاءة'!B:C,2,FALSE),"")</f>
        <v/>
      </c>
      <c r="G403" s="3">
        <f>IFERROR(VLOOKUP(A403,'الخطة التدريبية المعتمدة'!A:J,10,FALSE),0)</f>
        <v>0</v>
      </c>
      <c r="H403" s="3"/>
      <c r="I403" s="3"/>
      <c r="J403" s="3"/>
      <c r="K403" s="7" t="str">
        <f>IF(OR(I403="",J403="",I403=0),"",(J403-I403)/I403)</f>
        <v/>
      </c>
      <c r="L403" s="3" t="str">
        <f>IF(J403="","",IF(J403/10&gt;='الإعدادات والمستهدفات'!B5,"ناجح ومستوفى","ضعيف - يلزم إعادة اختبار"))</f>
        <v/>
      </c>
      <c r="M403" s="3"/>
      <c r="N403" s="3"/>
    </row>
    <row r="404" spans="1:14" x14ac:dyDescent="0.2">
      <c r="A404" s="3" t="str">
        <f>IFERROR(VLOOKUP(B404,'جدول الجلسات التدريبية'!A:B,2,FALSE),"")</f>
        <v/>
      </c>
      <c r="B404" s="3"/>
      <c r="C404" s="3" t="str">
        <f>IFERROR(VLOOKUP(A404,'الخطة التدريبية المعتمدة'!A:C,3,FALSE),"")</f>
        <v/>
      </c>
      <c r="D404" s="3" t="str">
        <f>IFERROR(VLOOKUP(B404,'جدول الجلسات التدريبية'!A:D,4,FALSE),"")</f>
        <v/>
      </c>
      <c r="E404" s="3"/>
      <c r="F404" s="3" t="str">
        <f>IFERROR(VLOOKUP(E404,'سجل الموظفين والكفاءة'!B:C,2,FALSE),"")</f>
        <v/>
      </c>
      <c r="G404" s="3">
        <f>IFERROR(VLOOKUP(A404,'الخطة التدريبية المعتمدة'!A:J,10,FALSE),0)</f>
        <v>0</v>
      </c>
      <c r="H404" s="3"/>
      <c r="I404" s="3"/>
      <c r="J404" s="3"/>
      <c r="K404" s="7" t="str">
        <f>IF(OR(I404="",J404="",I404=0),"",(J404-I404)/I404)</f>
        <v/>
      </c>
      <c r="L404" s="3" t="str">
        <f>IF(J404="","",IF(J404/10&gt;='الإعدادات والمستهدفات'!B5,"ناجح ومستوفى","ضعيف - يلزم إعادة اختبار"))</f>
        <v/>
      </c>
      <c r="M404" s="3"/>
      <c r="N404" s="3"/>
    </row>
    <row r="405" spans="1:14" x14ac:dyDescent="0.2">
      <c r="A405" s="3" t="str">
        <f>IFERROR(VLOOKUP(B405,'جدول الجلسات التدريبية'!A:B,2,FALSE),"")</f>
        <v/>
      </c>
      <c r="B405" s="3"/>
      <c r="C405" s="3" t="str">
        <f>IFERROR(VLOOKUP(A405,'الخطة التدريبية المعتمدة'!A:C,3,FALSE),"")</f>
        <v/>
      </c>
      <c r="D405" s="3" t="str">
        <f>IFERROR(VLOOKUP(B405,'جدول الجلسات التدريبية'!A:D,4,FALSE),"")</f>
        <v/>
      </c>
      <c r="E405" s="3"/>
      <c r="F405" s="3" t="str">
        <f>IFERROR(VLOOKUP(E405,'سجل الموظفين والكفاءة'!B:C,2,FALSE),"")</f>
        <v/>
      </c>
      <c r="G405" s="3">
        <f>IFERROR(VLOOKUP(A405,'الخطة التدريبية المعتمدة'!A:J,10,FALSE),0)</f>
        <v>0</v>
      </c>
      <c r="H405" s="3"/>
      <c r="I405" s="3"/>
      <c r="J405" s="3"/>
      <c r="K405" s="7" t="str">
        <f>IF(OR(I405="",J405="",I405=0),"",(J405-I405)/I405)</f>
        <v/>
      </c>
      <c r="L405" s="3" t="str">
        <f>IF(J405="","",IF(J405/10&gt;='الإعدادات والمستهدفات'!B5,"ناجح ومستوفى","ضعيف - يلزم إعادة اختبار"))</f>
        <v/>
      </c>
      <c r="M405" s="3"/>
      <c r="N405" s="3"/>
    </row>
    <row r="406" spans="1:14" x14ac:dyDescent="0.2">
      <c r="A406" s="3" t="str">
        <f>IFERROR(VLOOKUP(B406,'جدول الجلسات التدريبية'!A:B,2,FALSE),"")</f>
        <v/>
      </c>
      <c r="B406" s="3"/>
      <c r="C406" s="3" t="str">
        <f>IFERROR(VLOOKUP(A406,'الخطة التدريبية المعتمدة'!A:C,3,FALSE),"")</f>
        <v/>
      </c>
      <c r="D406" s="3" t="str">
        <f>IFERROR(VLOOKUP(B406,'جدول الجلسات التدريبية'!A:D,4,FALSE),"")</f>
        <v/>
      </c>
      <c r="E406" s="3"/>
      <c r="F406" s="3" t="str">
        <f>IFERROR(VLOOKUP(E406,'سجل الموظفين والكفاءة'!B:C,2,FALSE),"")</f>
        <v/>
      </c>
      <c r="G406" s="3">
        <f>IFERROR(VLOOKUP(A406,'الخطة التدريبية المعتمدة'!A:J,10,FALSE),0)</f>
        <v>0</v>
      </c>
      <c r="H406" s="3"/>
      <c r="I406" s="3"/>
      <c r="J406" s="3"/>
      <c r="K406" s="7" t="str">
        <f>IF(OR(I406="",J406="",I406=0),"",(J406-I406)/I406)</f>
        <v/>
      </c>
      <c r="L406" s="3" t="str">
        <f>IF(J406="","",IF(J406/10&gt;='الإعدادات والمستهدفات'!B5,"ناجح ومستوفى","ضعيف - يلزم إعادة اختبار"))</f>
        <v/>
      </c>
      <c r="M406" s="3"/>
      <c r="N406" s="3"/>
    </row>
    <row r="407" spans="1:14" x14ac:dyDescent="0.2">
      <c r="A407" s="3" t="str">
        <f>IFERROR(VLOOKUP(B407,'جدول الجلسات التدريبية'!A:B,2,FALSE),"")</f>
        <v/>
      </c>
      <c r="B407" s="3"/>
      <c r="C407" s="3" t="str">
        <f>IFERROR(VLOOKUP(A407,'الخطة التدريبية المعتمدة'!A:C,3,FALSE),"")</f>
        <v/>
      </c>
      <c r="D407" s="3" t="str">
        <f>IFERROR(VLOOKUP(B407,'جدول الجلسات التدريبية'!A:D,4,FALSE),"")</f>
        <v/>
      </c>
      <c r="E407" s="3"/>
      <c r="F407" s="3" t="str">
        <f>IFERROR(VLOOKUP(E407,'سجل الموظفين والكفاءة'!B:C,2,FALSE),"")</f>
        <v/>
      </c>
      <c r="G407" s="3">
        <f>IFERROR(VLOOKUP(A407,'الخطة التدريبية المعتمدة'!A:J,10,FALSE),0)</f>
        <v>0</v>
      </c>
      <c r="H407" s="3"/>
      <c r="I407" s="3"/>
      <c r="J407" s="3"/>
      <c r="K407" s="7" t="str">
        <f>IF(OR(I407="",J407="",I407=0),"",(J407-I407)/I407)</f>
        <v/>
      </c>
      <c r="L407" s="3" t="str">
        <f>IF(J407="","",IF(J407/10&gt;='الإعدادات والمستهدفات'!B5,"ناجح ومستوفى","ضعيف - يلزم إعادة اختبار"))</f>
        <v/>
      </c>
      <c r="M407" s="3"/>
      <c r="N407" s="3"/>
    </row>
    <row r="408" spans="1:14" x14ac:dyDescent="0.2">
      <c r="A408" s="3" t="str">
        <f>IFERROR(VLOOKUP(B408,'جدول الجلسات التدريبية'!A:B,2,FALSE),"")</f>
        <v/>
      </c>
      <c r="B408" s="3"/>
      <c r="C408" s="3" t="str">
        <f>IFERROR(VLOOKUP(A408,'الخطة التدريبية المعتمدة'!A:C,3,FALSE),"")</f>
        <v/>
      </c>
      <c r="D408" s="3" t="str">
        <f>IFERROR(VLOOKUP(B408,'جدول الجلسات التدريبية'!A:D,4,FALSE),"")</f>
        <v/>
      </c>
      <c r="E408" s="3"/>
      <c r="F408" s="3" t="str">
        <f>IFERROR(VLOOKUP(E408,'سجل الموظفين والكفاءة'!B:C,2,FALSE),"")</f>
        <v/>
      </c>
      <c r="G408" s="3">
        <f>IFERROR(VLOOKUP(A408,'الخطة التدريبية المعتمدة'!A:J,10,FALSE),0)</f>
        <v>0</v>
      </c>
      <c r="H408" s="3"/>
      <c r="I408" s="3"/>
      <c r="J408" s="3"/>
      <c r="K408" s="7" t="str">
        <f>IF(OR(I408="",J408="",I408=0),"",(J408-I408)/I408)</f>
        <v/>
      </c>
      <c r="L408" s="3" t="str">
        <f>IF(J408="","",IF(J408/10&gt;='الإعدادات والمستهدفات'!B5,"ناجح ومستوفى","ضعيف - يلزم إعادة اختبار"))</f>
        <v/>
      </c>
      <c r="M408" s="3"/>
      <c r="N408" s="3"/>
    </row>
    <row r="409" spans="1:14" x14ac:dyDescent="0.2">
      <c r="A409" s="3" t="str">
        <f>IFERROR(VLOOKUP(B409,'جدول الجلسات التدريبية'!A:B,2,FALSE),"")</f>
        <v/>
      </c>
      <c r="B409" s="3"/>
      <c r="C409" s="3" t="str">
        <f>IFERROR(VLOOKUP(A409,'الخطة التدريبية المعتمدة'!A:C,3,FALSE),"")</f>
        <v/>
      </c>
      <c r="D409" s="3" t="str">
        <f>IFERROR(VLOOKUP(B409,'جدول الجلسات التدريبية'!A:D,4,FALSE),"")</f>
        <v/>
      </c>
      <c r="E409" s="3"/>
      <c r="F409" s="3" t="str">
        <f>IFERROR(VLOOKUP(E409,'سجل الموظفين والكفاءة'!B:C,2,FALSE),"")</f>
        <v/>
      </c>
      <c r="G409" s="3">
        <f>IFERROR(VLOOKUP(A409,'الخطة التدريبية المعتمدة'!A:J,10,FALSE),0)</f>
        <v>0</v>
      </c>
      <c r="H409" s="3"/>
      <c r="I409" s="3"/>
      <c r="J409" s="3"/>
      <c r="K409" s="7" t="str">
        <f>IF(OR(I409="",J409="",I409=0),"",(J409-I409)/I409)</f>
        <v/>
      </c>
      <c r="L409" s="3" t="str">
        <f>IF(J409="","",IF(J409/10&gt;='الإعدادات والمستهدفات'!B5,"ناجح ومستوفى","ضعيف - يلزم إعادة اختبار"))</f>
        <v/>
      </c>
      <c r="M409" s="3"/>
      <c r="N409" s="3"/>
    </row>
    <row r="410" spans="1:14" x14ac:dyDescent="0.2">
      <c r="A410" s="3" t="str">
        <f>IFERROR(VLOOKUP(B410,'جدول الجلسات التدريبية'!A:B,2,FALSE),"")</f>
        <v/>
      </c>
      <c r="B410" s="3"/>
      <c r="C410" s="3" t="str">
        <f>IFERROR(VLOOKUP(A410,'الخطة التدريبية المعتمدة'!A:C,3,FALSE),"")</f>
        <v/>
      </c>
      <c r="D410" s="3" t="str">
        <f>IFERROR(VLOOKUP(B410,'جدول الجلسات التدريبية'!A:D,4,FALSE),"")</f>
        <v/>
      </c>
      <c r="E410" s="3"/>
      <c r="F410" s="3" t="str">
        <f>IFERROR(VLOOKUP(E410,'سجل الموظفين والكفاءة'!B:C,2,FALSE),"")</f>
        <v/>
      </c>
      <c r="G410" s="3">
        <f>IFERROR(VLOOKUP(A410,'الخطة التدريبية المعتمدة'!A:J,10,FALSE),0)</f>
        <v>0</v>
      </c>
      <c r="H410" s="3"/>
      <c r="I410" s="3"/>
      <c r="J410" s="3"/>
      <c r="K410" s="7" t="str">
        <f>IF(OR(I410="",J410="",I410=0),"",(J410-I410)/I410)</f>
        <v/>
      </c>
      <c r="L410" s="3" t="str">
        <f>IF(J410="","",IF(J410/10&gt;='الإعدادات والمستهدفات'!B5,"ناجح ومستوفى","ضعيف - يلزم إعادة اختبار"))</f>
        <v/>
      </c>
      <c r="M410" s="3"/>
      <c r="N410" s="3"/>
    </row>
    <row r="411" spans="1:14" x14ac:dyDescent="0.2">
      <c r="A411" s="3" t="str">
        <f>IFERROR(VLOOKUP(B411,'جدول الجلسات التدريبية'!A:B,2,FALSE),"")</f>
        <v/>
      </c>
      <c r="B411" s="3"/>
      <c r="C411" s="3" t="str">
        <f>IFERROR(VLOOKUP(A411,'الخطة التدريبية المعتمدة'!A:C,3,FALSE),"")</f>
        <v/>
      </c>
      <c r="D411" s="3" t="str">
        <f>IFERROR(VLOOKUP(B411,'جدول الجلسات التدريبية'!A:D,4,FALSE),"")</f>
        <v/>
      </c>
      <c r="E411" s="3"/>
      <c r="F411" s="3" t="str">
        <f>IFERROR(VLOOKUP(E411,'سجل الموظفين والكفاءة'!B:C,2,FALSE),"")</f>
        <v/>
      </c>
      <c r="G411" s="3">
        <f>IFERROR(VLOOKUP(A411,'الخطة التدريبية المعتمدة'!A:J,10,FALSE),0)</f>
        <v>0</v>
      </c>
      <c r="H411" s="3"/>
      <c r="I411" s="3"/>
      <c r="J411" s="3"/>
      <c r="K411" s="7" t="str">
        <f>IF(OR(I411="",J411="",I411=0),"",(J411-I411)/I411)</f>
        <v/>
      </c>
      <c r="L411" s="3" t="str">
        <f>IF(J411="","",IF(J411/10&gt;='الإعدادات والمستهدفات'!B5,"ناجح ومستوفى","ضعيف - يلزم إعادة اختبار"))</f>
        <v/>
      </c>
      <c r="M411" s="3"/>
      <c r="N411" s="3"/>
    </row>
    <row r="412" spans="1:14" x14ac:dyDescent="0.2">
      <c r="A412" s="3" t="str">
        <f>IFERROR(VLOOKUP(B412,'جدول الجلسات التدريبية'!A:B,2,FALSE),"")</f>
        <v/>
      </c>
      <c r="B412" s="3"/>
      <c r="C412" s="3" t="str">
        <f>IFERROR(VLOOKUP(A412,'الخطة التدريبية المعتمدة'!A:C,3,FALSE),"")</f>
        <v/>
      </c>
      <c r="D412" s="3" t="str">
        <f>IFERROR(VLOOKUP(B412,'جدول الجلسات التدريبية'!A:D,4,FALSE),"")</f>
        <v/>
      </c>
      <c r="E412" s="3"/>
      <c r="F412" s="3" t="str">
        <f>IFERROR(VLOOKUP(E412,'سجل الموظفين والكفاءة'!B:C,2,FALSE),"")</f>
        <v/>
      </c>
      <c r="G412" s="3">
        <f>IFERROR(VLOOKUP(A412,'الخطة التدريبية المعتمدة'!A:J,10,FALSE),0)</f>
        <v>0</v>
      </c>
      <c r="H412" s="3"/>
      <c r="I412" s="3"/>
      <c r="J412" s="3"/>
      <c r="K412" s="7" t="str">
        <f>IF(OR(I412="",J412="",I412=0),"",(J412-I412)/I412)</f>
        <v/>
      </c>
      <c r="L412" s="3" t="str">
        <f>IF(J412="","",IF(J412/10&gt;='الإعدادات والمستهدفات'!B5,"ناجح ومستوفى","ضعيف - يلزم إعادة اختبار"))</f>
        <v/>
      </c>
      <c r="M412" s="3"/>
      <c r="N412" s="3"/>
    </row>
    <row r="413" spans="1:14" x14ac:dyDescent="0.2">
      <c r="A413" s="3" t="str">
        <f>IFERROR(VLOOKUP(B413,'جدول الجلسات التدريبية'!A:B,2,FALSE),"")</f>
        <v/>
      </c>
      <c r="B413" s="3"/>
      <c r="C413" s="3" t="str">
        <f>IFERROR(VLOOKUP(A413,'الخطة التدريبية المعتمدة'!A:C,3,FALSE),"")</f>
        <v/>
      </c>
      <c r="D413" s="3" t="str">
        <f>IFERROR(VLOOKUP(B413,'جدول الجلسات التدريبية'!A:D,4,FALSE),"")</f>
        <v/>
      </c>
      <c r="E413" s="3"/>
      <c r="F413" s="3" t="str">
        <f>IFERROR(VLOOKUP(E413,'سجل الموظفين والكفاءة'!B:C,2,FALSE),"")</f>
        <v/>
      </c>
      <c r="G413" s="3">
        <f>IFERROR(VLOOKUP(A413,'الخطة التدريبية المعتمدة'!A:J,10,FALSE),0)</f>
        <v>0</v>
      </c>
      <c r="H413" s="3"/>
      <c r="I413" s="3"/>
      <c r="J413" s="3"/>
      <c r="K413" s="7" t="str">
        <f>IF(OR(I413="",J413="",I413=0),"",(J413-I413)/I413)</f>
        <v/>
      </c>
      <c r="L413" s="3" t="str">
        <f>IF(J413="","",IF(J413/10&gt;='الإعدادات والمستهدفات'!B5,"ناجح ومستوفى","ضعيف - يلزم إعادة اختبار"))</f>
        <v/>
      </c>
      <c r="M413" s="3"/>
      <c r="N413" s="3"/>
    </row>
    <row r="414" spans="1:14" x14ac:dyDescent="0.2">
      <c r="A414" s="3" t="str">
        <f>IFERROR(VLOOKUP(B414,'جدول الجلسات التدريبية'!A:B,2,FALSE),"")</f>
        <v/>
      </c>
      <c r="B414" s="3"/>
      <c r="C414" s="3" t="str">
        <f>IFERROR(VLOOKUP(A414,'الخطة التدريبية المعتمدة'!A:C,3,FALSE),"")</f>
        <v/>
      </c>
      <c r="D414" s="3" t="str">
        <f>IFERROR(VLOOKUP(B414,'جدول الجلسات التدريبية'!A:D,4,FALSE),"")</f>
        <v/>
      </c>
      <c r="E414" s="3"/>
      <c r="F414" s="3" t="str">
        <f>IFERROR(VLOOKUP(E414,'سجل الموظفين والكفاءة'!B:C,2,FALSE),"")</f>
        <v/>
      </c>
      <c r="G414" s="3">
        <f>IFERROR(VLOOKUP(A414,'الخطة التدريبية المعتمدة'!A:J,10,FALSE),0)</f>
        <v>0</v>
      </c>
      <c r="H414" s="3"/>
      <c r="I414" s="3"/>
      <c r="J414" s="3"/>
      <c r="K414" s="7" t="str">
        <f>IF(OR(I414="",J414="",I414=0),"",(J414-I414)/I414)</f>
        <v/>
      </c>
      <c r="L414" s="3" t="str">
        <f>IF(J414="","",IF(J414/10&gt;='الإعدادات والمستهدفات'!B5,"ناجح ومستوفى","ضعيف - يلزم إعادة اختبار"))</f>
        <v/>
      </c>
      <c r="M414" s="3"/>
      <c r="N414" s="3"/>
    </row>
    <row r="415" spans="1:14" x14ac:dyDescent="0.2">
      <c r="A415" s="3" t="str">
        <f>IFERROR(VLOOKUP(B415,'جدول الجلسات التدريبية'!A:B,2,FALSE),"")</f>
        <v/>
      </c>
      <c r="B415" s="3"/>
      <c r="C415" s="3" t="str">
        <f>IFERROR(VLOOKUP(A415,'الخطة التدريبية المعتمدة'!A:C,3,FALSE),"")</f>
        <v/>
      </c>
      <c r="D415" s="3" t="str">
        <f>IFERROR(VLOOKUP(B415,'جدول الجلسات التدريبية'!A:D,4,FALSE),"")</f>
        <v/>
      </c>
      <c r="E415" s="3"/>
      <c r="F415" s="3" t="str">
        <f>IFERROR(VLOOKUP(E415,'سجل الموظفين والكفاءة'!B:C,2,FALSE),"")</f>
        <v/>
      </c>
      <c r="G415" s="3">
        <f>IFERROR(VLOOKUP(A415,'الخطة التدريبية المعتمدة'!A:J,10,FALSE),0)</f>
        <v>0</v>
      </c>
      <c r="H415" s="3"/>
      <c r="I415" s="3"/>
      <c r="J415" s="3"/>
      <c r="K415" s="7" t="str">
        <f>IF(OR(I415="",J415="",I415=0),"",(J415-I415)/I415)</f>
        <v/>
      </c>
      <c r="L415" s="3" t="str">
        <f>IF(J415="","",IF(J415/10&gt;='الإعدادات والمستهدفات'!B5,"ناجح ومستوفى","ضعيف - يلزم إعادة اختبار"))</f>
        <v/>
      </c>
      <c r="M415" s="3"/>
      <c r="N415" s="3"/>
    </row>
    <row r="416" spans="1:14" x14ac:dyDescent="0.2">
      <c r="A416" s="3" t="str">
        <f>IFERROR(VLOOKUP(B416,'جدول الجلسات التدريبية'!A:B,2,FALSE),"")</f>
        <v/>
      </c>
      <c r="B416" s="3"/>
      <c r="C416" s="3" t="str">
        <f>IFERROR(VLOOKUP(A416,'الخطة التدريبية المعتمدة'!A:C,3,FALSE),"")</f>
        <v/>
      </c>
      <c r="D416" s="3" t="str">
        <f>IFERROR(VLOOKUP(B416,'جدول الجلسات التدريبية'!A:D,4,FALSE),"")</f>
        <v/>
      </c>
      <c r="E416" s="3"/>
      <c r="F416" s="3" t="str">
        <f>IFERROR(VLOOKUP(E416,'سجل الموظفين والكفاءة'!B:C,2,FALSE),"")</f>
        <v/>
      </c>
      <c r="G416" s="3">
        <f>IFERROR(VLOOKUP(A416,'الخطة التدريبية المعتمدة'!A:J,10,FALSE),0)</f>
        <v>0</v>
      </c>
      <c r="H416" s="3"/>
      <c r="I416" s="3"/>
      <c r="J416" s="3"/>
      <c r="K416" s="7" t="str">
        <f>IF(OR(I416="",J416="",I416=0),"",(J416-I416)/I416)</f>
        <v/>
      </c>
      <c r="L416" s="3" t="str">
        <f>IF(J416="","",IF(J416/10&gt;='الإعدادات والمستهدفات'!B5,"ناجح ومستوفى","ضعيف - يلزم إعادة اختبار"))</f>
        <v/>
      </c>
      <c r="M416" s="3"/>
      <c r="N416" s="3"/>
    </row>
    <row r="417" spans="1:14" x14ac:dyDescent="0.2">
      <c r="A417" s="3" t="str">
        <f>IFERROR(VLOOKUP(B417,'جدول الجلسات التدريبية'!A:B,2,FALSE),"")</f>
        <v/>
      </c>
      <c r="B417" s="3"/>
      <c r="C417" s="3" t="str">
        <f>IFERROR(VLOOKUP(A417,'الخطة التدريبية المعتمدة'!A:C,3,FALSE),"")</f>
        <v/>
      </c>
      <c r="D417" s="3" t="str">
        <f>IFERROR(VLOOKUP(B417,'جدول الجلسات التدريبية'!A:D,4,FALSE),"")</f>
        <v/>
      </c>
      <c r="E417" s="3"/>
      <c r="F417" s="3" t="str">
        <f>IFERROR(VLOOKUP(E417,'سجل الموظفين والكفاءة'!B:C,2,FALSE),"")</f>
        <v/>
      </c>
      <c r="G417" s="3">
        <f>IFERROR(VLOOKUP(A417,'الخطة التدريبية المعتمدة'!A:J,10,FALSE),0)</f>
        <v>0</v>
      </c>
      <c r="H417" s="3"/>
      <c r="I417" s="3"/>
      <c r="J417" s="3"/>
      <c r="K417" s="7" t="str">
        <f>IF(OR(I417="",J417="",I417=0),"",(J417-I417)/I417)</f>
        <v/>
      </c>
      <c r="L417" s="3" t="str">
        <f>IF(J417="","",IF(J417/10&gt;='الإعدادات والمستهدفات'!B5,"ناجح ومستوفى","ضعيف - يلزم إعادة اختبار"))</f>
        <v/>
      </c>
      <c r="M417" s="3"/>
      <c r="N417" s="3"/>
    </row>
    <row r="418" spans="1:14" x14ac:dyDescent="0.2">
      <c r="A418" s="3" t="str">
        <f>IFERROR(VLOOKUP(B418,'جدول الجلسات التدريبية'!A:B,2,FALSE),"")</f>
        <v/>
      </c>
      <c r="B418" s="3"/>
      <c r="C418" s="3" t="str">
        <f>IFERROR(VLOOKUP(A418,'الخطة التدريبية المعتمدة'!A:C,3,FALSE),"")</f>
        <v/>
      </c>
      <c r="D418" s="3" t="str">
        <f>IFERROR(VLOOKUP(B418,'جدول الجلسات التدريبية'!A:D,4,FALSE),"")</f>
        <v/>
      </c>
      <c r="E418" s="3"/>
      <c r="F418" s="3" t="str">
        <f>IFERROR(VLOOKUP(E418,'سجل الموظفين والكفاءة'!B:C,2,FALSE),"")</f>
        <v/>
      </c>
      <c r="G418" s="3">
        <f>IFERROR(VLOOKUP(A418,'الخطة التدريبية المعتمدة'!A:J,10,FALSE),0)</f>
        <v>0</v>
      </c>
      <c r="H418" s="3"/>
      <c r="I418" s="3"/>
      <c r="J418" s="3"/>
      <c r="K418" s="7" t="str">
        <f>IF(OR(I418="",J418="",I418=0),"",(J418-I418)/I418)</f>
        <v/>
      </c>
      <c r="L418" s="3" t="str">
        <f>IF(J418="","",IF(J418/10&gt;='الإعدادات والمستهدفات'!B5,"ناجح ومستوفى","ضعيف - يلزم إعادة اختبار"))</f>
        <v/>
      </c>
      <c r="M418" s="3"/>
      <c r="N418" s="3"/>
    </row>
    <row r="419" spans="1:14" x14ac:dyDescent="0.2">
      <c r="A419" s="3" t="str">
        <f>IFERROR(VLOOKUP(B419,'جدول الجلسات التدريبية'!A:B,2,FALSE),"")</f>
        <v/>
      </c>
      <c r="B419" s="3"/>
      <c r="C419" s="3" t="str">
        <f>IFERROR(VLOOKUP(A419,'الخطة التدريبية المعتمدة'!A:C,3,FALSE),"")</f>
        <v/>
      </c>
      <c r="D419" s="3" t="str">
        <f>IFERROR(VLOOKUP(B419,'جدول الجلسات التدريبية'!A:D,4,FALSE),"")</f>
        <v/>
      </c>
      <c r="E419" s="3"/>
      <c r="F419" s="3" t="str">
        <f>IFERROR(VLOOKUP(E419,'سجل الموظفين والكفاءة'!B:C,2,FALSE),"")</f>
        <v/>
      </c>
      <c r="G419" s="3">
        <f>IFERROR(VLOOKUP(A419,'الخطة التدريبية المعتمدة'!A:J,10,FALSE),0)</f>
        <v>0</v>
      </c>
      <c r="H419" s="3"/>
      <c r="I419" s="3"/>
      <c r="J419" s="3"/>
      <c r="K419" s="7" t="str">
        <f>IF(OR(I419="",J419="",I419=0),"",(J419-I419)/I419)</f>
        <v/>
      </c>
      <c r="L419" s="3" t="str">
        <f>IF(J419="","",IF(J419/10&gt;='الإعدادات والمستهدفات'!B5,"ناجح ومستوفى","ضعيف - يلزم إعادة اختبار"))</f>
        <v/>
      </c>
      <c r="M419" s="3"/>
      <c r="N419" s="3"/>
    </row>
    <row r="420" spans="1:14" x14ac:dyDescent="0.2">
      <c r="A420" s="3" t="str">
        <f>IFERROR(VLOOKUP(B420,'جدول الجلسات التدريبية'!A:B,2,FALSE),"")</f>
        <v/>
      </c>
      <c r="B420" s="3"/>
      <c r="C420" s="3" t="str">
        <f>IFERROR(VLOOKUP(A420,'الخطة التدريبية المعتمدة'!A:C,3,FALSE),"")</f>
        <v/>
      </c>
      <c r="D420" s="3" t="str">
        <f>IFERROR(VLOOKUP(B420,'جدول الجلسات التدريبية'!A:D,4,FALSE),"")</f>
        <v/>
      </c>
      <c r="E420" s="3"/>
      <c r="F420" s="3" t="str">
        <f>IFERROR(VLOOKUP(E420,'سجل الموظفين والكفاءة'!B:C,2,FALSE),"")</f>
        <v/>
      </c>
      <c r="G420" s="3">
        <f>IFERROR(VLOOKUP(A420,'الخطة التدريبية المعتمدة'!A:J,10,FALSE),0)</f>
        <v>0</v>
      </c>
      <c r="H420" s="3"/>
      <c r="I420" s="3"/>
      <c r="J420" s="3"/>
      <c r="K420" s="7" t="str">
        <f>IF(OR(I420="",J420="",I420=0),"",(J420-I420)/I420)</f>
        <v/>
      </c>
      <c r="L420" s="3" t="str">
        <f>IF(J420="","",IF(J420/10&gt;='الإعدادات والمستهدفات'!B5,"ناجح ومستوفى","ضعيف - يلزم إعادة اختبار"))</f>
        <v/>
      </c>
      <c r="M420" s="3"/>
      <c r="N420" s="3"/>
    </row>
    <row r="421" spans="1:14" x14ac:dyDescent="0.2">
      <c r="A421" s="3" t="str">
        <f>IFERROR(VLOOKUP(B421,'جدول الجلسات التدريبية'!A:B,2,FALSE),"")</f>
        <v/>
      </c>
      <c r="B421" s="3"/>
      <c r="C421" s="3" t="str">
        <f>IFERROR(VLOOKUP(A421,'الخطة التدريبية المعتمدة'!A:C,3,FALSE),"")</f>
        <v/>
      </c>
      <c r="D421" s="3" t="str">
        <f>IFERROR(VLOOKUP(B421,'جدول الجلسات التدريبية'!A:D,4,FALSE),"")</f>
        <v/>
      </c>
      <c r="E421" s="3"/>
      <c r="F421" s="3" t="str">
        <f>IFERROR(VLOOKUP(E421,'سجل الموظفين والكفاءة'!B:C,2,FALSE),"")</f>
        <v/>
      </c>
      <c r="G421" s="3">
        <f>IFERROR(VLOOKUP(A421,'الخطة التدريبية المعتمدة'!A:J,10,FALSE),0)</f>
        <v>0</v>
      </c>
      <c r="H421" s="3"/>
      <c r="I421" s="3"/>
      <c r="J421" s="3"/>
      <c r="K421" s="7" t="str">
        <f>IF(OR(I421="",J421="",I421=0),"",(J421-I421)/I421)</f>
        <v/>
      </c>
      <c r="L421" s="3" t="str">
        <f>IF(J421="","",IF(J421/10&gt;='الإعدادات والمستهدفات'!B5,"ناجح ومستوفى","ضعيف - يلزم إعادة اختبار"))</f>
        <v/>
      </c>
      <c r="M421" s="3"/>
      <c r="N421" s="3"/>
    </row>
    <row r="422" spans="1:14" x14ac:dyDescent="0.2">
      <c r="A422" s="3" t="str">
        <f>IFERROR(VLOOKUP(B422,'جدول الجلسات التدريبية'!A:B,2,FALSE),"")</f>
        <v/>
      </c>
      <c r="B422" s="3"/>
      <c r="C422" s="3" t="str">
        <f>IFERROR(VLOOKUP(A422,'الخطة التدريبية المعتمدة'!A:C,3,FALSE),"")</f>
        <v/>
      </c>
      <c r="D422" s="3" t="str">
        <f>IFERROR(VLOOKUP(B422,'جدول الجلسات التدريبية'!A:D,4,FALSE),"")</f>
        <v/>
      </c>
      <c r="E422" s="3"/>
      <c r="F422" s="3" t="str">
        <f>IFERROR(VLOOKUP(E422,'سجل الموظفين والكفاءة'!B:C,2,FALSE),"")</f>
        <v/>
      </c>
      <c r="G422" s="3">
        <f>IFERROR(VLOOKUP(A422,'الخطة التدريبية المعتمدة'!A:J,10,FALSE),0)</f>
        <v>0</v>
      </c>
      <c r="H422" s="3"/>
      <c r="I422" s="3"/>
      <c r="J422" s="3"/>
      <c r="K422" s="7" t="str">
        <f>IF(OR(I422="",J422="",I422=0),"",(J422-I422)/I422)</f>
        <v/>
      </c>
      <c r="L422" s="3" t="str">
        <f>IF(J422="","",IF(J422/10&gt;='الإعدادات والمستهدفات'!B5,"ناجح ومستوفى","ضعيف - يلزم إعادة اختبار"))</f>
        <v/>
      </c>
      <c r="M422" s="3"/>
      <c r="N422" s="3"/>
    </row>
    <row r="423" spans="1:14" x14ac:dyDescent="0.2">
      <c r="A423" s="3" t="str">
        <f>IFERROR(VLOOKUP(B423,'جدول الجلسات التدريبية'!A:B,2,FALSE),"")</f>
        <v/>
      </c>
      <c r="B423" s="3"/>
      <c r="C423" s="3" t="str">
        <f>IFERROR(VLOOKUP(A423,'الخطة التدريبية المعتمدة'!A:C,3,FALSE),"")</f>
        <v/>
      </c>
      <c r="D423" s="3" t="str">
        <f>IFERROR(VLOOKUP(B423,'جدول الجلسات التدريبية'!A:D,4,FALSE),"")</f>
        <v/>
      </c>
      <c r="E423" s="3"/>
      <c r="F423" s="3" t="str">
        <f>IFERROR(VLOOKUP(E423,'سجل الموظفين والكفاءة'!B:C,2,FALSE),"")</f>
        <v/>
      </c>
      <c r="G423" s="3">
        <f>IFERROR(VLOOKUP(A423,'الخطة التدريبية المعتمدة'!A:J,10,FALSE),0)</f>
        <v>0</v>
      </c>
      <c r="H423" s="3"/>
      <c r="I423" s="3"/>
      <c r="J423" s="3"/>
      <c r="K423" s="7" t="str">
        <f>IF(OR(I423="",J423="",I423=0),"",(J423-I423)/I423)</f>
        <v/>
      </c>
      <c r="L423" s="3" t="str">
        <f>IF(J423="","",IF(J423/10&gt;='الإعدادات والمستهدفات'!B5,"ناجح ومستوفى","ضعيف - يلزم إعادة اختبار"))</f>
        <v/>
      </c>
      <c r="M423" s="3"/>
      <c r="N423" s="3"/>
    </row>
    <row r="424" spans="1:14" x14ac:dyDescent="0.2">
      <c r="A424" s="3" t="str">
        <f>IFERROR(VLOOKUP(B424,'جدول الجلسات التدريبية'!A:B,2,FALSE),"")</f>
        <v/>
      </c>
      <c r="B424" s="3"/>
      <c r="C424" s="3" t="str">
        <f>IFERROR(VLOOKUP(A424,'الخطة التدريبية المعتمدة'!A:C,3,FALSE),"")</f>
        <v/>
      </c>
      <c r="D424" s="3" t="str">
        <f>IFERROR(VLOOKUP(B424,'جدول الجلسات التدريبية'!A:D,4,FALSE),"")</f>
        <v/>
      </c>
      <c r="E424" s="3"/>
      <c r="F424" s="3" t="str">
        <f>IFERROR(VLOOKUP(E424,'سجل الموظفين والكفاءة'!B:C,2,FALSE),"")</f>
        <v/>
      </c>
      <c r="G424" s="3">
        <f>IFERROR(VLOOKUP(A424,'الخطة التدريبية المعتمدة'!A:J,10,FALSE),0)</f>
        <v>0</v>
      </c>
      <c r="H424" s="3"/>
      <c r="I424" s="3"/>
      <c r="J424" s="3"/>
      <c r="K424" s="7" t="str">
        <f>IF(OR(I424="",J424="",I424=0),"",(J424-I424)/I424)</f>
        <v/>
      </c>
      <c r="L424" s="3" t="str">
        <f>IF(J424="","",IF(J424/10&gt;='الإعدادات والمستهدفات'!B5,"ناجح ومستوفى","ضعيف - يلزم إعادة اختبار"))</f>
        <v/>
      </c>
      <c r="M424" s="3"/>
      <c r="N424" s="3"/>
    </row>
    <row r="425" spans="1:14" x14ac:dyDescent="0.2">
      <c r="A425" s="3" t="str">
        <f>IFERROR(VLOOKUP(B425,'جدول الجلسات التدريبية'!A:B,2,FALSE),"")</f>
        <v/>
      </c>
      <c r="B425" s="3"/>
      <c r="C425" s="3" t="str">
        <f>IFERROR(VLOOKUP(A425,'الخطة التدريبية المعتمدة'!A:C,3,FALSE),"")</f>
        <v/>
      </c>
      <c r="D425" s="3" t="str">
        <f>IFERROR(VLOOKUP(B425,'جدول الجلسات التدريبية'!A:D,4,FALSE),"")</f>
        <v/>
      </c>
      <c r="E425" s="3"/>
      <c r="F425" s="3" t="str">
        <f>IFERROR(VLOOKUP(E425,'سجل الموظفين والكفاءة'!B:C,2,FALSE),"")</f>
        <v/>
      </c>
      <c r="G425" s="3">
        <f>IFERROR(VLOOKUP(A425,'الخطة التدريبية المعتمدة'!A:J,10,FALSE),0)</f>
        <v>0</v>
      </c>
      <c r="H425" s="3"/>
      <c r="I425" s="3"/>
      <c r="J425" s="3"/>
      <c r="K425" s="7" t="str">
        <f>IF(OR(I425="",J425="",I425=0),"",(J425-I425)/I425)</f>
        <v/>
      </c>
      <c r="L425" s="3" t="str">
        <f>IF(J425="","",IF(J425/10&gt;='الإعدادات والمستهدفات'!B5,"ناجح ومستوفى","ضعيف - يلزم إعادة اختبار"))</f>
        <v/>
      </c>
      <c r="M425" s="3"/>
      <c r="N425" s="3"/>
    </row>
    <row r="426" spans="1:14" x14ac:dyDescent="0.2">
      <c r="A426" s="3" t="str">
        <f>IFERROR(VLOOKUP(B426,'جدول الجلسات التدريبية'!A:B,2,FALSE),"")</f>
        <v/>
      </c>
      <c r="B426" s="3"/>
      <c r="C426" s="3" t="str">
        <f>IFERROR(VLOOKUP(A426,'الخطة التدريبية المعتمدة'!A:C,3,FALSE),"")</f>
        <v/>
      </c>
      <c r="D426" s="3" t="str">
        <f>IFERROR(VLOOKUP(B426,'جدول الجلسات التدريبية'!A:D,4,FALSE),"")</f>
        <v/>
      </c>
      <c r="E426" s="3"/>
      <c r="F426" s="3" t="str">
        <f>IFERROR(VLOOKUP(E426,'سجل الموظفين والكفاءة'!B:C,2,FALSE),"")</f>
        <v/>
      </c>
      <c r="G426" s="3">
        <f>IFERROR(VLOOKUP(A426,'الخطة التدريبية المعتمدة'!A:J,10,FALSE),0)</f>
        <v>0</v>
      </c>
      <c r="H426" s="3"/>
      <c r="I426" s="3"/>
      <c r="J426" s="3"/>
      <c r="K426" s="7" t="str">
        <f>IF(OR(I426="",J426="",I426=0),"",(J426-I426)/I426)</f>
        <v/>
      </c>
      <c r="L426" s="3" t="str">
        <f>IF(J426="","",IF(J426/10&gt;='الإعدادات والمستهدفات'!B5,"ناجح ومستوفى","ضعيف - يلزم إعادة اختبار"))</f>
        <v/>
      </c>
      <c r="M426" s="3"/>
      <c r="N426" s="3"/>
    </row>
    <row r="427" spans="1:14" x14ac:dyDescent="0.2">
      <c r="A427" s="3" t="str">
        <f>IFERROR(VLOOKUP(B427,'جدول الجلسات التدريبية'!A:B,2,FALSE),"")</f>
        <v/>
      </c>
      <c r="B427" s="3"/>
      <c r="C427" s="3" t="str">
        <f>IFERROR(VLOOKUP(A427,'الخطة التدريبية المعتمدة'!A:C,3,FALSE),"")</f>
        <v/>
      </c>
      <c r="D427" s="3" t="str">
        <f>IFERROR(VLOOKUP(B427,'جدول الجلسات التدريبية'!A:D,4,FALSE),"")</f>
        <v/>
      </c>
      <c r="E427" s="3"/>
      <c r="F427" s="3" t="str">
        <f>IFERROR(VLOOKUP(E427,'سجل الموظفين والكفاءة'!B:C,2,FALSE),"")</f>
        <v/>
      </c>
      <c r="G427" s="3">
        <f>IFERROR(VLOOKUP(A427,'الخطة التدريبية المعتمدة'!A:J,10,FALSE),0)</f>
        <v>0</v>
      </c>
      <c r="H427" s="3"/>
      <c r="I427" s="3"/>
      <c r="J427" s="3"/>
      <c r="K427" s="7" t="str">
        <f>IF(OR(I427="",J427="",I427=0),"",(J427-I427)/I427)</f>
        <v/>
      </c>
      <c r="L427" s="3" t="str">
        <f>IF(J427="","",IF(J427/10&gt;='الإعدادات والمستهدفات'!B5,"ناجح ومستوفى","ضعيف - يلزم إعادة اختبار"))</f>
        <v/>
      </c>
      <c r="M427" s="3"/>
      <c r="N427" s="3"/>
    </row>
    <row r="428" spans="1:14" x14ac:dyDescent="0.2">
      <c r="A428" s="3" t="str">
        <f>IFERROR(VLOOKUP(B428,'جدول الجلسات التدريبية'!A:B,2,FALSE),"")</f>
        <v/>
      </c>
      <c r="B428" s="3"/>
      <c r="C428" s="3" t="str">
        <f>IFERROR(VLOOKUP(A428,'الخطة التدريبية المعتمدة'!A:C,3,FALSE),"")</f>
        <v/>
      </c>
      <c r="D428" s="3" t="str">
        <f>IFERROR(VLOOKUP(B428,'جدول الجلسات التدريبية'!A:D,4,FALSE),"")</f>
        <v/>
      </c>
      <c r="E428" s="3"/>
      <c r="F428" s="3" t="str">
        <f>IFERROR(VLOOKUP(E428,'سجل الموظفين والكفاءة'!B:C,2,FALSE),"")</f>
        <v/>
      </c>
      <c r="G428" s="3">
        <f>IFERROR(VLOOKUP(A428,'الخطة التدريبية المعتمدة'!A:J,10,FALSE),0)</f>
        <v>0</v>
      </c>
      <c r="H428" s="3"/>
      <c r="I428" s="3"/>
      <c r="J428" s="3"/>
      <c r="K428" s="7" t="str">
        <f>IF(OR(I428="",J428="",I428=0),"",(J428-I428)/I428)</f>
        <v/>
      </c>
      <c r="L428" s="3" t="str">
        <f>IF(J428="","",IF(J428/10&gt;='الإعدادات والمستهدفات'!B5,"ناجح ومستوفى","ضعيف - يلزم إعادة اختبار"))</f>
        <v/>
      </c>
      <c r="M428" s="3"/>
      <c r="N428" s="3"/>
    </row>
    <row r="429" spans="1:14" x14ac:dyDescent="0.2">
      <c r="A429" s="3" t="str">
        <f>IFERROR(VLOOKUP(B429,'جدول الجلسات التدريبية'!A:B,2,FALSE),"")</f>
        <v/>
      </c>
      <c r="B429" s="3"/>
      <c r="C429" s="3" t="str">
        <f>IFERROR(VLOOKUP(A429,'الخطة التدريبية المعتمدة'!A:C,3,FALSE),"")</f>
        <v/>
      </c>
      <c r="D429" s="3" t="str">
        <f>IFERROR(VLOOKUP(B429,'جدول الجلسات التدريبية'!A:D,4,FALSE),"")</f>
        <v/>
      </c>
      <c r="E429" s="3"/>
      <c r="F429" s="3" t="str">
        <f>IFERROR(VLOOKUP(E429,'سجل الموظفين والكفاءة'!B:C,2,FALSE),"")</f>
        <v/>
      </c>
      <c r="G429" s="3">
        <f>IFERROR(VLOOKUP(A429,'الخطة التدريبية المعتمدة'!A:J,10,FALSE),0)</f>
        <v>0</v>
      </c>
      <c r="H429" s="3"/>
      <c r="I429" s="3"/>
      <c r="J429" s="3"/>
      <c r="K429" s="7" t="str">
        <f>IF(OR(I429="",J429="",I429=0),"",(J429-I429)/I429)</f>
        <v/>
      </c>
      <c r="L429" s="3" t="str">
        <f>IF(J429="","",IF(J429/10&gt;='الإعدادات والمستهدفات'!B5,"ناجح ومستوفى","ضعيف - يلزم إعادة اختبار"))</f>
        <v/>
      </c>
      <c r="M429" s="3"/>
      <c r="N429" s="3"/>
    </row>
    <row r="430" spans="1:14" x14ac:dyDescent="0.2">
      <c r="A430" s="3" t="str">
        <f>IFERROR(VLOOKUP(B430,'جدول الجلسات التدريبية'!A:B,2,FALSE),"")</f>
        <v/>
      </c>
      <c r="B430" s="3"/>
      <c r="C430" s="3" t="str">
        <f>IFERROR(VLOOKUP(A430,'الخطة التدريبية المعتمدة'!A:C,3,FALSE),"")</f>
        <v/>
      </c>
      <c r="D430" s="3" t="str">
        <f>IFERROR(VLOOKUP(B430,'جدول الجلسات التدريبية'!A:D,4,FALSE),"")</f>
        <v/>
      </c>
      <c r="E430" s="3"/>
      <c r="F430" s="3" t="str">
        <f>IFERROR(VLOOKUP(E430,'سجل الموظفين والكفاءة'!B:C,2,FALSE),"")</f>
        <v/>
      </c>
      <c r="G430" s="3">
        <f>IFERROR(VLOOKUP(A430,'الخطة التدريبية المعتمدة'!A:J,10,FALSE),0)</f>
        <v>0</v>
      </c>
      <c r="H430" s="3"/>
      <c r="I430" s="3"/>
      <c r="J430" s="3"/>
      <c r="K430" s="7" t="str">
        <f>IF(OR(I430="",J430="",I430=0),"",(J430-I430)/I430)</f>
        <v/>
      </c>
      <c r="L430" s="3" t="str">
        <f>IF(J430="","",IF(J430/10&gt;='الإعدادات والمستهدفات'!B5,"ناجح ومستوفى","ضعيف - يلزم إعادة اختبار"))</f>
        <v/>
      </c>
      <c r="M430" s="3"/>
      <c r="N430" s="3"/>
    </row>
    <row r="431" spans="1:14" x14ac:dyDescent="0.2">
      <c r="A431" s="3" t="str">
        <f>IFERROR(VLOOKUP(B431,'جدول الجلسات التدريبية'!A:B,2,FALSE),"")</f>
        <v/>
      </c>
      <c r="B431" s="3"/>
      <c r="C431" s="3" t="str">
        <f>IFERROR(VLOOKUP(A431,'الخطة التدريبية المعتمدة'!A:C,3,FALSE),"")</f>
        <v/>
      </c>
      <c r="D431" s="3" t="str">
        <f>IFERROR(VLOOKUP(B431,'جدول الجلسات التدريبية'!A:D,4,FALSE),"")</f>
        <v/>
      </c>
      <c r="E431" s="3"/>
      <c r="F431" s="3" t="str">
        <f>IFERROR(VLOOKUP(E431,'سجل الموظفين والكفاءة'!B:C,2,FALSE),"")</f>
        <v/>
      </c>
      <c r="G431" s="3">
        <f>IFERROR(VLOOKUP(A431,'الخطة التدريبية المعتمدة'!A:J,10,FALSE),0)</f>
        <v>0</v>
      </c>
      <c r="H431" s="3"/>
      <c r="I431" s="3"/>
      <c r="J431" s="3"/>
      <c r="K431" s="7" t="str">
        <f>IF(OR(I431="",J431="",I431=0),"",(J431-I431)/I431)</f>
        <v/>
      </c>
      <c r="L431" s="3" t="str">
        <f>IF(J431="","",IF(J431/10&gt;='الإعدادات والمستهدفات'!B5,"ناجح ومستوفى","ضعيف - يلزم إعادة اختبار"))</f>
        <v/>
      </c>
      <c r="M431" s="3"/>
      <c r="N431" s="3"/>
    </row>
    <row r="432" spans="1:14" x14ac:dyDescent="0.2">
      <c r="A432" s="3" t="str">
        <f>IFERROR(VLOOKUP(B432,'جدول الجلسات التدريبية'!A:B,2,FALSE),"")</f>
        <v/>
      </c>
      <c r="B432" s="3"/>
      <c r="C432" s="3" t="str">
        <f>IFERROR(VLOOKUP(A432,'الخطة التدريبية المعتمدة'!A:C,3,FALSE),"")</f>
        <v/>
      </c>
      <c r="D432" s="3" t="str">
        <f>IFERROR(VLOOKUP(B432,'جدول الجلسات التدريبية'!A:D,4,FALSE),"")</f>
        <v/>
      </c>
      <c r="E432" s="3"/>
      <c r="F432" s="3" t="str">
        <f>IFERROR(VLOOKUP(E432,'سجل الموظفين والكفاءة'!B:C,2,FALSE),"")</f>
        <v/>
      </c>
      <c r="G432" s="3">
        <f>IFERROR(VLOOKUP(A432,'الخطة التدريبية المعتمدة'!A:J,10,FALSE),0)</f>
        <v>0</v>
      </c>
      <c r="H432" s="3"/>
      <c r="I432" s="3"/>
      <c r="J432" s="3"/>
      <c r="K432" s="7" t="str">
        <f>IF(OR(I432="",J432="",I432=0),"",(J432-I432)/I432)</f>
        <v/>
      </c>
      <c r="L432" s="3" t="str">
        <f>IF(J432="","",IF(J432/10&gt;='الإعدادات والمستهدفات'!B5,"ناجح ومستوفى","ضعيف - يلزم إعادة اختبار"))</f>
        <v/>
      </c>
      <c r="M432" s="3"/>
      <c r="N432" s="3"/>
    </row>
    <row r="433" spans="1:14" x14ac:dyDescent="0.2">
      <c r="A433" s="3" t="str">
        <f>IFERROR(VLOOKUP(B433,'جدول الجلسات التدريبية'!A:B,2,FALSE),"")</f>
        <v/>
      </c>
      <c r="B433" s="3"/>
      <c r="C433" s="3" t="str">
        <f>IFERROR(VLOOKUP(A433,'الخطة التدريبية المعتمدة'!A:C,3,FALSE),"")</f>
        <v/>
      </c>
      <c r="D433" s="3" t="str">
        <f>IFERROR(VLOOKUP(B433,'جدول الجلسات التدريبية'!A:D,4,FALSE),"")</f>
        <v/>
      </c>
      <c r="E433" s="3"/>
      <c r="F433" s="3" t="str">
        <f>IFERROR(VLOOKUP(E433,'سجل الموظفين والكفاءة'!B:C,2,FALSE),"")</f>
        <v/>
      </c>
      <c r="G433" s="3">
        <f>IFERROR(VLOOKUP(A433,'الخطة التدريبية المعتمدة'!A:J,10,FALSE),0)</f>
        <v>0</v>
      </c>
      <c r="H433" s="3"/>
      <c r="I433" s="3"/>
      <c r="J433" s="3"/>
      <c r="K433" s="7" t="str">
        <f>IF(OR(I433="",J433="",I433=0),"",(J433-I433)/I433)</f>
        <v/>
      </c>
      <c r="L433" s="3" t="str">
        <f>IF(J433="","",IF(J433/10&gt;='الإعدادات والمستهدفات'!B5,"ناجح ومستوفى","ضعيف - يلزم إعادة اختبار"))</f>
        <v/>
      </c>
      <c r="M433" s="3"/>
      <c r="N433" s="3"/>
    </row>
    <row r="434" spans="1:14" x14ac:dyDescent="0.2">
      <c r="A434" s="3" t="str">
        <f>IFERROR(VLOOKUP(B434,'جدول الجلسات التدريبية'!A:B,2,FALSE),"")</f>
        <v/>
      </c>
      <c r="B434" s="3"/>
      <c r="C434" s="3" t="str">
        <f>IFERROR(VLOOKUP(A434,'الخطة التدريبية المعتمدة'!A:C,3,FALSE),"")</f>
        <v/>
      </c>
      <c r="D434" s="3" t="str">
        <f>IFERROR(VLOOKUP(B434,'جدول الجلسات التدريبية'!A:D,4,FALSE),"")</f>
        <v/>
      </c>
      <c r="E434" s="3"/>
      <c r="F434" s="3" t="str">
        <f>IFERROR(VLOOKUP(E434,'سجل الموظفين والكفاءة'!B:C,2,FALSE),"")</f>
        <v/>
      </c>
      <c r="G434" s="3">
        <f>IFERROR(VLOOKUP(A434,'الخطة التدريبية المعتمدة'!A:J,10,FALSE),0)</f>
        <v>0</v>
      </c>
      <c r="H434" s="3"/>
      <c r="I434" s="3"/>
      <c r="J434" s="3"/>
      <c r="K434" s="7" t="str">
        <f>IF(OR(I434="",J434="",I434=0),"",(J434-I434)/I434)</f>
        <v/>
      </c>
      <c r="L434" s="3" t="str">
        <f>IF(J434="","",IF(J434/10&gt;='الإعدادات والمستهدفات'!B5,"ناجح ومستوفى","ضعيف - يلزم إعادة اختبار"))</f>
        <v/>
      </c>
      <c r="M434" s="3"/>
      <c r="N434" s="3"/>
    </row>
    <row r="435" spans="1:14" x14ac:dyDescent="0.2">
      <c r="A435" s="3" t="str">
        <f>IFERROR(VLOOKUP(B435,'جدول الجلسات التدريبية'!A:B,2,FALSE),"")</f>
        <v/>
      </c>
      <c r="B435" s="3"/>
      <c r="C435" s="3" t="str">
        <f>IFERROR(VLOOKUP(A435,'الخطة التدريبية المعتمدة'!A:C,3,FALSE),"")</f>
        <v/>
      </c>
      <c r="D435" s="3" t="str">
        <f>IFERROR(VLOOKUP(B435,'جدول الجلسات التدريبية'!A:D,4,FALSE),"")</f>
        <v/>
      </c>
      <c r="E435" s="3"/>
      <c r="F435" s="3" t="str">
        <f>IFERROR(VLOOKUP(E435,'سجل الموظفين والكفاءة'!B:C,2,FALSE),"")</f>
        <v/>
      </c>
      <c r="G435" s="3">
        <f>IFERROR(VLOOKUP(A435,'الخطة التدريبية المعتمدة'!A:J,10,FALSE),0)</f>
        <v>0</v>
      </c>
      <c r="H435" s="3"/>
      <c r="I435" s="3"/>
      <c r="J435" s="3"/>
      <c r="K435" s="7" t="str">
        <f>IF(OR(I435="",J435="",I435=0),"",(J435-I435)/I435)</f>
        <v/>
      </c>
      <c r="L435" s="3" t="str">
        <f>IF(J435="","",IF(J435/10&gt;='الإعدادات والمستهدفات'!B5,"ناجح ومستوفى","ضعيف - يلزم إعادة اختبار"))</f>
        <v/>
      </c>
      <c r="M435" s="3"/>
      <c r="N435" s="3"/>
    </row>
    <row r="436" spans="1:14" x14ac:dyDescent="0.2">
      <c r="A436" s="3" t="str">
        <f>IFERROR(VLOOKUP(B436,'جدول الجلسات التدريبية'!A:B,2,FALSE),"")</f>
        <v/>
      </c>
      <c r="B436" s="3"/>
      <c r="C436" s="3" t="str">
        <f>IFERROR(VLOOKUP(A436,'الخطة التدريبية المعتمدة'!A:C,3,FALSE),"")</f>
        <v/>
      </c>
      <c r="D436" s="3" t="str">
        <f>IFERROR(VLOOKUP(B436,'جدول الجلسات التدريبية'!A:D,4,FALSE),"")</f>
        <v/>
      </c>
      <c r="E436" s="3"/>
      <c r="F436" s="3" t="str">
        <f>IFERROR(VLOOKUP(E436,'سجل الموظفين والكفاءة'!B:C,2,FALSE),"")</f>
        <v/>
      </c>
      <c r="G436" s="3">
        <f>IFERROR(VLOOKUP(A436,'الخطة التدريبية المعتمدة'!A:J,10,FALSE),0)</f>
        <v>0</v>
      </c>
      <c r="H436" s="3"/>
      <c r="I436" s="3"/>
      <c r="J436" s="3"/>
      <c r="K436" s="7" t="str">
        <f>IF(OR(I436="",J436="",I436=0),"",(J436-I436)/I436)</f>
        <v/>
      </c>
      <c r="L436" s="3" t="str">
        <f>IF(J436="","",IF(J436/10&gt;='الإعدادات والمستهدفات'!B5,"ناجح ومستوفى","ضعيف - يلزم إعادة اختبار"))</f>
        <v/>
      </c>
      <c r="M436" s="3"/>
      <c r="N436" s="3"/>
    </row>
    <row r="437" spans="1:14" x14ac:dyDescent="0.2">
      <c r="A437" s="3" t="str">
        <f>IFERROR(VLOOKUP(B437,'جدول الجلسات التدريبية'!A:B,2,FALSE),"")</f>
        <v/>
      </c>
      <c r="B437" s="3"/>
      <c r="C437" s="3" t="str">
        <f>IFERROR(VLOOKUP(A437,'الخطة التدريبية المعتمدة'!A:C,3,FALSE),"")</f>
        <v/>
      </c>
      <c r="D437" s="3" t="str">
        <f>IFERROR(VLOOKUP(B437,'جدول الجلسات التدريبية'!A:D,4,FALSE),"")</f>
        <v/>
      </c>
      <c r="E437" s="3"/>
      <c r="F437" s="3" t="str">
        <f>IFERROR(VLOOKUP(E437,'سجل الموظفين والكفاءة'!B:C,2,FALSE),"")</f>
        <v/>
      </c>
      <c r="G437" s="3">
        <f>IFERROR(VLOOKUP(A437,'الخطة التدريبية المعتمدة'!A:J,10,FALSE),0)</f>
        <v>0</v>
      </c>
      <c r="H437" s="3"/>
      <c r="I437" s="3"/>
      <c r="J437" s="3"/>
      <c r="K437" s="7" t="str">
        <f>IF(OR(I437="",J437="",I437=0),"",(J437-I437)/I437)</f>
        <v/>
      </c>
      <c r="L437" s="3" t="str">
        <f>IF(J437="","",IF(J437/10&gt;='الإعدادات والمستهدفات'!B5,"ناجح ومستوفى","ضعيف - يلزم إعادة اختبار"))</f>
        <v/>
      </c>
      <c r="M437" s="3"/>
      <c r="N437" s="3"/>
    </row>
    <row r="438" spans="1:14" x14ac:dyDescent="0.2">
      <c r="A438" s="3" t="str">
        <f>IFERROR(VLOOKUP(B438,'جدول الجلسات التدريبية'!A:B,2,FALSE),"")</f>
        <v/>
      </c>
      <c r="B438" s="3"/>
      <c r="C438" s="3" t="str">
        <f>IFERROR(VLOOKUP(A438,'الخطة التدريبية المعتمدة'!A:C,3,FALSE),"")</f>
        <v/>
      </c>
      <c r="D438" s="3" t="str">
        <f>IFERROR(VLOOKUP(B438,'جدول الجلسات التدريبية'!A:D,4,FALSE),"")</f>
        <v/>
      </c>
      <c r="E438" s="3"/>
      <c r="F438" s="3" t="str">
        <f>IFERROR(VLOOKUP(E438,'سجل الموظفين والكفاءة'!B:C,2,FALSE),"")</f>
        <v/>
      </c>
      <c r="G438" s="3">
        <f>IFERROR(VLOOKUP(A438,'الخطة التدريبية المعتمدة'!A:J,10,FALSE),0)</f>
        <v>0</v>
      </c>
      <c r="H438" s="3"/>
      <c r="I438" s="3"/>
      <c r="J438" s="3"/>
      <c r="K438" s="7" t="str">
        <f>IF(OR(I438="",J438="",I438=0),"",(J438-I438)/I438)</f>
        <v/>
      </c>
      <c r="L438" s="3" t="str">
        <f>IF(J438="","",IF(J438/10&gt;='الإعدادات والمستهدفات'!B5,"ناجح ومستوفى","ضعيف - يلزم إعادة اختبار"))</f>
        <v/>
      </c>
      <c r="M438" s="3"/>
      <c r="N438" s="3"/>
    </row>
    <row r="439" spans="1:14" x14ac:dyDescent="0.2">
      <c r="A439" s="3" t="str">
        <f>IFERROR(VLOOKUP(B439,'جدول الجلسات التدريبية'!A:B,2,FALSE),"")</f>
        <v/>
      </c>
      <c r="B439" s="3"/>
      <c r="C439" s="3" t="str">
        <f>IFERROR(VLOOKUP(A439,'الخطة التدريبية المعتمدة'!A:C,3,FALSE),"")</f>
        <v/>
      </c>
      <c r="D439" s="3" t="str">
        <f>IFERROR(VLOOKUP(B439,'جدول الجلسات التدريبية'!A:D,4,FALSE),"")</f>
        <v/>
      </c>
      <c r="E439" s="3"/>
      <c r="F439" s="3" t="str">
        <f>IFERROR(VLOOKUP(E439,'سجل الموظفين والكفاءة'!B:C,2,FALSE),"")</f>
        <v/>
      </c>
      <c r="G439" s="3">
        <f>IFERROR(VLOOKUP(A439,'الخطة التدريبية المعتمدة'!A:J,10,FALSE),0)</f>
        <v>0</v>
      </c>
      <c r="H439" s="3"/>
      <c r="I439" s="3"/>
      <c r="J439" s="3"/>
      <c r="K439" s="7" t="str">
        <f>IF(OR(I439="",J439="",I439=0),"",(J439-I439)/I439)</f>
        <v/>
      </c>
      <c r="L439" s="3" t="str">
        <f>IF(J439="","",IF(J439/10&gt;='الإعدادات والمستهدفات'!B5,"ناجح ومستوفى","ضعيف - يلزم إعادة اختبار"))</f>
        <v/>
      </c>
      <c r="M439" s="3"/>
      <c r="N439" s="3"/>
    </row>
    <row r="440" spans="1:14" x14ac:dyDescent="0.2">
      <c r="A440" s="3" t="str">
        <f>IFERROR(VLOOKUP(B440,'جدول الجلسات التدريبية'!A:B,2,FALSE),"")</f>
        <v/>
      </c>
      <c r="B440" s="3"/>
      <c r="C440" s="3" t="str">
        <f>IFERROR(VLOOKUP(A440,'الخطة التدريبية المعتمدة'!A:C,3,FALSE),"")</f>
        <v/>
      </c>
      <c r="D440" s="3" t="str">
        <f>IFERROR(VLOOKUP(B440,'جدول الجلسات التدريبية'!A:D,4,FALSE),"")</f>
        <v/>
      </c>
      <c r="E440" s="3"/>
      <c r="F440" s="3" t="str">
        <f>IFERROR(VLOOKUP(E440,'سجل الموظفين والكفاءة'!B:C,2,FALSE),"")</f>
        <v/>
      </c>
      <c r="G440" s="3">
        <f>IFERROR(VLOOKUP(A440,'الخطة التدريبية المعتمدة'!A:J,10,FALSE),0)</f>
        <v>0</v>
      </c>
      <c r="H440" s="3"/>
      <c r="I440" s="3"/>
      <c r="J440" s="3"/>
      <c r="K440" s="7" t="str">
        <f>IF(OR(I440="",J440="",I440=0),"",(J440-I440)/I440)</f>
        <v/>
      </c>
      <c r="L440" s="3" t="str">
        <f>IF(J440="","",IF(J440/10&gt;='الإعدادات والمستهدفات'!B5,"ناجح ومستوفى","ضعيف - يلزم إعادة اختبار"))</f>
        <v/>
      </c>
      <c r="M440" s="3"/>
      <c r="N440" s="3"/>
    </row>
    <row r="441" spans="1:14" x14ac:dyDescent="0.2">
      <c r="A441" s="3" t="str">
        <f>IFERROR(VLOOKUP(B441,'جدول الجلسات التدريبية'!A:B,2,FALSE),"")</f>
        <v/>
      </c>
      <c r="B441" s="3"/>
      <c r="C441" s="3" t="str">
        <f>IFERROR(VLOOKUP(A441,'الخطة التدريبية المعتمدة'!A:C,3,FALSE),"")</f>
        <v/>
      </c>
      <c r="D441" s="3" t="str">
        <f>IFERROR(VLOOKUP(B441,'جدول الجلسات التدريبية'!A:D,4,FALSE),"")</f>
        <v/>
      </c>
      <c r="E441" s="3"/>
      <c r="F441" s="3" t="str">
        <f>IFERROR(VLOOKUP(E441,'سجل الموظفين والكفاءة'!B:C,2,FALSE),"")</f>
        <v/>
      </c>
      <c r="G441" s="3">
        <f>IFERROR(VLOOKUP(A441,'الخطة التدريبية المعتمدة'!A:J,10,FALSE),0)</f>
        <v>0</v>
      </c>
      <c r="H441" s="3"/>
      <c r="I441" s="3"/>
      <c r="J441" s="3"/>
      <c r="K441" s="7" t="str">
        <f>IF(OR(I441="",J441="",I441=0),"",(J441-I441)/I441)</f>
        <v/>
      </c>
      <c r="L441" s="3" t="str">
        <f>IF(J441="","",IF(J441/10&gt;='الإعدادات والمستهدفات'!B5,"ناجح ومستوفى","ضعيف - يلزم إعادة اختبار"))</f>
        <v/>
      </c>
      <c r="M441" s="3"/>
      <c r="N441" s="3"/>
    </row>
    <row r="442" spans="1:14" x14ac:dyDescent="0.2">
      <c r="A442" s="3" t="str">
        <f>IFERROR(VLOOKUP(B442,'جدول الجلسات التدريبية'!A:B,2,FALSE),"")</f>
        <v/>
      </c>
      <c r="B442" s="3"/>
      <c r="C442" s="3" t="str">
        <f>IFERROR(VLOOKUP(A442,'الخطة التدريبية المعتمدة'!A:C,3,FALSE),"")</f>
        <v/>
      </c>
      <c r="D442" s="3" t="str">
        <f>IFERROR(VLOOKUP(B442,'جدول الجلسات التدريبية'!A:D,4,FALSE),"")</f>
        <v/>
      </c>
      <c r="E442" s="3"/>
      <c r="F442" s="3" t="str">
        <f>IFERROR(VLOOKUP(E442,'سجل الموظفين والكفاءة'!B:C,2,FALSE),"")</f>
        <v/>
      </c>
      <c r="G442" s="3">
        <f>IFERROR(VLOOKUP(A442,'الخطة التدريبية المعتمدة'!A:J,10,FALSE),0)</f>
        <v>0</v>
      </c>
      <c r="H442" s="3"/>
      <c r="I442" s="3"/>
      <c r="J442" s="3"/>
      <c r="K442" s="7" t="str">
        <f>IF(OR(I442="",J442="",I442=0),"",(J442-I442)/I442)</f>
        <v/>
      </c>
      <c r="L442" s="3" t="str">
        <f>IF(J442="","",IF(J442/10&gt;='الإعدادات والمستهدفات'!B5,"ناجح ومستوفى","ضعيف - يلزم إعادة اختبار"))</f>
        <v/>
      </c>
      <c r="M442" s="3"/>
      <c r="N442" s="3"/>
    </row>
    <row r="443" spans="1:14" x14ac:dyDescent="0.2">
      <c r="A443" s="3" t="str">
        <f>IFERROR(VLOOKUP(B443,'جدول الجلسات التدريبية'!A:B,2,FALSE),"")</f>
        <v/>
      </c>
      <c r="B443" s="3"/>
      <c r="C443" s="3" t="str">
        <f>IFERROR(VLOOKUP(A443,'الخطة التدريبية المعتمدة'!A:C,3,FALSE),"")</f>
        <v/>
      </c>
      <c r="D443" s="3" t="str">
        <f>IFERROR(VLOOKUP(B443,'جدول الجلسات التدريبية'!A:D,4,FALSE),"")</f>
        <v/>
      </c>
      <c r="E443" s="3"/>
      <c r="F443" s="3" t="str">
        <f>IFERROR(VLOOKUP(E443,'سجل الموظفين والكفاءة'!B:C,2,FALSE),"")</f>
        <v/>
      </c>
      <c r="G443" s="3">
        <f>IFERROR(VLOOKUP(A443,'الخطة التدريبية المعتمدة'!A:J,10,FALSE),0)</f>
        <v>0</v>
      </c>
      <c r="H443" s="3"/>
      <c r="I443" s="3"/>
      <c r="J443" s="3"/>
      <c r="K443" s="7" t="str">
        <f>IF(OR(I443="",J443="",I443=0),"",(J443-I443)/I443)</f>
        <v/>
      </c>
      <c r="L443" s="3" t="str">
        <f>IF(J443="","",IF(J443/10&gt;='الإعدادات والمستهدفات'!B5,"ناجح ومستوفى","ضعيف - يلزم إعادة اختبار"))</f>
        <v/>
      </c>
      <c r="M443" s="3"/>
      <c r="N443" s="3"/>
    </row>
    <row r="444" spans="1:14" x14ac:dyDescent="0.2">
      <c r="A444" s="3" t="str">
        <f>IFERROR(VLOOKUP(B444,'جدول الجلسات التدريبية'!A:B,2,FALSE),"")</f>
        <v/>
      </c>
      <c r="B444" s="3"/>
      <c r="C444" s="3" t="str">
        <f>IFERROR(VLOOKUP(A444,'الخطة التدريبية المعتمدة'!A:C,3,FALSE),"")</f>
        <v/>
      </c>
      <c r="D444" s="3" t="str">
        <f>IFERROR(VLOOKUP(B444,'جدول الجلسات التدريبية'!A:D,4,FALSE),"")</f>
        <v/>
      </c>
      <c r="E444" s="3"/>
      <c r="F444" s="3" t="str">
        <f>IFERROR(VLOOKUP(E444,'سجل الموظفين والكفاءة'!B:C,2,FALSE),"")</f>
        <v/>
      </c>
      <c r="G444" s="3">
        <f>IFERROR(VLOOKUP(A444,'الخطة التدريبية المعتمدة'!A:J,10,FALSE),0)</f>
        <v>0</v>
      </c>
      <c r="H444" s="3"/>
      <c r="I444" s="3"/>
      <c r="J444" s="3"/>
      <c r="K444" s="7" t="str">
        <f>IF(OR(I444="",J444="",I444=0),"",(J444-I444)/I444)</f>
        <v/>
      </c>
      <c r="L444" s="3" t="str">
        <f>IF(J444="","",IF(J444/10&gt;='الإعدادات والمستهدفات'!B5,"ناجح ومستوفى","ضعيف - يلزم إعادة اختبار"))</f>
        <v/>
      </c>
      <c r="M444" s="3"/>
      <c r="N444" s="3"/>
    </row>
    <row r="445" spans="1:14" x14ac:dyDescent="0.2">
      <c r="A445" s="3" t="str">
        <f>IFERROR(VLOOKUP(B445,'جدول الجلسات التدريبية'!A:B,2,FALSE),"")</f>
        <v/>
      </c>
      <c r="B445" s="3"/>
      <c r="C445" s="3" t="str">
        <f>IFERROR(VLOOKUP(A445,'الخطة التدريبية المعتمدة'!A:C,3,FALSE),"")</f>
        <v/>
      </c>
      <c r="D445" s="3" t="str">
        <f>IFERROR(VLOOKUP(B445,'جدول الجلسات التدريبية'!A:D,4,FALSE),"")</f>
        <v/>
      </c>
      <c r="E445" s="3"/>
      <c r="F445" s="3" t="str">
        <f>IFERROR(VLOOKUP(E445,'سجل الموظفين والكفاءة'!B:C,2,FALSE),"")</f>
        <v/>
      </c>
      <c r="G445" s="3">
        <f>IFERROR(VLOOKUP(A445,'الخطة التدريبية المعتمدة'!A:J,10,FALSE),0)</f>
        <v>0</v>
      </c>
      <c r="H445" s="3"/>
      <c r="I445" s="3"/>
      <c r="J445" s="3"/>
      <c r="K445" s="7" t="str">
        <f>IF(OR(I445="",J445="",I445=0),"",(J445-I445)/I445)</f>
        <v/>
      </c>
      <c r="L445" s="3" t="str">
        <f>IF(J445="","",IF(J445/10&gt;='الإعدادات والمستهدفات'!B5,"ناجح ومستوفى","ضعيف - يلزم إعادة اختبار"))</f>
        <v/>
      </c>
      <c r="M445" s="3"/>
      <c r="N445" s="3"/>
    </row>
    <row r="446" spans="1:14" x14ac:dyDescent="0.2">
      <c r="A446" s="3" t="str">
        <f>IFERROR(VLOOKUP(B446,'جدول الجلسات التدريبية'!A:B,2,FALSE),"")</f>
        <v/>
      </c>
      <c r="B446" s="3"/>
      <c r="C446" s="3" t="str">
        <f>IFERROR(VLOOKUP(A446,'الخطة التدريبية المعتمدة'!A:C,3,FALSE),"")</f>
        <v/>
      </c>
      <c r="D446" s="3" t="str">
        <f>IFERROR(VLOOKUP(B446,'جدول الجلسات التدريبية'!A:D,4,FALSE),"")</f>
        <v/>
      </c>
      <c r="E446" s="3"/>
      <c r="F446" s="3" t="str">
        <f>IFERROR(VLOOKUP(E446,'سجل الموظفين والكفاءة'!B:C,2,FALSE),"")</f>
        <v/>
      </c>
      <c r="G446" s="3">
        <f>IFERROR(VLOOKUP(A446,'الخطة التدريبية المعتمدة'!A:J,10,FALSE),0)</f>
        <v>0</v>
      </c>
      <c r="H446" s="3"/>
      <c r="I446" s="3"/>
      <c r="J446" s="3"/>
      <c r="K446" s="7" t="str">
        <f>IF(OR(I446="",J446="",I446=0),"",(J446-I446)/I446)</f>
        <v/>
      </c>
      <c r="L446" s="3" t="str">
        <f>IF(J446="","",IF(J446/10&gt;='الإعدادات والمستهدفات'!B5,"ناجح ومستوفى","ضعيف - يلزم إعادة اختبار"))</f>
        <v/>
      </c>
      <c r="M446" s="3"/>
      <c r="N446" s="3"/>
    </row>
    <row r="447" spans="1:14" x14ac:dyDescent="0.2">
      <c r="A447" s="3" t="str">
        <f>IFERROR(VLOOKUP(B447,'جدول الجلسات التدريبية'!A:B,2,FALSE),"")</f>
        <v/>
      </c>
      <c r="B447" s="3"/>
      <c r="C447" s="3" t="str">
        <f>IFERROR(VLOOKUP(A447,'الخطة التدريبية المعتمدة'!A:C,3,FALSE),"")</f>
        <v/>
      </c>
      <c r="D447" s="3" t="str">
        <f>IFERROR(VLOOKUP(B447,'جدول الجلسات التدريبية'!A:D,4,FALSE),"")</f>
        <v/>
      </c>
      <c r="E447" s="3"/>
      <c r="F447" s="3" t="str">
        <f>IFERROR(VLOOKUP(E447,'سجل الموظفين والكفاءة'!B:C,2,FALSE),"")</f>
        <v/>
      </c>
      <c r="G447" s="3">
        <f>IFERROR(VLOOKUP(A447,'الخطة التدريبية المعتمدة'!A:J,10,FALSE),0)</f>
        <v>0</v>
      </c>
      <c r="H447" s="3"/>
      <c r="I447" s="3"/>
      <c r="J447" s="3"/>
      <c r="K447" s="7" t="str">
        <f>IF(OR(I447="",J447="",I447=0),"",(J447-I447)/I447)</f>
        <v/>
      </c>
      <c r="L447" s="3" t="str">
        <f>IF(J447="","",IF(J447/10&gt;='الإعدادات والمستهدفات'!B5,"ناجح ومستوفى","ضعيف - يلزم إعادة اختبار"))</f>
        <v/>
      </c>
      <c r="M447" s="3"/>
      <c r="N447" s="3"/>
    </row>
    <row r="448" spans="1:14" x14ac:dyDescent="0.2">
      <c r="A448" s="3" t="str">
        <f>IFERROR(VLOOKUP(B448,'جدول الجلسات التدريبية'!A:B,2,FALSE),"")</f>
        <v/>
      </c>
      <c r="B448" s="3"/>
      <c r="C448" s="3" t="str">
        <f>IFERROR(VLOOKUP(A448,'الخطة التدريبية المعتمدة'!A:C,3,FALSE),"")</f>
        <v/>
      </c>
      <c r="D448" s="3" t="str">
        <f>IFERROR(VLOOKUP(B448,'جدول الجلسات التدريبية'!A:D,4,FALSE),"")</f>
        <v/>
      </c>
      <c r="E448" s="3"/>
      <c r="F448" s="3" t="str">
        <f>IFERROR(VLOOKUP(E448,'سجل الموظفين والكفاءة'!B:C,2,FALSE),"")</f>
        <v/>
      </c>
      <c r="G448" s="3">
        <f>IFERROR(VLOOKUP(A448,'الخطة التدريبية المعتمدة'!A:J,10,FALSE),0)</f>
        <v>0</v>
      </c>
      <c r="H448" s="3"/>
      <c r="I448" s="3"/>
      <c r="J448" s="3"/>
      <c r="K448" s="7" t="str">
        <f>IF(OR(I448="",J448="",I448=0),"",(J448-I448)/I448)</f>
        <v/>
      </c>
      <c r="L448" s="3" t="str">
        <f>IF(J448="","",IF(J448/10&gt;='الإعدادات والمستهدفات'!B5,"ناجح ومستوفى","ضعيف - يلزم إعادة اختبار"))</f>
        <v/>
      </c>
      <c r="M448" s="3"/>
      <c r="N448" s="3"/>
    </row>
    <row r="449" spans="1:14" x14ac:dyDescent="0.2">
      <c r="A449" s="3" t="str">
        <f>IFERROR(VLOOKUP(B449,'جدول الجلسات التدريبية'!A:B,2,FALSE),"")</f>
        <v/>
      </c>
      <c r="B449" s="3"/>
      <c r="C449" s="3" t="str">
        <f>IFERROR(VLOOKUP(A449,'الخطة التدريبية المعتمدة'!A:C,3,FALSE),"")</f>
        <v/>
      </c>
      <c r="D449" s="3" t="str">
        <f>IFERROR(VLOOKUP(B449,'جدول الجلسات التدريبية'!A:D,4,FALSE),"")</f>
        <v/>
      </c>
      <c r="E449" s="3"/>
      <c r="F449" s="3" t="str">
        <f>IFERROR(VLOOKUP(E449,'سجل الموظفين والكفاءة'!B:C,2,FALSE),"")</f>
        <v/>
      </c>
      <c r="G449" s="3">
        <f>IFERROR(VLOOKUP(A449,'الخطة التدريبية المعتمدة'!A:J,10,FALSE),0)</f>
        <v>0</v>
      </c>
      <c r="H449" s="3"/>
      <c r="I449" s="3"/>
      <c r="J449" s="3"/>
      <c r="K449" s="7" t="str">
        <f>IF(OR(I449="",J449="",I449=0),"",(J449-I449)/I449)</f>
        <v/>
      </c>
      <c r="L449" s="3" t="str">
        <f>IF(J449="","",IF(J449/10&gt;='الإعدادات والمستهدفات'!B5,"ناجح ومستوفى","ضعيف - يلزم إعادة اختبار"))</f>
        <v/>
      </c>
      <c r="M449" s="3"/>
      <c r="N449" s="3"/>
    </row>
    <row r="450" spans="1:14" x14ac:dyDescent="0.2">
      <c r="A450" s="3" t="str">
        <f>IFERROR(VLOOKUP(B450,'جدول الجلسات التدريبية'!A:B,2,FALSE),"")</f>
        <v/>
      </c>
      <c r="B450" s="3"/>
      <c r="C450" s="3" t="str">
        <f>IFERROR(VLOOKUP(A450,'الخطة التدريبية المعتمدة'!A:C,3,FALSE),"")</f>
        <v/>
      </c>
      <c r="D450" s="3" t="str">
        <f>IFERROR(VLOOKUP(B450,'جدول الجلسات التدريبية'!A:D,4,FALSE),"")</f>
        <v/>
      </c>
      <c r="E450" s="3"/>
      <c r="F450" s="3" t="str">
        <f>IFERROR(VLOOKUP(E450,'سجل الموظفين والكفاءة'!B:C,2,FALSE),"")</f>
        <v/>
      </c>
      <c r="G450" s="3">
        <f>IFERROR(VLOOKUP(A450,'الخطة التدريبية المعتمدة'!A:J,10,FALSE),0)</f>
        <v>0</v>
      </c>
      <c r="H450" s="3"/>
      <c r="I450" s="3"/>
      <c r="J450" s="3"/>
      <c r="K450" s="7" t="str">
        <f>IF(OR(I450="",J450="",I450=0),"",(J450-I450)/I450)</f>
        <v/>
      </c>
      <c r="L450" s="3" t="str">
        <f>IF(J450="","",IF(J450/10&gt;='الإعدادات والمستهدفات'!B5,"ناجح ومستوفى","ضعيف - يلزم إعادة اختبار"))</f>
        <v/>
      </c>
      <c r="M450" s="3"/>
      <c r="N450" s="3"/>
    </row>
    <row r="451" spans="1:14" x14ac:dyDescent="0.2">
      <c r="A451" s="3" t="str">
        <f>IFERROR(VLOOKUP(B451,'جدول الجلسات التدريبية'!A:B,2,FALSE),"")</f>
        <v/>
      </c>
      <c r="B451" s="3"/>
      <c r="C451" s="3" t="str">
        <f>IFERROR(VLOOKUP(A451,'الخطة التدريبية المعتمدة'!A:C,3,FALSE),"")</f>
        <v/>
      </c>
      <c r="D451" s="3" t="str">
        <f>IFERROR(VLOOKUP(B451,'جدول الجلسات التدريبية'!A:D,4,FALSE),"")</f>
        <v/>
      </c>
      <c r="E451" s="3"/>
      <c r="F451" s="3" t="str">
        <f>IFERROR(VLOOKUP(E451,'سجل الموظفين والكفاءة'!B:C,2,FALSE),"")</f>
        <v/>
      </c>
      <c r="G451" s="3">
        <f>IFERROR(VLOOKUP(A451,'الخطة التدريبية المعتمدة'!A:J,10,FALSE),0)</f>
        <v>0</v>
      </c>
      <c r="H451" s="3"/>
      <c r="I451" s="3"/>
      <c r="J451" s="3"/>
      <c r="K451" s="7" t="str">
        <f>IF(OR(I451="",J451="",I451=0),"",(J451-I451)/I451)</f>
        <v/>
      </c>
      <c r="L451" s="3" t="str">
        <f>IF(J451="","",IF(J451/10&gt;='الإعدادات والمستهدفات'!B5,"ناجح ومستوفى","ضعيف - يلزم إعادة اختبار"))</f>
        <v/>
      </c>
      <c r="M451" s="3"/>
      <c r="N451" s="3"/>
    </row>
    <row r="452" spans="1:14" x14ac:dyDescent="0.2">
      <c r="A452" s="3" t="str">
        <f>IFERROR(VLOOKUP(B452,'جدول الجلسات التدريبية'!A:B,2,FALSE),"")</f>
        <v/>
      </c>
      <c r="B452" s="3"/>
      <c r="C452" s="3" t="str">
        <f>IFERROR(VLOOKUP(A452,'الخطة التدريبية المعتمدة'!A:C,3,FALSE),"")</f>
        <v/>
      </c>
      <c r="D452" s="3" t="str">
        <f>IFERROR(VLOOKUP(B452,'جدول الجلسات التدريبية'!A:D,4,FALSE),"")</f>
        <v/>
      </c>
      <c r="E452" s="3"/>
      <c r="F452" s="3" t="str">
        <f>IFERROR(VLOOKUP(E452,'سجل الموظفين والكفاءة'!B:C,2,FALSE),"")</f>
        <v/>
      </c>
      <c r="G452" s="3">
        <f>IFERROR(VLOOKUP(A452,'الخطة التدريبية المعتمدة'!A:J,10,FALSE),0)</f>
        <v>0</v>
      </c>
      <c r="H452" s="3"/>
      <c r="I452" s="3"/>
      <c r="J452" s="3"/>
      <c r="K452" s="7" t="str">
        <f>IF(OR(I452="",J452="",I452=0),"",(J452-I452)/I452)</f>
        <v/>
      </c>
      <c r="L452" s="3" t="str">
        <f>IF(J452="","",IF(J452/10&gt;='الإعدادات والمستهدفات'!B5,"ناجح ومستوفى","ضعيف - يلزم إعادة اختبار"))</f>
        <v/>
      </c>
      <c r="M452" s="3"/>
      <c r="N452" s="3"/>
    </row>
    <row r="453" spans="1:14" x14ac:dyDescent="0.2">
      <c r="A453" s="3" t="str">
        <f>IFERROR(VLOOKUP(B453,'جدول الجلسات التدريبية'!A:B,2,FALSE),"")</f>
        <v/>
      </c>
      <c r="B453" s="3"/>
      <c r="C453" s="3" t="str">
        <f>IFERROR(VLOOKUP(A453,'الخطة التدريبية المعتمدة'!A:C,3,FALSE),"")</f>
        <v/>
      </c>
      <c r="D453" s="3" t="str">
        <f>IFERROR(VLOOKUP(B453,'جدول الجلسات التدريبية'!A:D,4,FALSE),"")</f>
        <v/>
      </c>
      <c r="E453" s="3"/>
      <c r="F453" s="3" t="str">
        <f>IFERROR(VLOOKUP(E453,'سجل الموظفين والكفاءة'!B:C,2,FALSE),"")</f>
        <v/>
      </c>
      <c r="G453" s="3">
        <f>IFERROR(VLOOKUP(A453,'الخطة التدريبية المعتمدة'!A:J,10,FALSE),0)</f>
        <v>0</v>
      </c>
      <c r="H453" s="3"/>
      <c r="I453" s="3"/>
      <c r="J453" s="3"/>
      <c r="K453" s="7" t="str">
        <f>IF(OR(I453="",J453="",I453=0),"",(J453-I453)/I453)</f>
        <v/>
      </c>
      <c r="L453" s="3" t="str">
        <f>IF(J453="","",IF(J453/10&gt;='الإعدادات والمستهدفات'!B5,"ناجح ومستوفى","ضعيف - يلزم إعادة اختبار"))</f>
        <v/>
      </c>
      <c r="M453" s="3"/>
      <c r="N453" s="3"/>
    </row>
    <row r="454" spans="1:14" x14ac:dyDescent="0.2">
      <c r="A454" s="3" t="str">
        <f>IFERROR(VLOOKUP(B454,'جدول الجلسات التدريبية'!A:B,2,FALSE),"")</f>
        <v/>
      </c>
      <c r="B454" s="3"/>
      <c r="C454" s="3" t="str">
        <f>IFERROR(VLOOKUP(A454,'الخطة التدريبية المعتمدة'!A:C,3,FALSE),"")</f>
        <v/>
      </c>
      <c r="D454" s="3" t="str">
        <f>IFERROR(VLOOKUP(B454,'جدول الجلسات التدريبية'!A:D,4,FALSE),"")</f>
        <v/>
      </c>
      <c r="E454" s="3"/>
      <c r="F454" s="3" t="str">
        <f>IFERROR(VLOOKUP(E454,'سجل الموظفين والكفاءة'!B:C,2,FALSE),"")</f>
        <v/>
      </c>
      <c r="G454" s="3">
        <f>IFERROR(VLOOKUP(A454,'الخطة التدريبية المعتمدة'!A:J,10,FALSE),0)</f>
        <v>0</v>
      </c>
      <c r="H454" s="3"/>
      <c r="I454" s="3"/>
      <c r="J454" s="3"/>
      <c r="K454" s="7" t="str">
        <f>IF(OR(I454="",J454="",I454=0),"",(J454-I454)/I454)</f>
        <v/>
      </c>
      <c r="L454" s="3" t="str">
        <f>IF(J454="","",IF(J454/10&gt;='الإعدادات والمستهدفات'!B5,"ناجح ومستوفى","ضعيف - يلزم إعادة اختبار"))</f>
        <v/>
      </c>
      <c r="M454" s="3"/>
      <c r="N454" s="3"/>
    </row>
    <row r="455" spans="1:14" x14ac:dyDescent="0.2">
      <c r="A455" s="3" t="str">
        <f>IFERROR(VLOOKUP(B455,'جدول الجلسات التدريبية'!A:B,2,FALSE),"")</f>
        <v/>
      </c>
      <c r="B455" s="3"/>
      <c r="C455" s="3" t="str">
        <f>IFERROR(VLOOKUP(A455,'الخطة التدريبية المعتمدة'!A:C,3,FALSE),"")</f>
        <v/>
      </c>
      <c r="D455" s="3" t="str">
        <f>IFERROR(VLOOKUP(B455,'جدول الجلسات التدريبية'!A:D,4,FALSE),"")</f>
        <v/>
      </c>
      <c r="E455" s="3"/>
      <c r="F455" s="3" t="str">
        <f>IFERROR(VLOOKUP(E455,'سجل الموظفين والكفاءة'!B:C,2,FALSE),"")</f>
        <v/>
      </c>
      <c r="G455" s="3">
        <f>IFERROR(VLOOKUP(A455,'الخطة التدريبية المعتمدة'!A:J,10,FALSE),0)</f>
        <v>0</v>
      </c>
      <c r="H455" s="3"/>
      <c r="I455" s="3"/>
      <c r="J455" s="3"/>
      <c r="K455" s="7" t="str">
        <f>IF(OR(I455="",J455="",I455=0),"",(J455-I455)/I455)</f>
        <v/>
      </c>
      <c r="L455" s="3" t="str">
        <f>IF(J455="","",IF(J455/10&gt;='الإعدادات والمستهدفات'!B5,"ناجح ومستوفى","ضعيف - يلزم إعادة اختبار"))</f>
        <v/>
      </c>
      <c r="M455" s="3"/>
      <c r="N455" s="3"/>
    </row>
    <row r="456" spans="1:14" x14ac:dyDescent="0.2">
      <c r="A456" s="3" t="str">
        <f>IFERROR(VLOOKUP(B456,'جدول الجلسات التدريبية'!A:B,2,FALSE),"")</f>
        <v/>
      </c>
      <c r="B456" s="3"/>
      <c r="C456" s="3" t="str">
        <f>IFERROR(VLOOKUP(A456,'الخطة التدريبية المعتمدة'!A:C,3,FALSE),"")</f>
        <v/>
      </c>
      <c r="D456" s="3" t="str">
        <f>IFERROR(VLOOKUP(B456,'جدول الجلسات التدريبية'!A:D,4,FALSE),"")</f>
        <v/>
      </c>
      <c r="E456" s="3"/>
      <c r="F456" s="3" t="str">
        <f>IFERROR(VLOOKUP(E456,'سجل الموظفين والكفاءة'!B:C,2,FALSE),"")</f>
        <v/>
      </c>
      <c r="G456" s="3">
        <f>IFERROR(VLOOKUP(A456,'الخطة التدريبية المعتمدة'!A:J,10,FALSE),0)</f>
        <v>0</v>
      </c>
      <c r="H456" s="3"/>
      <c r="I456" s="3"/>
      <c r="J456" s="3"/>
      <c r="K456" s="7" t="str">
        <f>IF(OR(I456="",J456="",I456=0),"",(J456-I456)/I456)</f>
        <v/>
      </c>
      <c r="L456" s="3" t="str">
        <f>IF(J456="","",IF(J456/10&gt;='الإعدادات والمستهدفات'!B5,"ناجح ومستوفى","ضعيف - يلزم إعادة اختبار"))</f>
        <v/>
      </c>
      <c r="M456" s="3"/>
      <c r="N456" s="3"/>
    </row>
    <row r="457" spans="1:14" x14ac:dyDescent="0.2">
      <c r="A457" s="3" t="str">
        <f>IFERROR(VLOOKUP(B457,'جدول الجلسات التدريبية'!A:B,2,FALSE),"")</f>
        <v/>
      </c>
      <c r="B457" s="3"/>
      <c r="C457" s="3" t="str">
        <f>IFERROR(VLOOKUP(A457,'الخطة التدريبية المعتمدة'!A:C,3,FALSE),"")</f>
        <v/>
      </c>
      <c r="D457" s="3" t="str">
        <f>IFERROR(VLOOKUP(B457,'جدول الجلسات التدريبية'!A:D,4,FALSE),"")</f>
        <v/>
      </c>
      <c r="E457" s="3"/>
      <c r="F457" s="3" t="str">
        <f>IFERROR(VLOOKUP(E457,'سجل الموظفين والكفاءة'!B:C,2,FALSE),"")</f>
        <v/>
      </c>
      <c r="G457" s="3">
        <f>IFERROR(VLOOKUP(A457,'الخطة التدريبية المعتمدة'!A:J,10,FALSE),0)</f>
        <v>0</v>
      </c>
      <c r="H457" s="3"/>
      <c r="I457" s="3"/>
      <c r="J457" s="3"/>
      <c r="K457" s="7" t="str">
        <f>IF(OR(I457="",J457="",I457=0),"",(J457-I457)/I457)</f>
        <v/>
      </c>
      <c r="L457" s="3" t="str">
        <f>IF(J457="","",IF(J457/10&gt;='الإعدادات والمستهدفات'!B5,"ناجح ومستوفى","ضعيف - يلزم إعادة اختبار"))</f>
        <v/>
      </c>
      <c r="M457" s="3"/>
      <c r="N457" s="3"/>
    </row>
    <row r="458" spans="1:14" x14ac:dyDescent="0.2">
      <c r="A458" s="3" t="str">
        <f>IFERROR(VLOOKUP(B458,'جدول الجلسات التدريبية'!A:B,2,FALSE),"")</f>
        <v/>
      </c>
      <c r="B458" s="3"/>
      <c r="C458" s="3" t="str">
        <f>IFERROR(VLOOKUP(A458,'الخطة التدريبية المعتمدة'!A:C,3,FALSE),"")</f>
        <v/>
      </c>
      <c r="D458" s="3" t="str">
        <f>IFERROR(VLOOKUP(B458,'جدول الجلسات التدريبية'!A:D,4,FALSE),"")</f>
        <v/>
      </c>
      <c r="E458" s="3"/>
      <c r="F458" s="3" t="str">
        <f>IFERROR(VLOOKUP(E458,'سجل الموظفين والكفاءة'!B:C,2,FALSE),"")</f>
        <v/>
      </c>
      <c r="G458" s="3">
        <f>IFERROR(VLOOKUP(A458,'الخطة التدريبية المعتمدة'!A:J,10,FALSE),0)</f>
        <v>0</v>
      </c>
      <c r="H458" s="3"/>
      <c r="I458" s="3"/>
      <c r="J458" s="3"/>
      <c r="K458" s="7" t="str">
        <f>IF(OR(I458="",J458="",I458=0),"",(J458-I458)/I458)</f>
        <v/>
      </c>
      <c r="L458" s="3" t="str">
        <f>IF(J458="","",IF(J458/10&gt;='الإعدادات والمستهدفات'!B5,"ناجح ومستوفى","ضعيف - يلزم إعادة اختبار"))</f>
        <v/>
      </c>
      <c r="M458" s="3"/>
      <c r="N458" s="3"/>
    </row>
    <row r="459" spans="1:14" x14ac:dyDescent="0.2">
      <c r="A459" s="3" t="str">
        <f>IFERROR(VLOOKUP(B459,'جدول الجلسات التدريبية'!A:B,2,FALSE),"")</f>
        <v/>
      </c>
      <c r="B459" s="3"/>
      <c r="C459" s="3" t="str">
        <f>IFERROR(VLOOKUP(A459,'الخطة التدريبية المعتمدة'!A:C,3,FALSE),"")</f>
        <v/>
      </c>
      <c r="D459" s="3" t="str">
        <f>IFERROR(VLOOKUP(B459,'جدول الجلسات التدريبية'!A:D,4,FALSE),"")</f>
        <v/>
      </c>
      <c r="E459" s="3"/>
      <c r="F459" s="3" t="str">
        <f>IFERROR(VLOOKUP(E459,'سجل الموظفين والكفاءة'!B:C,2,FALSE),"")</f>
        <v/>
      </c>
      <c r="G459" s="3">
        <f>IFERROR(VLOOKUP(A459,'الخطة التدريبية المعتمدة'!A:J,10,FALSE),0)</f>
        <v>0</v>
      </c>
      <c r="H459" s="3"/>
      <c r="I459" s="3"/>
      <c r="J459" s="3"/>
      <c r="K459" s="7" t="str">
        <f>IF(OR(I459="",J459="",I459=0),"",(J459-I459)/I459)</f>
        <v/>
      </c>
      <c r="L459" s="3" t="str">
        <f>IF(J459="","",IF(J459/10&gt;='الإعدادات والمستهدفات'!B5,"ناجح ومستوفى","ضعيف - يلزم إعادة اختبار"))</f>
        <v/>
      </c>
      <c r="M459" s="3"/>
      <c r="N459" s="3"/>
    </row>
    <row r="460" spans="1:14" x14ac:dyDescent="0.2">
      <c r="A460" s="3" t="str">
        <f>IFERROR(VLOOKUP(B460,'جدول الجلسات التدريبية'!A:B,2,FALSE),"")</f>
        <v/>
      </c>
      <c r="B460" s="3"/>
      <c r="C460" s="3" t="str">
        <f>IFERROR(VLOOKUP(A460,'الخطة التدريبية المعتمدة'!A:C,3,FALSE),"")</f>
        <v/>
      </c>
      <c r="D460" s="3" t="str">
        <f>IFERROR(VLOOKUP(B460,'جدول الجلسات التدريبية'!A:D,4,FALSE),"")</f>
        <v/>
      </c>
      <c r="E460" s="3"/>
      <c r="F460" s="3" t="str">
        <f>IFERROR(VLOOKUP(E460,'سجل الموظفين والكفاءة'!B:C,2,FALSE),"")</f>
        <v/>
      </c>
      <c r="G460" s="3">
        <f>IFERROR(VLOOKUP(A460,'الخطة التدريبية المعتمدة'!A:J,10,FALSE),0)</f>
        <v>0</v>
      </c>
      <c r="H460" s="3"/>
      <c r="I460" s="3"/>
      <c r="J460" s="3"/>
      <c r="K460" s="7" t="str">
        <f>IF(OR(I460="",J460="",I460=0),"",(J460-I460)/I460)</f>
        <v/>
      </c>
      <c r="L460" s="3" t="str">
        <f>IF(J460="","",IF(J460/10&gt;='الإعدادات والمستهدفات'!B5,"ناجح ومستوفى","ضعيف - يلزم إعادة اختبار"))</f>
        <v/>
      </c>
      <c r="M460" s="3"/>
      <c r="N460" s="3"/>
    </row>
    <row r="461" spans="1:14" x14ac:dyDescent="0.2">
      <c r="A461" s="3" t="str">
        <f>IFERROR(VLOOKUP(B461,'جدول الجلسات التدريبية'!A:B,2,FALSE),"")</f>
        <v/>
      </c>
      <c r="B461" s="3"/>
      <c r="C461" s="3" t="str">
        <f>IFERROR(VLOOKUP(A461,'الخطة التدريبية المعتمدة'!A:C,3,FALSE),"")</f>
        <v/>
      </c>
      <c r="D461" s="3" t="str">
        <f>IFERROR(VLOOKUP(B461,'جدول الجلسات التدريبية'!A:D,4,FALSE),"")</f>
        <v/>
      </c>
      <c r="E461" s="3"/>
      <c r="F461" s="3" t="str">
        <f>IFERROR(VLOOKUP(E461,'سجل الموظفين والكفاءة'!B:C,2,FALSE),"")</f>
        <v/>
      </c>
      <c r="G461" s="3">
        <f>IFERROR(VLOOKUP(A461,'الخطة التدريبية المعتمدة'!A:J,10,FALSE),0)</f>
        <v>0</v>
      </c>
      <c r="H461" s="3"/>
      <c r="I461" s="3"/>
      <c r="J461" s="3"/>
      <c r="K461" s="7" t="str">
        <f>IF(OR(I461="",J461="",I461=0),"",(J461-I461)/I461)</f>
        <v/>
      </c>
      <c r="L461" s="3" t="str">
        <f>IF(J461="","",IF(J461/10&gt;='الإعدادات والمستهدفات'!B5,"ناجح ومستوفى","ضعيف - يلزم إعادة اختبار"))</f>
        <v/>
      </c>
      <c r="M461" s="3"/>
      <c r="N461" s="3"/>
    </row>
    <row r="462" spans="1:14" x14ac:dyDescent="0.2">
      <c r="A462" s="3" t="str">
        <f>IFERROR(VLOOKUP(B462,'جدول الجلسات التدريبية'!A:B,2,FALSE),"")</f>
        <v/>
      </c>
      <c r="B462" s="3"/>
      <c r="C462" s="3" t="str">
        <f>IFERROR(VLOOKUP(A462,'الخطة التدريبية المعتمدة'!A:C,3,FALSE),"")</f>
        <v/>
      </c>
      <c r="D462" s="3" t="str">
        <f>IFERROR(VLOOKUP(B462,'جدول الجلسات التدريبية'!A:D,4,FALSE),"")</f>
        <v/>
      </c>
      <c r="E462" s="3"/>
      <c r="F462" s="3" t="str">
        <f>IFERROR(VLOOKUP(E462,'سجل الموظفين والكفاءة'!B:C,2,FALSE),"")</f>
        <v/>
      </c>
      <c r="G462" s="3">
        <f>IFERROR(VLOOKUP(A462,'الخطة التدريبية المعتمدة'!A:J,10,FALSE),0)</f>
        <v>0</v>
      </c>
      <c r="H462" s="3"/>
      <c r="I462" s="3"/>
      <c r="J462" s="3"/>
      <c r="K462" s="7" t="str">
        <f>IF(OR(I462="",J462="",I462=0),"",(J462-I462)/I462)</f>
        <v/>
      </c>
      <c r="L462" s="3" t="str">
        <f>IF(J462="","",IF(J462/10&gt;='الإعدادات والمستهدفات'!B5,"ناجح ومستوفى","ضعيف - يلزم إعادة اختبار"))</f>
        <v/>
      </c>
      <c r="M462" s="3"/>
      <c r="N462" s="3"/>
    </row>
    <row r="463" spans="1:14" x14ac:dyDescent="0.2">
      <c r="A463" s="3" t="str">
        <f>IFERROR(VLOOKUP(B463,'جدول الجلسات التدريبية'!A:B,2,FALSE),"")</f>
        <v/>
      </c>
      <c r="B463" s="3"/>
      <c r="C463" s="3" t="str">
        <f>IFERROR(VLOOKUP(A463,'الخطة التدريبية المعتمدة'!A:C,3,FALSE),"")</f>
        <v/>
      </c>
      <c r="D463" s="3" t="str">
        <f>IFERROR(VLOOKUP(B463,'جدول الجلسات التدريبية'!A:D,4,FALSE),"")</f>
        <v/>
      </c>
      <c r="E463" s="3"/>
      <c r="F463" s="3" t="str">
        <f>IFERROR(VLOOKUP(E463,'سجل الموظفين والكفاءة'!B:C,2,FALSE),"")</f>
        <v/>
      </c>
      <c r="G463" s="3">
        <f>IFERROR(VLOOKUP(A463,'الخطة التدريبية المعتمدة'!A:J,10,FALSE),0)</f>
        <v>0</v>
      </c>
      <c r="H463" s="3"/>
      <c r="I463" s="3"/>
      <c r="J463" s="3"/>
      <c r="K463" s="7" t="str">
        <f>IF(OR(I463="",J463="",I463=0),"",(J463-I463)/I463)</f>
        <v/>
      </c>
      <c r="L463" s="3" t="str">
        <f>IF(J463="","",IF(J463/10&gt;='الإعدادات والمستهدفات'!B5,"ناجح ومستوفى","ضعيف - يلزم إعادة اختبار"))</f>
        <v/>
      </c>
      <c r="M463" s="3"/>
      <c r="N463" s="3"/>
    </row>
    <row r="464" spans="1:14" x14ac:dyDescent="0.2">
      <c r="A464" s="3" t="str">
        <f>IFERROR(VLOOKUP(B464,'جدول الجلسات التدريبية'!A:B,2,FALSE),"")</f>
        <v/>
      </c>
      <c r="B464" s="3"/>
      <c r="C464" s="3" t="str">
        <f>IFERROR(VLOOKUP(A464,'الخطة التدريبية المعتمدة'!A:C,3,FALSE),"")</f>
        <v/>
      </c>
      <c r="D464" s="3" t="str">
        <f>IFERROR(VLOOKUP(B464,'جدول الجلسات التدريبية'!A:D,4,FALSE),"")</f>
        <v/>
      </c>
      <c r="E464" s="3"/>
      <c r="F464" s="3" t="str">
        <f>IFERROR(VLOOKUP(E464,'سجل الموظفين والكفاءة'!B:C,2,FALSE),"")</f>
        <v/>
      </c>
      <c r="G464" s="3">
        <f>IFERROR(VLOOKUP(A464,'الخطة التدريبية المعتمدة'!A:J,10,FALSE),0)</f>
        <v>0</v>
      </c>
      <c r="H464" s="3"/>
      <c r="I464" s="3"/>
      <c r="J464" s="3"/>
      <c r="K464" s="7" t="str">
        <f>IF(OR(I464="",J464="",I464=0),"",(J464-I464)/I464)</f>
        <v/>
      </c>
      <c r="L464" s="3" t="str">
        <f>IF(J464="","",IF(J464/10&gt;='الإعدادات والمستهدفات'!B5,"ناجح ومستوفى","ضعيف - يلزم إعادة اختبار"))</f>
        <v/>
      </c>
      <c r="M464" s="3"/>
      <c r="N464" s="3"/>
    </row>
    <row r="465" spans="1:14" x14ac:dyDescent="0.2">
      <c r="A465" s="3" t="str">
        <f>IFERROR(VLOOKUP(B465,'جدول الجلسات التدريبية'!A:B,2,FALSE),"")</f>
        <v/>
      </c>
      <c r="B465" s="3"/>
      <c r="C465" s="3" t="str">
        <f>IFERROR(VLOOKUP(A465,'الخطة التدريبية المعتمدة'!A:C,3,FALSE),"")</f>
        <v/>
      </c>
      <c r="D465" s="3" t="str">
        <f>IFERROR(VLOOKUP(B465,'جدول الجلسات التدريبية'!A:D,4,FALSE),"")</f>
        <v/>
      </c>
      <c r="E465" s="3"/>
      <c r="F465" s="3" t="str">
        <f>IFERROR(VLOOKUP(E465,'سجل الموظفين والكفاءة'!B:C,2,FALSE),"")</f>
        <v/>
      </c>
      <c r="G465" s="3">
        <f>IFERROR(VLOOKUP(A465,'الخطة التدريبية المعتمدة'!A:J,10,FALSE),0)</f>
        <v>0</v>
      </c>
      <c r="H465" s="3"/>
      <c r="I465" s="3"/>
      <c r="J465" s="3"/>
      <c r="K465" s="7" t="str">
        <f>IF(OR(I465="",J465="",I465=0),"",(J465-I465)/I465)</f>
        <v/>
      </c>
      <c r="L465" s="3" t="str">
        <f>IF(J465="","",IF(J465/10&gt;='الإعدادات والمستهدفات'!B5,"ناجح ومستوفى","ضعيف - يلزم إعادة اختبار"))</f>
        <v/>
      </c>
      <c r="M465" s="3"/>
      <c r="N465" s="3"/>
    </row>
    <row r="466" spans="1:14" x14ac:dyDescent="0.2">
      <c r="A466" s="3" t="str">
        <f>IFERROR(VLOOKUP(B466,'جدول الجلسات التدريبية'!A:B,2,FALSE),"")</f>
        <v/>
      </c>
      <c r="B466" s="3"/>
      <c r="C466" s="3" t="str">
        <f>IFERROR(VLOOKUP(A466,'الخطة التدريبية المعتمدة'!A:C,3,FALSE),"")</f>
        <v/>
      </c>
      <c r="D466" s="3" t="str">
        <f>IFERROR(VLOOKUP(B466,'جدول الجلسات التدريبية'!A:D,4,FALSE),"")</f>
        <v/>
      </c>
      <c r="E466" s="3"/>
      <c r="F466" s="3" t="str">
        <f>IFERROR(VLOOKUP(E466,'سجل الموظفين والكفاءة'!B:C,2,FALSE),"")</f>
        <v/>
      </c>
      <c r="G466" s="3">
        <f>IFERROR(VLOOKUP(A466,'الخطة التدريبية المعتمدة'!A:J,10,FALSE),0)</f>
        <v>0</v>
      </c>
      <c r="H466" s="3"/>
      <c r="I466" s="3"/>
      <c r="J466" s="3"/>
      <c r="K466" s="7" t="str">
        <f>IF(OR(I466="",J466="",I466=0),"",(J466-I466)/I466)</f>
        <v/>
      </c>
      <c r="L466" s="3" t="str">
        <f>IF(J466="","",IF(J466/10&gt;='الإعدادات والمستهدفات'!B5,"ناجح ومستوفى","ضعيف - يلزم إعادة اختبار"))</f>
        <v/>
      </c>
      <c r="M466" s="3"/>
      <c r="N466" s="3"/>
    </row>
    <row r="467" spans="1:14" x14ac:dyDescent="0.2">
      <c r="A467" s="3" t="str">
        <f>IFERROR(VLOOKUP(B467,'جدول الجلسات التدريبية'!A:B,2,FALSE),"")</f>
        <v/>
      </c>
      <c r="B467" s="3"/>
      <c r="C467" s="3" t="str">
        <f>IFERROR(VLOOKUP(A467,'الخطة التدريبية المعتمدة'!A:C,3,FALSE),"")</f>
        <v/>
      </c>
      <c r="D467" s="3" t="str">
        <f>IFERROR(VLOOKUP(B467,'جدول الجلسات التدريبية'!A:D,4,FALSE),"")</f>
        <v/>
      </c>
      <c r="E467" s="3"/>
      <c r="F467" s="3" t="str">
        <f>IFERROR(VLOOKUP(E467,'سجل الموظفين والكفاءة'!B:C,2,FALSE),"")</f>
        <v/>
      </c>
      <c r="G467" s="3">
        <f>IFERROR(VLOOKUP(A467,'الخطة التدريبية المعتمدة'!A:J,10,FALSE),0)</f>
        <v>0</v>
      </c>
      <c r="H467" s="3"/>
      <c r="I467" s="3"/>
      <c r="J467" s="3"/>
      <c r="K467" s="7" t="str">
        <f>IF(OR(I467="",J467="",I467=0),"",(J467-I467)/I467)</f>
        <v/>
      </c>
      <c r="L467" s="3" t="str">
        <f>IF(J467="","",IF(J467/10&gt;='الإعدادات والمستهدفات'!B5,"ناجح ومستوفى","ضعيف - يلزم إعادة اختبار"))</f>
        <v/>
      </c>
      <c r="M467" s="3"/>
      <c r="N467" s="3"/>
    </row>
    <row r="468" spans="1:14" x14ac:dyDescent="0.2">
      <c r="A468" s="3" t="str">
        <f>IFERROR(VLOOKUP(B468,'جدول الجلسات التدريبية'!A:B,2,FALSE),"")</f>
        <v/>
      </c>
      <c r="B468" s="3"/>
      <c r="C468" s="3" t="str">
        <f>IFERROR(VLOOKUP(A468,'الخطة التدريبية المعتمدة'!A:C,3,FALSE),"")</f>
        <v/>
      </c>
      <c r="D468" s="3" t="str">
        <f>IFERROR(VLOOKUP(B468,'جدول الجلسات التدريبية'!A:D,4,FALSE),"")</f>
        <v/>
      </c>
      <c r="E468" s="3"/>
      <c r="F468" s="3" t="str">
        <f>IFERROR(VLOOKUP(E468,'سجل الموظفين والكفاءة'!B:C,2,FALSE),"")</f>
        <v/>
      </c>
      <c r="G468" s="3">
        <f>IFERROR(VLOOKUP(A468,'الخطة التدريبية المعتمدة'!A:J,10,FALSE),0)</f>
        <v>0</v>
      </c>
      <c r="H468" s="3"/>
      <c r="I468" s="3"/>
      <c r="J468" s="3"/>
      <c r="K468" s="7" t="str">
        <f>IF(OR(I468="",J468="",I468=0),"",(J468-I468)/I468)</f>
        <v/>
      </c>
      <c r="L468" s="3" t="str">
        <f>IF(J468="","",IF(J468/10&gt;='الإعدادات والمستهدفات'!B5,"ناجح ومستوفى","ضعيف - يلزم إعادة اختبار"))</f>
        <v/>
      </c>
      <c r="M468" s="3"/>
      <c r="N468" s="3"/>
    </row>
    <row r="469" spans="1:14" x14ac:dyDescent="0.2">
      <c r="A469" s="3" t="str">
        <f>IFERROR(VLOOKUP(B469,'جدول الجلسات التدريبية'!A:B,2,FALSE),"")</f>
        <v/>
      </c>
      <c r="B469" s="3"/>
      <c r="C469" s="3" t="str">
        <f>IFERROR(VLOOKUP(A469,'الخطة التدريبية المعتمدة'!A:C,3,FALSE),"")</f>
        <v/>
      </c>
      <c r="D469" s="3" t="str">
        <f>IFERROR(VLOOKUP(B469,'جدول الجلسات التدريبية'!A:D,4,FALSE),"")</f>
        <v/>
      </c>
      <c r="E469" s="3"/>
      <c r="F469" s="3" t="str">
        <f>IFERROR(VLOOKUP(E469,'سجل الموظفين والكفاءة'!B:C,2,FALSE),"")</f>
        <v/>
      </c>
      <c r="G469" s="3">
        <f>IFERROR(VLOOKUP(A469,'الخطة التدريبية المعتمدة'!A:J,10,FALSE),0)</f>
        <v>0</v>
      </c>
      <c r="H469" s="3"/>
      <c r="I469" s="3"/>
      <c r="J469" s="3"/>
      <c r="K469" s="7" t="str">
        <f>IF(OR(I469="",J469="",I469=0),"",(J469-I469)/I469)</f>
        <v/>
      </c>
      <c r="L469" s="3" t="str">
        <f>IF(J469="","",IF(J469/10&gt;='الإعدادات والمستهدفات'!B5,"ناجح ومستوفى","ضعيف - يلزم إعادة اختبار"))</f>
        <v/>
      </c>
      <c r="M469" s="3"/>
      <c r="N469" s="3"/>
    </row>
    <row r="470" spans="1:14" x14ac:dyDescent="0.2">
      <c r="A470" s="3" t="str">
        <f>IFERROR(VLOOKUP(B470,'جدول الجلسات التدريبية'!A:B,2,FALSE),"")</f>
        <v/>
      </c>
      <c r="B470" s="3"/>
      <c r="C470" s="3" t="str">
        <f>IFERROR(VLOOKUP(A470,'الخطة التدريبية المعتمدة'!A:C,3,FALSE),"")</f>
        <v/>
      </c>
      <c r="D470" s="3" t="str">
        <f>IFERROR(VLOOKUP(B470,'جدول الجلسات التدريبية'!A:D,4,FALSE),"")</f>
        <v/>
      </c>
      <c r="E470" s="3"/>
      <c r="F470" s="3" t="str">
        <f>IFERROR(VLOOKUP(E470,'سجل الموظفين والكفاءة'!B:C,2,FALSE),"")</f>
        <v/>
      </c>
      <c r="G470" s="3">
        <f>IFERROR(VLOOKUP(A470,'الخطة التدريبية المعتمدة'!A:J,10,FALSE),0)</f>
        <v>0</v>
      </c>
      <c r="H470" s="3"/>
      <c r="I470" s="3"/>
      <c r="J470" s="3"/>
      <c r="K470" s="7" t="str">
        <f>IF(OR(I470="",J470="",I470=0),"",(J470-I470)/I470)</f>
        <v/>
      </c>
      <c r="L470" s="3" t="str">
        <f>IF(J470="","",IF(J470/10&gt;='الإعدادات والمستهدفات'!B5,"ناجح ومستوفى","ضعيف - يلزم إعادة اختبار"))</f>
        <v/>
      </c>
      <c r="M470" s="3"/>
      <c r="N470" s="3"/>
    </row>
    <row r="471" spans="1:14" x14ac:dyDescent="0.2">
      <c r="A471" s="3" t="str">
        <f>IFERROR(VLOOKUP(B471,'جدول الجلسات التدريبية'!A:B,2,FALSE),"")</f>
        <v/>
      </c>
      <c r="B471" s="3"/>
      <c r="C471" s="3" t="str">
        <f>IFERROR(VLOOKUP(A471,'الخطة التدريبية المعتمدة'!A:C,3,FALSE),"")</f>
        <v/>
      </c>
      <c r="D471" s="3" t="str">
        <f>IFERROR(VLOOKUP(B471,'جدول الجلسات التدريبية'!A:D,4,FALSE),"")</f>
        <v/>
      </c>
      <c r="E471" s="3"/>
      <c r="F471" s="3" t="str">
        <f>IFERROR(VLOOKUP(E471,'سجل الموظفين والكفاءة'!B:C,2,FALSE),"")</f>
        <v/>
      </c>
      <c r="G471" s="3">
        <f>IFERROR(VLOOKUP(A471,'الخطة التدريبية المعتمدة'!A:J,10,FALSE),0)</f>
        <v>0</v>
      </c>
      <c r="H471" s="3"/>
      <c r="I471" s="3"/>
      <c r="J471" s="3"/>
      <c r="K471" s="7" t="str">
        <f>IF(OR(I471="",J471="",I471=0),"",(J471-I471)/I471)</f>
        <v/>
      </c>
      <c r="L471" s="3" t="str">
        <f>IF(J471="","",IF(J471/10&gt;='الإعدادات والمستهدفات'!B5,"ناجح ومستوفى","ضعيف - يلزم إعادة اختبار"))</f>
        <v/>
      </c>
      <c r="M471" s="3"/>
      <c r="N471" s="3"/>
    </row>
    <row r="472" spans="1:14" x14ac:dyDescent="0.2">
      <c r="A472" s="3" t="str">
        <f>IFERROR(VLOOKUP(B472,'جدول الجلسات التدريبية'!A:B,2,FALSE),"")</f>
        <v/>
      </c>
      <c r="B472" s="3"/>
      <c r="C472" s="3" t="str">
        <f>IFERROR(VLOOKUP(A472,'الخطة التدريبية المعتمدة'!A:C,3,FALSE),"")</f>
        <v/>
      </c>
      <c r="D472" s="3" t="str">
        <f>IFERROR(VLOOKUP(B472,'جدول الجلسات التدريبية'!A:D,4,FALSE),"")</f>
        <v/>
      </c>
      <c r="E472" s="3"/>
      <c r="F472" s="3" t="str">
        <f>IFERROR(VLOOKUP(E472,'سجل الموظفين والكفاءة'!B:C,2,FALSE),"")</f>
        <v/>
      </c>
      <c r="G472" s="3">
        <f>IFERROR(VLOOKUP(A472,'الخطة التدريبية المعتمدة'!A:J,10,FALSE),0)</f>
        <v>0</v>
      </c>
      <c r="H472" s="3"/>
      <c r="I472" s="3"/>
      <c r="J472" s="3"/>
      <c r="K472" s="7" t="str">
        <f>IF(OR(I472="",J472="",I472=0),"",(J472-I472)/I472)</f>
        <v/>
      </c>
      <c r="L472" s="3" t="str">
        <f>IF(J472="","",IF(J472/10&gt;='الإعدادات والمستهدفات'!B5,"ناجح ومستوفى","ضعيف - يلزم إعادة اختبار"))</f>
        <v/>
      </c>
      <c r="M472" s="3"/>
      <c r="N472" s="3"/>
    </row>
    <row r="473" spans="1:14" x14ac:dyDescent="0.2">
      <c r="A473" s="3" t="str">
        <f>IFERROR(VLOOKUP(B473,'جدول الجلسات التدريبية'!A:B,2,FALSE),"")</f>
        <v/>
      </c>
      <c r="B473" s="3"/>
      <c r="C473" s="3" t="str">
        <f>IFERROR(VLOOKUP(A473,'الخطة التدريبية المعتمدة'!A:C,3,FALSE),"")</f>
        <v/>
      </c>
      <c r="D473" s="3" t="str">
        <f>IFERROR(VLOOKUP(B473,'جدول الجلسات التدريبية'!A:D,4,FALSE),"")</f>
        <v/>
      </c>
      <c r="E473" s="3"/>
      <c r="F473" s="3" t="str">
        <f>IFERROR(VLOOKUP(E473,'سجل الموظفين والكفاءة'!B:C,2,FALSE),"")</f>
        <v/>
      </c>
      <c r="G473" s="3">
        <f>IFERROR(VLOOKUP(A473,'الخطة التدريبية المعتمدة'!A:J,10,FALSE),0)</f>
        <v>0</v>
      </c>
      <c r="H473" s="3"/>
      <c r="I473" s="3"/>
      <c r="J473" s="3"/>
      <c r="K473" s="7" t="str">
        <f>IF(OR(I473="",J473="",I473=0),"",(J473-I473)/I473)</f>
        <v/>
      </c>
      <c r="L473" s="3" t="str">
        <f>IF(J473="","",IF(J473/10&gt;='الإعدادات والمستهدفات'!B5,"ناجح ومستوفى","ضعيف - يلزم إعادة اختبار"))</f>
        <v/>
      </c>
      <c r="M473" s="3"/>
      <c r="N473" s="3"/>
    </row>
    <row r="474" spans="1:14" x14ac:dyDescent="0.2">
      <c r="A474" s="3" t="str">
        <f>IFERROR(VLOOKUP(B474,'جدول الجلسات التدريبية'!A:B,2,FALSE),"")</f>
        <v/>
      </c>
      <c r="B474" s="3"/>
      <c r="C474" s="3" t="str">
        <f>IFERROR(VLOOKUP(A474,'الخطة التدريبية المعتمدة'!A:C,3,FALSE),"")</f>
        <v/>
      </c>
      <c r="D474" s="3" t="str">
        <f>IFERROR(VLOOKUP(B474,'جدول الجلسات التدريبية'!A:D,4,FALSE),"")</f>
        <v/>
      </c>
      <c r="E474" s="3"/>
      <c r="F474" s="3" t="str">
        <f>IFERROR(VLOOKUP(E474,'سجل الموظفين والكفاءة'!B:C,2,FALSE),"")</f>
        <v/>
      </c>
      <c r="G474" s="3">
        <f>IFERROR(VLOOKUP(A474,'الخطة التدريبية المعتمدة'!A:J,10,FALSE),0)</f>
        <v>0</v>
      </c>
      <c r="H474" s="3"/>
      <c r="I474" s="3"/>
      <c r="J474" s="3"/>
      <c r="K474" s="7" t="str">
        <f>IF(OR(I474="",J474="",I474=0),"",(J474-I474)/I474)</f>
        <v/>
      </c>
      <c r="L474" s="3" t="str">
        <f>IF(J474="","",IF(J474/10&gt;='الإعدادات والمستهدفات'!B5,"ناجح ومستوفى","ضعيف - يلزم إعادة اختبار"))</f>
        <v/>
      </c>
      <c r="M474" s="3"/>
      <c r="N474" s="3"/>
    </row>
    <row r="475" spans="1:14" x14ac:dyDescent="0.2">
      <c r="A475" s="3" t="str">
        <f>IFERROR(VLOOKUP(B475,'جدول الجلسات التدريبية'!A:B,2,FALSE),"")</f>
        <v/>
      </c>
      <c r="B475" s="3"/>
      <c r="C475" s="3" t="str">
        <f>IFERROR(VLOOKUP(A475,'الخطة التدريبية المعتمدة'!A:C,3,FALSE),"")</f>
        <v/>
      </c>
      <c r="D475" s="3" t="str">
        <f>IFERROR(VLOOKUP(B475,'جدول الجلسات التدريبية'!A:D,4,FALSE),"")</f>
        <v/>
      </c>
      <c r="E475" s="3"/>
      <c r="F475" s="3" t="str">
        <f>IFERROR(VLOOKUP(E475,'سجل الموظفين والكفاءة'!B:C,2,FALSE),"")</f>
        <v/>
      </c>
      <c r="G475" s="3">
        <f>IFERROR(VLOOKUP(A475,'الخطة التدريبية المعتمدة'!A:J,10,FALSE),0)</f>
        <v>0</v>
      </c>
      <c r="H475" s="3"/>
      <c r="I475" s="3"/>
      <c r="J475" s="3"/>
      <c r="K475" s="7" t="str">
        <f>IF(OR(I475="",J475="",I475=0),"",(J475-I475)/I475)</f>
        <v/>
      </c>
      <c r="L475" s="3" t="str">
        <f>IF(J475="","",IF(J475/10&gt;='الإعدادات والمستهدفات'!B5,"ناجح ومستوفى","ضعيف - يلزم إعادة اختبار"))</f>
        <v/>
      </c>
      <c r="M475" s="3"/>
      <c r="N475" s="3"/>
    </row>
    <row r="476" spans="1:14" x14ac:dyDescent="0.2">
      <c r="A476" s="3" t="str">
        <f>IFERROR(VLOOKUP(B476,'جدول الجلسات التدريبية'!A:B,2,FALSE),"")</f>
        <v/>
      </c>
      <c r="B476" s="3"/>
      <c r="C476" s="3" t="str">
        <f>IFERROR(VLOOKUP(A476,'الخطة التدريبية المعتمدة'!A:C,3,FALSE),"")</f>
        <v/>
      </c>
      <c r="D476" s="3" t="str">
        <f>IFERROR(VLOOKUP(B476,'جدول الجلسات التدريبية'!A:D,4,FALSE),"")</f>
        <v/>
      </c>
      <c r="E476" s="3"/>
      <c r="F476" s="3" t="str">
        <f>IFERROR(VLOOKUP(E476,'سجل الموظفين والكفاءة'!B:C,2,FALSE),"")</f>
        <v/>
      </c>
      <c r="G476" s="3">
        <f>IFERROR(VLOOKUP(A476,'الخطة التدريبية المعتمدة'!A:J,10,FALSE),0)</f>
        <v>0</v>
      </c>
      <c r="H476" s="3"/>
      <c r="I476" s="3"/>
      <c r="J476" s="3"/>
      <c r="K476" s="7" t="str">
        <f>IF(OR(I476="",J476="",I476=0),"",(J476-I476)/I476)</f>
        <v/>
      </c>
      <c r="L476" s="3" t="str">
        <f>IF(J476="","",IF(J476/10&gt;='الإعدادات والمستهدفات'!B5,"ناجح ومستوفى","ضعيف - يلزم إعادة اختبار"))</f>
        <v/>
      </c>
      <c r="M476" s="3"/>
      <c r="N476" s="3"/>
    </row>
    <row r="477" spans="1:14" x14ac:dyDescent="0.2">
      <c r="A477" s="3" t="str">
        <f>IFERROR(VLOOKUP(B477,'جدول الجلسات التدريبية'!A:B,2,FALSE),"")</f>
        <v/>
      </c>
      <c r="B477" s="3"/>
      <c r="C477" s="3" t="str">
        <f>IFERROR(VLOOKUP(A477,'الخطة التدريبية المعتمدة'!A:C,3,FALSE),"")</f>
        <v/>
      </c>
      <c r="D477" s="3" t="str">
        <f>IFERROR(VLOOKUP(B477,'جدول الجلسات التدريبية'!A:D,4,FALSE),"")</f>
        <v/>
      </c>
      <c r="E477" s="3"/>
      <c r="F477" s="3" t="str">
        <f>IFERROR(VLOOKUP(E477,'سجل الموظفين والكفاءة'!B:C,2,FALSE),"")</f>
        <v/>
      </c>
      <c r="G477" s="3">
        <f>IFERROR(VLOOKUP(A477,'الخطة التدريبية المعتمدة'!A:J,10,FALSE),0)</f>
        <v>0</v>
      </c>
      <c r="H477" s="3"/>
      <c r="I477" s="3"/>
      <c r="J477" s="3"/>
      <c r="K477" s="7" t="str">
        <f>IF(OR(I477="",J477="",I477=0),"",(J477-I477)/I477)</f>
        <v/>
      </c>
      <c r="L477" s="3" t="str">
        <f>IF(J477="","",IF(J477/10&gt;='الإعدادات والمستهدفات'!B5,"ناجح ومستوفى","ضعيف - يلزم إعادة اختبار"))</f>
        <v/>
      </c>
      <c r="M477" s="3"/>
      <c r="N477" s="3"/>
    </row>
    <row r="478" spans="1:14" x14ac:dyDescent="0.2">
      <c r="A478" s="3" t="str">
        <f>IFERROR(VLOOKUP(B478,'جدول الجلسات التدريبية'!A:B,2,FALSE),"")</f>
        <v/>
      </c>
      <c r="B478" s="3"/>
      <c r="C478" s="3" t="str">
        <f>IFERROR(VLOOKUP(A478,'الخطة التدريبية المعتمدة'!A:C,3,FALSE),"")</f>
        <v/>
      </c>
      <c r="D478" s="3" t="str">
        <f>IFERROR(VLOOKUP(B478,'جدول الجلسات التدريبية'!A:D,4,FALSE),"")</f>
        <v/>
      </c>
      <c r="E478" s="3"/>
      <c r="F478" s="3" t="str">
        <f>IFERROR(VLOOKUP(E478,'سجل الموظفين والكفاءة'!B:C,2,FALSE),"")</f>
        <v/>
      </c>
      <c r="G478" s="3">
        <f>IFERROR(VLOOKUP(A478,'الخطة التدريبية المعتمدة'!A:J,10,FALSE),0)</f>
        <v>0</v>
      </c>
      <c r="H478" s="3"/>
      <c r="I478" s="3"/>
      <c r="J478" s="3"/>
      <c r="K478" s="7" t="str">
        <f>IF(OR(I478="",J478="",I478=0),"",(J478-I478)/I478)</f>
        <v/>
      </c>
      <c r="L478" s="3" t="str">
        <f>IF(J478="","",IF(J478/10&gt;='الإعدادات والمستهدفات'!B5,"ناجح ومستوفى","ضعيف - يلزم إعادة اختبار"))</f>
        <v/>
      </c>
      <c r="M478" s="3"/>
      <c r="N478" s="3"/>
    </row>
    <row r="479" spans="1:14" x14ac:dyDescent="0.2">
      <c r="A479" s="3" t="str">
        <f>IFERROR(VLOOKUP(B479,'جدول الجلسات التدريبية'!A:B,2,FALSE),"")</f>
        <v/>
      </c>
      <c r="B479" s="3"/>
      <c r="C479" s="3" t="str">
        <f>IFERROR(VLOOKUP(A479,'الخطة التدريبية المعتمدة'!A:C,3,FALSE),"")</f>
        <v/>
      </c>
      <c r="D479" s="3" t="str">
        <f>IFERROR(VLOOKUP(B479,'جدول الجلسات التدريبية'!A:D,4,FALSE),"")</f>
        <v/>
      </c>
      <c r="E479" s="3"/>
      <c r="F479" s="3" t="str">
        <f>IFERROR(VLOOKUP(E479,'سجل الموظفين والكفاءة'!B:C,2,FALSE),"")</f>
        <v/>
      </c>
      <c r="G479" s="3">
        <f>IFERROR(VLOOKUP(A479,'الخطة التدريبية المعتمدة'!A:J,10,FALSE),0)</f>
        <v>0</v>
      </c>
      <c r="H479" s="3"/>
      <c r="I479" s="3"/>
      <c r="J479" s="3"/>
      <c r="K479" s="7" t="str">
        <f>IF(OR(I479="",J479="",I479=0),"",(J479-I479)/I479)</f>
        <v/>
      </c>
      <c r="L479" s="3" t="str">
        <f>IF(J479="","",IF(J479/10&gt;='الإعدادات والمستهدفات'!B5,"ناجح ومستوفى","ضعيف - يلزم إعادة اختبار"))</f>
        <v/>
      </c>
      <c r="M479" s="3"/>
      <c r="N479" s="3"/>
    </row>
    <row r="480" spans="1:14" x14ac:dyDescent="0.2">
      <c r="A480" s="3" t="str">
        <f>IFERROR(VLOOKUP(B480,'جدول الجلسات التدريبية'!A:B,2,FALSE),"")</f>
        <v/>
      </c>
      <c r="B480" s="3"/>
      <c r="C480" s="3" t="str">
        <f>IFERROR(VLOOKUP(A480,'الخطة التدريبية المعتمدة'!A:C,3,FALSE),"")</f>
        <v/>
      </c>
      <c r="D480" s="3" t="str">
        <f>IFERROR(VLOOKUP(B480,'جدول الجلسات التدريبية'!A:D,4,FALSE),"")</f>
        <v/>
      </c>
      <c r="E480" s="3"/>
      <c r="F480" s="3" t="str">
        <f>IFERROR(VLOOKUP(E480,'سجل الموظفين والكفاءة'!B:C,2,FALSE),"")</f>
        <v/>
      </c>
      <c r="G480" s="3">
        <f>IFERROR(VLOOKUP(A480,'الخطة التدريبية المعتمدة'!A:J,10,FALSE),0)</f>
        <v>0</v>
      </c>
      <c r="H480" s="3"/>
      <c r="I480" s="3"/>
      <c r="J480" s="3"/>
      <c r="K480" s="7" t="str">
        <f>IF(OR(I480="",J480="",I480=0),"",(J480-I480)/I480)</f>
        <v/>
      </c>
      <c r="L480" s="3" t="str">
        <f>IF(J480="","",IF(J480/10&gt;='الإعدادات والمستهدفات'!B5,"ناجح ومستوفى","ضعيف - يلزم إعادة اختبار"))</f>
        <v/>
      </c>
      <c r="M480" s="3"/>
      <c r="N480" s="3"/>
    </row>
    <row r="481" spans="1:14" x14ac:dyDescent="0.2">
      <c r="A481" s="3" t="str">
        <f>IFERROR(VLOOKUP(B481,'جدول الجلسات التدريبية'!A:B,2,FALSE),"")</f>
        <v/>
      </c>
      <c r="B481" s="3"/>
      <c r="C481" s="3" t="str">
        <f>IFERROR(VLOOKUP(A481,'الخطة التدريبية المعتمدة'!A:C,3,FALSE),"")</f>
        <v/>
      </c>
      <c r="D481" s="3" t="str">
        <f>IFERROR(VLOOKUP(B481,'جدول الجلسات التدريبية'!A:D,4,FALSE),"")</f>
        <v/>
      </c>
      <c r="E481" s="3"/>
      <c r="F481" s="3" t="str">
        <f>IFERROR(VLOOKUP(E481,'سجل الموظفين والكفاءة'!B:C,2,FALSE),"")</f>
        <v/>
      </c>
      <c r="G481" s="3">
        <f>IFERROR(VLOOKUP(A481,'الخطة التدريبية المعتمدة'!A:J,10,FALSE),0)</f>
        <v>0</v>
      </c>
      <c r="H481" s="3"/>
      <c r="I481" s="3"/>
      <c r="J481" s="3"/>
      <c r="K481" s="7" t="str">
        <f>IF(OR(I481="",J481="",I481=0),"",(J481-I481)/I481)</f>
        <v/>
      </c>
      <c r="L481" s="3" t="str">
        <f>IF(J481="","",IF(J481/10&gt;='الإعدادات والمستهدفات'!B5,"ناجح ومستوفى","ضعيف - يلزم إعادة اختبار"))</f>
        <v/>
      </c>
      <c r="M481" s="3"/>
      <c r="N481" s="3"/>
    </row>
    <row r="482" spans="1:14" x14ac:dyDescent="0.2">
      <c r="A482" s="3" t="str">
        <f>IFERROR(VLOOKUP(B482,'جدول الجلسات التدريبية'!A:B,2,FALSE),"")</f>
        <v/>
      </c>
      <c r="B482" s="3"/>
      <c r="C482" s="3" t="str">
        <f>IFERROR(VLOOKUP(A482,'الخطة التدريبية المعتمدة'!A:C,3,FALSE),"")</f>
        <v/>
      </c>
      <c r="D482" s="3" t="str">
        <f>IFERROR(VLOOKUP(B482,'جدول الجلسات التدريبية'!A:D,4,FALSE),"")</f>
        <v/>
      </c>
      <c r="E482" s="3"/>
      <c r="F482" s="3" t="str">
        <f>IFERROR(VLOOKUP(E482,'سجل الموظفين والكفاءة'!B:C,2,FALSE),"")</f>
        <v/>
      </c>
      <c r="G482" s="3">
        <f>IFERROR(VLOOKUP(A482,'الخطة التدريبية المعتمدة'!A:J,10,FALSE),0)</f>
        <v>0</v>
      </c>
      <c r="H482" s="3"/>
      <c r="I482" s="3"/>
      <c r="J482" s="3"/>
      <c r="K482" s="7" t="str">
        <f>IF(OR(I482="",J482="",I482=0),"",(J482-I482)/I482)</f>
        <v/>
      </c>
      <c r="L482" s="3" t="str">
        <f>IF(J482="","",IF(J482/10&gt;='الإعدادات والمستهدفات'!B5,"ناجح ومستوفى","ضعيف - يلزم إعادة اختبار"))</f>
        <v/>
      </c>
      <c r="M482" s="3"/>
      <c r="N482" s="3"/>
    </row>
    <row r="483" spans="1:14" x14ac:dyDescent="0.2">
      <c r="A483" s="3" t="str">
        <f>IFERROR(VLOOKUP(B483,'جدول الجلسات التدريبية'!A:B,2,FALSE),"")</f>
        <v/>
      </c>
      <c r="B483" s="3"/>
      <c r="C483" s="3" t="str">
        <f>IFERROR(VLOOKUP(A483,'الخطة التدريبية المعتمدة'!A:C,3,FALSE),"")</f>
        <v/>
      </c>
      <c r="D483" s="3" t="str">
        <f>IFERROR(VLOOKUP(B483,'جدول الجلسات التدريبية'!A:D,4,FALSE),"")</f>
        <v/>
      </c>
      <c r="E483" s="3"/>
      <c r="F483" s="3" t="str">
        <f>IFERROR(VLOOKUP(E483,'سجل الموظفين والكفاءة'!B:C,2,FALSE),"")</f>
        <v/>
      </c>
      <c r="G483" s="3">
        <f>IFERROR(VLOOKUP(A483,'الخطة التدريبية المعتمدة'!A:J,10,FALSE),0)</f>
        <v>0</v>
      </c>
      <c r="H483" s="3"/>
      <c r="I483" s="3"/>
      <c r="J483" s="3"/>
      <c r="K483" s="7" t="str">
        <f>IF(OR(I483="",J483="",I483=0),"",(J483-I483)/I483)</f>
        <v/>
      </c>
      <c r="L483" s="3" t="str">
        <f>IF(J483="","",IF(J483/10&gt;='الإعدادات والمستهدفات'!B5,"ناجح ومستوفى","ضعيف - يلزم إعادة اختبار"))</f>
        <v/>
      </c>
      <c r="M483" s="3"/>
      <c r="N483" s="3"/>
    </row>
    <row r="484" spans="1:14" x14ac:dyDescent="0.2">
      <c r="A484" s="3" t="str">
        <f>IFERROR(VLOOKUP(B484,'جدول الجلسات التدريبية'!A:B,2,FALSE),"")</f>
        <v/>
      </c>
      <c r="B484" s="3"/>
      <c r="C484" s="3" t="str">
        <f>IFERROR(VLOOKUP(A484,'الخطة التدريبية المعتمدة'!A:C,3,FALSE),"")</f>
        <v/>
      </c>
      <c r="D484" s="3" t="str">
        <f>IFERROR(VLOOKUP(B484,'جدول الجلسات التدريبية'!A:D,4,FALSE),"")</f>
        <v/>
      </c>
      <c r="E484" s="3"/>
      <c r="F484" s="3" t="str">
        <f>IFERROR(VLOOKUP(E484,'سجل الموظفين والكفاءة'!B:C,2,FALSE),"")</f>
        <v/>
      </c>
      <c r="G484" s="3">
        <f>IFERROR(VLOOKUP(A484,'الخطة التدريبية المعتمدة'!A:J,10,FALSE),0)</f>
        <v>0</v>
      </c>
      <c r="H484" s="3"/>
      <c r="I484" s="3"/>
      <c r="J484" s="3"/>
      <c r="K484" s="7" t="str">
        <f>IF(OR(I484="",J484="",I484=0),"",(J484-I484)/I484)</f>
        <v/>
      </c>
      <c r="L484" s="3" t="str">
        <f>IF(J484="","",IF(J484/10&gt;='الإعدادات والمستهدفات'!B5,"ناجح ومستوفى","ضعيف - يلزم إعادة اختبار"))</f>
        <v/>
      </c>
      <c r="M484" s="3"/>
      <c r="N484" s="3"/>
    </row>
    <row r="485" spans="1:14" x14ac:dyDescent="0.2">
      <c r="A485" s="3" t="str">
        <f>IFERROR(VLOOKUP(B485,'جدول الجلسات التدريبية'!A:B,2,FALSE),"")</f>
        <v/>
      </c>
      <c r="B485" s="3"/>
      <c r="C485" s="3" t="str">
        <f>IFERROR(VLOOKUP(A485,'الخطة التدريبية المعتمدة'!A:C,3,FALSE),"")</f>
        <v/>
      </c>
      <c r="D485" s="3" t="str">
        <f>IFERROR(VLOOKUP(B485,'جدول الجلسات التدريبية'!A:D,4,FALSE),"")</f>
        <v/>
      </c>
      <c r="E485" s="3"/>
      <c r="F485" s="3" t="str">
        <f>IFERROR(VLOOKUP(E485,'سجل الموظفين والكفاءة'!B:C,2,FALSE),"")</f>
        <v/>
      </c>
      <c r="G485" s="3">
        <f>IFERROR(VLOOKUP(A485,'الخطة التدريبية المعتمدة'!A:J,10,FALSE),0)</f>
        <v>0</v>
      </c>
      <c r="H485" s="3"/>
      <c r="I485" s="3"/>
      <c r="J485" s="3"/>
      <c r="K485" s="7" t="str">
        <f>IF(OR(I485="",J485="",I485=0),"",(J485-I485)/I485)</f>
        <v/>
      </c>
      <c r="L485" s="3" t="str">
        <f>IF(J485="","",IF(J485/10&gt;='الإعدادات والمستهدفات'!B5,"ناجح ومستوفى","ضعيف - يلزم إعادة اختبار"))</f>
        <v/>
      </c>
      <c r="M485" s="3"/>
      <c r="N485" s="3"/>
    </row>
    <row r="486" spans="1:14" x14ac:dyDescent="0.2">
      <c r="A486" s="3" t="str">
        <f>IFERROR(VLOOKUP(B486,'جدول الجلسات التدريبية'!A:B,2,FALSE),"")</f>
        <v/>
      </c>
      <c r="B486" s="3"/>
      <c r="C486" s="3" t="str">
        <f>IFERROR(VLOOKUP(A486,'الخطة التدريبية المعتمدة'!A:C,3,FALSE),"")</f>
        <v/>
      </c>
      <c r="D486" s="3" t="str">
        <f>IFERROR(VLOOKUP(B486,'جدول الجلسات التدريبية'!A:D,4,FALSE),"")</f>
        <v/>
      </c>
      <c r="E486" s="3"/>
      <c r="F486" s="3" t="str">
        <f>IFERROR(VLOOKUP(E486,'سجل الموظفين والكفاءة'!B:C,2,FALSE),"")</f>
        <v/>
      </c>
      <c r="G486" s="3">
        <f>IFERROR(VLOOKUP(A486,'الخطة التدريبية المعتمدة'!A:J,10,FALSE),0)</f>
        <v>0</v>
      </c>
      <c r="H486" s="3"/>
      <c r="I486" s="3"/>
      <c r="J486" s="3"/>
      <c r="K486" s="7" t="str">
        <f>IF(OR(I486="",J486="",I486=0),"",(J486-I486)/I486)</f>
        <v/>
      </c>
      <c r="L486" s="3" t="str">
        <f>IF(J486="","",IF(J486/10&gt;='الإعدادات والمستهدفات'!B5,"ناجح ومستوفى","ضعيف - يلزم إعادة اختبار"))</f>
        <v/>
      </c>
      <c r="M486" s="3"/>
      <c r="N486" s="3"/>
    </row>
    <row r="487" spans="1:14" x14ac:dyDescent="0.2">
      <c r="A487" s="3" t="str">
        <f>IFERROR(VLOOKUP(B487,'جدول الجلسات التدريبية'!A:B,2,FALSE),"")</f>
        <v/>
      </c>
      <c r="B487" s="3"/>
      <c r="C487" s="3" t="str">
        <f>IFERROR(VLOOKUP(A487,'الخطة التدريبية المعتمدة'!A:C,3,FALSE),"")</f>
        <v/>
      </c>
      <c r="D487" s="3" t="str">
        <f>IFERROR(VLOOKUP(B487,'جدول الجلسات التدريبية'!A:D,4,FALSE),"")</f>
        <v/>
      </c>
      <c r="E487" s="3"/>
      <c r="F487" s="3" t="str">
        <f>IFERROR(VLOOKUP(E487,'سجل الموظفين والكفاءة'!B:C,2,FALSE),"")</f>
        <v/>
      </c>
      <c r="G487" s="3">
        <f>IFERROR(VLOOKUP(A487,'الخطة التدريبية المعتمدة'!A:J,10,FALSE),0)</f>
        <v>0</v>
      </c>
      <c r="H487" s="3"/>
      <c r="I487" s="3"/>
      <c r="J487" s="3"/>
      <c r="K487" s="7" t="str">
        <f>IF(OR(I487="",J487="",I487=0),"",(J487-I487)/I487)</f>
        <v/>
      </c>
      <c r="L487" s="3" t="str">
        <f>IF(J487="","",IF(J487/10&gt;='الإعدادات والمستهدفات'!B5,"ناجح ومستوفى","ضعيف - يلزم إعادة اختبار"))</f>
        <v/>
      </c>
      <c r="M487" s="3"/>
      <c r="N487" s="3"/>
    </row>
    <row r="488" spans="1:14" x14ac:dyDescent="0.2">
      <c r="A488" s="3" t="str">
        <f>IFERROR(VLOOKUP(B488,'جدول الجلسات التدريبية'!A:B,2,FALSE),"")</f>
        <v/>
      </c>
      <c r="B488" s="3"/>
      <c r="C488" s="3" t="str">
        <f>IFERROR(VLOOKUP(A488,'الخطة التدريبية المعتمدة'!A:C,3,FALSE),"")</f>
        <v/>
      </c>
      <c r="D488" s="3" t="str">
        <f>IFERROR(VLOOKUP(B488,'جدول الجلسات التدريبية'!A:D,4,FALSE),"")</f>
        <v/>
      </c>
      <c r="E488" s="3"/>
      <c r="F488" s="3" t="str">
        <f>IFERROR(VLOOKUP(E488,'سجل الموظفين والكفاءة'!B:C,2,FALSE),"")</f>
        <v/>
      </c>
      <c r="G488" s="3">
        <f>IFERROR(VLOOKUP(A488,'الخطة التدريبية المعتمدة'!A:J,10,FALSE),0)</f>
        <v>0</v>
      </c>
      <c r="H488" s="3"/>
      <c r="I488" s="3"/>
      <c r="J488" s="3"/>
      <c r="K488" s="7" t="str">
        <f>IF(OR(I488="",J488="",I488=0),"",(J488-I488)/I488)</f>
        <v/>
      </c>
      <c r="L488" s="3" t="str">
        <f>IF(J488="","",IF(J488/10&gt;='الإعدادات والمستهدفات'!B5,"ناجح ومستوفى","ضعيف - يلزم إعادة اختبار"))</f>
        <v/>
      </c>
      <c r="M488" s="3"/>
      <c r="N488" s="3"/>
    </row>
    <row r="489" spans="1:14" x14ac:dyDescent="0.2">
      <c r="A489" s="3" t="str">
        <f>IFERROR(VLOOKUP(B489,'جدول الجلسات التدريبية'!A:B,2,FALSE),"")</f>
        <v/>
      </c>
      <c r="B489" s="3"/>
      <c r="C489" s="3" t="str">
        <f>IFERROR(VLOOKUP(A489,'الخطة التدريبية المعتمدة'!A:C,3,FALSE),"")</f>
        <v/>
      </c>
      <c r="D489" s="3" t="str">
        <f>IFERROR(VLOOKUP(B489,'جدول الجلسات التدريبية'!A:D,4,FALSE),"")</f>
        <v/>
      </c>
      <c r="E489" s="3"/>
      <c r="F489" s="3" t="str">
        <f>IFERROR(VLOOKUP(E489,'سجل الموظفين والكفاءة'!B:C,2,FALSE),"")</f>
        <v/>
      </c>
      <c r="G489" s="3">
        <f>IFERROR(VLOOKUP(A489,'الخطة التدريبية المعتمدة'!A:J,10,FALSE),0)</f>
        <v>0</v>
      </c>
      <c r="H489" s="3"/>
      <c r="I489" s="3"/>
      <c r="J489" s="3"/>
      <c r="K489" s="7" t="str">
        <f>IF(OR(I489="",J489="",I489=0),"",(J489-I489)/I489)</f>
        <v/>
      </c>
      <c r="L489" s="3" t="str">
        <f>IF(J489="","",IF(J489/10&gt;='الإعدادات والمستهدفات'!B5,"ناجح ومستوفى","ضعيف - يلزم إعادة اختبار"))</f>
        <v/>
      </c>
      <c r="M489" s="3"/>
      <c r="N489" s="3"/>
    </row>
    <row r="490" spans="1:14" x14ac:dyDescent="0.2">
      <c r="A490" s="3" t="str">
        <f>IFERROR(VLOOKUP(B490,'جدول الجلسات التدريبية'!A:B,2,FALSE),"")</f>
        <v/>
      </c>
      <c r="B490" s="3"/>
      <c r="C490" s="3" t="str">
        <f>IFERROR(VLOOKUP(A490,'الخطة التدريبية المعتمدة'!A:C,3,FALSE),"")</f>
        <v/>
      </c>
      <c r="D490" s="3" t="str">
        <f>IFERROR(VLOOKUP(B490,'جدول الجلسات التدريبية'!A:D,4,FALSE),"")</f>
        <v/>
      </c>
      <c r="E490" s="3"/>
      <c r="F490" s="3" t="str">
        <f>IFERROR(VLOOKUP(E490,'سجل الموظفين والكفاءة'!B:C,2,FALSE),"")</f>
        <v/>
      </c>
      <c r="G490" s="3">
        <f>IFERROR(VLOOKUP(A490,'الخطة التدريبية المعتمدة'!A:J,10,FALSE),0)</f>
        <v>0</v>
      </c>
      <c r="H490" s="3"/>
      <c r="I490" s="3"/>
      <c r="J490" s="3"/>
      <c r="K490" s="7" t="str">
        <f>IF(OR(I490="",J490="",I490=0),"",(J490-I490)/I490)</f>
        <v/>
      </c>
      <c r="L490" s="3" t="str">
        <f>IF(J490="","",IF(J490/10&gt;='الإعدادات والمستهدفات'!B5,"ناجح ومستوفى","ضعيف - يلزم إعادة اختبار"))</f>
        <v/>
      </c>
      <c r="M490" s="3"/>
      <c r="N490" s="3"/>
    </row>
    <row r="491" spans="1:14" x14ac:dyDescent="0.2">
      <c r="A491" s="3" t="str">
        <f>IFERROR(VLOOKUP(B491,'جدول الجلسات التدريبية'!A:B,2,FALSE),"")</f>
        <v/>
      </c>
      <c r="B491" s="3"/>
      <c r="C491" s="3" t="str">
        <f>IFERROR(VLOOKUP(A491,'الخطة التدريبية المعتمدة'!A:C,3,FALSE),"")</f>
        <v/>
      </c>
      <c r="D491" s="3" t="str">
        <f>IFERROR(VLOOKUP(B491,'جدول الجلسات التدريبية'!A:D,4,FALSE),"")</f>
        <v/>
      </c>
      <c r="E491" s="3"/>
      <c r="F491" s="3" t="str">
        <f>IFERROR(VLOOKUP(E491,'سجل الموظفين والكفاءة'!B:C,2,FALSE),"")</f>
        <v/>
      </c>
      <c r="G491" s="3">
        <f>IFERROR(VLOOKUP(A491,'الخطة التدريبية المعتمدة'!A:J,10,FALSE),0)</f>
        <v>0</v>
      </c>
      <c r="H491" s="3"/>
      <c r="I491" s="3"/>
      <c r="J491" s="3"/>
      <c r="K491" s="7" t="str">
        <f>IF(OR(I491="",J491="",I491=0),"",(J491-I491)/I491)</f>
        <v/>
      </c>
      <c r="L491" s="3" t="str">
        <f>IF(J491="","",IF(J491/10&gt;='الإعدادات والمستهدفات'!B5,"ناجح ومستوفى","ضعيف - يلزم إعادة اختبار"))</f>
        <v/>
      </c>
      <c r="M491" s="3"/>
      <c r="N491" s="3"/>
    </row>
    <row r="492" spans="1:14" x14ac:dyDescent="0.2">
      <c r="A492" s="3" t="str">
        <f>IFERROR(VLOOKUP(B492,'جدول الجلسات التدريبية'!A:B,2,FALSE),"")</f>
        <v/>
      </c>
      <c r="B492" s="3"/>
      <c r="C492" s="3" t="str">
        <f>IFERROR(VLOOKUP(A492,'الخطة التدريبية المعتمدة'!A:C,3,FALSE),"")</f>
        <v/>
      </c>
      <c r="D492" s="3" t="str">
        <f>IFERROR(VLOOKUP(B492,'جدول الجلسات التدريبية'!A:D,4,FALSE),"")</f>
        <v/>
      </c>
      <c r="E492" s="3"/>
      <c r="F492" s="3" t="str">
        <f>IFERROR(VLOOKUP(E492,'سجل الموظفين والكفاءة'!B:C,2,FALSE),"")</f>
        <v/>
      </c>
      <c r="G492" s="3">
        <f>IFERROR(VLOOKUP(A492,'الخطة التدريبية المعتمدة'!A:J,10,FALSE),0)</f>
        <v>0</v>
      </c>
      <c r="H492" s="3"/>
      <c r="I492" s="3"/>
      <c r="J492" s="3"/>
      <c r="K492" s="7" t="str">
        <f>IF(OR(I492="",J492="",I492=0),"",(J492-I492)/I492)</f>
        <v/>
      </c>
      <c r="L492" s="3" t="str">
        <f>IF(J492="","",IF(J492/10&gt;='الإعدادات والمستهدفات'!B5,"ناجح ومستوفى","ضعيف - يلزم إعادة اختبار"))</f>
        <v/>
      </c>
      <c r="M492" s="3"/>
      <c r="N492" s="3"/>
    </row>
    <row r="493" spans="1:14" x14ac:dyDescent="0.2">
      <c r="A493" s="3" t="str">
        <f>IFERROR(VLOOKUP(B493,'جدول الجلسات التدريبية'!A:B,2,FALSE),"")</f>
        <v/>
      </c>
      <c r="B493" s="3"/>
      <c r="C493" s="3" t="str">
        <f>IFERROR(VLOOKUP(A493,'الخطة التدريبية المعتمدة'!A:C,3,FALSE),"")</f>
        <v/>
      </c>
      <c r="D493" s="3" t="str">
        <f>IFERROR(VLOOKUP(B493,'جدول الجلسات التدريبية'!A:D,4,FALSE),"")</f>
        <v/>
      </c>
      <c r="E493" s="3"/>
      <c r="F493" s="3" t="str">
        <f>IFERROR(VLOOKUP(E493,'سجل الموظفين والكفاءة'!B:C,2,FALSE),"")</f>
        <v/>
      </c>
      <c r="G493" s="3">
        <f>IFERROR(VLOOKUP(A493,'الخطة التدريبية المعتمدة'!A:J,10,FALSE),0)</f>
        <v>0</v>
      </c>
      <c r="H493" s="3"/>
      <c r="I493" s="3"/>
      <c r="J493" s="3"/>
      <c r="K493" s="7" t="str">
        <f>IF(OR(I493="",J493="",I493=0),"",(J493-I493)/I493)</f>
        <v/>
      </c>
      <c r="L493" s="3" t="str">
        <f>IF(J493="","",IF(J493/10&gt;='الإعدادات والمستهدفات'!B5,"ناجح ومستوفى","ضعيف - يلزم إعادة اختبار"))</f>
        <v/>
      </c>
      <c r="M493" s="3"/>
      <c r="N493" s="3"/>
    </row>
    <row r="494" spans="1:14" x14ac:dyDescent="0.2">
      <c r="A494" s="3" t="str">
        <f>IFERROR(VLOOKUP(B494,'جدول الجلسات التدريبية'!A:B,2,FALSE),"")</f>
        <v/>
      </c>
      <c r="B494" s="3"/>
      <c r="C494" s="3" t="str">
        <f>IFERROR(VLOOKUP(A494,'الخطة التدريبية المعتمدة'!A:C,3,FALSE),"")</f>
        <v/>
      </c>
      <c r="D494" s="3" t="str">
        <f>IFERROR(VLOOKUP(B494,'جدول الجلسات التدريبية'!A:D,4,FALSE),"")</f>
        <v/>
      </c>
      <c r="E494" s="3"/>
      <c r="F494" s="3" t="str">
        <f>IFERROR(VLOOKUP(E494,'سجل الموظفين والكفاءة'!B:C,2,FALSE),"")</f>
        <v/>
      </c>
      <c r="G494" s="3">
        <f>IFERROR(VLOOKUP(A494,'الخطة التدريبية المعتمدة'!A:J,10,FALSE),0)</f>
        <v>0</v>
      </c>
      <c r="H494" s="3"/>
      <c r="I494" s="3"/>
      <c r="J494" s="3"/>
      <c r="K494" s="7" t="str">
        <f>IF(OR(I494="",J494="",I494=0),"",(J494-I494)/I494)</f>
        <v/>
      </c>
      <c r="L494" s="3" t="str">
        <f>IF(J494="","",IF(J494/10&gt;='الإعدادات والمستهدفات'!B5,"ناجح ومستوفى","ضعيف - يلزم إعادة اختبار"))</f>
        <v/>
      </c>
      <c r="M494" s="3"/>
      <c r="N494" s="3"/>
    </row>
    <row r="495" spans="1:14" x14ac:dyDescent="0.2">
      <c r="A495" s="3" t="str">
        <f>IFERROR(VLOOKUP(B495,'جدول الجلسات التدريبية'!A:B,2,FALSE),"")</f>
        <v/>
      </c>
      <c r="B495" s="3"/>
      <c r="C495" s="3" t="str">
        <f>IFERROR(VLOOKUP(A495,'الخطة التدريبية المعتمدة'!A:C,3,FALSE),"")</f>
        <v/>
      </c>
      <c r="D495" s="3" t="str">
        <f>IFERROR(VLOOKUP(B495,'جدول الجلسات التدريبية'!A:D,4,FALSE),"")</f>
        <v/>
      </c>
      <c r="E495" s="3"/>
      <c r="F495" s="3" t="str">
        <f>IFERROR(VLOOKUP(E495,'سجل الموظفين والكفاءة'!B:C,2,FALSE),"")</f>
        <v/>
      </c>
      <c r="G495" s="3">
        <f>IFERROR(VLOOKUP(A495,'الخطة التدريبية المعتمدة'!A:J,10,FALSE),0)</f>
        <v>0</v>
      </c>
      <c r="H495" s="3"/>
      <c r="I495" s="3"/>
      <c r="J495" s="3"/>
      <c r="K495" s="7" t="str">
        <f>IF(OR(I495="",J495="",I495=0),"",(J495-I495)/I495)</f>
        <v/>
      </c>
      <c r="L495" s="3" t="str">
        <f>IF(J495="","",IF(J495/10&gt;='الإعدادات والمستهدفات'!B5,"ناجح ومستوفى","ضعيف - يلزم إعادة اختبار"))</f>
        <v/>
      </c>
      <c r="M495" s="3"/>
      <c r="N495" s="3"/>
    </row>
    <row r="496" spans="1:14" x14ac:dyDescent="0.2">
      <c r="A496" s="3" t="str">
        <f>IFERROR(VLOOKUP(B496,'جدول الجلسات التدريبية'!A:B,2,FALSE),"")</f>
        <v/>
      </c>
      <c r="B496" s="3"/>
      <c r="C496" s="3" t="str">
        <f>IFERROR(VLOOKUP(A496,'الخطة التدريبية المعتمدة'!A:C,3,FALSE),"")</f>
        <v/>
      </c>
      <c r="D496" s="3" t="str">
        <f>IFERROR(VLOOKUP(B496,'جدول الجلسات التدريبية'!A:D,4,FALSE),"")</f>
        <v/>
      </c>
      <c r="E496" s="3"/>
      <c r="F496" s="3" t="str">
        <f>IFERROR(VLOOKUP(E496,'سجل الموظفين والكفاءة'!B:C,2,FALSE),"")</f>
        <v/>
      </c>
      <c r="G496" s="3">
        <f>IFERROR(VLOOKUP(A496,'الخطة التدريبية المعتمدة'!A:J,10,FALSE),0)</f>
        <v>0</v>
      </c>
      <c r="H496" s="3"/>
      <c r="I496" s="3"/>
      <c r="J496" s="3"/>
      <c r="K496" s="7" t="str">
        <f>IF(OR(I496="",J496="",I496=0),"",(J496-I496)/I496)</f>
        <v/>
      </c>
      <c r="L496" s="3" t="str">
        <f>IF(J496="","",IF(J496/10&gt;='الإعدادات والمستهدفات'!B5,"ناجح ومستوفى","ضعيف - يلزم إعادة اختبار"))</f>
        <v/>
      </c>
      <c r="M496" s="3"/>
      <c r="N496" s="3"/>
    </row>
    <row r="497" spans="1:14" x14ac:dyDescent="0.2">
      <c r="A497" s="3" t="str">
        <f>IFERROR(VLOOKUP(B497,'جدول الجلسات التدريبية'!A:B,2,FALSE),"")</f>
        <v/>
      </c>
      <c r="B497" s="3"/>
      <c r="C497" s="3" t="str">
        <f>IFERROR(VLOOKUP(A497,'الخطة التدريبية المعتمدة'!A:C,3,FALSE),"")</f>
        <v/>
      </c>
      <c r="D497" s="3" t="str">
        <f>IFERROR(VLOOKUP(B497,'جدول الجلسات التدريبية'!A:D,4,FALSE),"")</f>
        <v/>
      </c>
      <c r="E497" s="3"/>
      <c r="F497" s="3" t="str">
        <f>IFERROR(VLOOKUP(E497,'سجل الموظفين والكفاءة'!B:C,2,FALSE),"")</f>
        <v/>
      </c>
      <c r="G497" s="3">
        <f>IFERROR(VLOOKUP(A497,'الخطة التدريبية المعتمدة'!A:J,10,FALSE),0)</f>
        <v>0</v>
      </c>
      <c r="H497" s="3"/>
      <c r="I497" s="3"/>
      <c r="J497" s="3"/>
      <c r="K497" s="7" t="str">
        <f>IF(OR(I497="",J497="",I497=0),"",(J497-I497)/I497)</f>
        <v/>
      </c>
      <c r="L497" s="3" t="str">
        <f>IF(J497="","",IF(J497/10&gt;='الإعدادات والمستهدفات'!B5,"ناجح ومستوفى","ضعيف - يلزم إعادة اختبار"))</f>
        <v/>
      </c>
      <c r="M497" s="3"/>
      <c r="N497" s="3"/>
    </row>
    <row r="498" spans="1:14" x14ac:dyDescent="0.2">
      <c r="A498" s="3" t="str">
        <f>IFERROR(VLOOKUP(B498,'جدول الجلسات التدريبية'!A:B,2,FALSE),"")</f>
        <v/>
      </c>
      <c r="B498" s="3"/>
      <c r="C498" s="3" t="str">
        <f>IFERROR(VLOOKUP(A498,'الخطة التدريبية المعتمدة'!A:C,3,FALSE),"")</f>
        <v/>
      </c>
      <c r="D498" s="3" t="str">
        <f>IFERROR(VLOOKUP(B498,'جدول الجلسات التدريبية'!A:D,4,FALSE),"")</f>
        <v/>
      </c>
      <c r="E498" s="3"/>
      <c r="F498" s="3" t="str">
        <f>IFERROR(VLOOKUP(E498,'سجل الموظفين والكفاءة'!B:C,2,FALSE),"")</f>
        <v/>
      </c>
      <c r="G498" s="3">
        <f>IFERROR(VLOOKUP(A498,'الخطة التدريبية المعتمدة'!A:J,10,FALSE),0)</f>
        <v>0</v>
      </c>
      <c r="H498" s="3"/>
      <c r="I498" s="3"/>
      <c r="J498" s="3"/>
      <c r="K498" s="7" t="str">
        <f>IF(OR(I498="",J498="",I498=0),"",(J498-I498)/I498)</f>
        <v/>
      </c>
      <c r="L498" s="3" t="str">
        <f>IF(J498="","",IF(J498/10&gt;='الإعدادات والمستهدفات'!B5,"ناجح ومستوفى","ضعيف - يلزم إعادة اختبار"))</f>
        <v/>
      </c>
      <c r="M498" s="3"/>
      <c r="N498" s="3"/>
    </row>
    <row r="499" spans="1:14" x14ac:dyDescent="0.2">
      <c r="A499" s="3" t="str">
        <f>IFERROR(VLOOKUP(B499,'جدول الجلسات التدريبية'!A:B,2,FALSE),"")</f>
        <v/>
      </c>
      <c r="B499" s="3"/>
      <c r="C499" s="3" t="str">
        <f>IFERROR(VLOOKUP(A499,'الخطة التدريبية المعتمدة'!A:C,3,FALSE),"")</f>
        <v/>
      </c>
      <c r="D499" s="3" t="str">
        <f>IFERROR(VLOOKUP(B499,'جدول الجلسات التدريبية'!A:D,4,FALSE),"")</f>
        <v/>
      </c>
      <c r="E499" s="3"/>
      <c r="F499" s="3" t="str">
        <f>IFERROR(VLOOKUP(E499,'سجل الموظفين والكفاءة'!B:C,2,FALSE),"")</f>
        <v/>
      </c>
      <c r="G499" s="3">
        <f>IFERROR(VLOOKUP(A499,'الخطة التدريبية المعتمدة'!A:J,10,FALSE),0)</f>
        <v>0</v>
      </c>
      <c r="H499" s="3"/>
      <c r="I499" s="3"/>
      <c r="J499" s="3"/>
      <c r="K499" s="7" t="str">
        <f>IF(OR(I499="",J499="",I499=0),"",(J499-I499)/I499)</f>
        <v/>
      </c>
      <c r="L499" s="3" t="str">
        <f>IF(J499="","",IF(J499/10&gt;='الإعدادات والمستهدفات'!B5,"ناجح ومستوفى","ضعيف - يلزم إعادة اختبار"))</f>
        <v/>
      </c>
      <c r="M499" s="3"/>
      <c r="N499" s="3"/>
    </row>
    <row r="500" spans="1:14" x14ac:dyDescent="0.2">
      <c r="A500" s="3" t="str">
        <f>IFERROR(VLOOKUP(B500,'جدول الجلسات التدريبية'!A:B,2,FALSE),"")</f>
        <v/>
      </c>
      <c r="B500" s="3"/>
      <c r="C500" s="3" t="str">
        <f>IFERROR(VLOOKUP(A500,'الخطة التدريبية المعتمدة'!A:C,3,FALSE),"")</f>
        <v/>
      </c>
      <c r="D500" s="3" t="str">
        <f>IFERROR(VLOOKUP(B500,'جدول الجلسات التدريبية'!A:D,4,FALSE),"")</f>
        <v/>
      </c>
      <c r="E500" s="3"/>
      <c r="F500" s="3" t="str">
        <f>IFERROR(VLOOKUP(E500,'سجل الموظفين والكفاءة'!B:C,2,FALSE),"")</f>
        <v/>
      </c>
      <c r="G500" s="3">
        <f>IFERROR(VLOOKUP(A500,'الخطة التدريبية المعتمدة'!A:J,10,FALSE),0)</f>
        <v>0</v>
      </c>
      <c r="H500" s="3"/>
      <c r="I500" s="3"/>
      <c r="J500" s="3"/>
      <c r="K500" s="7" t="str">
        <f>IF(OR(I500="",J500="",I500=0),"",(J500-I500)/I500)</f>
        <v/>
      </c>
      <c r="L500" s="3" t="str">
        <f>IF(J500="","",IF(J500/10&gt;='الإعدادات والمستهدفات'!B5,"ناجح ومستوفى","ضعيف - يلزم إعادة اختبار"))</f>
        <v/>
      </c>
      <c r="M500" s="3"/>
      <c r="N500" s="3"/>
    </row>
    <row r="501" spans="1:14" x14ac:dyDescent="0.2">
      <c r="A501" s="3" t="str">
        <f>IFERROR(VLOOKUP(B501,'جدول الجلسات التدريبية'!A:B,2,FALSE),"")</f>
        <v/>
      </c>
      <c r="B501" s="3"/>
      <c r="C501" s="3" t="str">
        <f>IFERROR(VLOOKUP(A501,'الخطة التدريبية المعتمدة'!A:C,3,FALSE),"")</f>
        <v/>
      </c>
      <c r="D501" s="3" t="str">
        <f>IFERROR(VLOOKUP(B501,'جدول الجلسات التدريبية'!A:D,4,FALSE),"")</f>
        <v/>
      </c>
      <c r="E501" s="3"/>
      <c r="F501" s="3" t="str">
        <f>IFERROR(VLOOKUP(E501,'سجل الموظفين والكفاءة'!B:C,2,FALSE),"")</f>
        <v/>
      </c>
      <c r="G501" s="3">
        <f>IFERROR(VLOOKUP(A501,'الخطة التدريبية المعتمدة'!A:J,10,FALSE),0)</f>
        <v>0</v>
      </c>
      <c r="H501" s="3"/>
      <c r="I501" s="3"/>
      <c r="J501" s="3"/>
      <c r="K501" s="7" t="str">
        <f>IF(OR(I501="",J501="",I501=0),"",(J501-I501)/I501)</f>
        <v/>
      </c>
      <c r="L501" s="3" t="str">
        <f>IF(J501="","",IF(J501/10&gt;='الإعدادات والمستهدفات'!B5,"ناجح ومستوفى","ضعيف - يلزم إعادة اختبار"))</f>
        <v/>
      </c>
      <c r="M501" s="3"/>
      <c r="N501" s="3"/>
    </row>
    <row r="502" spans="1:14" x14ac:dyDescent="0.2">
      <c r="A502" s="3" t="str">
        <f>IFERROR(VLOOKUP(B502,'جدول الجلسات التدريبية'!A:B,2,FALSE),"")</f>
        <v/>
      </c>
      <c r="B502" s="3"/>
      <c r="C502" s="3" t="str">
        <f>IFERROR(VLOOKUP(A502,'الخطة التدريبية المعتمدة'!A:C,3,FALSE),"")</f>
        <v/>
      </c>
      <c r="D502" s="3" t="str">
        <f>IFERROR(VLOOKUP(B502,'جدول الجلسات التدريبية'!A:D,4,FALSE),"")</f>
        <v/>
      </c>
      <c r="E502" s="3"/>
      <c r="F502" s="3" t="str">
        <f>IFERROR(VLOOKUP(E502,'سجل الموظفين والكفاءة'!B:C,2,FALSE),"")</f>
        <v/>
      </c>
      <c r="G502" s="3">
        <f>IFERROR(VLOOKUP(A502,'الخطة التدريبية المعتمدة'!A:J,10,FALSE),0)</f>
        <v>0</v>
      </c>
      <c r="H502" s="3"/>
      <c r="I502" s="3"/>
      <c r="J502" s="3"/>
      <c r="K502" s="7" t="str">
        <f>IF(OR(I502="",J502="",I502=0),"",(J502-I502)/I502)</f>
        <v/>
      </c>
      <c r="L502" s="3" t="str">
        <f>IF(J502="","",IF(J502/10&gt;='الإعدادات والمستهدفات'!B5,"ناجح ومستوفى","ضعيف - يلزم إعادة اختبار"))</f>
        <v/>
      </c>
      <c r="M502" s="3"/>
      <c r="N502" s="3"/>
    </row>
    <row r="503" spans="1:14" x14ac:dyDescent="0.2">
      <c r="A503" s="3" t="str">
        <f>IFERROR(VLOOKUP(B503,'جدول الجلسات التدريبية'!A:B,2,FALSE),"")</f>
        <v/>
      </c>
      <c r="B503" s="3"/>
      <c r="C503" s="3" t="str">
        <f>IFERROR(VLOOKUP(A503,'الخطة التدريبية المعتمدة'!A:C,3,FALSE),"")</f>
        <v/>
      </c>
      <c r="D503" s="3" t="str">
        <f>IFERROR(VLOOKUP(B503,'جدول الجلسات التدريبية'!A:D,4,FALSE),"")</f>
        <v/>
      </c>
      <c r="E503" s="3"/>
      <c r="F503" s="3" t="str">
        <f>IFERROR(VLOOKUP(E503,'سجل الموظفين والكفاءة'!B:C,2,FALSE),"")</f>
        <v/>
      </c>
      <c r="G503" s="3">
        <f>IFERROR(VLOOKUP(A503,'الخطة التدريبية المعتمدة'!A:J,10,FALSE),0)</f>
        <v>0</v>
      </c>
      <c r="H503" s="3"/>
      <c r="I503" s="3"/>
      <c r="J503" s="3"/>
      <c r="K503" s="7" t="str">
        <f>IF(OR(I503="",J503="",I503=0),"",(J503-I503)/I503)</f>
        <v/>
      </c>
      <c r="L503" s="3" t="str">
        <f>IF(J503="","",IF(J503/10&gt;='الإعدادات والمستهدفات'!B5,"ناجح ومستوفى","ضعيف - يلزم إعادة اختبار"))</f>
        <v/>
      </c>
      <c r="M503" s="3"/>
      <c r="N503" s="3"/>
    </row>
    <row r="504" spans="1:14" x14ac:dyDescent="0.2">
      <c r="A504" s="3" t="str">
        <f>IFERROR(VLOOKUP(B504,'جدول الجلسات التدريبية'!A:B,2,FALSE),"")</f>
        <v/>
      </c>
      <c r="B504" s="3"/>
      <c r="C504" s="3" t="str">
        <f>IFERROR(VLOOKUP(A504,'الخطة التدريبية المعتمدة'!A:C,3,FALSE),"")</f>
        <v/>
      </c>
      <c r="D504" s="3" t="str">
        <f>IFERROR(VLOOKUP(B504,'جدول الجلسات التدريبية'!A:D,4,FALSE),"")</f>
        <v/>
      </c>
      <c r="E504" s="3"/>
      <c r="F504" s="3" t="str">
        <f>IFERROR(VLOOKUP(E504,'سجل الموظفين والكفاءة'!B:C,2,FALSE),"")</f>
        <v/>
      </c>
      <c r="G504" s="3">
        <f>IFERROR(VLOOKUP(A504,'الخطة التدريبية المعتمدة'!A:J,10,FALSE),0)</f>
        <v>0</v>
      </c>
      <c r="H504" s="3"/>
      <c r="I504" s="3"/>
      <c r="J504" s="3"/>
      <c r="K504" s="7" t="str">
        <f>IF(OR(I504="",J504="",I504=0),"",(J504-I504)/I504)</f>
        <v/>
      </c>
      <c r="L504" s="3" t="str">
        <f>IF(J504="","",IF(J504/10&gt;='الإعدادات والمستهدفات'!B5,"ناجح ومستوفى","ضعيف - يلزم إعادة اختبار"))</f>
        <v/>
      </c>
      <c r="M504" s="3"/>
      <c r="N504" s="3"/>
    </row>
    <row r="505" spans="1:14" x14ac:dyDescent="0.2">
      <c r="A505" s="3" t="str">
        <f>IFERROR(VLOOKUP(B505,'جدول الجلسات التدريبية'!A:B,2,FALSE),"")</f>
        <v/>
      </c>
      <c r="B505" s="3"/>
      <c r="C505" s="3" t="str">
        <f>IFERROR(VLOOKUP(A505,'الخطة التدريبية المعتمدة'!A:C,3,FALSE),"")</f>
        <v/>
      </c>
      <c r="D505" s="3" t="str">
        <f>IFERROR(VLOOKUP(B505,'جدول الجلسات التدريبية'!A:D,4,FALSE),"")</f>
        <v/>
      </c>
      <c r="E505" s="3"/>
      <c r="F505" s="3" t="str">
        <f>IFERROR(VLOOKUP(E505,'سجل الموظفين والكفاءة'!B:C,2,FALSE),"")</f>
        <v/>
      </c>
      <c r="G505" s="3">
        <f>IFERROR(VLOOKUP(A505,'الخطة التدريبية المعتمدة'!A:J,10,FALSE),0)</f>
        <v>0</v>
      </c>
      <c r="H505" s="3"/>
      <c r="I505" s="3"/>
      <c r="J505" s="3"/>
      <c r="K505" s="7" t="str">
        <f>IF(OR(I505="",J505="",I505=0),"",(J505-I505)/I505)</f>
        <v/>
      </c>
      <c r="L505" s="3" t="str">
        <f>IF(J505="","",IF(J505/10&gt;='الإعدادات والمستهدفات'!B5,"ناجح ومستوفى","ضعيف - يلزم إعادة اختبار"))</f>
        <v/>
      </c>
      <c r="M505" s="3"/>
      <c r="N505" s="3"/>
    </row>
    <row r="506" spans="1:14" x14ac:dyDescent="0.2">
      <c r="A506" s="3" t="str">
        <f>IFERROR(VLOOKUP(B506,'جدول الجلسات التدريبية'!A:B,2,FALSE),"")</f>
        <v/>
      </c>
      <c r="B506" s="3"/>
      <c r="C506" s="3" t="str">
        <f>IFERROR(VLOOKUP(A506,'الخطة التدريبية المعتمدة'!A:C,3,FALSE),"")</f>
        <v/>
      </c>
      <c r="D506" s="3" t="str">
        <f>IFERROR(VLOOKUP(B506,'جدول الجلسات التدريبية'!A:D,4,FALSE),"")</f>
        <v/>
      </c>
      <c r="E506" s="3"/>
      <c r="F506" s="3" t="str">
        <f>IFERROR(VLOOKUP(E506,'سجل الموظفين والكفاءة'!B:C,2,FALSE),"")</f>
        <v/>
      </c>
      <c r="G506" s="3">
        <f>IFERROR(VLOOKUP(A506,'الخطة التدريبية المعتمدة'!A:J,10,FALSE),0)</f>
        <v>0</v>
      </c>
      <c r="H506" s="3"/>
      <c r="I506" s="3"/>
      <c r="J506" s="3"/>
      <c r="K506" s="7" t="str">
        <f>IF(OR(I506="",J506="",I506=0),"",(J506-I506)/I506)</f>
        <v/>
      </c>
      <c r="L506" s="3" t="str">
        <f>IF(J506="","",IF(J506/10&gt;='الإعدادات والمستهدفات'!B5,"ناجح ومستوفى","ضعيف - يلزم إعادة اختبار"))</f>
        <v/>
      </c>
      <c r="M506" s="3"/>
      <c r="N506" s="3"/>
    </row>
    <row r="507" spans="1:14" x14ac:dyDescent="0.2">
      <c r="A507" s="3" t="str">
        <f>IFERROR(VLOOKUP(B507,'جدول الجلسات التدريبية'!A:B,2,FALSE),"")</f>
        <v/>
      </c>
      <c r="B507" s="3"/>
      <c r="C507" s="3" t="str">
        <f>IFERROR(VLOOKUP(A507,'الخطة التدريبية المعتمدة'!A:C,3,FALSE),"")</f>
        <v/>
      </c>
      <c r="D507" s="3" t="str">
        <f>IFERROR(VLOOKUP(B507,'جدول الجلسات التدريبية'!A:D,4,FALSE),"")</f>
        <v/>
      </c>
      <c r="E507" s="3"/>
      <c r="F507" s="3" t="str">
        <f>IFERROR(VLOOKUP(E507,'سجل الموظفين والكفاءة'!B:C,2,FALSE),"")</f>
        <v/>
      </c>
      <c r="G507" s="3">
        <f>IFERROR(VLOOKUP(A507,'الخطة التدريبية المعتمدة'!A:J,10,FALSE),0)</f>
        <v>0</v>
      </c>
      <c r="H507" s="3"/>
      <c r="I507" s="3"/>
      <c r="J507" s="3"/>
      <c r="K507" s="7" t="str">
        <f>IF(OR(I507="",J507="",I507=0),"",(J507-I507)/I507)</f>
        <v/>
      </c>
      <c r="L507" s="3" t="str">
        <f>IF(J507="","",IF(J507/10&gt;='الإعدادات والمستهدفات'!B5,"ناجح ومستوفى","ضعيف - يلزم إعادة اختبار"))</f>
        <v/>
      </c>
      <c r="M507" s="3"/>
      <c r="N507" s="3"/>
    </row>
    <row r="508" spans="1:14" x14ac:dyDescent="0.2">
      <c r="A508" s="3" t="str">
        <f>IFERROR(VLOOKUP(B508,'جدول الجلسات التدريبية'!A:B,2,FALSE),"")</f>
        <v/>
      </c>
      <c r="B508" s="3"/>
      <c r="C508" s="3" t="str">
        <f>IFERROR(VLOOKUP(A508,'الخطة التدريبية المعتمدة'!A:C,3,FALSE),"")</f>
        <v/>
      </c>
      <c r="D508" s="3" t="str">
        <f>IFERROR(VLOOKUP(B508,'جدول الجلسات التدريبية'!A:D,4,FALSE),"")</f>
        <v/>
      </c>
      <c r="E508" s="3"/>
      <c r="F508" s="3" t="str">
        <f>IFERROR(VLOOKUP(E508,'سجل الموظفين والكفاءة'!B:C,2,FALSE),"")</f>
        <v/>
      </c>
      <c r="G508" s="3">
        <f>IFERROR(VLOOKUP(A508,'الخطة التدريبية المعتمدة'!A:J,10,FALSE),0)</f>
        <v>0</v>
      </c>
      <c r="H508" s="3"/>
      <c r="I508" s="3"/>
      <c r="J508" s="3"/>
      <c r="K508" s="7" t="str">
        <f>IF(OR(I508="",J508="",I508=0),"",(J508-I508)/I508)</f>
        <v/>
      </c>
      <c r="L508" s="3" t="str">
        <f>IF(J508="","",IF(J508/10&gt;='الإعدادات والمستهدفات'!B5,"ناجح ومستوفى","ضعيف - يلزم إعادة اختبار"))</f>
        <v/>
      </c>
      <c r="M508" s="3"/>
      <c r="N508" s="3"/>
    </row>
    <row r="509" spans="1:14" x14ac:dyDescent="0.2">
      <c r="A509" s="3" t="str">
        <f>IFERROR(VLOOKUP(B509,'جدول الجلسات التدريبية'!A:B,2,FALSE),"")</f>
        <v/>
      </c>
      <c r="B509" s="3"/>
      <c r="C509" s="3" t="str">
        <f>IFERROR(VLOOKUP(A509,'الخطة التدريبية المعتمدة'!A:C,3,FALSE),"")</f>
        <v/>
      </c>
      <c r="D509" s="3" t="str">
        <f>IFERROR(VLOOKUP(B509,'جدول الجلسات التدريبية'!A:D,4,FALSE),"")</f>
        <v/>
      </c>
      <c r="E509" s="3"/>
      <c r="F509" s="3" t="str">
        <f>IFERROR(VLOOKUP(E509,'سجل الموظفين والكفاءة'!B:C,2,FALSE),"")</f>
        <v/>
      </c>
      <c r="G509" s="3">
        <f>IFERROR(VLOOKUP(A509,'الخطة التدريبية المعتمدة'!A:J,10,FALSE),0)</f>
        <v>0</v>
      </c>
      <c r="H509" s="3"/>
      <c r="I509" s="3"/>
      <c r="J509" s="3"/>
      <c r="K509" s="7" t="str">
        <f>IF(OR(I509="",J509="",I509=0),"",(J509-I509)/I509)</f>
        <v/>
      </c>
      <c r="L509" s="3" t="str">
        <f>IF(J509="","",IF(J509/10&gt;='الإعدادات والمستهدفات'!B5,"ناجح ومستوفى","ضعيف - يلزم إعادة اختبار"))</f>
        <v/>
      </c>
      <c r="M509" s="3"/>
      <c r="N509" s="3"/>
    </row>
    <row r="510" spans="1:14" x14ac:dyDescent="0.2">
      <c r="A510" s="3" t="str">
        <f>IFERROR(VLOOKUP(B510,'جدول الجلسات التدريبية'!A:B,2,FALSE),"")</f>
        <v/>
      </c>
      <c r="B510" s="3"/>
      <c r="C510" s="3" t="str">
        <f>IFERROR(VLOOKUP(A510,'الخطة التدريبية المعتمدة'!A:C,3,FALSE),"")</f>
        <v/>
      </c>
      <c r="D510" s="3" t="str">
        <f>IFERROR(VLOOKUP(B510,'جدول الجلسات التدريبية'!A:D,4,FALSE),"")</f>
        <v/>
      </c>
      <c r="E510" s="3"/>
      <c r="F510" s="3" t="str">
        <f>IFERROR(VLOOKUP(E510,'سجل الموظفين والكفاءة'!B:C,2,FALSE),"")</f>
        <v/>
      </c>
      <c r="G510" s="3">
        <f>IFERROR(VLOOKUP(A510,'الخطة التدريبية المعتمدة'!A:J,10,FALSE),0)</f>
        <v>0</v>
      </c>
      <c r="H510" s="3"/>
      <c r="I510" s="3"/>
      <c r="J510" s="3"/>
      <c r="K510" s="7" t="str">
        <f>IF(OR(I510="",J510="",I510=0),"",(J510-I510)/I510)</f>
        <v/>
      </c>
      <c r="L510" s="3" t="str">
        <f>IF(J510="","",IF(J510/10&gt;='الإعدادات والمستهدفات'!B5,"ناجح ومستوفى","ضعيف - يلزم إعادة اختبار"))</f>
        <v/>
      </c>
      <c r="M510" s="3"/>
      <c r="N510" s="3"/>
    </row>
    <row r="511" spans="1:14" x14ac:dyDescent="0.2">
      <c r="A511" s="3" t="str">
        <f>IFERROR(VLOOKUP(B511,'جدول الجلسات التدريبية'!A:B,2,FALSE),"")</f>
        <v/>
      </c>
      <c r="B511" s="3"/>
      <c r="C511" s="3" t="str">
        <f>IFERROR(VLOOKUP(A511,'الخطة التدريبية المعتمدة'!A:C,3,FALSE),"")</f>
        <v/>
      </c>
      <c r="D511" s="3" t="str">
        <f>IFERROR(VLOOKUP(B511,'جدول الجلسات التدريبية'!A:D,4,FALSE),"")</f>
        <v/>
      </c>
      <c r="E511" s="3"/>
      <c r="F511" s="3" t="str">
        <f>IFERROR(VLOOKUP(E511,'سجل الموظفين والكفاءة'!B:C,2,FALSE),"")</f>
        <v/>
      </c>
      <c r="G511" s="3">
        <f>IFERROR(VLOOKUP(A511,'الخطة التدريبية المعتمدة'!A:J,10,FALSE),0)</f>
        <v>0</v>
      </c>
      <c r="H511" s="3"/>
      <c r="I511" s="3"/>
      <c r="J511" s="3"/>
      <c r="K511" s="7" t="str">
        <f>IF(OR(I511="",J511="",I511=0),"",(J511-I511)/I511)</f>
        <v/>
      </c>
      <c r="L511" s="3" t="str">
        <f>IF(J511="","",IF(J511/10&gt;='الإعدادات والمستهدفات'!B5,"ناجح ومستوفى","ضعيف - يلزم إعادة اختبار"))</f>
        <v/>
      </c>
      <c r="M511" s="3"/>
      <c r="N511" s="3"/>
    </row>
    <row r="512" spans="1:14" x14ac:dyDescent="0.2">
      <c r="A512" s="3" t="str">
        <f>IFERROR(VLOOKUP(B512,'جدول الجلسات التدريبية'!A:B,2,FALSE),"")</f>
        <v/>
      </c>
      <c r="B512" s="3"/>
      <c r="C512" s="3" t="str">
        <f>IFERROR(VLOOKUP(A512,'الخطة التدريبية المعتمدة'!A:C,3,FALSE),"")</f>
        <v/>
      </c>
      <c r="D512" s="3" t="str">
        <f>IFERROR(VLOOKUP(B512,'جدول الجلسات التدريبية'!A:D,4,FALSE),"")</f>
        <v/>
      </c>
      <c r="E512" s="3"/>
      <c r="F512" s="3" t="str">
        <f>IFERROR(VLOOKUP(E512,'سجل الموظفين والكفاءة'!B:C,2,FALSE),"")</f>
        <v/>
      </c>
      <c r="G512" s="3">
        <f>IFERROR(VLOOKUP(A512,'الخطة التدريبية المعتمدة'!A:J,10,FALSE),0)</f>
        <v>0</v>
      </c>
      <c r="H512" s="3"/>
      <c r="I512" s="3"/>
      <c r="J512" s="3"/>
      <c r="K512" s="7" t="str">
        <f>IF(OR(I512="",J512="",I512=0),"",(J512-I512)/I512)</f>
        <v/>
      </c>
      <c r="L512" s="3" t="str">
        <f>IF(J512="","",IF(J512/10&gt;='الإعدادات والمستهدفات'!B5,"ناجح ومستوفى","ضعيف - يلزم إعادة اختبار"))</f>
        <v/>
      </c>
      <c r="M512" s="3"/>
      <c r="N512" s="3"/>
    </row>
    <row r="513" spans="1:14" x14ac:dyDescent="0.2">
      <c r="A513" s="3" t="str">
        <f>IFERROR(VLOOKUP(B513,'جدول الجلسات التدريبية'!A:B,2,FALSE),"")</f>
        <v/>
      </c>
      <c r="B513" s="3"/>
      <c r="C513" s="3" t="str">
        <f>IFERROR(VLOOKUP(A513,'الخطة التدريبية المعتمدة'!A:C,3,FALSE),"")</f>
        <v/>
      </c>
      <c r="D513" s="3" t="str">
        <f>IFERROR(VLOOKUP(B513,'جدول الجلسات التدريبية'!A:D,4,FALSE),"")</f>
        <v/>
      </c>
      <c r="E513" s="3"/>
      <c r="F513" s="3" t="str">
        <f>IFERROR(VLOOKUP(E513,'سجل الموظفين والكفاءة'!B:C,2,FALSE),"")</f>
        <v/>
      </c>
      <c r="G513" s="3">
        <f>IFERROR(VLOOKUP(A513,'الخطة التدريبية المعتمدة'!A:J,10,FALSE),0)</f>
        <v>0</v>
      </c>
      <c r="H513" s="3"/>
      <c r="I513" s="3"/>
      <c r="J513" s="3"/>
      <c r="K513" s="7" t="str">
        <f>IF(OR(I513="",J513="",I513=0),"",(J513-I513)/I513)</f>
        <v/>
      </c>
      <c r="L513" s="3" t="str">
        <f>IF(J513="","",IF(J513/10&gt;='الإعدادات والمستهدفات'!B5,"ناجح ومستوفى","ضعيف - يلزم إعادة اختبار"))</f>
        <v/>
      </c>
      <c r="M513" s="3"/>
      <c r="N513" s="3"/>
    </row>
    <row r="514" spans="1:14" x14ac:dyDescent="0.2">
      <c r="A514" s="3" t="str">
        <f>IFERROR(VLOOKUP(B514,'جدول الجلسات التدريبية'!A:B,2,FALSE),"")</f>
        <v/>
      </c>
      <c r="B514" s="3"/>
      <c r="C514" s="3" t="str">
        <f>IFERROR(VLOOKUP(A514,'الخطة التدريبية المعتمدة'!A:C,3,FALSE),"")</f>
        <v/>
      </c>
      <c r="D514" s="3" t="str">
        <f>IFERROR(VLOOKUP(B514,'جدول الجلسات التدريبية'!A:D,4,FALSE),"")</f>
        <v/>
      </c>
      <c r="E514" s="3"/>
      <c r="F514" s="3" t="str">
        <f>IFERROR(VLOOKUP(E514,'سجل الموظفين والكفاءة'!B:C,2,FALSE),"")</f>
        <v/>
      </c>
      <c r="G514" s="3">
        <f>IFERROR(VLOOKUP(A514,'الخطة التدريبية المعتمدة'!A:J,10,FALSE),0)</f>
        <v>0</v>
      </c>
      <c r="H514" s="3"/>
      <c r="I514" s="3"/>
      <c r="J514" s="3"/>
      <c r="K514" s="7" t="str">
        <f>IF(OR(I514="",J514="",I514=0),"",(J514-I514)/I514)</f>
        <v/>
      </c>
      <c r="L514" s="3" t="str">
        <f>IF(J514="","",IF(J514/10&gt;='الإعدادات والمستهدفات'!B5,"ناجح ومستوفى","ضعيف - يلزم إعادة اختبار"))</f>
        <v/>
      </c>
      <c r="M514" s="3"/>
      <c r="N514" s="3"/>
    </row>
    <row r="515" spans="1:14" x14ac:dyDescent="0.2">
      <c r="A515" s="3" t="str">
        <f>IFERROR(VLOOKUP(B515,'جدول الجلسات التدريبية'!A:B,2,FALSE),"")</f>
        <v/>
      </c>
      <c r="B515" s="3"/>
      <c r="C515" s="3" t="str">
        <f>IFERROR(VLOOKUP(A515,'الخطة التدريبية المعتمدة'!A:C,3,FALSE),"")</f>
        <v/>
      </c>
      <c r="D515" s="3" t="str">
        <f>IFERROR(VLOOKUP(B515,'جدول الجلسات التدريبية'!A:D,4,FALSE),"")</f>
        <v/>
      </c>
      <c r="E515" s="3"/>
      <c r="F515" s="3" t="str">
        <f>IFERROR(VLOOKUP(E515,'سجل الموظفين والكفاءة'!B:C,2,FALSE),"")</f>
        <v/>
      </c>
      <c r="G515" s="3">
        <f>IFERROR(VLOOKUP(A515,'الخطة التدريبية المعتمدة'!A:J,10,FALSE),0)</f>
        <v>0</v>
      </c>
      <c r="H515" s="3"/>
      <c r="I515" s="3"/>
      <c r="J515" s="3"/>
      <c r="K515" s="7" t="str">
        <f>IF(OR(I515="",J515="",I515=0),"",(J515-I515)/I515)</f>
        <v/>
      </c>
      <c r="L515" s="3" t="str">
        <f>IF(J515="","",IF(J515/10&gt;='الإعدادات والمستهدفات'!B5,"ناجح ومستوفى","ضعيف - يلزم إعادة اختبار"))</f>
        <v/>
      </c>
      <c r="M515" s="3"/>
      <c r="N515" s="3"/>
    </row>
    <row r="516" spans="1:14" x14ac:dyDescent="0.2">
      <c r="A516" s="3" t="str">
        <f>IFERROR(VLOOKUP(B516,'جدول الجلسات التدريبية'!A:B,2,FALSE),"")</f>
        <v/>
      </c>
      <c r="B516" s="3"/>
      <c r="C516" s="3" t="str">
        <f>IFERROR(VLOOKUP(A516,'الخطة التدريبية المعتمدة'!A:C,3,FALSE),"")</f>
        <v/>
      </c>
      <c r="D516" s="3" t="str">
        <f>IFERROR(VLOOKUP(B516,'جدول الجلسات التدريبية'!A:D,4,FALSE),"")</f>
        <v/>
      </c>
      <c r="E516" s="3"/>
      <c r="F516" s="3" t="str">
        <f>IFERROR(VLOOKUP(E516,'سجل الموظفين والكفاءة'!B:C,2,FALSE),"")</f>
        <v/>
      </c>
      <c r="G516" s="3">
        <f>IFERROR(VLOOKUP(A516,'الخطة التدريبية المعتمدة'!A:J,10,FALSE),0)</f>
        <v>0</v>
      </c>
      <c r="H516" s="3"/>
      <c r="I516" s="3"/>
      <c r="J516" s="3"/>
      <c r="K516" s="7" t="str">
        <f>IF(OR(I516="",J516="",I516=0),"",(J516-I516)/I516)</f>
        <v/>
      </c>
      <c r="L516" s="3" t="str">
        <f>IF(J516="","",IF(J516/10&gt;='الإعدادات والمستهدفات'!B5,"ناجح ومستوفى","ضعيف - يلزم إعادة اختبار"))</f>
        <v/>
      </c>
      <c r="M516" s="3"/>
      <c r="N516" s="3"/>
    </row>
    <row r="517" spans="1:14" x14ac:dyDescent="0.2">
      <c r="A517" s="3" t="str">
        <f>IFERROR(VLOOKUP(B517,'جدول الجلسات التدريبية'!A:B,2,FALSE),"")</f>
        <v/>
      </c>
      <c r="B517" s="3"/>
      <c r="C517" s="3" t="str">
        <f>IFERROR(VLOOKUP(A517,'الخطة التدريبية المعتمدة'!A:C,3,FALSE),"")</f>
        <v/>
      </c>
      <c r="D517" s="3" t="str">
        <f>IFERROR(VLOOKUP(B517,'جدول الجلسات التدريبية'!A:D,4,FALSE),"")</f>
        <v/>
      </c>
      <c r="E517" s="3"/>
      <c r="F517" s="3" t="str">
        <f>IFERROR(VLOOKUP(E517,'سجل الموظفين والكفاءة'!B:C,2,FALSE),"")</f>
        <v/>
      </c>
      <c r="G517" s="3">
        <f>IFERROR(VLOOKUP(A517,'الخطة التدريبية المعتمدة'!A:J,10,FALSE),0)</f>
        <v>0</v>
      </c>
      <c r="H517" s="3"/>
      <c r="I517" s="3"/>
      <c r="J517" s="3"/>
      <c r="K517" s="7" t="str">
        <f>IF(OR(I517="",J517="",I517=0),"",(J517-I517)/I517)</f>
        <v/>
      </c>
      <c r="L517" s="3" t="str">
        <f>IF(J517="","",IF(J517/10&gt;='الإعدادات والمستهدفات'!B5,"ناجح ومستوفى","ضعيف - يلزم إعادة اختبار"))</f>
        <v/>
      </c>
      <c r="M517" s="3"/>
      <c r="N517" s="3"/>
    </row>
    <row r="518" spans="1:14" x14ac:dyDescent="0.2">
      <c r="A518" s="3" t="str">
        <f>IFERROR(VLOOKUP(B518,'جدول الجلسات التدريبية'!A:B,2,FALSE),"")</f>
        <v/>
      </c>
      <c r="B518" s="3"/>
      <c r="C518" s="3" t="str">
        <f>IFERROR(VLOOKUP(A518,'الخطة التدريبية المعتمدة'!A:C,3,FALSE),"")</f>
        <v/>
      </c>
      <c r="D518" s="3" t="str">
        <f>IFERROR(VLOOKUP(B518,'جدول الجلسات التدريبية'!A:D,4,FALSE),"")</f>
        <v/>
      </c>
      <c r="E518" s="3"/>
      <c r="F518" s="3" t="str">
        <f>IFERROR(VLOOKUP(E518,'سجل الموظفين والكفاءة'!B:C,2,FALSE),"")</f>
        <v/>
      </c>
      <c r="G518" s="3">
        <f>IFERROR(VLOOKUP(A518,'الخطة التدريبية المعتمدة'!A:J,10,FALSE),0)</f>
        <v>0</v>
      </c>
      <c r="H518" s="3"/>
      <c r="I518" s="3"/>
      <c r="J518" s="3"/>
      <c r="K518" s="7" t="str">
        <f>IF(OR(I518="",J518="",I518=0),"",(J518-I518)/I518)</f>
        <v/>
      </c>
      <c r="L518" s="3" t="str">
        <f>IF(J518="","",IF(J518/10&gt;='الإعدادات والمستهدفات'!B5,"ناجح ومستوفى","ضعيف - يلزم إعادة اختبار"))</f>
        <v/>
      </c>
      <c r="M518" s="3"/>
      <c r="N518" s="3"/>
    </row>
    <row r="519" spans="1:14" x14ac:dyDescent="0.2">
      <c r="A519" s="3" t="str">
        <f>IFERROR(VLOOKUP(B519,'جدول الجلسات التدريبية'!A:B,2,FALSE),"")</f>
        <v/>
      </c>
      <c r="B519" s="3"/>
      <c r="C519" s="3" t="str">
        <f>IFERROR(VLOOKUP(A519,'الخطة التدريبية المعتمدة'!A:C,3,FALSE),"")</f>
        <v/>
      </c>
      <c r="D519" s="3" t="str">
        <f>IFERROR(VLOOKUP(B519,'جدول الجلسات التدريبية'!A:D,4,FALSE),"")</f>
        <v/>
      </c>
      <c r="E519" s="3"/>
      <c r="F519" s="3" t="str">
        <f>IFERROR(VLOOKUP(E519,'سجل الموظفين والكفاءة'!B:C,2,FALSE),"")</f>
        <v/>
      </c>
      <c r="G519" s="3">
        <f>IFERROR(VLOOKUP(A519,'الخطة التدريبية المعتمدة'!A:J,10,FALSE),0)</f>
        <v>0</v>
      </c>
      <c r="H519" s="3"/>
      <c r="I519" s="3"/>
      <c r="J519" s="3"/>
      <c r="K519" s="7" t="str">
        <f>IF(OR(I519="",J519="",I519=0),"",(J519-I519)/I519)</f>
        <v/>
      </c>
      <c r="L519" s="3" t="str">
        <f>IF(J519="","",IF(J519/10&gt;='الإعدادات والمستهدفات'!B5,"ناجح ومستوفى","ضعيف - يلزم إعادة اختبار"))</f>
        <v/>
      </c>
      <c r="M519" s="3"/>
      <c r="N519" s="3"/>
    </row>
    <row r="520" spans="1:14" x14ac:dyDescent="0.2">
      <c r="A520" s="3" t="str">
        <f>IFERROR(VLOOKUP(B520,'جدول الجلسات التدريبية'!A:B,2,FALSE),"")</f>
        <v/>
      </c>
      <c r="B520" s="3"/>
      <c r="C520" s="3" t="str">
        <f>IFERROR(VLOOKUP(A520,'الخطة التدريبية المعتمدة'!A:C,3,FALSE),"")</f>
        <v/>
      </c>
      <c r="D520" s="3" t="str">
        <f>IFERROR(VLOOKUP(B520,'جدول الجلسات التدريبية'!A:D,4,FALSE),"")</f>
        <v/>
      </c>
      <c r="E520" s="3"/>
      <c r="F520" s="3" t="str">
        <f>IFERROR(VLOOKUP(E520,'سجل الموظفين والكفاءة'!B:C,2,FALSE),"")</f>
        <v/>
      </c>
      <c r="G520" s="3">
        <f>IFERROR(VLOOKUP(A520,'الخطة التدريبية المعتمدة'!A:J,10,FALSE),0)</f>
        <v>0</v>
      </c>
      <c r="H520" s="3"/>
      <c r="I520" s="3"/>
      <c r="J520" s="3"/>
      <c r="K520" s="7" t="str">
        <f>IF(OR(I520="",J520="",I520=0),"",(J520-I520)/I520)</f>
        <v/>
      </c>
      <c r="L520" s="3" t="str">
        <f>IF(J520="","",IF(J520/10&gt;='الإعدادات والمستهدفات'!B5,"ناجح ومستوفى","ضعيف - يلزم إعادة اختبار"))</f>
        <v/>
      </c>
      <c r="M520" s="3"/>
      <c r="N520" s="3"/>
    </row>
    <row r="521" spans="1:14" x14ac:dyDescent="0.2">
      <c r="A521" s="3" t="str">
        <f>IFERROR(VLOOKUP(B521,'جدول الجلسات التدريبية'!A:B,2,FALSE),"")</f>
        <v/>
      </c>
      <c r="B521" s="3"/>
      <c r="C521" s="3" t="str">
        <f>IFERROR(VLOOKUP(A521,'الخطة التدريبية المعتمدة'!A:C,3,FALSE),"")</f>
        <v/>
      </c>
      <c r="D521" s="3" t="str">
        <f>IFERROR(VLOOKUP(B521,'جدول الجلسات التدريبية'!A:D,4,FALSE),"")</f>
        <v/>
      </c>
      <c r="E521" s="3"/>
      <c r="F521" s="3" t="str">
        <f>IFERROR(VLOOKUP(E521,'سجل الموظفين والكفاءة'!B:C,2,FALSE),"")</f>
        <v/>
      </c>
      <c r="G521" s="3">
        <f>IFERROR(VLOOKUP(A521,'الخطة التدريبية المعتمدة'!A:J,10,FALSE),0)</f>
        <v>0</v>
      </c>
      <c r="H521" s="3"/>
      <c r="I521" s="3"/>
      <c r="J521" s="3"/>
      <c r="K521" s="7" t="str">
        <f>IF(OR(I521="",J521="",I521=0),"",(J521-I521)/I521)</f>
        <v/>
      </c>
      <c r="L521" s="3" t="str">
        <f>IF(J521="","",IF(J521/10&gt;='الإعدادات والمستهدفات'!B5,"ناجح ومستوفى","ضعيف - يلزم إعادة اختبار"))</f>
        <v/>
      </c>
      <c r="M521" s="3"/>
      <c r="N521" s="3"/>
    </row>
    <row r="522" spans="1:14" x14ac:dyDescent="0.2">
      <c r="A522" s="3" t="str">
        <f>IFERROR(VLOOKUP(B522,'جدول الجلسات التدريبية'!A:B,2,FALSE),"")</f>
        <v/>
      </c>
      <c r="B522" s="3"/>
      <c r="C522" s="3" t="str">
        <f>IFERROR(VLOOKUP(A522,'الخطة التدريبية المعتمدة'!A:C,3,FALSE),"")</f>
        <v/>
      </c>
      <c r="D522" s="3" t="str">
        <f>IFERROR(VLOOKUP(B522,'جدول الجلسات التدريبية'!A:D,4,FALSE),"")</f>
        <v/>
      </c>
      <c r="E522" s="3"/>
      <c r="F522" s="3" t="str">
        <f>IFERROR(VLOOKUP(E522,'سجل الموظفين والكفاءة'!B:C,2,FALSE),"")</f>
        <v/>
      </c>
      <c r="G522" s="3">
        <f>IFERROR(VLOOKUP(A522,'الخطة التدريبية المعتمدة'!A:J,10,FALSE),0)</f>
        <v>0</v>
      </c>
      <c r="H522" s="3"/>
      <c r="I522" s="3"/>
      <c r="J522" s="3"/>
      <c r="K522" s="7" t="str">
        <f>IF(OR(I522="",J522="",I522=0),"",(J522-I522)/I522)</f>
        <v/>
      </c>
      <c r="L522" s="3" t="str">
        <f>IF(J522="","",IF(J522/10&gt;='الإعدادات والمستهدفات'!B5,"ناجح ومستوفى","ضعيف - يلزم إعادة اختبار"))</f>
        <v/>
      </c>
      <c r="M522" s="3"/>
      <c r="N522" s="3"/>
    </row>
    <row r="523" spans="1:14" x14ac:dyDescent="0.2">
      <c r="A523" s="3" t="str">
        <f>IFERROR(VLOOKUP(B523,'جدول الجلسات التدريبية'!A:B,2,FALSE),"")</f>
        <v/>
      </c>
      <c r="B523" s="3"/>
      <c r="C523" s="3" t="str">
        <f>IFERROR(VLOOKUP(A523,'الخطة التدريبية المعتمدة'!A:C,3,FALSE),"")</f>
        <v/>
      </c>
      <c r="D523" s="3" t="str">
        <f>IFERROR(VLOOKUP(B523,'جدول الجلسات التدريبية'!A:D,4,FALSE),"")</f>
        <v/>
      </c>
      <c r="E523" s="3"/>
      <c r="F523" s="3" t="str">
        <f>IFERROR(VLOOKUP(E523,'سجل الموظفين والكفاءة'!B:C,2,FALSE),"")</f>
        <v/>
      </c>
      <c r="G523" s="3">
        <f>IFERROR(VLOOKUP(A523,'الخطة التدريبية المعتمدة'!A:J,10,FALSE),0)</f>
        <v>0</v>
      </c>
      <c r="H523" s="3"/>
      <c r="I523" s="3"/>
      <c r="J523" s="3"/>
      <c r="K523" s="7" t="str">
        <f>IF(OR(I523="",J523="",I523=0),"",(J523-I523)/I523)</f>
        <v/>
      </c>
      <c r="L523" s="3" t="str">
        <f>IF(J523="","",IF(J523/10&gt;='الإعدادات والمستهدفات'!B5,"ناجح ومستوفى","ضعيف - يلزم إعادة اختبار"))</f>
        <v/>
      </c>
      <c r="M523" s="3"/>
      <c r="N523" s="3"/>
    </row>
    <row r="524" spans="1:14" x14ac:dyDescent="0.2">
      <c r="A524" s="3" t="str">
        <f>IFERROR(VLOOKUP(B524,'جدول الجلسات التدريبية'!A:B,2,FALSE),"")</f>
        <v/>
      </c>
      <c r="B524" s="3"/>
      <c r="C524" s="3" t="str">
        <f>IFERROR(VLOOKUP(A524,'الخطة التدريبية المعتمدة'!A:C,3,FALSE),"")</f>
        <v/>
      </c>
      <c r="D524" s="3" t="str">
        <f>IFERROR(VLOOKUP(B524,'جدول الجلسات التدريبية'!A:D,4,FALSE),"")</f>
        <v/>
      </c>
      <c r="E524" s="3"/>
      <c r="F524" s="3" t="str">
        <f>IFERROR(VLOOKUP(E524,'سجل الموظفين والكفاءة'!B:C,2,FALSE),"")</f>
        <v/>
      </c>
      <c r="G524" s="3">
        <f>IFERROR(VLOOKUP(A524,'الخطة التدريبية المعتمدة'!A:J,10,FALSE),0)</f>
        <v>0</v>
      </c>
      <c r="H524" s="3"/>
      <c r="I524" s="3"/>
      <c r="J524" s="3"/>
      <c r="K524" s="7" t="str">
        <f>IF(OR(I524="",J524="",I524=0),"",(J524-I524)/I524)</f>
        <v/>
      </c>
      <c r="L524" s="3" t="str">
        <f>IF(J524="","",IF(J524/10&gt;='الإعدادات والمستهدفات'!B5,"ناجح ومستوفى","ضعيف - يلزم إعادة اختبار"))</f>
        <v/>
      </c>
      <c r="M524" s="3"/>
      <c r="N524" s="3"/>
    </row>
    <row r="525" spans="1:14" x14ac:dyDescent="0.2">
      <c r="A525" s="3" t="str">
        <f>IFERROR(VLOOKUP(B525,'جدول الجلسات التدريبية'!A:B,2,FALSE),"")</f>
        <v/>
      </c>
      <c r="B525" s="3"/>
      <c r="C525" s="3" t="str">
        <f>IFERROR(VLOOKUP(A525,'الخطة التدريبية المعتمدة'!A:C,3,FALSE),"")</f>
        <v/>
      </c>
      <c r="D525" s="3" t="str">
        <f>IFERROR(VLOOKUP(B525,'جدول الجلسات التدريبية'!A:D,4,FALSE),"")</f>
        <v/>
      </c>
      <c r="E525" s="3"/>
      <c r="F525" s="3" t="str">
        <f>IFERROR(VLOOKUP(E525,'سجل الموظفين والكفاءة'!B:C,2,FALSE),"")</f>
        <v/>
      </c>
      <c r="G525" s="3">
        <f>IFERROR(VLOOKUP(A525,'الخطة التدريبية المعتمدة'!A:J,10,FALSE),0)</f>
        <v>0</v>
      </c>
      <c r="H525" s="3"/>
      <c r="I525" s="3"/>
      <c r="J525" s="3"/>
      <c r="K525" s="7" t="str">
        <f>IF(OR(I525="",J525="",I525=0),"",(J525-I525)/I525)</f>
        <v/>
      </c>
      <c r="L525" s="3" t="str">
        <f>IF(J525="","",IF(J525/10&gt;='الإعدادات والمستهدفات'!B5,"ناجح ومستوفى","ضعيف - يلزم إعادة اختبار"))</f>
        <v/>
      </c>
      <c r="M525" s="3"/>
      <c r="N525" s="3"/>
    </row>
    <row r="526" spans="1:14" x14ac:dyDescent="0.2">
      <c r="A526" s="3" t="str">
        <f>IFERROR(VLOOKUP(B526,'جدول الجلسات التدريبية'!A:B,2,FALSE),"")</f>
        <v/>
      </c>
      <c r="B526" s="3"/>
      <c r="C526" s="3" t="str">
        <f>IFERROR(VLOOKUP(A526,'الخطة التدريبية المعتمدة'!A:C,3,FALSE),"")</f>
        <v/>
      </c>
      <c r="D526" s="3" t="str">
        <f>IFERROR(VLOOKUP(B526,'جدول الجلسات التدريبية'!A:D,4,FALSE),"")</f>
        <v/>
      </c>
      <c r="E526" s="3"/>
      <c r="F526" s="3" t="str">
        <f>IFERROR(VLOOKUP(E526,'سجل الموظفين والكفاءة'!B:C,2,FALSE),"")</f>
        <v/>
      </c>
      <c r="G526" s="3">
        <f>IFERROR(VLOOKUP(A526,'الخطة التدريبية المعتمدة'!A:J,10,FALSE),0)</f>
        <v>0</v>
      </c>
      <c r="H526" s="3"/>
      <c r="I526" s="3"/>
      <c r="J526" s="3"/>
      <c r="K526" s="7" t="str">
        <f>IF(OR(I526="",J526="",I526=0),"",(J526-I526)/I526)</f>
        <v/>
      </c>
      <c r="L526" s="3" t="str">
        <f>IF(J526="","",IF(J526/10&gt;='الإعدادات والمستهدفات'!B5,"ناجح ومستوفى","ضعيف - يلزم إعادة اختبار"))</f>
        <v/>
      </c>
      <c r="M526" s="3"/>
      <c r="N526" s="3"/>
    </row>
    <row r="527" spans="1:14" x14ac:dyDescent="0.2">
      <c r="A527" s="3" t="str">
        <f>IFERROR(VLOOKUP(B527,'جدول الجلسات التدريبية'!A:B,2,FALSE),"")</f>
        <v/>
      </c>
      <c r="B527" s="3"/>
      <c r="C527" s="3" t="str">
        <f>IFERROR(VLOOKUP(A527,'الخطة التدريبية المعتمدة'!A:C,3,FALSE),"")</f>
        <v/>
      </c>
      <c r="D527" s="3" t="str">
        <f>IFERROR(VLOOKUP(B527,'جدول الجلسات التدريبية'!A:D,4,FALSE),"")</f>
        <v/>
      </c>
      <c r="E527" s="3"/>
      <c r="F527" s="3" t="str">
        <f>IFERROR(VLOOKUP(E527,'سجل الموظفين والكفاءة'!B:C,2,FALSE),"")</f>
        <v/>
      </c>
      <c r="G527" s="3">
        <f>IFERROR(VLOOKUP(A527,'الخطة التدريبية المعتمدة'!A:J,10,FALSE),0)</f>
        <v>0</v>
      </c>
      <c r="H527" s="3"/>
      <c r="I527" s="3"/>
      <c r="J527" s="3"/>
      <c r="K527" s="7" t="str">
        <f>IF(OR(I527="",J527="",I527=0),"",(J527-I527)/I527)</f>
        <v/>
      </c>
      <c r="L527" s="3" t="str">
        <f>IF(J527="","",IF(J527/10&gt;='الإعدادات والمستهدفات'!B5,"ناجح ومستوفى","ضعيف - يلزم إعادة اختبار"))</f>
        <v/>
      </c>
      <c r="M527" s="3"/>
      <c r="N527" s="3"/>
    </row>
    <row r="528" spans="1:14" x14ac:dyDescent="0.2">
      <c r="A528" s="3" t="str">
        <f>IFERROR(VLOOKUP(B528,'جدول الجلسات التدريبية'!A:B,2,FALSE),"")</f>
        <v/>
      </c>
      <c r="B528" s="3"/>
      <c r="C528" s="3" t="str">
        <f>IFERROR(VLOOKUP(A528,'الخطة التدريبية المعتمدة'!A:C,3,FALSE),"")</f>
        <v/>
      </c>
      <c r="D528" s="3" t="str">
        <f>IFERROR(VLOOKUP(B528,'جدول الجلسات التدريبية'!A:D,4,FALSE),"")</f>
        <v/>
      </c>
      <c r="E528" s="3"/>
      <c r="F528" s="3" t="str">
        <f>IFERROR(VLOOKUP(E528,'سجل الموظفين والكفاءة'!B:C,2,FALSE),"")</f>
        <v/>
      </c>
      <c r="G528" s="3">
        <f>IFERROR(VLOOKUP(A528,'الخطة التدريبية المعتمدة'!A:J,10,FALSE),0)</f>
        <v>0</v>
      </c>
      <c r="H528" s="3"/>
      <c r="I528" s="3"/>
      <c r="J528" s="3"/>
      <c r="K528" s="7" t="str">
        <f>IF(OR(I528="",J528="",I528=0),"",(J528-I528)/I528)</f>
        <v/>
      </c>
      <c r="L528" s="3" t="str">
        <f>IF(J528="","",IF(J528/10&gt;='الإعدادات والمستهدفات'!B5,"ناجح ومستوفى","ضعيف - يلزم إعادة اختبار"))</f>
        <v/>
      </c>
      <c r="M528" s="3"/>
      <c r="N528" s="3"/>
    </row>
    <row r="529" spans="1:14" x14ac:dyDescent="0.2">
      <c r="A529" s="3" t="str">
        <f>IFERROR(VLOOKUP(B529,'جدول الجلسات التدريبية'!A:B,2,FALSE),"")</f>
        <v/>
      </c>
      <c r="B529" s="3"/>
      <c r="C529" s="3" t="str">
        <f>IFERROR(VLOOKUP(A529,'الخطة التدريبية المعتمدة'!A:C,3,FALSE),"")</f>
        <v/>
      </c>
      <c r="D529" s="3" t="str">
        <f>IFERROR(VLOOKUP(B529,'جدول الجلسات التدريبية'!A:D,4,FALSE),"")</f>
        <v/>
      </c>
      <c r="E529" s="3"/>
      <c r="F529" s="3" t="str">
        <f>IFERROR(VLOOKUP(E529,'سجل الموظفين والكفاءة'!B:C,2,FALSE),"")</f>
        <v/>
      </c>
      <c r="G529" s="3">
        <f>IFERROR(VLOOKUP(A529,'الخطة التدريبية المعتمدة'!A:J,10,FALSE),0)</f>
        <v>0</v>
      </c>
      <c r="H529" s="3"/>
      <c r="I529" s="3"/>
      <c r="J529" s="3"/>
      <c r="K529" s="7" t="str">
        <f>IF(OR(I529="",J529="",I529=0),"",(J529-I529)/I529)</f>
        <v/>
      </c>
      <c r="L529" s="3" t="str">
        <f>IF(J529="","",IF(J529/10&gt;='الإعدادات والمستهدفات'!B5,"ناجح ومستوفى","ضعيف - يلزم إعادة اختبار"))</f>
        <v/>
      </c>
      <c r="M529" s="3"/>
      <c r="N529" s="3"/>
    </row>
    <row r="530" spans="1:14" x14ac:dyDescent="0.2">
      <c r="A530" s="3" t="str">
        <f>IFERROR(VLOOKUP(B530,'جدول الجلسات التدريبية'!A:B,2,FALSE),"")</f>
        <v/>
      </c>
      <c r="B530" s="3"/>
      <c r="C530" s="3" t="str">
        <f>IFERROR(VLOOKUP(A530,'الخطة التدريبية المعتمدة'!A:C,3,FALSE),"")</f>
        <v/>
      </c>
      <c r="D530" s="3" t="str">
        <f>IFERROR(VLOOKUP(B530,'جدول الجلسات التدريبية'!A:D,4,FALSE),"")</f>
        <v/>
      </c>
      <c r="E530" s="3"/>
      <c r="F530" s="3" t="str">
        <f>IFERROR(VLOOKUP(E530,'سجل الموظفين والكفاءة'!B:C,2,FALSE),"")</f>
        <v/>
      </c>
      <c r="G530" s="3">
        <f>IFERROR(VLOOKUP(A530,'الخطة التدريبية المعتمدة'!A:J,10,FALSE),0)</f>
        <v>0</v>
      </c>
      <c r="H530" s="3"/>
      <c r="I530" s="3"/>
      <c r="J530" s="3"/>
      <c r="K530" s="7" t="str">
        <f>IF(OR(I530="",J530="",I530=0),"",(J530-I530)/I530)</f>
        <v/>
      </c>
      <c r="L530" s="3" t="str">
        <f>IF(J530="","",IF(J530/10&gt;='الإعدادات والمستهدفات'!B5,"ناجح ومستوفى","ضعيف - يلزم إعادة اختبار"))</f>
        <v/>
      </c>
      <c r="M530" s="3"/>
      <c r="N530" s="3"/>
    </row>
    <row r="531" spans="1:14" x14ac:dyDescent="0.2">
      <c r="A531" s="3" t="str">
        <f>IFERROR(VLOOKUP(B531,'جدول الجلسات التدريبية'!A:B,2,FALSE),"")</f>
        <v/>
      </c>
      <c r="B531" s="3"/>
      <c r="C531" s="3" t="str">
        <f>IFERROR(VLOOKUP(A531,'الخطة التدريبية المعتمدة'!A:C,3,FALSE),"")</f>
        <v/>
      </c>
      <c r="D531" s="3" t="str">
        <f>IFERROR(VLOOKUP(B531,'جدول الجلسات التدريبية'!A:D,4,FALSE),"")</f>
        <v/>
      </c>
      <c r="E531" s="3"/>
      <c r="F531" s="3" t="str">
        <f>IFERROR(VLOOKUP(E531,'سجل الموظفين والكفاءة'!B:C,2,FALSE),"")</f>
        <v/>
      </c>
      <c r="G531" s="3">
        <f>IFERROR(VLOOKUP(A531,'الخطة التدريبية المعتمدة'!A:J,10,FALSE),0)</f>
        <v>0</v>
      </c>
      <c r="H531" s="3"/>
      <c r="I531" s="3"/>
      <c r="J531" s="3"/>
      <c r="K531" s="7" t="str">
        <f>IF(OR(I531="",J531="",I531=0),"",(J531-I531)/I531)</f>
        <v/>
      </c>
      <c r="L531" s="3" t="str">
        <f>IF(J531="","",IF(J531/10&gt;='الإعدادات والمستهدفات'!B5,"ناجح ومستوفى","ضعيف - يلزم إعادة اختبار"))</f>
        <v/>
      </c>
      <c r="M531" s="3"/>
      <c r="N531" s="3"/>
    </row>
    <row r="532" spans="1:14" x14ac:dyDescent="0.2">
      <c r="A532" s="3" t="str">
        <f>IFERROR(VLOOKUP(B532,'جدول الجلسات التدريبية'!A:B,2,FALSE),"")</f>
        <v/>
      </c>
      <c r="B532" s="3"/>
      <c r="C532" s="3" t="str">
        <f>IFERROR(VLOOKUP(A532,'الخطة التدريبية المعتمدة'!A:C,3,FALSE),"")</f>
        <v/>
      </c>
      <c r="D532" s="3" t="str">
        <f>IFERROR(VLOOKUP(B532,'جدول الجلسات التدريبية'!A:D,4,FALSE),"")</f>
        <v/>
      </c>
      <c r="E532" s="3"/>
      <c r="F532" s="3" t="str">
        <f>IFERROR(VLOOKUP(E532,'سجل الموظفين والكفاءة'!B:C,2,FALSE),"")</f>
        <v/>
      </c>
      <c r="G532" s="3">
        <f>IFERROR(VLOOKUP(A532,'الخطة التدريبية المعتمدة'!A:J,10,FALSE),0)</f>
        <v>0</v>
      </c>
      <c r="H532" s="3"/>
      <c r="I532" s="3"/>
      <c r="J532" s="3"/>
      <c r="K532" s="7" t="str">
        <f>IF(OR(I532="",J532="",I532=0),"",(J532-I532)/I532)</f>
        <v/>
      </c>
      <c r="L532" s="3" t="str">
        <f>IF(J532="","",IF(J532/10&gt;='الإعدادات والمستهدفات'!B5,"ناجح ومستوفى","ضعيف - يلزم إعادة اختبار"))</f>
        <v/>
      </c>
      <c r="M532" s="3"/>
      <c r="N532" s="3"/>
    </row>
    <row r="533" spans="1:14" x14ac:dyDescent="0.2">
      <c r="A533" s="3" t="str">
        <f>IFERROR(VLOOKUP(B533,'جدول الجلسات التدريبية'!A:B,2,FALSE),"")</f>
        <v/>
      </c>
      <c r="B533" s="3"/>
      <c r="C533" s="3" t="str">
        <f>IFERROR(VLOOKUP(A533,'الخطة التدريبية المعتمدة'!A:C,3,FALSE),"")</f>
        <v/>
      </c>
      <c r="D533" s="3" t="str">
        <f>IFERROR(VLOOKUP(B533,'جدول الجلسات التدريبية'!A:D,4,FALSE),"")</f>
        <v/>
      </c>
      <c r="E533" s="3"/>
      <c r="F533" s="3" t="str">
        <f>IFERROR(VLOOKUP(E533,'سجل الموظفين والكفاءة'!B:C,2,FALSE),"")</f>
        <v/>
      </c>
      <c r="G533" s="3">
        <f>IFERROR(VLOOKUP(A533,'الخطة التدريبية المعتمدة'!A:J,10,FALSE),0)</f>
        <v>0</v>
      </c>
      <c r="H533" s="3"/>
      <c r="I533" s="3"/>
      <c r="J533" s="3"/>
      <c r="K533" s="7" t="str">
        <f>IF(OR(I533="",J533="",I533=0),"",(J533-I533)/I533)</f>
        <v/>
      </c>
      <c r="L533" s="3" t="str">
        <f>IF(J533="","",IF(J533/10&gt;='الإعدادات والمستهدفات'!B5,"ناجح ومستوفى","ضعيف - يلزم إعادة اختبار"))</f>
        <v/>
      </c>
      <c r="M533" s="3"/>
      <c r="N533" s="3"/>
    </row>
    <row r="534" spans="1:14" x14ac:dyDescent="0.2">
      <c r="A534" s="3" t="str">
        <f>IFERROR(VLOOKUP(B534,'جدول الجلسات التدريبية'!A:B,2,FALSE),"")</f>
        <v/>
      </c>
      <c r="B534" s="3"/>
      <c r="C534" s="3" t="str">
        <f>IFERROR(VLOOKUP(A534,'الخطة التدريبية المعتمدة'!A:C,3,FALSE),"")</f>
        <v/>
      </c>
      <c r="D534" s="3" t="str">
        <f>IFERROR(VLOOKUP(B534,'جدول الجلسات التدريبية'!A:D,4,FALSE),"")</f>
        <v/>
      </c>
      <c r="E534" s="3"/>
      <c r="F534" s="3" t="str">
        <f>IFERROR(VLOOKUP(E534,'سجل الموظفين والكفاءة'!B:C,2,FALSE),"")</f>
        <v/>
      </c>
      <c r="G534" s="3">
        <f>IFERROR(VLOOKUP(A534,'الخطة التدريبية المعتمدة'!A:J,10,FALSE),0)</f>
        <v>0</v>
      </c>
      <c r="H534" s="3"/>
      <c r="I534" s="3"/>
      <c r="J534" s="3"/>
      <c r="K534" s="7" t="str">
        <f>IF(OR(I534="",J534="",I534=0),"",(J534-I534)/I534)</f>
        <v/>
      </c>
      <c r="L534" s="3" t="str">
        <f>IF(J534="","",IF(J534/10&gt;='الإعدادات والمستهدفات'!B5,"ناجح ومستوفى","ضعيف - يلزم إعادة اختبار"))</f>
        <v/>
      </c>
      <c r="M534" s="3"/>
      <c r="N534" s="3"/>
    </row>
    <row r="535" spans="1:14" x14ac:dyDescent="0.2">
      <c r="A535" s="3" t="str">
        <f>IFERROR(VLOOKUP(B535,'جدول الجلسات التدريبية'!A:B,2,FALSE),"")</f>
        <v/>
      </c>
      <c r="B535" s="3"/>
      <c r="C535" s="3" t="str">
        <f>IFERROR(VLOOKUP(A535,'الخطة التدريبية المعتمدة'!A:C,3,FALSE),"")</f>
        <v/>
      </c>
      <c r="D535" s="3" t="str">
        <f>IFERROR(VLOOKUP(B535,'جدول الجلسات التدريبية'!A:D,4,FALSE),"")</f>
        <v/>
      </c>
      <c r="E535" s="3"/>
      <c r="F535" s="3" t="str">
        <f>IFERROR(VLOOKUP(E535,'سجل الموظفين والكفاءة'!B:C,2,FALSE),"")</f>
        <v/>
      </c>
      <c r="G535" s="3">
        <f>IFERROR(VLOOKUP(A535,'الخطة التدريبية المعتمدة'!A:J,10,FALSE),0)</f>
        <v>0</v>
      </c>
      <c r="H535" s="3"/>
      <c r="I535" s="3"/>
      <c r="J535" s="3"/>
      <c r="K535" s="7" t="str">
        <f>IF(OR(I535="",J535="",I535=0),"",(J535-I535)/I535)</f>
        <v/>
      </c>
      <c r="L535" s="3" t="str">
        <f>IF(J535="","",IF(J535/10&gt;='الإعدادات والمستهدفات'!B5,"ناجح ومستوفى","ضعيف - يلزم إعادة اختبار"))</f>
        <v/>
      </c>
      <c r="M535" s="3"/>
      <c r="N535" s="3"/>
    </row>
    <row r="536" spans="1:14" x14ac:dyDescent="0.2">
      <c r="A536" s="3" t="str">
        <f>IFERROR(VLOOKUP(B536,'جدول الجلسات التدريبية'!A:B,2,FALSE),"")</f>
        <v/>
      </c>
      <c r="B536" s="3"/>
      <c r="C536" s="3" t="str">
        <f>IFERROR(VLOOKUP(A536,'الخطة التدريبية المعتمدة'!A:C,3,FALSE),"")</f>
        <v/>
      </c>
      <c r="D536" s="3" t="str">
        <f>IFERROR(VLOOKUP(B536,'جدول الجلسات التدريبية'!A:D,4,FALSE),"")</f>
        <v/>
      </c>
      <c r="E536" s="3"/>
      <c r="F536" s="3" t="str">
        <f>IFERROR(VLOOKUP(E536,'سجل الموظفين والكفاءة'!B:C,2,FALSE),"")</f>
        <v/>
      </c>
      <c r="G536" s="3">
        <f>IFERROR(VLOOKUP(A536,'الخطة التدريبية المعتمدة'!A:J,10,FALSE),0)</f>
        <v>0</v>
      </c>
      <c r="H536" s="3"/>
      <c r="I536" s="3"/>
      <c r="J536" s="3"/>
      <c r="K536" s="7" t="str">
        <f>IF(OR(I536="",J536="",I536=0),"",(J536-I536)/I536)</f>
        <v/>
      </c>
      <c r="L536" s="3" t="str">
        <f>IF(J536="","",IF(J536/10&gt;='الإعدادات والمستهدفات'!B5,"ناجح ومستوفى","ضعيف - يلزم إعادة اختبار"))</f>
        <v/>
      </c>
      <c r="M536" s="3"/>
      <c r="N536" s="3"/>
    </row>
    <row r="537" spans="1:14" x14ac:dyDescent="0.2">
      <c r="A537" s="3" t="str">
        <f>IFERROR(VLOOKUP(B537,'جدول الجلسات التدريبية'!A:B,2,FALSE),"")</f>
        <v/>
      </c>
      <c r="B537" s="3"/>
      <c r="C537" s="3" t="str">
        <f>IFERROR(VLOOKUP(A537,'الخطة التدريبية المعتمدة'!A:C,3,FALSE),"")</f>
        <v/>
      </c>
      <c r="D537" s="3" t="str">
        <f>IFERROR(VLOOKUP(B537,'جدول الجلسات التدريبية'!A:D,4,FALSE),"")</f>
        <v/>
      </c>
      <c r="E537" s="3"/>
      <c r="F537" s="3" t="str">
        <f>IFERROR(VLOOKUP(E537,'سجل الموظفين والكفاءة'!B:C,2,FALSE),"")</f>
        <v/>
      </c>
      <c r="G537" s="3">
        <f>IFERROR(VLOOKUP(A537,'الخطة التدريبية المعتمدة'!A:J,10,FALSE),0)</f>
        <v>0</v>
      </c>
      <c r="H537" s="3"/>
      <c r="I537" s="3"/>
      <c r="J537" s="3"/>
      <c r="K537" s="7" t="str">
        <f>IF(OR(I537="",J537="",I537=0),"",(J537-I537)/I537)</f>
        <v/>
      </c>
      <c r="L537" s="3" t="str">
        <f>IF(J537="","",IF(J537/10&gt;='الإعدادات والمستهدفات'!B5,"ناجح ومستوفى","ضعيف - يلزم إعادة اختبار"))</f>
        <v/>
      </c>
      <c r="M537" s="3"/>
      <c r="N537" s="3"/>
    </row>
    <row r="538" spans="1:14" x14ac:dyDescent="0.2">
      <c r="A538" s="3" t="str">
        <f>IFERROR(VLOOKUP(B538,'جدول الجلسات التدريبية'!A:B,2,FALSE),"")</f>
        <v/>
      </c>
      <c r="B538" s="3"/>
      <c r="C538" s="3" t="str">
        <f>IFERROR(VLOOKUP(A538,'الخطة التدريبية المعتمدة'!A:C,3,FALSE),"")</f>
        <v/>
      </c>
      <c r="D538" s="3" t="str">
        <f>IFERROR(VLOOKUP(B538,'جدول الجلسات التدريبية'!A:D,4,FALSE),"")</f>
        <v/>
      </c>
      <c r="E538" s="3"/>
      <c r="F538" s="3" t="str">
        <f>IFERROR(VLOOKUP(E538,'سجل الموظفين والكفاءة'!B:C,2,FALSE),"")</f>
        <v/>
      </c>
      <c r="G538" s="3">
        <f>IFERROR(VLOOKUP(A538,'الخطة التدريبية المعتمدة'!A:J,10,FALSE),0)</f>
        <v>0</v>
      </c>
      <c r="H538" s="3"/>
      <c r="I538" s="3"/>
      <c r="J538" s="3"/>
      <c r="K538" s="7" t="str">
        <f>IF(OR(I538="",J538="",I538=0),"",(J538-I538)/I538)</f>
        <v/>
      </c>
      <c r="L538" s="3" t="str">
        <f>IF(J538="","",IF(J538/10&gt;='الإعدادات والمستهدفات'!B5,"ناجح ومستوفى","ضعيف - يلزم إعادة اختبار"))</f>
        <v/>
      </c>
      <c r="M538" s="3"/>
      <c r="N538" s="3"/>
    </row>
    <row r="539" spans="1:14" x14ac:dyDescent="0.2">
      <c r="A539" s="3" t="str">
        <f>IFERROR(VLOOKUP(B539,'جدول الجلسات التدريبية'!A:B,2,FALSE),"")</f>
        <v/>
      </c>
      <c r="B539" s="3"/>
      <c r="C539" s="3" t="str">
        <f>IFERROR(VLOOKUP(A539,'الخطة التدريبية المعتمدة'!A:C,3,FALSE),"")</f>
        <v/>
      </c>
      <c r="D539" s="3" t="str">
        <f>IFERROR(VLOOKUP(B539,'جدول الجلسات التدريبية'!A:D,4,FALSE),"")</f>
        <v/>
      </c>
      <c r="E539" s="3"/>
      <c r="F539" s="3" t="str">
        <f>IFERROR(VLOOKUP(E539,'سجل الموظفين والكفاءة'!B:C,2,FALSE),"")</f>
        <v/>
      </c>
      <c r="G539" s="3">
        <f>IFERROR(VLOOKUP(A539,'الخطة التدريبية المعتمدة'!A:J,10,FALSE),0)</f>
        <v>0</v>
      </c>
      <c r="H539" s="3"/>
      <c r="I539" s="3"/>
      <c r="J539" s="3"/>
      <c r="K539" s="7" t="str">
        <f>IF(OR(I539="",J539="",I539=0),"",(J539-I539)/I539)</f>
        <v/>
      </c>
      <c r="L539" s="3" t="str">
        <f>IF(J539="","",IF(J539/10&gt;='الإعدادات والمستهدفات'!B5,"ناجح ومستوفى","ضعيف - يلزم إعادة اختبار"))</f>
        <v/>
      </c>
      <c r="M539" s="3"/>
      <c r="N539" s="3"/>
    </row>
    <row r="540" spans="1:14" x14ac:dyDescent="0.2">
      <c r="A540" s="3" t="str">
        <f>IFERROR(VLOOKUP(B540,'جدول الجلسات التدريبية'!A:B,2,FALSE),"")</f>
        <v/>
      </c>
      <c r="B540" s="3"/>
      <c r="C540" s="3" t="str">
        <f>IFERROR(VLOOKUP(A540,'الخطة التدريبية المعتمدة'!A:C,3,FALSE),"")</f>
        <v/>
      </c>
      <c r="D540" s="3" t="str">
        <f>IFERROR(VLOOKUP(B540,'جدول الجلسات التدريبية'!A:D,4,FALSE),"")</f>
        <v/>
      </c>
      <c r="E540" s="3"/>
      <c r="F540" s="3" t="str">
        <f>IFERROR(VLOOKUP(E540,'سجل الموظفين والكفاءة'!B:C,2,FALSE),"")</f>
        <v/>
      </c>
      <c r="G540" s="3">
        <f>IFERROR(VLOOKUP(A540,'الخطة التدريبية المعتمدة'!A:J,10,FALSE),0)</f>
        <v>0</v>
      </c>
      <c r="H540" s="3"/>
      <c r="I540" s="3"/>
      <c r="J540" s="3"/>
      <c r="K540" s="7" t="str">
        <f>IF(OR(I540="",J540="",I540=0),"",(J540-I540)/I540)</f>
        <v/>
      </c>
      <c r="L540" s="3" t="str">
        <f>IF(J540="","",IF(J540/10&gt;='الإعدادات والمستهدفات'!B5,"ناجح ومستوفى","ضعيف - يلزم إعادة اختبار"))</f>
        <v/>
      </c>
      <c r="M540" s="3"/>
      <c r="N540" s="3"/>
    </row>
    <row r="541" spans="1:14" x14ac:dyDescent="0.2">
      <c r="A541" s="3" t="str">
        <f>IFERROR(VLOOKUP(B541,'جدول الجلسات التدريبية'!A:B,2,FALSE),"")</f>
        <v/>
      </c>
      <c r="B541" s="3"/>
      <c r="C541" s="3" t="str">
        <f>IFERROR(VLOOKUP(A541,'الخطة التدريبية المعتمدة'!A:C,3,FALSE),"")</f>
        <v/>
      </c>
      <c r="D541" s="3" t="str">
        <f>IFERROR(VLOOKUP(B541,'جدول الجلسات التدريبية'!A:D,4,FALSE),"")</f>
        <v/>
      </c>
      <c r="E541" s="3"/>
      <c r="F541" s="3" t="str">
        <f>IFERROR(VLOOKUP(E541,'سجل الموظفين والكفاءة'!B:C,2,FALSE),"")</f>
        <v/>
      </c>
      <c r="G541" s="3">
        <f>IFERROR(VLOOKUP(A541,'الخطة التدريبية المعتمدة'!A:J,10,FALSE),0)</f>
        <v>0</v>
      </c>
      <c r="H541" s="3"/>
      <c r="I541" s="3"/>
      <c r="J541" s="3"/>
      <c r="K541" s="7" t="str">
        <f>IF(OR(I541="",J541="",I541=0),"",(J541-I541)/I541)</f>
        <v/>
      </c>
      <c r="L541" s="3" t="str">
        <f>IF(J541="","",IF(J541/10&gt;='الإعدادات والمستهدفات'!B5,"ناجح ومستوفى","ضعيف - يلزم إعادة اختبار"))</f>
        <v/>
      </c>
      <c r="M541" s="3"/>
      <c r="N541" s="3"/>
    </row>
    <row r="542" spans="1:14" x14ac:dyDescent="0.2">
      <c r="A542" s="3" t="str">
        <f>IFERROR(VLOOKUP(B542,'جدول الجلسات التدريبية'!A:B,2,FALSE),"")</f>
        <v/>
      </c>
      <c r="B542" s="3"/>
      <c r="C542" s="3" t="str">
        <f>IFERROR(VLOOKUP(A542,'الخطة التدريبية المعتمدة'!A:C,3,FALSE),"")</f>
        <v/>
      </c>
      <c r="D542" s="3" t="str">
        <f>IFERROR(VLOOKUP(B542,'جدول الجلسات التدريبية'!A:D,4,FALSE),"")</f>
        <v/>
      </c>
      <c r="E542" s="3"/>
      <c r="F542" s="3" t="str">
        <f>IFERROR(VLOOKUP(E542,'سجل الموظفين والكفاءة'!B:C,2,FALSE),"")</f>
        <v/>
      </c>
      <c r="G542" s="3">
        <f>IFERROR(VLOOKUP(A542,'الخطة التدريبية المعتمدة'!A:J,10,FALSE),0)</f>
        <v>0</v>
      </c>
      <c r="H542" s="3"/>
      <c r="I542" s="3"/>
      <c r="J542" s="3"/>
      <c r="K542" s="7" t="str">
        <f>IF(OR(I542="",J542="",I542=0),"",(J542-I542)/I542)</f>
        <v/>
      </c>
      <c r="L542" s="3" t="str">
        <f>IF(J542="","",IF(J542/10&gt;='الإعدادات والمستهدفات'!B5,"ناجح ومستوفى","ضعيف - يلزم إعادة اختبار"))</f>
        <v/>
      </c>
      <c r="M542" s="3"/>
      <c r="N542" s="3"/>
    </row>
    <row r="543" spans="1:14" x14ac:dyDescent="0.2">
      <c r="A543" s="3" t="str">
        <f>IFERROR(VLOOKUP(B543,'جدول الجلسات التدريبية'!A:B,2,FALSE),"")</f>
        <v/>
      </c>
      <c r="B543" s="3"/>
      <c r="C543" s="3" t="str">
        <f>IFERROR(VLOOKUP(A543,'الخطة التدريبية المعتمدة'!A:C,3,FALSE),"")</f>
        <v/>
      </c>
      <c r="D543" s="3" t="str">
        <f>IFERROR(VLOOKUP(B543,'جدول الجلسات التدريبية'!A:D,4,FALSE),"")</f>
        <v/>
      </c>
      <c r="E543" s="3"/>
      <c r="F543" s="3" t="str">
        <f>IFERROR(VLOOKUP(E543,'سجل الموظفين والكفاءة'!B:C,2,FALSE),"")</f>
        <v/>
      </c>
      <c r="G543" s="3">
        <f>IFERROR(VLOOKUP(A543,'الخطة التدريبية المعتمدة'!A:J,10,FALSE),0)</f>
        <v>0</v>
      </c>
      <c r="H543" s="3"/>
      <c r="I543" s="3"/>
      <c r="J543" s="3"/>
      <c r="K543" s="7" t="str">
        <f>IF(OR(I543="",J543="",I543=0),"",(J543-I543)/I543)</f>
        <v/>
      </c>
      <c r="L543" s="3" t="str">
        <f>IF(J543="","",IF(J543/10&gt;='الإعدادات والمستهدفات'!B5,"ناجح ومستوفى","ضعيف - يلزم إعادة اختبار"))</f>
        <v/>
      </c>
      <c r="M543" s="3"/>
      <c r="N543" s="3"/>
    </row>
    <row r="544" spans="1:14" x14ac:dyDescent="0.2">
      <c r="A544" s="3" t="str">
        <f>IFERROR(VLOOKUP(B544,'جدول الجلسات التدريبية'!A:B,2,FALSE),"")</f>
        <v/>
      </c>
      <c r="B544" s="3"/>
      <c r="C544" s="3" t="str">
        <f>IFERROR(VLOOKUP(A544,'الخطة التدريبية المعتمدة'!A:C,3,FALSE),"")</f>
        <v/>
      </c>
      <c r="D544" s="3" t="str">
        <f>IFERROR(VLOOKUP(B544,'جدول الجلسات التدريبية'!A:D,4,FALSE),"")</f>
        <v/>
      </c>
      <c r="E544" s="3"/>
      <c r="F544" s="3" t="str">
        <f>IFERROR(VLOOKUP(E544,'سجل الموظفين والكفاءة'!B:C,2,FALSE),"")</f>
        <v/>
      </c>
      <c r="G544" s="3">
        <f>IFERROR(VLOOKUP(A544,'الخطة التدريبية المعتمدة'!A:J,10,FALSE),0)</f>
        <v>0</v>
      </c>
      <c r="H544" s="3"/>
      <c r="I544" s="3"/>
      <c r="J544" s="3"/>
      <c r="K544" s="7" t="str">
        <f>IF(OR(I544="",J544="",I544=0),"",(J544-I544)/I544)</f>
        <v/>
      </c>
      <c r="L544" s="3" t="str">
        <f>IF(J544="","",IF(J544/10&gt;='الإعدادات والمستهدفات'!B5,"ناجح ومستوفى","ضعيف - يلزم إعادة اختبار"))</f>
        <v/>
      </c>
      <c r="M544" s="3"/>
      <c r="N544" s="3"/>
    </row>
    <row r="545" spans="1:14" x14ac:dyDescent="0.2">
      <c r="A545" s="3" t="str">
        <f>IFERROR(VLOOKUP(B545,'جدول الجلسات التدريبية'!A:B,2,FALSE),"")</f>
        <v/>
      </c>
      <c r="B545" s="3"/>
      <c r="C545" s="3" t="str">
        <f>IFERROR(VLOOKUP(A545,'الخطة التدريبية المعتمدة'!A:C,3,FALSE),"")</f>
        <v/>
      </c>
      <c r="D545" s="3" t="str">
        <f>IFERROR(VLOOKUP(B545,'جدول الجلسات التدريبية'!A:D,4,FALSE),"")</f>
        <v/>
      </c>
      <c r="E545" s="3"/>
      <c r="F545" s="3" t="str">
        <f>IFERROR(VLOOKUP(E545,'سجل الموظفين والكفاءة'!B:C,2,FALSE),"")</f>
        <v/>
      </c>
      <c r="G545" s="3">
        <f>IFERROR(VLOOKUP(A545,'الخطة التدريبية المعتمدة'!A:J,10,FALSE),0)</f>
        <v>0</v>
      </c>
      <c r="H545" s="3"/>
      <c r="I545" s="3"/>
      <c r="J545" s="3"/>
      <c r="K545" s="7" t="str">
        <f>IF(OR(I545="",J545="",I545=0),"",(J545-I545)/I545)</f>
        <v/>
      </c>
      <c r="L545" s="3" t="str">
        <f>IF(J545="","",IF(J545/10&gt;='الإعدادات والمستهدفات'!B5,"ناجح ومستوفى","ضعيف - يلزم إعادة اختبار"))</f>
        <v/>
      </c>
      <c r="M545" s="3"/>
      <c r="N545" s="3"/>
    </row>
    <row r="546" spans="1:14" x14ac:dyDescent="0.2">
      <c r="A546" s="3" t="str">
        <f>IFERROR(VLOOKUP(B546,'جدول الجلسات التدريبية'!A:B,2,FALSE),"")</f>
        <v/>
      </c>
      <c r="B546" s="3"/>
      <c r="C546" s="3" t="str">
        <f>IFERROR(VLOOKUP(A546,'الخطة التدريبية المعتمدة'!A:C,3,FALSE),"")</f>
        <v/>
      </c>
      <c r="D546" s="3" t="str">
        <f>IFERROR(VLOOKUP(B546,'جدول الجلسات التدريبية'!A:D,4,FALSE),"")</f>
        <v/>
      </c>
      <c r="E546" s="3"/>
      <c r="F546" s="3" t="str">
        <f>IFERROR(VLOOKUP(E546,'سجل الموظفين والكفاءة'!B:C,2,FALSE),"")</f>
        <v/>
      </c>
      <c r="G546" s="3">
        <f>IFERROR(VLOOKUP(A546,'الخطة التدريبية المعتمدة'!A:J,10,FALSE),0)</f>
        <v>0</v>
      </c>
      <c r="H546" s="3"/>
      <c r="I546" s="3"/>
      <c r="J546" s="3"/>
      <c r="K546" s="7" t="str">
        <f>IF(OR(I546="",J546="",I546=0),"",(J546-I546)/I546)</f>
        <v/>
      </c>
      <c r="L546" s="3" t="str">
        <f>IF(J546="","",IF(J546/10&gt;='الإعدادات والمستهدفات'!B5,"ناجح ومستوفى","ضعيف - يلزم إعادة اختبار"))</f>
        <v/>
      </c>
      <c r="M546" s="3"/>
      <c r="N546" s="3"/>
    </row>
    <row r="547" spans="1:14" x14ac:dyDescent="0.2">
      <c r="A547" s="3" t="str">
        <f>IFERROR(VLOOKUP(B547,'جدول الجلسات التدريبية'!A:B,2,FALSE),"")</f>
        <v/>
      </c>
      <c r="B547" s="3"/>
      <c r="C547" s="3" t="str">
        <f>IFERROR(VLOOKUP(A547,'الخطة التدريبية المعتمدة'!A:C,3,FALSE),"")</f>
        <v/>
      </c>
      <c r="D547" s="3" t="str">
        <f>IFERROR(VLOOKUP(B547,'جدول الجلسات التدريبية'!A:D,4,FALSE),"")</f>
        <v/>
      </c>
      <c r="E547" s="3"/>
      <c r="F547" s="3" t="str">
        <f>IFERROR(VLOOKUP(E547,'سجل الموظفين والكفاءة'!B:C,2,FALSE),"")</f>
        <v/>
      </c>
      <c r="G547" s="3">
        <f>IFERROR(VLOOKUP(A547,'الخطة التدريبية المعتمدة'!A:J,10,FALSE),0)</f>
        <v>0</v>
      </c>
      <c r="H547" s="3"/>
      <c r="I547" s="3"/>
      <c r="J547" s="3"/>
      <c r="K547" s="7" t="str">
        <f>IF(OR(I547="",J547="",I547=0),"",(J547-I547)/I547)</f>
        <v/>
      </c>
      <c r="L547" s="3" t="str">
        <f>IF(J547="","",IF(J547/10&gt;='الإعدادات والمستهدفات'!B5,"ناجح ومستوفى","ضعيف - يلزم إعادة اختبار"))</f>
        <v/>
      </c>
      <c r="M547" s="3"/>
      <c r="N547" s="3"/>
    </row>
    <row r="548" spans="1:14" x14ac:dyDescent="0.2">
      <c r="A548" s="3" t="str">
        <f>IFERROR(VLOOKUP(B548,'جدول الجلسات التدريبية'!A:B,2,FALSE),"")</f>
        <v/>
      </c>
      <c r="B548" s="3"/>
      <c r="C548" s="3" t="str">
        <f>IFERROR(VLOOKUP(A548,'الخطة التدريبية المعتمدة'!A:C,3,FALSE),"")</f>
        <v/>
      </c>
      <c r="D548" s="3" t="str">
        <f>IFERROR(VLOOKUP(B548,'جدول الجلسات التدريبية'!A:D,4,FALSE),"")</f>
        <v/>
      </c>
      <c r="E548" s="3"/>
      <c r="F548" s="3" t="str">
        <f>IFERROR(VLOOKUP(E548,'سجل الموظفين والكفاءة'!B:C,2,FALSE),"")</f>
        <v/>
      </c>
      <c r="G548" s="3">
        <f>IFERROR(VLOOKUP(A548,'الخطة التدريبية المعتمدة'!A:J,10,FALSE),0)</f>
        <v>0</v>
      </c>
      <c r="H548" s="3"/>
      <c r="I548" s="3"/>
      <c r="J548" s="3"/>
      <c r="K548" s="7" t="str">
        <f>IF(OR(I548="",J548="",I548=0),"",(J548-I548)/I548)</f>
        <v/>
      </c>
      <c r="L548" s="3" t="str">
        <f>IF(J548="","",IF(J548/10&gt;='الإعدادات والمستهدفات'!B5,"ناجح ومستوفى","ضعيف - يلزم إعادة اختبار"))</f>
        <v/>
      </c>
      <c r="M548" s="3"/>
      <c r="N548" s="3"/>
    </row>
    <row r="549" spans="1:14" x14ac:dyDescent="0.2">
      <c r="A549" s="3" t="str">
        <f>IFERROR(VLOOKUP(B549,'جدول الجلسات التدريبية'!A:B,2,FALSE),"")</f>
        <v/>
      </c>
      <c r="B549" s="3"/>
      <c r="C549" s="3" t="str">
        <f>IFERROR(VLOOKUP(A549,'الخطة التدريبية المعتمدة'!A:C,3,FALSE),"")</f>
        <v/>
      </c>
      <c r="D549" s="3" t="str">
        <f>IFERROR(VLOOKUP(B549,'جدول الجلسات التدريبية'!A:D,4,FALSE),"")</f>
        <v/>
      </c>
      <c r="E549" s="3"/>
      <c r="F549" s="3" t="str">
        <f>IFERROR(VLOOKUP(E549,'سجل الموظفين والكفاءة'!B:C,2,FALSE),"")</f>
        <v/>
      </c>
      <c r="G549" s="3">
        <f>IFERROR(VLOOKUP(A549,'الخطة التدريبية المعتمدة'!A:J,10,FALSE),0)</f>
        <v>0</v>
      </c>
      <c r="H549" s="3"/>
      <c r="I549" s="3"/>
      <c r="J549" s="3"/>
      <c r="K549" s="7" t="str">
        <f>IF(OR(I549="",J549="",I549=0),"",(J549-I549)/I549)</f>
        <v/>
      </c>
      <c r="L549" s="3" t="str">
        <f>IF(J549="","",IF(J549/10&gt;='الإعدادات والمستهدفات'!B5,"ناجح ومستوفى","ضعيف - يلزم إعادة اختبار"))</f>
        <v/>
      </c>
      <c r="M549" s="3"/>
      <c r="N549" s="3"/>
    </row>
    <row r="550" spans="1:14" x14ac:dyDescent="0.2">
      <c r="A550" s="3" t="str">
        <f>IFERROR(VLOOKUP(B550,'جدول الجلسات التدريبية'!A:B,2,FALSE),"")</f>
        <v/>
      </c>
      <c r="B550" s="3"/>
      <c r="C550" s="3" t="str">
        <f>IFERROR(VLOOKUP(A550,'الخطة التدريبية المعتمدة'!A:C,3,FALSE),"")</f>
        <v/>
      </c>
      <c r="D550" s="3" t="str">
        <f>IFERROR(VLOOKUP(B550,'جدول الجلسات التدريبية'!A:D,4,FALSE),"")</f>
        <v/>
      </c>
      <c r="E550" s="3"/>
      <c r="F550" s="3" t="str">
        <f>IFERROR(VLOOKUP(E550,'سجل الموظفين والكفاءة'!B:C,2,FALSE),"")</f>
        <v/>
      </c>
      <c r="G550" s="3">
        <f>IFERROR(VLOOKUP(A550,'الخطة التدريبية المعتمدة'!A:J,10,FALSE),0)</f>
        <v>0</v>
      </c>
      <c r="H550" s="3"/>
      <c r="I550" s="3"/>
      <c r="J550" s="3"/>
      <c r="K550" s="7" t="str">
        <f>IF(OR(I550="",J550="",I550=0),"",(J550-I550)/I550)</f>
        <v/>
      </c>
      <c r="L550" s="3" t="str">
        <f>IF(J550="","",IF(J550/10&gt;='الإعدادات والمستهدفات'!B5,"ناجح ومستوفى","ضعيف - يلزم إعادة اختبار"))</f>
        <v/>
      </c>
      <c r="M550" s="3"/>
      <c r="N550" s="3"/>
    </row>
    <row r="551" spans="1:14" x14ac:dyDescent="0.2">
      <c r="A551" s="3" t="str">
        <f>IFERROR(VLOOKUP(B551,'جدول الجلسات التدريبية'!A:B,2,FALSE),"")</f>
        <v/>
      </c>
      <c r="B551" s="3"/>
      <c r="C551" s="3" t="str">
        <f>IFERROR(VLOOKUP(A551,'الخطة التدريبية المعتمدة'!A:C,3,FALSE),"")</f>
        <v/>
      </c>
      <c r="D551" s="3" t="str">
        <f>IFERROR(VLOOKUP(B551,'جدول الجلسات التدريبية'!A:D,4,FALSE),"")</f>
        <v/>
      </c>
      <c r="E551" s="3"/>
      <c r="F551" s="3" t="str">
        <f>IFERROR(VLOOKUP(E551,'سجل الموظفين والكفاءة'!B:C,2,FALSE),"")</f>
        <v/>
      </c>
      <c r="G551" s="3">
        <f>IFERROR(VLOOKUP(A551,'الخطة التدريبية المعتمدة'!A:J,10,FALSE),0)</f>
        <v>0</v>
      </c>
      <c r="H551" s="3"/>
      <c r="I551" s="3"/>
      <c r="J551" s="3"/>
      <c r="K551" s="7" t="str">
        <f>IF(OR(I551="",J551="",I551=0),"",(J551-I551)/I551)</f>
        <v/>
      </c>
      <c r="L551" s="3" t="str">
        <f>IF(J551="","",IF(J551/10&gt;='الإعدادات والمستهدفات'!B5,"ناجح ومستوفى","ضعيف - يلزم إعادة اختبار"))</f>
        <v/>
      </c>
      <c r="M551" s="3"/>
      <c r="N551" s="3"/>
    </row>
    <row r="552" spans="1:14" x14ac:dyDescent="0.2">
      <c r="A552" s="3" t="str">
        <f>IFERROR(VLOOKUP(B552,'جدول الجلسات التدريبية'!A:B,2,FALSE),"")</f>
        <v/>
      </c>
      <c r="B552" s="3"/>
      <c r="C552" s="3" t="str">
        <f>IFERROR(VLOOKUP(A552,'الخطة التدريبية المعتمدة'!A:C,3,FALSE),"")</f>
        <v/>
      </c>
      <c r="D552" s="3" t="str">
        <f>IFERROR(VLOOKUP(B552,'جدول الجلسات التدريبية'!A:D,4,FALSE),"")</f>
        <v/>
      </c>
      <c r="E552" s="3"/>
      <c r="F552" s="3" t="str">
        <f>IFERROR(VLOOKUP(E552,'سجل الموظفين والكفاءة'!B:C,2,FALSE),"")</f>
        <v/>
      </c>
      <c r="G552" s="3">
        <f>IFERROR(VLOOKUP(A552,'الخطة التدريبية المعتمدة'!A:J,10,FALSE),0)</f>
        <v>0</v>
      </c>
      <c r="H552" s="3"/>
      <c r="I552" s="3"/>
      <c r="J552" s="3"/>
      <c r="K552" s="7" t="str">
        <f>IF(OR(I552="",J552="",I552=0),"",(J552-I552)/I552)</f>
        <v/>
      </c>
      <c r="L552" s="3" t="str">
        <f>IF(J552="","",IF(J552/10&gt;='الإعدادات والمستهدفات'!B5,"ناجح ومستوفى","ضعيف - يلزم إعادة اختبار"))</f>
        <v/>
      </c>
      <c r="M552" s="3"/>
      <c r="N552" s="3"/>
    </row>
    <row r="553" spans="1:14" x14ac:dyDescent="0.2">
      <c r="A553" s="3" t="str">
        <f>IFERROR(VLOOKUP(B553,'جدول الجلسات التدريبية'!A:B,2,FALSE),"")</f>
        <v/>
      </c>
      <c r="B553" s="3"/>
      <c r="C553" s="3" t="str">
        <f>IFERROR(VLOOKUP(A553,'الخطة التدريبية المعتمدة'!A:C,3,FALSE),"")</f>
        <v/>
      </c>
      <c r="D553" s="3" t="str">
        <f>IFERROR(VLOOKUP(B553,'جدول الجلسات التدريبية'!A:D,4,FALSE),"")</f>
        <v/>
      </c>
      <c r="E553" s="3"/>
      <c r="F553" s="3" t="str">
        <f>IFERROR(VLOOKUP(E553,'سجل الموظفين والكفاءة'!B:C,2,FALSE),"")</f>
        <v/>
      </c>
      <c r="G553" s="3">
        <f>IFERROR(VLOOKUP(A553,'الخطة التدريبية المعتمدة'!A:J,10,FALSE),0)</f>
        <v>0</v>
      </c>
      <c r="H553" s="3"/>
      <c r="I553" s="3"/>
      <c r="J553" s="3"/>
      <c r="K553" s="7" t="str">
        <f>IF(OR(I553="",J553="",I553=0),"",(J553-I553)/I553)</f>
        <v/>
      </c>
      <c r="L553" s="3" t="str">
        <f>IF(J553="","",IF(J553/10&gt;='الإعدادات والمستهدفات'!B5,"ناجح ومستوفى","ضعيف - يلزم إعادة اختبار"))</f>
        <v/>
      </c>
      <c r="M553" s="3"/>
      <c r="N553" s="3"/>
    </row>
    <row r="554" spans="1:14" x14ac:dyDescent="0.2">
      <c r="A554" s="3" t="str">
        <f>IFERROR(VLOOKUP(B554,'جدول الجلسات التدريبية'!A:B,2,FALSE),"")</f>
        <v/>
      </c>
      <c r="B554" s="3"/>
      <c r="C554" s="3" t="str">
        <f>IFERROR(VLOOKUP(A554,'الخطة التدريبية المعتمدة'!A:C,3,FALSE),"")</f>
        <v/>
      </c>
      <c r="D554" s="3" t="str">
        <f>IFERROR(VLOOKUP(B554,'جدول الجلسات التدريبية'!A:D,4,FALSE),"")</f>
        <v/>
      </c>
      <c r="E554" s="3"/>
      <c r="F554" s="3" t="str">
        <f>IFERROR(VLOOKUP(E554,'سجل الموظفين والكفاءة'!B:C,2,FALSE),"")</f>
        <v/>
      </c>
      <c r="G554" s="3">
        <f>IFERROR(VLOOKUP(A554,'الخطة التدريبية المعتمدة'!A:J,10,FALSE),0)</f>
        <v>0</v>
      </c>
      <c r="H554" s="3"/>
      <c r="I554" s="3"/>
      <c r="J554" s="3"/>
      <c r="K554" s="7" t="str">
        <f>IF(OR(I554="",J554="",I554=0),"",(J554-I554)/I554)</f>
        <v/>
      </c>
      <c r="L554" s="3" t="str">
        <f>IF(J554="","",IF(J554/10&gt;='الإعدادات والمستهدفات'!B5,"ناجح ومستوفى","ضعيف - يلزم إعادة اختبار"))</f>
        <v/>
      </c>
      <c r="M554" s="3"/>
      <c r="N554" s="3"/>
    </row>
    <row r="555" spans="1:14" x14ac:dyDescent="0.2">
      <c r="A555" s="3" t="str">
        <f>IFERROR(VLOOKUP(B555,'جدول الجلسات التدريبية'!A:B,2,FALSE),"")</f>
        <v/>
      </c>
      <c r="B555" s="3"/>
      <c r="C555" s="3" t="str">
        <f>IFERROR(VLOOKUP(A555,'الخطة التدريبية المعتمدة'!A:C,3,FALSE),"")</f>
        <v/>
      </c>
      <c r="D555" s="3" t="str">
        <f>IFERROR(VLOOKUP(B555,'جدول الجلسات التدريبية'!A:D,4,FALSE),"")</f>
        <v/>
      </c>
      <c r="E555" s="3"/>
      <c r="F555" s="3" t="str">
        <f>IFERROR(VLOOKUP(E555,'سجل الموظفين والكفاءة'!B:C,2,FALSE),"")</f>
        <v/>
      </c>
      <c r="G555" s="3">
        <f>IFERROR(VLOOKUP(A555,'الخطة التدريبية المعتمدة'!A:J,10,FALSE),0)</f>
        <v>0</v>
      </c>
      <c r="H555" s="3"/>
      <c r="I555" s="3"/>
      <c r="J555" s="3"/>
      <c r="K555" s="7" t="str">
        <f>IF(OR(I555="",J555="",I555=0),"",(J555-I555)/I555)</f>
        <v/>
      </c>
      <c r="L555" s="3" t="str">
        <f>IF(J555="","",IF(J555/10&gt;='الإعدادات والمستهدفات'!B5,"ناجح ومستوفى","ضعيف - يلزم إعادة اختبار"))</f>
        <v/>
      </c>
      <c r="M555" s="3"/>
      <c r="N555" s="3"/>
    </row>
    <row r="556" spans="1:14" x14ac:dyDescent="0.2">
      <c r="A556" s="3" t="str">
        <f>IFERROR(VLOOKUP(B556,'جدول الجلسات التدريبية'!A:B,2,FALSE),"")</f>
        <v/>
      </c>
      <c r="B556" s="3"/>
      <c r="C556" s="3" t="str">
        <f>IFERROR(VLOOKUP(A556,'الخطة التدريبية المعتمدة'!A:C,3,FALSE),"")</f>
        <v/>
      </c>
      <c r="D556" s="3" t="str">
        <f>IFERROR(VLOOKUP(B556,'جدول الجلسات التدريبية'!A:D,4,FALSE),"")</f>
        <v/>
      </c>
      <c r="E556" s="3"/>
      <c r="F556" s="3" t="str">
        <f>IFERROR(VLOOKUP(E556,'سجل الموظفين والكفاءة'!B:C,2,FALSE),"")</f>
        <v/>
      </c>
      <c r="G556" s="3">
        <f>IFERROR(VLOOKUP(A556,'الخطة التدريبية المعتمدة'!A:J,10,FALSE),0)</f>
        <v>0</v>
      </c>
      <c r="H556" s="3"/>
      <c r="I556" s="3"/>
      <c r="J556" s="3"/>
      <c r="K556" s="7" t="str">
        <f>IF(OR(I556="",J556="",I556=0),"",(J556-I556)/I556)</f>
        <v/>
      </c>
      <c r="L556" s="3" t="str">
        <f>IF(J556="","",IF(J556/10&gt;='الإعدادات والمستهدفات'!B5,"ناجح ومستوفى","ضعيف - يلزم إعادة اختبار"))</f>
        <v/>
      </c>
      <c r="M556" s="3"/>
      <c r="N556" s="3"/>
    </row>
    <row r="557" spans="1:14" x14ac:dyDescent="0.2">
      <c r="A557" s="3" t="str">
        <f>IFERROR(VLOOKUP(B557,'جدول الجلسات التدريبية'!A:B,2,FALSE),"")</f>
        <v/>
      </c>
      <c r="B557" s="3"/>
      <c r="C557" s="3" t="str">
        <f>IFERROR(VLOOKUP(A557,'الخطة التدريبية المعتمدة'!A:C,3,FALSE),"")</f>
        <v/>
      </c>
      <c r="D557" s="3" t="str">
        <f>IFERROR(VLOOKUP(B557,'جدول الجلسات التدريبية'!A:D,4,FALSE),"")</f>
        <v/>
      </c>
      <c r="E557" s="3"/>
      <c r="F557" s="3" t="str">
        <f>IFERROR(VLOOKUP(E557,'سجل الموظفين والكفاءة'!B:C,2,FALSE),"")</f>
        <v/>
      </c>
      <c r="G557" s="3">
        <f>IFERROR(VLOOKUP(A557,'الخطة التدريبية المعتمدة'!A:J,10,FALSE),0)</f>
        <v>0</v>
      </c>
      <c r="H557" s="3"/>
      <c r="I557" s="3"/>
      <c r="J557" s="3"/>
      <c r="K557" s="7" t="str">
        <f>IF(OR(I557="",J557="",I557=0),"",(J557-I557)/I557)</f>
        <v/>
      </c>
      <c r="L557" s="3" t="str">
        <f>IF(J557="","",IF(J557/10&gt;='الإعدادات والمستهدفات'!B5,"ناجح ومستوفى","ضعيف - يلزم إعادة اختبار"))</f>
        <v/>
      </c>
      <c r="M557" s="3"/>
      <c r="N557" s="3"/>
    </row>
    <row r="558" spans="1:14" x14ac:dyDescent="0.2">
      <c r="A558" s="3" t="str">
        <f>IFERROR(VLOOKUP(B558,'جدول الجلسات التدريبية'!A:B,2,FALSE),"")</f>
        <v/>
      </c>
      <c r="B558" s="3"/>
      <c r="C558" s="3" t="str">
        <f>IFERROR(VLOOKUP(A558,'الخطة التدريبية المعتمدة'!A:C,3,FALSE),"")</f>
        <v/>
      </c>
      <c r="D558" s="3" t="str">
        <f>IFERROR(VLOOKUP(B558,'جدول الجلسات التدريبية'!A:D,4,FALSE),"")</f>
        <v/>
      </c>
      <c r="E558" s="3"/>
      <c r="F558" s="3" t="str">
        <f>IFERROR(VLOOKUP(E558,'سجل الموظفين والكفاءة'!B:C,2,FALSE),"")</f>
        <v/>
      </c>
      <c r="G558" s="3">
        <f>IFERROR(VLOOKUP(A558,'الخطة التدريبية المعتمدة'!A:J,10,FALSE),0)</f>
        <v>0</v>
      </c>
      <c r="H558" s="3"/>
      <c r="I558" s="3"/>
      <c r="J558" s="3"/>
      <c r="K558" s="7" t="str">
        <f>IF(OR(I558="",J558="",I558=0),"",(J558-I558)/I558)</f>
        <v/>
      </c>
      <c r="L558" s="3" t="str">
        <f>IF(J558="","",IF(J558/10&gt;='الإعدادات والمستهدفات'!B5,"ناجح ومستوفى","ضعيف - يلزم إعادة اختبار"))</f>
        <v/>
      </c>
      <c r="M558" s="3"/>
      <c r="N558" s="3"/>
    </row>
    <row r="559" spans="1:14" x14ac:dyDescent="0.2">
      <c r="A559" s="3" t="str">
        <f>IFERROR(VLOOKUP(B559,'جدول الجلسات التدريبية'!A:B,2,FALSE),"")</f>
        <v/>
      </c>
      <c r="B559" s="3"/>
      <c r="C559" s="3" t="str">
        <f>IFERROR(VLOOKUP(A559,'الخطة التدريبية المعتمدة'!A:C,3,FALSE),"")</f>
        <v/>
      </c>
      <c r="D559" s="3" t="str">
        <f>IFERROR(VLOOKUP(B559,'جدول الجلسات التدريبية'!A:D,4,FALSE),"")</f>
        <v/>
      </c>
      <c r="E559" s="3"/>
      <c r="F559" s="3" t="str">
        <f>IFERROR(VLOOKUP(E559,'سجل الموظفين والكفاءة'!B:C,2,FALSE),"")</f>
        <v/>
      </c>
      <c r="G559" s="3">
        <f>IFERROR(VLOOKUP(A559,'الخطة التدريبية المعتمدة'!A:J,10,FALSE),0)</f>
        <v>0</v>
      </c>
      <c r="H559" s="3"/>
      <c r="I559" s="3"/>
      <c r="J559" s="3"/>
      <c r="K559" s="7" t="str">
        <f>IF(OR(I559="",J559="",I559=0),"",(J559-I559)/I559)</f>
        <v/>
      </c>
      <c r="L559" s="3" t="str">
        <f>IF(J559="","",IF(J559/10&gt;='الإعدادات والمستهدفات'!B5,"ناجح ومستوفى","ضعيف - يلزم إعادة اختبار"))</f>
        <v/>
      </c>
      <c r="M559" s="3"/>
      <c r="N559" s="3"/>
    </row>
    <row r="560" spans="1:14" x14ac:dyDescent="0.2">
      <c r="A560" s="3" t="str">
        <f>IFERROR(VLOOKUP(B560,'جدول الجلسات التدريبية'!A:B,2,FALSE),"")</f>
        <v/>
      </c>
      <c r="B560" s="3"/>
      <c r="C560" s="3" t="str">
        <f>IFERROR(VLOOKUP(A560,'الخطة التدريبية المعتمدة'!A:C,3,FALSE),"")</f>
        <v/>
      </c>
      <c r="D560" s="3" t="str">
        <f>IFERROR(VLOOKUP(B560,'جدول الجلسات التدريبية'!A:D,4,FALSE),"")</f>
        <v/>
      </c>
      <c r="E560" s="3"/>
      <c r="F560" s="3" t="str">
        <f>IFERROR(VLOOKUP(E560,'سجل الموظفين والكفاءة'!B:C,2,FALSE),"")</f>
        <v/>
      </c>
      <c r="G560" s="3">
        <f>IFERROR(VLOOKUP(A560,'الخطة التدريبية المعتمدة'!A:J,10,FALSE),0)</f>
        <v>0</v>
      </c>
      <c r="H560" s="3"/>
      <c r="I560" s="3"/>
      <c r="J560" s="3"/>
      <c r="K560" s="7" t="str">
        <f>IF(OR(I560="",J560="",I560=0),"",(J560-I560)/I560)</f>
        <v/>
      </c>
      <c r="L560" s="3" t="str">
        <f>IF(J560="","",IF(J560/10&gt;='الإعدادات والمستهدفات'!B5,"ناجح ومستوفى","ضعيف - يلزم إعادة اختبار"))</f>
        <v/>
      </c>
      <c r="M560" s="3"/>
      <c r="N560" s="3"/>
    </row>
    <row r="561" spans="1:14" x14ac:dyDescent="0.2">
      <c r="A561" s="3" t="str">
        <f>IFERROR(VLOOKUP(B561,'جدول الجلسات التدريبية'!A:B,2,FALSE),"")</f>
        <v/>
      </c>
      <c r="B561" s="3"/>
      <c r="C561" s="3" t="str">
        <f>IFERROR(VLOOKUP(A561,'الخطة التدريبية المعتمدة'!A:C,3,FALSE),"")</f>
        <v/>
      </c>
      <c r="D561" s="3" t="str">
        <f>IFERROR(VLOOKUP(B561,'جدول الجلسات التدريبية'!A:D,4,FALSE),"")</f>
        <v/>
      </c>
      <c r="E561" s="3"/>
      <c r="F561" s="3" t="str">
        <f>IFERROR(VLOOKUP(E561,'سجل الموظفين والكفاءة'!B:C,2,FALSE),"")</f>
        <v/>
      </c>
      <c r="G561" s="3">
        <f>IFERROR(VLOOKUP(A561,'الخطة التدريبية المعتمدة'!A:J,10,FALSE),0)</f>
        <v>0</v>
      </c>
      <c r="H561" s="3"/>
      <c r="I561" s="3"/>
      <c r="J561" s="3"/>
      <c r="K561" s="7" t="str">
        <f>IF(OR(I561="",J561="",I561=0),"",(J561-I561)/I561)</f>
        <v/>
      </c>
      <c r="L561" s="3" t="str">
        <f>IF(J561="","",IF(J561/10&gt;='الإعدادات والمستهدفات'!B5,"ناجح ومستوفى","ضعيف - يلزم إعادة اختبار"))</f>
        <v/>
      </c>
      <c r="M561" s="3"/>
      <c r="N561" s="3"/>
    </row>
    <row r="562" spans="1:14" x14ac:dyDescent="0.2">
      <c r="A562" s="3" t="str">
        <f>IFERROR(VLOOKUP(B562,'جدول الجلسات التدريبية'!A:B,2,FALSE),"")</f>
        <v/>
      </c>
      <c r="B562" s="3"/>
      <c r="C562" s="3" t="str">
        <f>IFERROR(VLOOKUP(A562,'الخطة التدريبية المعتمدة'!A:C,3,FALSE),"")</f>
        <v/>
      </c>
      <c r="D562" s="3" t="str">
        <f>IFERROR(VLOOKUP(B562,'جدول الجلسات التدريبية'!A:D,4,FALSE),"")</f>
        <v/>
      </c>
      <c r="E562" s="3"/>
      <c r="F562" s="3" t="str">
        <f>IFERROR(VLOOKUP(E562,'سجل الموظفين والكفاءة'!B:C,2,FALSE),"")</f>
        <v/>
      </c>
      <c r="G562" s="3">
        <f>IFERROR(VLOOKUP(A562,'الخطة التدريبية المعتمدة'!A:J,10,FALSE),0)</f>
        <v>0</v>
      </c>
      <c r="H562" s="3"/>
      <c r="I562" s="3"/>
      <c r="J562" s="3"/>
      <c r="K562" s="7" t="str">
        <f>IF(OR(I562="",J562="",I562=0),"",(J562-I562)/I562)</f>
        <v/>
      </c>
      <c r="L562" s="3" t="str">
        <f>IF(J562="","",IF(J562/10&gt;='الإعدادات والمستهدفات'!B5,"ناجح ومستوفى","ضعيف - يلزم إعادة اختبار"))</f>
        <v/>
      </c>
      <c r="M562" s="3"/>
      <c r="N562" s="3"/>
    </row>
    <row r="563" spans="1:14" x14ac:dyDescent="0.2">
      <c r="A563" s="3" t="str">
        <f>IFERROR(VLOOKUP(B563,'جدول الجلسات التدريبية'!A:B,2,FALSE),"")</f>
        <v/>
      </c>
      <c r="B563" s="3"/>
      <c r="C563" s="3" t="str">
        <f>IFERROR(VLOOKUP(A563,'الخطة التدريبية المعتمدة'!A:C,3,FALSE),"")</f>
        <v/>
      </c>
      <c r="D563" s="3" t="str">
        <f>IFERROR(VLOOKUP(B563,'جدول الجلسات التدريبية'!A:D,4,FALSE),"")</f>
        <v/>
      </c>
      <c r="E563" s="3"/>
      <c r="F563" s="3" t="str">
        <f>IFERROR(VLOOKUP(E563,'سجل الموظفين والكفاءة'!B:C,2,FALSE),"")</f>
        <v/>
      </c>
      <c r="G563" s="3">
        <f>IFERROR(VLOOKUP(A563,'الخطة التدريبية المعتمدة'!A:J,10,FALSE),0)</f>
        <v>0</v>
      </c>
      <c r="H563" s="3"/>
      <c r="I563" s="3"/>
      <c r="J563" s="3"/>
      <c r="K563" s="7" t="str">
        <f>IF(OR(I563="",J563="",I563=0),"",(J563-I563)/I563)</f>
        <v/>
      </c>
      <c r="L563" s="3" t="str">
        <f>IF(J563="","",IF(J563/10&gt;='الإعدادات والمستهدفات'!B5,"ناجح ومستوفى","ضعيف - يلزم إعادة اختبار"))</f>
        <v/>
      </c>
      <c r="M563" s="3"/>
      <c r="N563" s="3"/>
    </row>
    <row r="564" spans="1:14" x14ac:dyDescent="0.2">
      <c r="A564" s="3" t="str">
        <f>IFERROR(VLOOKUP(B564,'جدول الجلسات التدريبية'!A:B,2,FALSE),"")</f>
        <v/>
      </c>
      <c r="B564" s="3"/>
      <c r="C564" s="3" t="str">
        <f>IFERROR(VLOOKUP(A564,'الخطة التدريبية المعتمدة'!A:C,3,FALSE),"")</f>
        <v/>
      </c>
      <c r="D564" s="3" t="str">
        <f>IFERROR(VLOOKUP(B564,'جدول الجلسات التدريبية'!A:D,4,FALSE),"")</f>
        <v/>
      </c>
      <c r="E564" s="3"/>
      <c r="F564" s="3" t="str">
        <f>IFERROR(VLOOKUP(E564,'سجل الموظفين والكفاءة'!B:C,2,FALSE),"")</f>
        <v/>
      </c>
      <c r="G564" s="3">
        <f>IFERROR(VLOOKUP(A564,'الخطة التدريبية المعتمدة'!A:J,10,FALSE),0)</f>
        <v>0</v>
      </c>
      <c r="H564" s="3"/>
      <c r="I564" s="3"/>
      <c r="J564" s="3"/>
      <c r="K564" s="7" t="str">
        <f>IF(OR(I564="",J564="",I564=0),"",(J564-I564)/I564)</f>
        <v/>
      </c>
      <c r="L564" s="3" t="str">
        <f>IF(J564="","",IF(J564/10&gt;='الإعدادات والمستهدفات'!B5,"ناجح ومستوفى","ضعيف - يلزم إعادة اختبار"))</f>
        <v/>
      </c>
      <c r="M564" s="3"/>
      <c r="N564" s="3"/>
    </row>
    <row r="565" spans="1:14" x14ac:dyDescent="0.2">
      <c r="A565" s="3" t="str">
        <f>IFERROR(VLOOKUP(B565,'جدول الجلسات التدريبية'!A:B,2,FALSE),"")</f>
        <v/>
      </c>
      <c r="B565" s="3"/>
      <c r="C565" s="3" t="str">
        <f>IFERROR(VLOOKUP(A565,'الخطة التدريبية المعتمدة'!A:C,3,FALSE),"")</f>
        <v/>
      </c>
      <c r="D565" s="3" t="str">
        <f>IFERROR(VLOOKUP(B565,'جدول الجلسات التدريبية'!A:D,4,FALSE),"")</f>
        <v/>
      </c>
      <c r="E565" s="3"/>
      <c r="F565" s="3" t="str">
        <f>IFERROR(VLOOKUP(E565,'سجل الموظفين والكفاءة'!B:C,2,FALSE),"")</f>
        <v/>
      </c>
      <c r="G565" s="3">
        <f>IFERROR(VLOOKUP(A565,'الخطة التدريبية المعتمدة'!A:J,10,FALSE),0)</f>
        <v>0</v>
      </c>
      <c r="H565" s="3"/>
      <c r="I565" s="3"/>
      <c r="J565" s="3"/>
      <c r="K565" s="7" t="str">
        <f>IF(OR(I565="",J565="",I565=0),"",(J565-I565)/I565)</f>
        <v/>
      </c>
      <c r="L565" s="3" t="str">
        <f>IF(J565="","",IF(J565/10&gt;='الإعدادات والمستهدفات'!B5,"ناجح ومستوفى","ضعيف - يلزم إعادة اختبار"))</f>
        <v/>
      </c>
      <c r="M565" s="3"/>
      <c r="N565" s="3"/>
    </row>
    <row r="566" spans="1:14" x14ac:dyDescent="0.2">
      <c r="A566" s="3" t="str">
        <f>IFERROR(VLOOKUP(B566,'جدول الجلسات التدريبية'!A:B,2,FALSE),"")</f>
        <v/>
      </c>
      <c r="B566" s="3"/>
      <c r="C566" s="3" t="str">
        <f>IFERROR(VLOOKUP(A566,'الخطة التدريبية المعتمدة'!A:C,3,FALSE),"")</f>
        <v/>
      </c>
      <c r="D566" s="3" t="str">
        <f>IFERROR(VLOOKUP(B566,'جدول الجلسات التدريبية'!A:D,4,FALSE),"")</f>
        <v/>
      </c>
      <c r="E566" s="3"/>
      <c r="F566" s="3" t="str">
        <f>IFERROR(VLOOKUP(E566,'سجل الموظفين والكفاءة'!B:C,2,FALSE),"")</f>
        <v/>
      </c>
      <c r="G566" s="3">
        <f>IFERROR(VLOOKUP(A566,'الخطة التدريبية المعتمدة'!A:J,10,FALSE),0)</f>
        <v>0</v>
      </c>
      <c r="H566" s="3"/>
      <c r="I566" s="3"/>
      <c r="J566" s="3"/>
      <c r="K566" s="7" t="str">
        <f>IF(OR(I566="",J566="",I566=0),"",(J566-I566)/I566)</f>
        <v/>
      </c>
      <c r="L566" s="3" t="str">
        <f>IF(J566="","",IF(J566/10&gt;='الإعدادات والمستهدفات'!B5,"ناجح ومستوفى","ضعيف - يلزم إعادة اختبار"))</f>
        <v/>
      </c>
      <c r="M566" s="3"/>
      <c r="N566" s="3"/>
    </row>
    <row r="567" spans="1:14" x14ac:dyDescent="0.2">
      <c r="A567" s="3" t="str">
        <f>IFERROR(VLOOKUP(B567,'جدول الجلسات التدريبية'!A:B,2,FALSE),"")</f>
        <v/>
      </c>
      <c r="B567" s="3"/>
      <c r="C567" s="3" t="str">
        <f>IFERROR(VLOOKUP(A567,'الخطة التدريبية المعتمدة'!A:C,3,FALSE),"")</f>
        <v/>
      </c>
      <c r="D567" s="3" t="str">
        <f>IFERROR(VLOOKUP(B567,'جدول الجلسات التدريبية'!A:D,4,FALSE),"")</f>
        <v/>
      </c>
      <c r="E567" s="3"/>
      <c r="F567" s="3" t="str">
        <f>IFERROR(VLOOKUP(E567,'سجل الموظفين والكفاءة'!B:C,2,FALSE),"")</f>
        <v/>
      </c>
      <c r="G567" s="3">
        <f>IFERROR(VLOOKUP(A567,'الخطة التدريبية المعتمدة'!A:J,10,FALSE),0)</f>
        <v>0</v>
      </c>
      <c r="H567" s="3"/>
      <c r="I567" s="3"/>
      <c r="J567" s="3"/>
      <c r="K567" s="7" t="str">
        <f>IF(OR(I567="",J567="",I567=0),"",(J567-I567)/I567)</f>
        <v/>
      </c>
      <c r="L567" s="3" t="str">
        <f>IF(J567="","",IF(J567/10&gt;='الإعدادات والمستهدفات'!B5,"ناجح ومستوفى","ضعيف - يلزم إعادة اختبار"))</f>
        <v/>
      </c>
      <c r="M567" s="3"/>
      <c r="N567" s="3"/>
    </row>
    <row r="568" spans="1:14" x14ac:dyDescent="0.2">
      <c r="A568" s="3" t="str">
        <f>IFERROR(VLOOKUP(B568,'جدول الجلسات التدريبية'!A:B,2,FALSE),"")</f>
        <v/>
      </c>
      <c r="B568" s="3"/>
      <c r="C568" s="3" t="str">
        <f>IFERROR(VLOOKUP(A568,'الخطة التدريبية المعتمدة'!A:C,3,FALSE),"")</f>
        <v/>
      </c>
      <c r="D568" s="3" t="str">
        <f>IFERROR(VLOOKUP(B568,'جدول الجلسات التدريبية'!A:D,4,FALSE),"")</f>
        <v/>
      </c>
      <c r="E568" s="3"/>
      <c r="F568" s="3" t="str">
        <f>IFERROR(VLOOKUP(E568,'سجل الموظفين والكفاءة'!B:C,2,FALSE),"")</f>
        <v/>
      </c>
      <c r="G568" s="3">
        <f>IFERROR(VLOOKUP(A568,'الخطة التدريبية المعتمدة'!A:J,10,FALSE),0)</f>
        <v>0</v>
      </c>
      <c r="H568" s="3"/>
      <c r="I568" s="3"/>
      <c r="J568" s="3"/>
      <c r="K568" s="7" t="str">
        <f>IF(OR(I568="",J568="",I568=0),"",(J568-I568)/I568)</f>
        <v/>
      </c>
      <c r="L568" s="3" t="str">
        <f>IF(J568="","",IF(J568/10&gt;='الإعدادات والمستهدفات'!B5,"ناجح ومستوفى","ضعيف - يلزم إعادة اختبار"))</f>
        <v/>
      </c>
      <c r="M568" s="3"/>
      <c r="N568" s="3"/>
    </row>
    <row r="569" spans="1:14" x14ac:dyDescent="0.2">
      <c r="A569" s="3" t="str">
        <f>IFERROR(VLOOKUP(B569,'جدول الجلسات التدريبية'!A:B,2,FALSE),"")</f>
        <v/>
      </c>
      <c r="B569" s="3"/>
      <c r="C569" s="3" t="str">
        <f>IFERROR(VLOOKUP(A569,'الخطة التدريبية المعتمدة'!A:C,3,FALSE),"")</f>
        <v/>
      </c>
      <c r="D569" s="3" t="str">
        <f>IFERROR(VLOOKUP(B569,'جدول الجلسات التدريبية'!A:D,4,FALSE),"")</f>
        <v/>
      </c>
      <c r="E569" s="3"/>
      <c r="F569" s="3" t="str">
        <f>IFERROR(VLOOKUP(E569,'سجل الموظفين والكفاءة'!B:C,2,FALSE),"")</f>
        <v/>
      </c>
      <c r="G569" s="3">
        <f>IFERROR(VLOOKUP(A569,'الخطة التدريبية المعتمدة'!A:J,10,FALSE),0)</f>
        <v>0</v>
      </c>
      <c r="H569" s="3"/>
      <c r="I569" s="3"/>
      <c r="J569" s="3"/>
      <c r="K569" s="7" t="str">
        <f>IF(OR(I569="",J569="",I569=0),"",(J569-I569)/I569)</f>
        <v/>
      </c>
      <c r="L569" s="3" t="str">
        <f>IF(J569="","",IF(J569/10&gt;='الإعدادات والمستهدفات'!B5,"ناجح ومستوفى","ضعيف - يلزم إعادة اختبار"))</f>
        <v/>
      </c>
      <c r="M569" s="3"/>
      <c r="N569" s="3"/>
    </row>
    <row r="570" spans="1:14" x14ac:dyDescent="0.2">
      <c r="A570" s="3" t="str">
        <f>IFERROR(VLOOKUP(B570,'جدول الجلسات التدريبية'!A:B,2,FALSE),"")</f>
        <v/>
      </c>
      <c r="B570" s="3"/>
      <c r="C570" s="3" t="str">
        <f>IFERROR(VLOOKUP(A570,'الخطة التدريبية المعتمدة'!A:C,3,FALSE),"")</f>
        <v/>
      </c>
      <c r="D570" s="3" t="str">
        <f>IFERROR(VLOOKUP(B570,'جدول الجلسات التدريبية'!A:D,4,FALSE),"")</f>
        <v/>
      </c>
      <c r="E570" s="3"/>
      <c r="F570" s="3" t="str">
        <f>IFERROR(VLOOKUP(E570,'سجل الموظفين والكفاءة'!B:C,2,FALSE),"")</f>
        <v/>
      </c>
      <c r="G570" s="3">
        <f>IFERROR(VLOOKUP(A570,'الخطة التدريبية المعتمدة'!A:J,10,FALSE),0)</f>
        <v>0</v>
      </c>
      <c r="H570" s="3"/>
      <c r="I570" s="3"/>
      <c r="J570" s="3"/>
      <c r="K570" s="7" t="str">
        <f>IF(OR(I570="",J570="",I570=0),"",(J570-I570)/I570)</f>
        <v/>
      </c>
      <c r="L570" s="3" t="str">
        <f>IF(J570="","",IF(J570/10&gt;='الإعدادات والمستهدفات'!B5,"ناجح ومستوفى","ضعيف - يلزم إعادة اختبار"))</f>
        <v/>
      </c>
      <c r="M570" s="3"/>
      <c r="N570" s="3"/>
    </row>
    <row r="571" spans="1:14" x14ac:dyDescent="0.2">
      <c r="A571" s="3" t="str">
        <f>IFERROR(VLOOKUP(B571,'جدول الجلسات التدريبية'!A:B,2,FALSE),"")</f>
        <v/>
      </c>
      <c r="B571" s="3"/>
      <c r="C571" s="3" t="str">
        <f>IFERROR(VLOOKUP(A571,'الخطة التدريبية المعتمدة'!A:C,3,FALSE),"")</f>
        <v/>
      </c>
      <c r="D571" s="3" t="str">
        <f>IFERROR(VLOOKUP(B571,'جدول الجلسات التدريبية'!A:D,4,FALSE),"")</f>
        <v/>
      </c>
      <c r="E571" s="3"/>
      <c r="F571" s="3" t="str">
        <f>IFERROR(VLOOKUP(E571,'سجل الموظفين والكفاءة'!B:C,2,FALSE),"")</f>
        <v/>
      </c>
      <c r="G571" s="3">
        <f>IFERROR(VLOOKUP(A571,'الخطة التدريبية المعتمدة'!A:J,10,FALSE),0)</f>
        <v>0</v>
      </c>
      <c r="H571" s="3"/>
      <c r="I571" s="3"/>
      <c r="J571" s="3"/>
      <c r="K571" s="7" t="str">
        <f>IF(OR(I571="",J571="",I571=0),"",(J571-I571)/I571)</f>
        <v/>
      </c>
      <c r="L571" s="3" t="str">
        <f>IF(J571="","",IF(J571/10&gt;='الإعدادات والمستهدفات'!B5,"ناجح ومستوفى","ضعيف - يلزم إعادة اختبار"))</f>
        <v/>
      </c>
      <c r="M571" s="3"/>
      <c r="N571" s="3"/>
    </row>
    <row r="572" spans="1:14" x14ac:dyDescent="0.2">
      <c r="A572" s="3" t="str">
        <f>IFERROR(VLOOKUP(B572,'جدول الجلسات التدريبية'!A:B,2,FALSE),"")</f>
        <v/>
      </c>
      <c r="B572" s="3"/>
      <c r="C572" s="3" t="str">
        <f>IFERROR(VLOOKUP(A572,'الخطة التدريبية المعتمدة'!A:C,3,FALSE),"")</f>
        <v/>
      </c>
      <c r="D572" s="3" t="str">
        <f>IFERROR(VLOOKUP(B572,'جدول الجلسات التدريبية'!A:D,4,FALSE),"")</f>
        <v/>
      </c>
      <c r="E572" s="3"/>
      <c r="F572" s="3" t="str">
        <f>IFERROR(VLOOKUP(E572,'سجل الموظفين والكفاءة'!B:C,2,FALSE),"")</f>
        <v/>
      </c>
      <c r="G572" s="3">
        <f>IFERROR(VLOOKUP(A572,'الخطة التدريبية المعتمدة'!A:J,10,FALSE),0)</f>
        <v>0</v>
      </c>
      <c r="H572" s="3"/>
      <c r="I572" s="3"/>
      <c r="J572" s="3"/>
      <c r="K572" s="7" t="str">
        <f>IF(OR(I572="",J572="",I572=0),"",(J572-I572)/I572)</f>
        <v/>
      </c>
      <c r="L572" s="3" t="str">
        <f>IF(J572="","",IF(J572/10&gt;='الإعدادات والمستهدفات'!B5,"ناجح ومستوفى","ضعيف - يلزم إعادة اختبار"))</f>
        <v/>
      </c>
      <c r="M572" s="3"/>
      <c r="N572" s="3"/>
    </row>
    <row r="573" spans="1:14" x14ac:dyDescent="0.2">
      <c r="A573" s="3" t="str">
        <f>IFERROR(VLOOKUP(B573,'جدول الجلسات التدريبية'!A:B,2,FALSE),"")</f>
        <v/>
      </c>
      <c r="B573" s="3"/>
      <c r="C573" s="3" t="str">
        <f>IFERROR(VLOOKUP(A573,'الخطة التدريبية المعتمدة'!A:C,3,FALSE),"")</f>
        <v/>
      </c>
      <c r="D573" s="3" t="str">
        <f>IFERROR(VLOOKUP(B573,'جدول الجلسات التدريبية'!A:D,4,FALSE),"")</f>
        <v/>
      </c>
      <c r="E573" s="3"/>
      <c r="F573" s="3" t="str">
        <f>IFERROR(VLOOKUP(E573,'سجل الموظفين والكفاءة'!B:C,2,FALSE),"")</f>
        <v/>
      </c>
      <c r="G573" s="3">
        <f>IFERROR(VLOOKUP(A573,'الخطة التدريبية المعتمدة'!A:J,10,FALSE),0)</f>
        <v>0</v>
      </c>
      <c r="H573" s="3"/>
      <c r="I573" s="3"/>
      <c r="J573" s="3"/>
      <c r="K573" s="7" t="str">
        <f>IF(OR(I573="",J573="",I573=0),"",(J573-I573)/I573)</f>
        <v/>
      </c>
      <c r="L573" s="3" t="str">
        <f>IF(J573="","",IF(J573/10&gt;='الإعدادات والمستهدفات'!B5,"ناجح ومستوفى","ضعيف - يلزم إعادة اختبار"))</f>
        <v/>
      </c>
      <c r="M573" s="3"/>
      <c r="N573" s="3"/>
    </row>
    <row r="574" spans="1:14" x14ac:dyDescent="0.2">
      <c r="A574" s="3" t="str">
        <f>IFERROR(VLOOKUP(B574,'جدول الجلسات التدريبية'!A:B,2,FALSE),"")</f>
        <v/>
      </c>
      <c r="B574" s="3"/>
      <c r="C574" s="3" t="str">
        <f>IFERROR(VLOOKUP(A574,'الخطة التدريبية المعتمدة'!A:C,3,FALSE),"")</f>
        <v/>
      </c>
      <c r="D574" s="3" t="str">
        <f>IFERROR(VLOOKUP(B574,'جدول الجلسات التدريبية'!A:D,4,FALSE),"")</f>
        <v/>
      </c>
      <c r="E574" s="3"/>
      <c r="F574" s="3" t="str">
        <f>IFERROR(VLOOKUP(E574,'سجل الموظفين والكفاءة'!B:C,2,FALSE),"")</f>
        <v/>
      </c>
      <c r="G574" s="3">
        <f>IFERROR(VLOOKUP(A574,'الخطة التدريبية المعتمدة'!A:J,10,FALSE),0)</f>
        <v>0</v>
      </c>
      <c r="H574" s="3"/>
      <c r="I574" s="3"/>
      <c r="J574" s="3"/>
      <c r="K574" s="7" t="str">
        <f>IF(OR(I574="",J574="",I574=0),"",(J574-I574)/I574)</f>
        <v/>
      </c>
      <c r="L574" s="3" t="str">
        <f>IF(J574="","",IF(J574/10&gt;='الإعدادات والمستهدفات'!B5,"ناجح ومستوفى","ضعيف - يلزم إعادة اختبار"))</f>
        <v/>
      </c>
      <c r="M574" s="3"/>
      <c r="N574" s="3"/>
    </row>
    <row r="575" spans="1:14" x14ac:dyDescent="0.2">
      <c r="A575" s="3" t="str">
        <f>IFERROR(VLOOKUP(B575,'جدول الجلسات التدريبية'!A:B,2,FALSE),"")</f>
        <v/>
      </c>
      <c r="B575" s="3"/>
      <c r="C575" s="3" t="str">
        <f>IFERROR(VLOOKUP(A575,'الخطة التدريبية المعتمدة'!A:C,3,FALSE),"")</f>
        <v/>
      </c>
      <c r="D575" s="3" t="str">
        <f>IFERROR(VLOOKUP(B575,'جدول الجلسات التدريبية'!A:D,4,FALSE),"")</f>
        <v/>
      </c>
      <c r="E575" s="3"/>
      <c r="F575" s="3" t="str">
        <f>IFERROR(VLOOKUP(E575,'سجل الموظفين والكفاءة'!B:C,2,FALSE),"")</f>
        <v/>
      </c>
      <c r="G575" s="3">
        <f>IFERROR(VLOOKUP(A575,'الخطة التدريبية المعتمدة'!A:J,10,FALSE),0)</f>
        <v>0</v>
      </c>
      <c r="H575" s="3"/>
      <c r="I575" s="3"/>
      <c r="J575" s="3"/>
      <c r="K575" s="7" t="str">
        <f>IF(OR(I575="",J575="",I575=0),"",(J575-I575)/I575)</f>
        <v/>
      </c>
      <c r="L575" s="3" t="str">
        <f>IF(J575="","",IF(J575/10&gt;='الإعدادات والمستهدفات'!B5,"ناجح ومستوفى","ضعيف - يلزم إعادة اختبار"))</f>
        <v/>
      </c>
      <c r="M575" s="3"/>
      <c r="N575" s="3"/>
    </row>
    <row r="576" spans="1:14" x14ac:dyDescent="0.2">
      <c r="A576" s="3" t="str">
        <f>IFERROR(VLOOKUP(B576,'جدول الجلسات التدريبية'!A:B,2,FALSE),"")</f>
        <v/>
      </c>
      <c r="B576" s="3"/>
      <c r="C576" s="3" t="str">
        <f>IFERROR(VLOOKUP(A576,'الخطة التدريبية المعتمدة'!A:C,3,FALSE),"")</f>
        <v/>
      </c>
      <c r="D576" s="3" t="str">
        <f>IFERROR(VLOOKUP(B576,'جدول الجلسات التدريبية'!A:D,4,FALSE),"")</f>
        <v/>
      </c>
      <c r="E576" s="3"/>
      <c r="F576" s="3" t="str">
        <f>IFERROR(VLOOKUP(E576,'سجل الموظفين والكفاءة'!B:C,2,FALSE),"")</f>
        <v/>
      </c>
      <c r="G576" s="3">
        <f>IFERROR(VLOOKUP(A576,'الخطة التدريبية المعتمدة'!A:J,10,FALSE),0)</f>
        <v>0</v>
      </c>
      <c r="H576" s="3"/>
      <c r="I576" s="3"/>
      <c r="J576" s="3"/>
      <c r="K576" s="7" t="str">
        <f>IF(OR(I576="",J576="",I576=0),"",(J576-I576)/I576)</f>
        <v/>
      </c>
      <c r="L576" s="3" t="str">
        <f>IF(J576="","",IF(J576/10&gt;='الإعدادات والمستهدفات'!B5,"ناجح ومستوفى","ضعيف - يلزم إعادة اختبار"))</f>
        <v/>
      </c>
      <c r="M576" s="3"/>
      <c r="N576" s="3"/>
    </row>
    <row r="577" spans="1:14" x14ac:dyDescent="0.2">
      <c r="A577" s="3" t="str">
        <f>IFERROR(VLOOKUP(B577,'جدول الجلسات التدريبية'!A:B,2,FALSE),"")</f>
        <v/>
      </c>
      <c r="B577" s="3"/>
      <c r="C577" s="3" t="str">
        <f>IFERROR(VLOOKUP(A577,'الخطة التدريبية المعتمدة'!A:C,3,FALSE),"")</f>
        <v/>
      </c>
      <c r="D577" s="3" t="str">
        <f>IFERROR(VLOOKUP(B577,'جدول الجلسات التدريبية'!A:D,4,FALSE),"")</f>
        <v/>
      </c>
      <c r="E577" s="3"/>
      <c r="F577" s="3" t="str">
        <f>IFERROR(VLOOKUP(E577,'سجل الموظفين والكفاءة'!B:C,2,FALSE),"")</f>
        <v/>
      </c>
      <c r="G577" s="3">
        <f>IFERROR(VLOOKUP(A577,'الخطة التدريبية المعتمدة'!A:J,10,FALSE),0)</f>
        <v>0</v>
      </c>
      <c r="H577" s="3"/>
      <c r="I577" s="3"/>
      <c r="J577" s="3"/>
      <c r="K577" s="7" t="str">
        <f>IF(OR(I577="",J577="",I577=0),"",(J577-I577)/I577)</f>
        <v/>
      </c>
      <c r="L577" s="3" t="str">
        <f>IF(J577="","",IF(J577/10&gt;='الإعدادات والمستهدفات'!B5,"ناجح ومستوفى","ضعيف - يلزم إعادة اختبار"))</f>
        <v/>
      </c>
      <c r="M577" s="3"/>
      <c r="N577" s="3"/>
    </row>
    <row r="578" spans="1:14" x14ac:dyDescent="0.2">
      <c r="A578" s="3" t="str">
        <f>IFERROR(VLOOKUP(B578,'جدول الجلسات التدريبية'!A:B,2,FALSE),"")</f>
        <v/>
      </c>
      <c r="B578" s="3"/>
      <c r="C578" s="3" t="str">
        <f>IFERROR(VLOOKUP(A578,'الخطة التدريبية المعتمدة'!A:C,3,FALSE),"")</f>
        <v/>
      </c>
      <c r="D578" s="3" t="str">
        <f>IFERROR(VLOOKUP(B578,'جدول الجلسات التدريبية'!A:D,4,FALSE),"")</f>
        <v/>
      </c>
      <c r="E578" s="3"/>
      <c r="F578" s="3" t="str">
        <f>IFERROR(VLOOKUP(E578,'سجل الموظفين والكفاءة'!B:C,2,FALSE),"")</f>
        <v/>
      </c>
      <c r="G578" s="3">
        <f>IFERROR(VLOOKUP(A578,'الخطة التدريبية المعتمدة'!A:J,10,FALSE),0)</f>
        <v>0</v>
      </c>
      <c r="H578" s="3"/>
      <c r="I578" s="3"/>
      <c r="J578" s="3"/>
      <c r="K578" s="7" t="str">
        <f>IF(OR(I578="",J578="",I578=0),"",(J578-I578)/I578)</f>
        <v/>
      </c>
      <c r="L578" s="3" t="str">
        <f>IF(J578="","",IF(J578/10&gt;='الإعدادات والمستهدفات'!B5,"ناجح ومستوفى","ضعيف - يلزم إعادة اختبار"))</f>
        <v/>
      </c>
      <c r="M578" s="3"/>
      <c r="N578" s="3"/>
    </row>
    <row r="579" spans="1:14" x14ac:dyDescent="0.2">
      <c r="A579" s="3" t="str">
        <f>IFERROR(VLOOKUP(B579,'جدول الجلسات التدريبية'!A:B,2,FALSE),"")</f>
        <v/>
      </c>
      <c r="B579" s="3"/>
      <c r="C579" s="3" t="str">
        <f>IFERROR(VLOOKUP(A579,'الخطة التدريبية المعتمدة'!A:C,3,FALSE),"")</f>
        <v/>
      </c>
      <c r="D579" s="3" t="str">
        <f>IFERROR(VLOOKUP(B579,'جدول الجلسات التدريبية'!A:D,4,FALSE),"")</f>
        <v/>
      </c>
      <c r="E579" s="3"/>
      <c r="F579" s="3" t="str">
        <f>IFERROR(VLOOKUP(E579,'سجل الموظفين والكفاءة'!B:C,2,FALSE),"")</f>
        <v/>
      </c>
      <c r="G579" s="3">
        <f>IFERROR(VLOOKUP(A579,'الخطة التدريبية المعتمدة'!A:J,10,FALSE),0)</f>
        <v>0</v>
      </c>
      <c r="H579" s="3"/>
      <c r="I579" s="3"/>
      <c r="J579" s="3"/>
      <c r="K579" s="7" t="str">
        <f>IF(OR(I579="",J579="",I579=0),"",(J579-I579)/I579)</f>
        <v/>
      </c>
      <c r="L579" s="3" t="str">
        <f>IF(J579="","",IF(J579/10&gt;='الإعدادات والمستهدفات'!B5,"ناجح ومستوفى","ضعيف - يلزم إعادة اختبار"))</f>
        <v/>
      </c>
      <c r="M579" s="3"/>
      <c r="N579" s="3"/>
    </row>
    <row r="580" spans="1:14" x14ac:dyDescent="0.2">
      <c r="A580" s="3" t="str">
        <f>IFERROR(VLOOKUP(B580,'جدول الجلسات التدريبية'!A:B,2,FALSE),"")</f>
        <v/>
      </c>
      <c r="B580" s="3"/>
      <c r="C580" s="3" t="str">
        <f>IFERROR(VLOOKUP(A580,'الخطة التدريبية المعتمدة'!A:C,3,FALSE),"")</f>
        <v/>
      </c>
      <c r="D580" s="3" t="str">
        <f>IFERROR(VLOOKUP(B580,'جدول الجلسات التدريبية'!A:D,4,FALSE),"")</f>
        <v/>
      </c>
      <c r="E580" s="3"/>
      <c r="F580" s="3" t="str">
        <f>IFERROR(VLOOKUP(E580,'سجل الموظفين والكفاءة'!B:C,2,FALSE),"")</f>
        <v/>
      </c>
      <c r="G580" s="3">
        <f>IFERROR(VLOOKUP(A580,'الخطة التدريبية المعتمدة'!A:J,10,FALSE),0)</f>
        <v>0</v>
      </c>
      <c r="H580" s="3"/>
      <c r="I580" s="3"/>
      <c r="J580" s="3"/>
      <c r="K580" s="7" t="str">
        <f>IF(OR(I580="",J580="",I580=0),"",(J580-I580)/I580)</f>
        <v/>
      </c>
      <c r="L580" s="3" t="str">
        <f>IF(J580="","",IF(J580/10&gt;='الإعدادات والمستهدفات'!B5,"ناجح ومستوفى","ضعيف - يلزم إعادة اختبار"))</f>
        <v/>
      </c>
      <c r="M580" s="3"/>
      <c r="N580" s="3"/>
    </row>
    <row r="581" spans="1:14" x14ac:dyDescent="0.2">
      <c r="A581" s="3" t="str">
        <f>IFERROR(VLOOKUP(B581,'جدول الجلسات التدريبية'!A:B,2,FALSE),"")</f>
        <v/>
      </c>
      <c r="B581" s="3"/>
      <c r="C581" s="3" t="str">
        <f>IFERROR(VLOOKUP(A581,'الخطة التدريبية المعتمدة'!A:C,3,FALSE),"")</f>
        <v/>
      </c>
      <c r="D581" s="3" t="str">
        <f>IFERROR(VLOOKUP(B581,'جدول الجلسات التدريبية'!A:D,4,FALSE),"")</f>
        <v/>
      </c>
      <c r="E581" s="3"/>
      <c r="F581" s="3" t="str">
        <f>IFERROR(VLOOKUP(E581,'سجل الموظفين والكفاءة'!B:C,2,FALSE),"")</f>
        <v/>
      </c>
      <c r="G581" s="3">
        <f>IFERROR(VLOOKUP(A581,'الخطة التدريبية المعتمدة'!A:J,10,FALSE),0)</f>
        <v>0</v>
      </c>
      <c r="H581" s="3"/>
      <c r="I581" s="3"/>
      <c r="J581" s="3"/>
      <c r="K581" s="7" t="str">
        <f>IF(OR(I581="",J581="",I581=0),"",(J581-I581)/I581)</f>
        <v/>
      </c>
      <c r="L581" s="3" t="str">
        <f>IF(J581="","",IF(J581/10&gt;='الإعدادات والمستهدفات'!B5,"ناجح ومستوفى","ضعيف - يلزم إعادة اختبار"))</f>
        <v/>
      </c>
      <c r="M581" s="3"/>
      <c r="N581" s="3"/>
    </row>
    <row r="582" spans="1:14" x14ac:dyDescent="0.2">
      <c r="A582" s="3" t="str">
        <f>IFERROR(VLOOKUP(B582,'جدول الجلسات التدريبية'!A:B,2,FALSE),"")</f>
        <v/>
      </c>
      <c r="B582" s="3"/>
      <c r="C582" s="3" t="str">
        <f>IFERROR(VLOOKUP(A582,'الخطة التدريبية المعتمدة'!A:C,3,FALSE),"")</f>
        <v/>
      </c>
      <c r="D582" s="3" t="str">
        <f>IFERROR(VLOOKUP(B582,'جدول الجلسات التدريبية'!A:D,4,FALSE),"")</f>
        <v/>
      </c>
      <c r="E582" s="3"/>
      <c r="F582" s="3" t="str">
        <f>IFERROR(VLOOKUP(E582,'سجل الموظفين والكفاءة'!B:C,2,FALSE),"")</f>
        <v/>
      </c>
      <c r="G582" s="3">
        <f>IFERROR(VLOOKUP(A582,'الخطة التدريبية المعتمدة'!A:J,10,FALSE),0)</f>
        <v>0</v>
      </c>
      <c r="H582" s="3"/>
      <c r="I582" s="3"/>
      <c r="J582" s="3"/>
      <c r="K582" s="7" t="str">
        <f>IF(OR(I582="",J582="",I582=0),"",(J582-I582)/I582)</f>
        <v/>
      </c>
      <c r="L582" s="3" t="str">
        <f>IF(J582="","",IF(J582/10&gt;='الإعدادات والمستهدفات'!B5,"ناجح ومستوفى","ضعيف - يلزم إعادة اختبار"))</f>
        <v/>
      </c>
      <c r="M582" s="3"/>
      <c r="N582" s="3"/>
    </row>
    <row r="583" spans="1:14" x14ac:dyDescent="0.2">
      <c r="A583" s="3" t="str">
        <f>IFERROR(VLOOKUP(B583,'جدول الجلسات التدريبية'!A:B,2,FALSE),"")</f>
        <v/>
      </c>
      <c r="B583" s="3"/>
      <c r="C583" s="3" t="str">
        <f>IFERROR(VLOOKUP(A583,'الخطة التدريبية المعتمدة'!A:C,3,FALSE),"")</f>
        <v/>
      </c>
      <c r="D583" s="3" t="str">
        <f>IFERROR(VLOOKUP(B583,'جدول الجلسات التدريبية'!A:D,4,FALSE),"")</f>
        <v/>
      </c>
      <c r="E583" s="3"/>
      <c r="F583" s="3" t="str">
        <f>IFERROR(VLOOKUP(E583,'سجل الموظفين والكفاءة'!B:C,2,FALSE),"")</f>
        <v/>
      </c>
      <c r="G583" s="3">
        <f>IFERROR(VLOOKUP(A583,'الخطة التدريبية المعتمدة'!A:J,10,FALSE),0)</f>
        <v>0</v>
      </c>
      <c r="H583" s="3"/>
      <c r="I583" s="3"/>
      <c r="J583" s="3"/>
      <c r="K583" s="7" t="str">
        <f>IF(OR(I583="",J583="",I583=0),"",(J583-I583)/I583)</f>
        <v/>
      </c>
      <c r="L583" s="3" t="str">
        <f>IF(J583="","",IF(J583/10&gt;='الإعدادات والمستهدفات'!B5,"ناجح ومستوفى","ضعيف - يلزم إعادة اختبار"))</f>
        <v/>
      </c>
      <c r="M583" s="3"/>
      <c r="N583" s="3"/>
    </row>
    <row r="584" spans="1:14" x14ac:dyDescent="0.2">
      <c r="A584" s="3" t="str">
        <f>IFERROR(VLOOKUP(B584,'جدول الجلسات التدريبية'!A:B,2,FALSE),"")</f>
        <v/>
      </c>
      <c r="B584" s="3"/>
      <c r="C584" s="3" t="str">
        <f>IFERROR(VLOOKUP(A584,'الخطة التدريبية المعتمدة'!A:C,3,FALSE),"")</f>
        <v/>
      </c>
      <c r="D584" s="3" t="str">
        <f>IFERROR(VLOOKUP(B584,'جدول الجلسات التدريبية'!A:D,4,FALSE),"")</f>
        <v/>
      </c>
      <c r="E584" s="3"/>
      <c r="F584" s="3" t="str">
        <f>IFERROR(VLOOKUP(E584,'سجل الموظفين والكفاءة'!B:C,2,FALSE),"")</f>
        <v/>
      </c>
      <c r="G584" s="3">
        <f>IFERROR(VLOOKUP(A584,'الخطة التدريبية المعتمدة'!A:J,10,FALSE),0)</f>
        <v>0</v>
      </c>
      <c r="H584" s="3"/>
      <c r="I584" s="3"/>
      <c r="J584" s="3"/>
      <c r="K584" s="7" t="str">
        <f>IF(OR(I584="",J584="",I584=0),"",(J584-I584)/I584)</f>
        <v/>
      </c>
      <c r="L584" s="3" t="str">
        <f>IF(J584="","",IF(J584/10&gt;='الإعدادات والمستهدفات'!B5,"ناجح ومستوفى","ضعيف - يلزم إعادة اختبار"))</f>
        <v/>
      </c>
      <c r="M584" s="3"/>
      <c r="N584" s="3"/>
    </row>
    <row r="585" spans="1:14" x14ac:dyDescent="0.2">
      <c r="A585" s="3" t="str">
        <f>IFERROR(VLOOKUP(B585,'جدول الجلسات التدريبية'!A:B,2,FALSE),"")</f>
        <v/>
      </c>
      <c r="B585" s="3"/>
      <c r="C585" s="3" t="str">
        <f>IFERROR(VLOOKUP(A585,'الخطة التدريبية المعتمدة'!A:C,3,FALSE),"")</f>
        <v/>
      </c>
      <c r="D585" s="3" t="str">
        <f>IFERROR(VLOOKUP(B585,'جدول الجلسات التدريبية'!A:D,4,FALSE),"")</f>
        <v/>
      </c>
      <c r="E585" s="3"/>
      <c r="F585" s="3" t="str">
        <f>IFERROR(VLOOKUP(E585,'سجل الموظفين والكفاءة'!B:C,2,FALSE),"")</f>
        <v/>
      </c>
      <c r="G585" s="3">
        <f>IFERROR(VLOOKUP(A585,'الخطة التدريبية المعتمدة'!A:J,10,FALSE),0)</f>
        <v>0</v>
      </c>
      <c r="H585" s="3"/>
      <c r="I585" s="3"/>
      <c r="J585" s="3"/>
      <c r="K585" s="7" t="str">
        <f>IF(OR(I585="",J585="",I585=0),"",(J585-I585)/I585)</f>
        <v/>
      </c>
      <c r="L585" s="3" t="str">
        <f>IF(J585="","",IF(J585/10&gt;='الإعدادات والمستهدفات'!B5,"ناجح ومستوفى","ضعيف - يلزم إعادة اختبار"))</f>
        <v/>
      </c>
      <c r="M585" s="3"/>
      <c r="N585" s="3"/>
    </row>
    <row r="586" spans="1:14" x14ac:dyDescent="0.2">
      <c r="A586" s="3" t="str">
        <f>IFERROR(VLOOKUP(B586,'جدول الجلسات التدريبية'!A:B,2,FALSE),"")</f>
        <v/>
      </c>
      <c r="B586" s="3"/>
      <c r="C586" s="3" t="str">
        <f>IFERROR(VLOOKUP(A586,'الخطة التدريبية المعتمدة'!A:C,3,FALSE),"")</f>
        <v/>
      </c>
      <c r="D586" s="3" t="str">
        <f>IFERROR(VLOOKUP(B586,'جدول الجلسات التدريبية'!A:D,4,FALSE),"")</f>
        <v/>
      </c>
      <c r="E586" s="3"/>
      <c r="F586" s="3" t="str">
        <f>IFERROR(VLOOKUP(E586,'سجل الموظفين والكفاءة'!B:C,2,FALSE),"")</f>
        <v/>
      </c>
      <c r="G586" s="3">
        <f>IFERROR(VLOOKUP(A586,'الخطة التدريبية المعتمدة'!A:J,10,FALSE),0)</f>
        <v>0</v>
      </c>
      <c r="H586" s="3"/>
      <c r="I586" s="3"/>
      <c r="J586" s="3"/>
      <c r="K586" s="7" t="str">
        <f>IF(OR(I586="",J586="",I586=0),"",(J586-I586)/I586)</f>
        <v/>
      </c>
      <c r="L586" s="3" t="str">
        <f>IF(J586="","",IF(J586/10&gt;='الإعدادات والمستهدفات'!B5,"ناجح ومستوفى","ضعيف - يلزم إعادة اختبار"))</f>
        <v/>
      </c>
      <c r="M586" s="3"/>
      <c r="N586" s="3"/>
    </row>
    <row r="587" spans="1:14" x14ac:dyDescent="0.2">
      <c r="A587" s="3" t="str">
        <f>IFERROR(VLOOKUP(B587,'جدول الجلسات التدريبية'!A:B,2,FALSE),"")</f>
        <v/>
      </c>
      <c r="B587" s="3"/>
      <c r="C587" s="3" t="str">
        <f>IFERROR(VLOOKUP(A587,'الخطة التدريبية المعتمدة'!A:C,3,FALSE),"")</f>
        <v/>
      </c>
      <c r="D587" s="3" t="str">
        <f>IFERROR(VLOOKUP(B587,'جدول الجلسات التدريبية'!A:D,4,FALSE),"")</f>
        <v/>
      </c>
      <c r="E587" s="3"/>
      <c r="F587" s="3" t="str">
        <f>IFERROR(VLOOKUP(E587,'سجل الموظفين والكفاءة'!B:C,2,FALSE),"")</f>
        <v/>
      </c>
      <c r="G587" s="3">
        <f>IFERROR(VLOOKUP(A587,'الخطة التدريبية المعتمدة'!A:J,10,FALSE),0)</f>
        <v>0</v>
      </c>
      <c r="H587" s="3"/>
      <c r="I587" s="3"/>
      <c r="J587" s="3"/>
      <c r="K587" s="7" t="str">
        <f>IF(OR(I587="",J587="",I587=0),"",(J587-I587)/I587)</f>
        <v/>
      </c>
      <c r="L587" s="3" t="str">
        <f>IF(J587="","",IF(J587/10&gt;='الإعدادات والمستهدفات'!B5,"ناجح ومستوفى","ضعيف - يلزم إعادة اختبار"))</f>
        <v/>
      </c>
      <c r="M587" s="3"/>
      <c r="N587" s="3"/>
    </row>
    <row r="588" spans="1:14" x14ac:dyDescent="0.2">
      <c r="A588" s="3" t="str">
        <f>IFERROR(VLOOKUP(B588,'جدول الجلسات التدريبية'!A:B,2,FALSE),"")</f>
        <v/>
      </c>
      <c r="B588" s="3"/>
      <c r="C588" s="3" t="str">
        <f>IFERROR(VLOOKUP(A588,'الخطة التدريبية المعتمدة'!A:C,3,FALSE),"")</f>
        <v/>
      </c>
      <c r="D588" s="3" t="str">
        <f>IFERROR(VLOOKUP(B588,'جدول الجلسات التدريبية'!A:D,4,FALSE),"")</f>
        <v/>
      </c>
      <c r="E588" s="3"/>
      <c r="F588" s="3" t="str">
        <f>IFERROR(VLOOKUP(E588,'سجل الموظفين والكفاءة'!B:C,2,FALSE),"")</f>
        <v/>
      </c>
      <c r="G588" s="3">
        <f>IFERROR(VLOOKUP(A588,'الخطة التدريبية المعتمدة'!A:J,10,FALSE),0)</f>
        <v>0</v>
      </c>
      <c r="H588" s="3"/>
      <c r="I588" s="3"/>
      <c r="J588" s="3"/>
      <c r="K588" s="7" t="str">
        <f>IF(OR(I588="",J588="",I588=0),"",(J588-I588)/I588)</f>
        <v/>
      </c>
      <c r="L588" s="3" t="str">
        <f>IF(J588="","",IF(J588/10&gt;='الإعدادات والمستهدفات'!B5,"ناجح ومستوفى","ضعيف - يلزم إعادة اختبار"))</f>
        <v/>
      </c>
      <c r="M588" s="3"/>
      <c r="N588" s="3"/>
    </row>
    <row r="589" spans="1:14" x14ac:dyDescent="0.2">
      <c r="A589" s="3" t="str">
        <f>IFERROR(VLOOKUP(B589,'جدول الجلسات التدريبية'!A:B,2,FALSE),"")</f>
        <v/>
      </c>
      <c r="B589" s="3"/>
      <c r="C589" s="3" t="str">
        <f>IFERROR(VLOOKUP(A589,'الخطة التدريبية المعتمدة'!A:C,3,FALSE),"")</f>
        <v/>
      </c>
      <c r="D589" s="3" t="str">
        <f>IFERROR(VLOOKUP(B589,'جدول الجلسات التدريبية'!A:D,4,FALSE),"")</f>
        <v/>
      </c>
      <c r="E589" s="3"/>
      <c r="F589" s="3" t="str">
        <f>IFERROR(VLOOKUP(E589,'سجل الموظفين والكفاءة'!B:C,2,FALSE),"")</f>
        <v/>
      </c>
      <c r="G589" s="3">
        <f>IFERROR(VLOOKUP(A589,'الخطة التدريبية المعتمدة'!A:J,10,FALSE),0)</f>
        <v>0</v>
      </c>
      <c r="H589" s="3"/>
      <c r="I589" s="3"/>
      <c r="J589" s="3"/>
      <c r="K589" s="7" t="str">
        <f>IF(OR(I589="",J589="",I589=0),"",(J589-I589)/I589)</f>
        <v/>
      </c>
      <c r="L589" s="3" t="str">
        <f>IF(J589="","",IF(J589/10&gt;='الإعدادات والمستهدفات'!B5,"ناجح ومستوفى","ضعيف - يلزم إعادة اختبار"))</f>
        <v/>
      </c>
      <c r="M589" s="3"/>
      <c r="N589" s="3"/>
    </row>
    <row r="590" spans="1:14" x14ac:dyDescent="0.2">
      <c r="A590" s="3" t="str">
        <f>IFERROR(VLOOKUP(B590,'جدول الجلسات التدريبية'!A:B,2,FALSE),"")</f>
        <v/>
      </c>
      <c r="B590" s="3"/>
      <c r="C590" s="3" t="str">
        <f>IFERROR(VLOOKUP(A590,'الخطة التدريبية المعتمدة'!A:C,3,FALSE),"")</f>
        <v/>
      </c>
      <c r="D590" s="3" t="str">
        <f>IFERROR(VLOOKUP(B590,'جدول الجلسات التدريبية'!A:D,4,FALSE),"")</f>
        <v/>
      </c>
      <c r="E590" s="3"/>
      <c r="F590" s="3" t="str">
        <f>IFERROR(VLOOKUP(E590,'سجل الموظفين والكفاءة'!B:C,2,FALSE),"")</f>
        <v/>
      </c>
      <c r="G590" s="3">
        <f>IFERROR(VLOOKUP(A590,'الخطة التدريبية المعتمدة'!A:J,10,FALSE),0)</f>
        <v>0</v>
      </c>
      <c r="H590" s="3"/>
      <c r="I590" s="3"/>
      <c r="J590" s="3"/>
      <c r="K590" s="7" t="str">
        <f>IF(OR(I590="",J590="",I590=0),"",(J590-I590)/I590)</f>
        <v/>
      </c>
      <c r="L590" s="3" t="str">
        <f>IF(J590="","",IF(J590/10&gt;='الإعدادات والمستهدفات'!B5,"ناجح ومستوفى","ضعيف - يلزم إعادة اختبار"))</f>
        <v/>
      </c>
      <c r="M590" s="3"/>
      <c r="N590" s="3"/>
    </row>
    <row r="591" spans="1:14" x14ac:dyDescent="0.2">
      <c r="A591" s="3" t="str">
        <f>IFERROR(VLOOKUP(B591,'جدول الجلسات التدريبية'!A:B,2,FALSE),"")</f>
        <v/>
      </c>
      <c r="B591" s="3"/>
      <c r="C591" s="3" t="str">
        <f>IFERROR(VLOOKUP(A591,'الخطة التدريبية المعتمدة'!A:C,3,FALSE),"")</f>
        <v/>
      </c>
      <c r="D591" s="3" t="str">
        <f>IFERROR(VLOOKUP(B591,'جدول الجلسات التدريبية'!A:D,4,FALSE),"")</f>
        <v/>
      </c>
      <c r="E591" s="3"/>
      <c r="F591" s="3" t="str">
        <f>IFERROR(VLOOKUP(E591,'سجل الموظفين والكفاءة'!B:C,2,FALSE),"")</f>
        <v/>
      </c>
      <c r="G591" s="3">
        <f>IFERROR(VLOOKUP(A591,'الخطة التدريبية المعتمدة'!A:J,10,FALSE),0)</f>
        <v>0</v>
      </c>
      <c r="H591" s="3"/>
      <c r="I591" s="3"/>
      <c r="J591" s="3"/>
      <c r="K591" s="7" t="str">
        <f>IF(OR(I591="",J591="",I591=0),"",(J591-I591)/I591)</f>
        <v/>
      </c>
      <c r="L591" s="3" t="str">
        <f>IF(J591="","",IF(J591/10&gt;='الإعدادات والمستهدفات'!B5,"ناجح ومستوفى","ضعيف - يلزم إعادة اختبار"))</f>
        <v/>
      </c>
      <c r="M591" s="3"/>
      <c r="N591" s="3"/>
    </row>
    <row r="592" spans="1:14" x14ac:dyDescent="0.2">
      <c r="A592" s="3" t="str">
        <f>IFERROR(VLOOKUP(B592,'جدول الجلسات التدريبية'!A:B,2,FALSE),"")</f>
        <v/>
      </c>
      <c r="B592" s="3"/>
      <c r="C592" s="3" t="str">
        <f>IFERROR(VLOOKUP(A592,'الخطة التدريبية المعتمدة'!A:C,3,FALSE),"")</f>
        <v/>
      </c>
      <c r="D592" s="3" t="str">
        <f>IFERROR(VLOOKUP(B592,'جدول الجلسات التدريبية'!A:D,4,FALSE),"")</f>
        <v/>
      </c>
      <c r="E592" s="3"/>
      <c r="F592" s="3" t="str">
        <f>IFERROR(VLOOKUP(E592,'سجل الموظفين والكفاءة'!B:C,2,FALSE),"")</f>
        <v/>
      </c>
      <c r="G592" s="3">
        <f>IFERROR(VLOOKUP(A592,'الخطة التدريبية المعتمدة'!A:J,10,FALSE),0)</f>
        <v>0</v>
      </c>
      <c r="H592" s="3"/>
      <c r="I592" s="3"/>
      <c r="J592" s="3"/>
      <c r="K592" s="7" t="str">
        <f>IF(OR(I592="",J592="",I592=0),"",(J592-I592)/I592)</f>
        <v/>
      </c>
      <c r="L592" s="3" t="str">
        <f>IF(J592="","",IF(J592/10&gt;='الإعدادات والمستهدفات'!B5,"ناجح ومستوفى","ضعيف - يلزم إعادة اختبار"))</f>
        <v/>
      </c>
      <c r="M592" s="3"/>
      <c r="N592" s="3"/>
    </row>
    <row r="593" spans="1:14" x14ac:dyDescent="0.2">
      <c r="A593" s="3" t="str">
        <f>IFERROR(VLOOKUP(B593,'جدول الجلسات التدريبية'!A:B,2,FALSE),"")</f>
        <v/>
      </c>
      <c r="B593" s="3"/>
      <c r="C593" s="3" t="str">
        <f>IFERROR(VLOOKUP(A593,'الخطة التدريبية المعتمدة'!A:C,3,FALSE),"")</f>
        <v/>
      </c>
      <c r="D593" s="3" t="str">
        <f>IFERROR(VLOOKUP(B593,'جدول الجلسات التدريبية'!A:D,4,FALSE),"")</f>
        <v/>
      </c>
      <c r="E593" s="3"/>
      <c r="F593" s="3" t="str">
        <f>IFERROR(VLOOKUP(E593,'سجل الموظفين والكفاءة'!B:C,2,FALSE),"")</f>
        <v/>
      </c>
      <c r="G593" s="3">
        <f>IFERROR(VLOOKUP(A593,'الخطة التدريبية المعتمدة'!A:J,10,FALSE),0)</f>
        <v>0</v>
      </c>
      <c r="H593" s="3"/>
      <c r="I593" s="3"/>
      <c r="J593" s="3"/>
      <c r="K593" s="7" t="str">
        <f>IF(OR(I593="",J593="",I593=0),"",(J593-I593)/I593)</f>
        <v/>
      </c>
      <c r="L593" s="3" t="str">
        <f>IF(J593="","",IF(J593/10&gt;='الإعدادات والمستهدفات'!B5,"ناجح ومستوفى","ضعيف - يلزم إعادة اختبار"))</f>
        <v/>
      </c>
      <c r="M593" s="3"/>
      <c r="N593" s="3"/>
    </row>
    <row r="594" spans="1:14" x14ac:dyDescent="0.2">
      <c r="A594" s="3" t="str">
        <f>IFERROR(VLOOKUP(B594,'جدول الجلسات التدريبية'!A:B,2,FALSE),"")</f>
        <v/>
      </c>
      <c r="B594" s="3"/>
      <c r="C594" s="3" t="str">
        <f>IFERROR(VLOOKUP(A594,'الخطة التدريبية المعتمدة'!A:C,3,FALSE),"")</f>
        <v/>
      </c>
      <c r="D594" s="3" t="str">
        <f>IFERROR(VLOOKUP(B594,'جدول الجلسات التدريبية'!A:D,4,FALSE),"")</f>
        <v/>
      </c>
      <c r="E594" s="3"/>
      <c r="F594" s="3" t="str">
        <f>IFERROR(VLOOKUP(E594,'سجل الموظفين والكفاءة'!B:C,2,FALSE),"")</f>
        <v/>
      </c>
      <c r="G594" s="3">
        <f>IFERROR(VLOOKUP(A594,'الخطة التدريبية المعتمدة'!A:J,10,FALSE),0)</f>
        <v>0</v>
      </c>
      <c r="H594" s="3"/>
      <c r="I594" s="3"/>
      <c r="J594" s="3"/>
      <c r="K594" s="7" t="str">
        <f>IF(OR(I594="",J594="",I594=0),"",(J594-I594)/I594)</f>
        <v/>
      </c>
      <c r="L594" s="3" t="str">
        <f>IF(J594="","",IF(J594/10&gt;='الإعدادات والمستهدفات'!B5,"ناجح ومستوفى","ضعيف - يلزم إعادة اختبار"))</f>
        <v/>
      </c>
      <c r="M594" s="3"/>
      <c r="N594" s="3"/>
    </row>
    <row r="595" spans="1:14" x14ac:dyDescent="0.2">
      <c r="A595" s="3" t="str">
        <f>IFERROR(VLOOKUP(B595,'جدول الجلسات التدريبية'!A:B,2,FALSE),"")</f>
        <v/>
      </c>
      <c r="B595" s="3"/>
      <c r="C595" s="3" t="str">
        <f>IFERROR(VLOOKUP(A595,'الخطة التدريبية المعتمدة'!A:C,3,FALSE),"")</f>
        <v/>
      </c>
      <c r="D595" s="3" t="str">
        <f>IFERROR(VLOOKUP(B595,'جدول الجلسات التدريبية'!A:D,4,FALSE),"")</f>
        <v/>
      </c>
      <c r="E595" s="3"/>
      <c r="F595" s="3" t="str">
        <f>IFERROR(VLOOKUP(E595,'سجل الموظفين والكفاءة'!B:C,2,FALSE),"")</f>
        <v/>
      </c>
      <c r="G595" s="3">
        <f>IFERROR(VLOOKUP(A595,'الخطة التدريبية المعتمدة'!A:J,10,FALSE),0)</f>
        <v>0</v>
      </c>
      <c r="H595" s="3"/>
      <c r="I595" s="3"/>
      <c r="J595" s="3"/>
      <c r="K595" s="7" t="str">
        <f>IF(OR(I595="",J595="",I595=0),"",(J595-I595)/I595)</f>
        <v/>
      </c>
      <c r="L595" s="3" t="str">
        <f>IF(J595="","",IF(J595/10&gt;='الإعدادات والمستهدفات'!B5,"ناجح ومستوفى","ضعيف - يلزم إعادة اختبار"))</f>
        <v/>
      </c>
      <c r="M595" s="3"/>
      <c r="N595" s="3"/>
    </row>
    <row r="596" spans="1:14" x14ac:dyDescent="0.2">
      <c r="A596" s="3" t="str">
        <f>IFERROR(VLOOKUP(B596,'جدول الجلسات التدريبية'!A:B,2,FALSE),"")</f>
        <v/>
      </c>
      <c r="B596" s="3"/>
      <c r="C596" s="3" t="str">
        <f>IFERROR(VLOOKUP(A596,'الخطة التدريبية المعتمدة'!A:C,3,FALSE),"")</f>
        <v/>
      </c>
      <c r="D596" s="3" t="str">
        <f>IFERROR(VLOOKUP(B596,'جدول الجلسات التدريبية'!A:D,4,FALSE),"")</f>
        <v/>
      </c>
      <c r="E596" s="3"/>
      <c r="F596" s="3" t="str">
        <f>IFERROR(VLOOKUP(E596,'سجل الموظفين والكفاءة'!B:C,2,FALSE),"")</f>
        <v/>
      </c>
      <c r="G596" s="3">
        <f>IFERROR(VLOOKUP(A596,'الخطة التدريبية المعتمدة'!A:J,10,FALSE),0)</f>
        <v>0</v>
      </c>
      <c r="H596" s="3"/>
      <c r="I596" s="3"/>
      <c r="J596" s="3"/>
      <c r="K596" s="7" t="str">
        <f>IF(OR(I596="",J596="",I596=0),"",(J596-I596)/I596)</f>
        <v/>
      </c>
      <c r="L596" s="3" t="str">
        <f>IF(J596="","",IF(J596/10&gt;='الإعدادات والمستهدفات'!B5,"ناجح ومستوفى","ضعيف - يلزم إعادة اختبار"))</f>
        <v/>
      </c>
      <c r="M596" s="3"/>
      <c r="N596" s="3"/>
    </row>
    <row r="597" spans="1:14" x14ac:dyDescent="0.2">
      <c r="A597" s="3" t="str">
        <f>IFERROR(VLOOKUP(B597,'جدول الجلسات التدريبية'!A:B,2,FALSE),"")</f>
        <v/>
      </c>
      <c r="B597" s="3"/>
      <c r="C597" s="3" t="str">
        <f>IFERROR(VLOOKUP(A597,'الخطة التدريبية المعتمدة'!A:C,3,FALSE),"")</f>
        <v/>
      </c>
      <c r="D597" s="3" t="str">
        <f>IFERROR(VLOOKUP(B597,'جدول الجلسات التدريبية'!A:D,4,FALSE),"")</f>
        <v/>
      </c>
      <c r="E597" s="3"/>
      <c r="F597" s="3" t="str">
        <f>IFERROR(VLOOKUP(E597,'سجل الموظفين والكفاءة'!B:C,2,FALSE),"")</f>
        <v/>
      </c>
      <c r="G597" s="3">
        <f>IFERROR(VLOOKUP(A597,'الخطة التدريبية المعتمدة'!A:J,10,FALSE),0)</f>
        <v>0</v>
      </c>
      <c r="H597" s="3"/>
      <c r="I597" s="3"/>
      <c r="J597" s="3"/>
      <c r="K597" s="7" t="str">
        <f>IF(OR(I597="",J597="",I597=0),"",(J597-I597)/I597)</f>
        <v/>
      </c>
      <c r="L597" s="3" t="str">
        <f>IF(J597="","",IF(J597/10&gt;='الإعدادات والمستهدفات'!B5,"ناجح ومستوفى","ضعيف - يلزم إعادة اختبار"))</f>
        <v/>
      </c>
      <c r="M597" s="3"/>
      <c r="N597" s="3"/>
    </row>
    <row r="598" spans="1:14" x14ac:dyDescent="0.2">
      <c r="A598" s="3" t="str">
        <f>IFERROR(VLOOKUP(B598,'جدول الجلسات التدريبية'!A:B,2,FALSE),"")</f>
        <v/>
      </c>
      <c r="B598" s="3"/>
      <c r="C598" s="3" t="str">
        <f>IFERROR(VLOOKUP(A598,'الخطة التدريبية المعتمدة'!A:C,3,FALSE),"")</f>
        <v/>
      </c>
      <c r="D598" s="3" t="str">
        <f>IFERROR(VLOOKUP(B598,'جدول الجلسات التدريبية'!A:D,4,FALSE),"")</f>
        <v/>
      </c>
      <c r="E598" s="3"/>
      <c r="F598" s="3" t="str">
        <f>IFERROR(VLOOKUP(E598,'سجل الموظفين والكفاءة'!B:C,2,FALSE),"")</f>
        <v/>
      </c>
      <c r="G598" s="3">
        <f>IFERROR(VLOOKUP(A598,'الخطة التدريبية المعتمدة'!A:J,10,FALSE),0)</f>
        <v>0</v>
      </c>
      <c r="H598" s="3"/>
      <c r="I598" s="3"/>
      <c r="J598" s="3"/>
      <c r="K598" s="7" t="str">
        <f>IF(OR(I598="",J598="",I598=0),"",(J598-I598)/I598)</f>
        <v/>
      </c>
      <c r="L598" s="3" t="str">
        <f>IF(J598="","",IF(J598/10&gt;='الإعدادات والمستهدفات'!B5,"ناجح ومستوفى","ضعيف - يلزم إعادة اختبار"))</f>
        <v/>
      </c>
      <c r="M598" s="3"/>
      <c r="N598" s="3"/>
    </row>
    <row r="599" spans="1:14" x14ac:dyDescent="0.2">
      <c r="A599" s="3" t="str">
        <f>IFERROR(VLOOKUP(B599,'جدول الجلسات التدريبية'!A:B,2,FALSE),"")</f>
        <v/>
      </c>
      <c r="B599" s="3"/>
      <c r="C599" s="3" t="str">
        <f>IFERROR(VLOOKUP(A599,'الخطة التدريبية المعتمدة'!A:C,3,FALSE),"")</f>
        <v/>
      </c>
      <c r="D599" s="3" t="str">
        <f>IFERROR(VLOOKUP(B599,'جدول الجلسات التدريبية'!A:D,4,FALSE),"")</f>
        <v/>
      </c>
      <c r="E599" s="3"/>
      <c r="F599" s="3" t="str">
        <f>IFERROR(VLOOKUP(E599,'سجل الموظفين والكفاءة'!B:C,2,FALSE),"")</f>
        <v/>
      </c>
      <c r="G599" s="3">
        <f>IFERROR(VLOOKUP(A599,'الخطة التدريبية المعتمدة'!A:J,10,FALSE),0)</f>
        <v>0</v>
      </c>
      <c r="H599" s="3"/>
      <c r="I599" s="3"/>
      <c r="J599" s="3"/>
      <c r="K599" s="7" t="str">
        <f>IF(OR(I599="",J599="",I599=0),"",(J599-I599)/I599)</f>
        <v/>
      </c>
      <c r="L599" s="3" t="str">
        <f>IF(J599="","",IF(J599/10&gt;='الإعدادات والمستهدفات'!B5,"ناجح ومستوفى","ضعيف - يلزم إعادة اختبار"))</f>
        <v/>
      </c>
      <c r="M599" s="3"/>
      <c r="N599" s="3"/>
    </row>
    <row r="600" spans="1:14" x14ac:dyDescent="0.2">
      <c r="A600" s="3" t="str">
        <f>IFERROR(VLOOKUP(B600,'جدول الجلسات التدريبية'!A:B,2,FALSE),"")</f>
        <v/>
      </c>
      <c r="B600" s="3"/>
      <c r="C600" s="3" t="str">
        <f>IFERROR(VLOOKUP(A600,'الخطة التدريبية المعتمدة'!A:C,3,FALSE),"")</f>
        <v/>
      </c>
      <c r="D600" s="3" t="str">
        <f>IFERROR(VLOOKUP(B600,'جدول الجلسات التدريبية'!A:D,4,FALSE),"")</f>
        <v/>
      </c>
      <c r="E600" s="3"/>
      <c r="F600" s="3" t="str">
        <f>IFERROR(VLOOKUP(E600,'سجل الموظفين والكفاءة'!B:C,2,FALSE),"")</f>
        <v/>
      </c>
      <c r="G600" s="3">
        <f>IFERROR(VLOOKUP(A600,'الخطة التدريبية المعتمدة'!A:J,10,FALSE),0)</f>
        <v>0</v>
      </c>
      <c r="H600" s="3"/>
      <c r="I600" s="3"/>
      <c r="J600" s="3"/>
      <c r="K600" s="7" t="str">
        <f>IF(OR(I600="",J600="",I600=0),"",(J600-I600)/I600)</f>
        <v/>
      </c>
      <c r="L600" s="3" t="str">
        <f>IF(J600="","",IF(J600/10&gt;='الإعدادات والمستهدفات'!B5,"ناجح ومستوفى","ضعيف - يلزم إعادة اختبار"))</f>
        <v/>
      </c>
      <c r="M600" s="3"/>
      <c r="N600" s="3"/>
    </row>
    <row r="601" spans="1:14" x14ac:dyDescent="0.2">
      <c r="A601" s="3" t="str">
        <f>IFERROR(VLOOKUP(B601,'جدول الجلسات التدريبية'!A:B,2,FALSE),"")</f>
        <v/>
      </c>
      <c r="B601" s="3"/>
      <c r="C601" s="3" t="str">
        <f>IFERROR(VLOOKUP(A601,'الخطة التدريبية المعتمدة'!A:C,3,FALSE),"")</f>
        <v/>
      </c>
      <c r="D601" s="3" t="str">
        <f>IFERROR(VLOOKUP(B601,'جدول الجلسات التدريبية'!A:D,4,FALSE),"")</f>
        <v/>
      </c>
      <c r="E601" s="3"/>
      <c r="F601" s="3" t="str">
        <f>IFERROR(VLOOKUP(E601,'سجل الموظفين والكفاءة'!B:C,2,FALSE),"")</f>
        <v/>
      </c>
      <c r="G601" s="3">
        <f>IFERROR(VLOOKUP(A601,'الخطة التدريبية المعتمدة'!A:J,10,FALSE),0)</f>
        <v>0</v>
      </c>
      <c r="H601" s="3"/>
      <c r="I601" s="3"/>
      <c r="J601" s="3"/>
      <c r="K601" s="7" t="str">
        <f>IF(OR(I601="",J601="",I601=0),"",(J601-I601)/I601)</f>
        <v/>
      </c>
      <c r="L601" s="3" t="str">
        <f>IF(J601="","",IF(J601/10&gt;='الإعدادات والمستهدفات'!B5,"ناجح ومستوفى","ضعيف - يلزم إعادة اختبار"))</f>
        <v/>
      </c>
      <c r="M601" s="3"/>
      <c r="N601" s="3"/>
    </row>
    <row r="602" spans="1:14" x14ac:dyDescent="0.2">
      <c r="A602" s="3" t="str">
        <f>IFERROR(VLOOKUP(B602,'جدول الجلسات التدريبية'!A:B,2,FALSE),"")</f>
        <v/>
      </c>
      <c r="B602" s="3"/>
      <c r="C602" s="3" t="str">
        <f>IFERROR(VLOOKUP(A602,'الخطة التدريبية المعتمدة'!A:C,3,FALSE),"")</f>
        <v/>
      </c>
      <c r="D602" s="3" t="str">
        <f>IFERROR(VLOOKUP(B602,'جدول الجلسات التدريبية'!A:D,4,FALSE),"")</f>
        <v/>
      </c>
      <c r="E602" s="3"/>
      <c r="F602" s="3" t="str">
        <f>IFERROR(VLOOKUP(E602,'سجل الموظفين والكفاءة'!B:C,2,FALSE),"")</f>
        <v/>
      </c>
      <c r="G602" s="3">
        <f>IFERROR(VLOOKUP(A602,'الخطة التدريبية المعتمدة'!A:J,10,FALSE),0)</f>
        <v>0</v>
      </c>
      <c r="H602" s="3"/>
      <c r="I602" s="3"/>
      <c r="J602" s="3"/>
      <c r="K602" s="7" t="str">
        <f>IF(OR(I602="",J602="",I602=0),"",(J602-I602)/I602)</f>
        <v/>
      </c>
      <c r="L602" s="3" t="str">
        <f>IF(J602="","",IF(J602/10&gt;='الإعدادات والمستهدفات'!B5,"ناجح ومستوفى","ضعيف - يلزم إعادة اختبار"))</f>
        <v/>
      </c>
      <c r="M602" s="3"/>
      <c r="N602" s="3"/>
    </row>
    <row r="603" spans="1:14" x14ac:dyDescent="0.2">
      <c r="A603" s="3" t="str">
        <f>IFERROR(VLOOKUP(B603,'جدول الجلسات التدريبية'!A:B,2,FALSE),"")</f>
        <v/>
      </c>
      <c r="B603" s="3"/>
      <c r="C603" s="3" t="str">
        <f>IFERROR(VLOOKUP(A603,'الخطة التدريبية المعتمدة'!A:C,3,FALSE),"")</f>
        <v/>
      </c>
      <c r="D603" s="3" t="str">
        <f>IFERROR(VLOOKUP(B603,'جدول الجلسات التدريبية'!A:D,4,FALSE),"")</f>
        <v/>
      </c>
      <c r="E603" s="3"/>
      <c r="F603" s="3" t="str">
        <f>IFERROR(VLOOKUP(E603,'سجل الموظفين والكفاءة'!B:C,2,FALSE),"")</f>
        <v/>
      </c>
      <c r="G603" s="3">
        <f>IFERROR(VLOOKUP(A603,'الخطة التدريبية المعتمدة'!A:J,10,FALSE),0)</f>
        <v>0</v>
      </c>
      <c r="H603" s="3"/>
      <c r="I603" s="3"/>
      <c r="J603" s="3"/>
      <c r="K603" s="7" t="str">
        <f>IF(OR(I603="",J603="",I603=0),"",(J603-I603)/I603)</f>
        <v/>
      </c>
      <c r="L603" s="3" t="str">
        <f>IF(J603="","",IF(J603/10&gt;='الإعدادات والمستهدفات'!B5,"ناجح ومستوفى","ضعيف - يلزم إعادة اختبار"))</f>
        <v/>
      </c>
      <c r="M603" s="3"/>
      <c r="N603" s="3"/>
    </row>
    <row r="604" spans="1:14" x14ac:dyDescent="0.2">
      <c r="A604" s="3" t="str">
        <f>IFERROR(VLOOKUP(B604,'جدول الجلسات التدريبية'!A:B,2,FALSE),"")</f>
        <v/>
      </c>
      <c r="B604" s="3"/>
      <c r="C604" s="3" t="str">
        <f>IFERROR(VLOOKUP(A604,'الخطة التدريبية المعتمدة'!A:C,3,FALSE),"")</f>
        <v/>
      </c>
      <c r="D604" s="3" t="str">
        <f>IFERROR(VLOOKUP(B604,'جدول الجلسات التدريبية'!A:D,4,FALSE),"")</f>
        <v/>
      </c>
      <c r="E604" s="3"/>
      <c r="F604" s="3" t="str">
        <f>IFERROR(VLOOKUP(E604,'سجل الموظفين والكفاءة'!B:C,2,FALSE),"")</f>
        <v/>
      </c>
      <c r="G604" s="3">
        <f>IFERROR(VLOOKUP(A604,'الخطة التدريبية المعتمدة'!A:J,10,FALSE),0)</f>
        <v>0</v>
      </c>
      <c r="H604" s="3"/>
      <c r="I604" s="3"/>
      <c r="J604" s="3"/>
      <c r="K604" s="7" t="str">
        <f>IF(OR(I604="",J604="",I604=0),"",(J604-I604)/I604)</f>
        <v/>
      </c>
      <c r="L604" s="3" t="str">
        <f>IF(J604="","",IF(J604/10&gt;='الإعدادات والمستهدفات'!B5,"ناجح ومستوفى","ضعيف - يلزم إعادة اختبار"))</f>
        <v/>
      </c>
      <c r="M604" s="3"/>
      <c r="N604" s="3"/>
    </row>
    <row r="605" spans="1:14" x14ac:dyDescent="0.2">
      <c r="A605" s="3" t="str">
        <f>IFERROR(VLOOKUP(B605,'جدول الجلسات التدريبية'!A:B,2,FALSE),"")</f>
        <v/>
      </c>
      <c r="B605" s="3"/>
      <c r="C605" s="3" t="str">
        <f>IFERROR(VLOOKUP(A605,'الخطة التدريبية المعتمدة'!A:C,3,FALSE),"")</f>
        <v/>
      </c>
      <c r="D605" s="3" t="str">
        <f>IFERROR(VLOOKUP(B605,'جدول الجلسات التدريبية'!A:D,4,FALSE),"")</f>
        <v/>
      </c>
      <c r="E605" s="3"/>
      <c r="F605" s="3" t="str">
        <f>IFERROR(VLOOKUP(E605,'سجل الموظفين والكفاءة'!B:C,2,FALSE),"")</f>
        <v/>
      </c>
      <c r="G605" s="3">
        <f>IFERROR(VLOOKUP(A605,'الخطة التدريبية المعتمدة'!A:J,10,FALSE),0)</f>
        <v>0</v>
      </c>
      <c r="H605" s="3"/>
      <c r="I605" s="3"/>
      <c r="J605" s="3"/>
      <c r="K605" s="7" t="str">
        <f>IF(OR(I605="",J605="",I605=0),"",(J605-I605)/I605)</f>
        <v/>
      </c>
      <c r="L605" s="3" t="str">
        <f>IF(J605="","",IF(J605/10&gt;='الإعدادات والمستهدفات'!B5,"ناجح ومستوفى","ضعيف - يلزم إعادة اختبار"))</f>
        <v/>
      </c>
      <c r="M605" s="3"/>
      <c r="N605" s="3"/>
    </row>
    <row r="606" spans="1:14" x14ac:dyDescent="0.2">
      <c r="A606" s="3" t="str">
        <f>IFERROR(VLOOKUP(B606,'جدول الجلسات التدريبية'!A:B,2,FALSE),"")</f>
        <v/>
      </c>
      <c r="B606" s="3"/>
      <c r="C606" s="3" t="str">
        <f>IFERROR(VLOOKUP(A606,'الخطة التدريبية المعتمدة'!A:C,3,FALSE),"")</f>
        <v/>
      </c>
      <c r="D606" s="3" t="str">
        <f>IFERROR(VLOOKUP(B606,'جدول الجلسات التدريبية'!A:D,4,FALSE),"")</f>
        <v/>
      </c>
      <c r="E606" s="3"/>
      <c r="F606" s="3" t="str">
        <f>IFERROR(VLOOKUP(E606,'سجل الموظفين والكفاءة'!B:C,2,FALSE),"")</f>
        <v/>
      </c>
      <c r="G606" s="3">
        <f>IFERROR(VLOOKUP(A606,'الخطة التدريبية المعتمدة'!A:J,10,FALSE),0)</f>
        <v>0</v>
      </c>
      <c r="H606" s="3"/>
      <c r="I606" s="3"/>
      <c r="J606" s="3"/>
      <c r="K606" s="7" t="str">
        <f>IF(OR(I606="",J606="",I606=0),"",(J606-I606)/I606)</f>
        <v/>
      </c>
      <c r="L606" s="3" t="str">
        <f>IF(J606="","",IF(J606/10&gt;='الإعدادات والمستهدفات'!B5,"ناجح ومستوفى","ضعيف - يلزم إعادة اختبار"))</f>
        <v/>
      </c>
      <c r="M606" s="3"/>
      <c r="N606" s="3"/>
    </row>
    <row r="607" spans="1:14" x14ac:dyDescent="0.2">
      <c r="A607" s="3" t="str">
        <f>IFERROR(VLOOKUP(B607,'جدول الجلسات التدريبية'!A:B,2,FALSE),"")</f>
        <v/>
      </c>
      <c r="B607" s="3"/>
      <c r="C607" s="3" t="str">
        <f>IFERROR(VLOOKUP(A607,'الخطة التدريبية المعتمدة'!A:C,3,FALSE),"")</f>
        <v/>
      </c>
      <c r="D607" s="3" t="str">
        <f>IFERROR(VLOOKUP(B607,'جدول الجلسات التدريبية'!A:D,4,FALSE),"")</f>
        <v/>
      </c>
      <c r="E607" s="3"/>
      <c r="F607" s="3" t="str">
        <f>IFERROR(VLOOKUP(E607,'سجل الموظفين والكفاءة'!B:C,2,FALSE),"")</f>
        <v/>
      </c>
      <c r="G607" s="3">
        <f>IFERROR(VLOOKUP(A607,'الخطة التدريبية المعتمدة'!A:J,10,FALSE),0)</f>
        <v>0</v>
      </c>
      <c r="H607" s="3"/>
      <c r="I607" s="3"/>
      <c r="J607" s="3"/>
      <c r="K607" s="7" t="str">
        <f>IF(OR(I607="",J607="",I607=0),"",(J607-I607)/I607)</f>
        <v/>
      </c>
      <c r="L607" s="3" t="str">
        <f>IF(J607="","",IF(J607/10&gt;='الإعدادات والمستهدفات'!B5,"ناجح ومستوفى","ضعيف - يلزم إعادة اختبار"))</f>
        <v/>
      </c>
      <c r="M607" s="3"/>
      <c r="N607" s="3"/>
    </row>
    <row r="608" spans="1:14" x14ac:dyDescent="0.2">
      <c r="A608" s="3" t="str">
        <f>IFERROR(VLOOKUP(B608,'جدول الجلسات التدريبية'!A:B,2,FALSE),"")</f>
        <v/>
      </c>
      <c r="B608" s="3"/>
      <c r="C608" s="3" t="str">
        <f>IFERROR(VLOOKUP(A608,'الخطة التدريبية المعتمدة'!A:C,3,FALSE),"")</f>
        <v/>
      </c>
      <c r="D608" s="3" t="str">
        <f>IFERROR(VLOOKUP(B608,'جدول الجلسات التدريبية'!A:D,4,FALSE),"")</f>
        <v/>
      </c>
      <c r="E608" s="3"/>
      <c r="F608" s="3" t="str">
        <f>IFERROR(VLOOKUP(E608,'سجل الموظفين والكفاءة'!B:C,2,FALSE),"")</f>
        <v/>
      </c>
      <c r="G608" s="3">
        <f>IFERROR(VLOOKUP(A608,'الخطة التدريبية المعتمدة'!A:J,10,FALSE),0)</f>
        <v>0</v>
      </c>
      <c r="H608" s="3"/>
      <c r="I608" s="3"/>
      <c r="J608" s="3"/>
      <c r="K608" s="7" t="str">
        <f>IF(OR(I608="",J608="",I608=0),"",(J608-I608)/I608)</f>
        <v/>
      </c>
      <c r="L608" s="3" t="str">
        <f>IF(J608="","",IF(J608/10&gt;='الإعدادات والمستهدفات'!B5,"ناجح ومستوفى","ضعيف - يلزم إعادة اختبار"))</f>
        <v/>
      </c>
      <c r="M608" s="3"/>
      <c r="N608" s="3"/>
    </row>
    <row r="609" spans="1:14" x14ac:dyDescent="0.2">
      <c r="A609" s="3" t="str">
        <f>IFERROR(VLOOKUP(B609,'جدول الجلسات التدريبية'!A:B,2,FALSE),"")</f>
        <v/>
      </c>
      <c r="B609" s="3"/>
      <c r="C609" s="3" t="str">
        <f>IFERROR(VLOOKUP(A609,'الخطة التدريبية المعتمدة'!A:C,3,FALSE),"")</f>
        <v/>
      </c>
      <c r="D609" s="3" t="str">
        <f>IFERROR(VLOOKUP(B609,'جدول الجلسات التدريبية'!A:D,4,FALSE),"")</f>
        <v/>
      </c>
      <c r="E609" s="3"/>
      <c r="F609" s="3" t="str">
        <f>IFERROR(VLOOKUP(E609,'سجل الموظفين والكفاءة'!B:C,2,FALSE),"")</f>
        <v/>
      </c>
      <c r="G609" s="3">
        <f>IFERROR(VLOOKUP(A609,'الخطة التدريبية المعتمدة'!A:J,10,FALSE),0)</f>
        <v>0</v>
      </c>
      <c r="H609" s="3"/>
      <c r="I609" s="3"/>
      <c r="J609" s="3"/>
      <c r="K609" s="7" t="str">
        <f>IF(OR(I609="",J609="",I609=0),"",(J609-I609)/I609)</f>
        <v/>
      </c>
      <c r="L609" s="3" t="str">
        <f>IF(J609="","",IF(J609/10&gt;='الإعدادات والمستهدفات'!B5,"ناجح ومستوفى","ضعيف - يلزم إعادة اختبار"))</f>
        <v/>
      </c>
      <c r="M609" s="3"/>
      <c r="N609" s="3"/>
    </row>
    <row r="610" spans="1:14" x14ac:dyDescent="0.2">
      <c r="A610" s="3" t="str">
        <f>IFERROR(VLOOKUP(B610,'جدول الجلسات التدريبية'!A:B,2,FALSE),"")</f>
        <v/>
      </c>
      <c r="B610" s="3"/>
      <c r="C610" s="3" t="str">
        <f>IFERROR(VLOOKUP(A610,'الخطة التدريبية المعتمدة'!A:C,3,FALSE),"")</f>
        <v/>
      </c>
      <c r="D610" s="3" t="str">
        <f>IFERROR(VLOOKUP(B610,'جدول الجلسات التدريبية'!A:D,4,FALSE),"")</f>
        <v/>
      </c>
      <c r="E610" s="3"/>
      <c r="F610" s="3" t="str">
        <f>IFERROR(VLOOKUP(E610,'سجل الموظفين والكفاءة'!B:C,2,FALSE),"")</f>
        <v/>
      </c>
      <c r="G610" s="3">
        <f>IFERROR(VLOOKUP(A610,'الخطة التدريبية المعتمدة'!A:J,10,FALSE),0)</f>
        <v>0</v>
      </c>
      <c r="H610" s="3"/>
      <c r="I610" s="3"/>
      <c r="J610" s="3"/>
      <c r="K610" s="7" t="str">
        <f>IF(OR(I610="",J610="",I610=0),"",(J610-I610)/I610)</f>
        <v/>
      </c>
      <c r="L610" s="3" t="str">
        <f>IF(J610="","",IF(J610/10&gt;='الإعدادات والمستهدفات'!B5,"ناجح ومستوفى","ضعيف - يلزم إعادة اختبار"))</f>
        <v/>
      </c>
      <c r="M610" s="3"/>
      <c r="N610" s="3"/>
    </row>
    <row r="611" spans="1:14" x14ac:dyDescent="0.2">
      <c r="A611" s="3" t="str">
        <f>IFERROR(VLOOKUP(B611,'جدول الجلسات التدريبية'!A:B,2,FALSE),"")</f>
        <v/>
      </c>
      <c r="B611" s="3"/>
      <c r="C611" s="3" t="str">
        <f>IFERROR(VLOOKUP(A611,'الخطة التدريبية المعتمدة'!A:C,3,FALSE),"")</f>
        <v/>
      </c>
      <c r="D611" s="3" t="str">
        <f>IFERROR(VLOOKUP(B611,'جدول الجلسات التدريبية'!A:D,4,FALSE),"")</f>
        <v/>
      </c>
      <c r="E611" s="3"/>
      <c r="F611" s="3" t="str">
        <f>IFERROR(VLOOKUP(E611,'سجل الموظفين والكفاءة'!B:C,2,FALSE),"")</f>
        <v/>
      </c>
      <c r="G611" s="3">
        <f>IFERROR(VLOOKUP(A611,'الخطة التدريبية المعتمدة'!A:J,10,FALSE),0)</f>
        <v>0</v>
      </c>
      <c r="H611" s="3"/>
      <c r="I611" s="3"/>
      <c r="J611" s="3"/>
      <c r="K611" s="7" t="str">
        <f>IF(OR(I611="",J611="",I611=0),"",(J611-I611)/I611)</f>
        <v/>
      </c>
      <c r="L611" s="3" t="str">
        <f>IF(J611="","",IF(J611/10&gt;='الإعدادات والمستهدفات'!B5,"ناجح ومستوفى","ضعيف - يلزم إعادة اختبار"))</f>
        <v/>
      </c>
      <c r="M611" s="3"/>
      <c r="N611" s="3"/>
    </row>
    <row r="612" spans="1:14" x14ac:dyDescent="0.2">
      <c r="A612" s="3" t="str">
        <f>IFERROR(VLOOKUP(B612,'جدول الجلسات التدريبية'!A:B,2,FALSE),"")</f>
        <v/>
      </c>
      <c r="B612" s="3"/>
      <c r="C612" s="3" t="str">
        <f>IFERROR(VLOOKUP(A612,'الخطة التدريبية المعتمدة'!A:C,3,FALSE),"")</f>
        <v/>
      </c>
      <c r="D612" s="3" t="str">
        <f>IFERROR(VLOOKUP(B612,'جدول الجلسات التدريبية'!A:D,4,FALSE),"")</f>
        <v/>
      </c>
      <c r="E612" s="3"/>
      <c r="F612" s="3" t="str">
        <f>IFERROR(VLOOKUP(E612,'سجل الموظفين والكفاءة'!B:C,2,FALSE),"")</f>
        <v/>
      </c>
      <c r="G612" s="3">
        <f>IFERROR(VLOOKUP(A612,'الخطة التدريبية المعتمدة'!A:J,10,FALSE),0)</f>
        <v>0</v>
      </c>
      <c r="H612" s="3"/>
      <c r="I612" s="3"/>
      <c r="J612" s="3"/>
      <c r="K612" s="7" t="str">
        <f>IF(OR(I612="",J612="",I612=0),"",(J612-I612)/I612)</f>
        <v/>
      </c>
      <c r="L612" s="3" t="str">
        <f>IF(J612="","",IF(J612/10&gt;='الإعدادات والمستهدفات'!B5,"ناجح ومستوفى","ضعيف - يلزم إعادة اختبار"))</f>
        <v/>
      </c>
      <c r="M612" s="3"/>
      <c r="N612" s="3"/>
    </row>
    <row r="613" spans="1:14" x14ac:dyDescent="0.2">
      <c r="A613" s="3" t="str">
        <f>IFERROR(VLOOKUP(B613,'جدول الجلسات التدريبية'!A:B,2,FALSE),"")</f>
        <v/>
      </c>
      <c r="B613" s="3"/>
      <c r="C613" s="3" t="str">
        <f>IFERROR(VLOOKUP(A613,'الخطة التدريبية المعتمدة'!A:C,3,FALSE),"")</f>
        <v/>
      </c>
      <c r="D613" s="3" t="str">
        <f>IFERROR(VLOOKUP(B613,'جدول الجلسات التدريبية'!A:D,4,FALSE),"")</f>
        <v/>
      </c>
      <c r="E613" s="3"/>
      <c r="F613" s="3" t="str">
        <f>IFERROR(VLOOKUP(E613,'سجل الموظفين والكفاءة'!B:C,2,FALSE),"")</f>
        <v/>
      </c>
      <c r="G613" s="3">
        <f>IFERROR(VLOOKUP(A613,'الخطة التدريبية المعتمدة'!A:J,10,FALSE),0)</f>
        <v>0</v>
      </c>
      <c r="H613" s="3"/>
      <c r="I613" s="3"/>
      <c r="J613" s="3"/>
      <c r="K613" s="7" t="str">
        <f>IF(OR(I613="",J613="",I613=0),"",(J613-I613)/I613)</f>
        <v/>
      </c>
      <c r="L613" s="3" t="str">
        <f>IF(J613="","",IF(J613/10&gt;='الإعدادات والمستهدفات'!B5,"ناجح ومستوفى","ضعيف - يلزم إعادة اختبار"))</f>
        <v/>
      </c>
      <c r="M613" s="3"/>
      <c r="N613" s="3"/>
    </row>
    <row r="614" spans="1:14" x14ac:dyDescent="0.2">
      <c r="A614" s="3" t="str">
        <f>IFERROR(VLOOKUP(B614,'جدول الجلسات التدريبية'!A:B,2,FALSE),"")</f>
        <v/>
      </c>
      <c r="B614" s="3"/>
      <c r="C614" s="3" t="str">
        <f>IFERROR(VLOOKUP(A614,'الخطة التدريبية المعتمدة'!A:C,3,FALSE),"")</f>
        <v/>
      </c>
      <c r="D614" s="3" t="str">
        <f>IFERROR(VLOOKUP(B614,'جدول الجلسات التدريبية'!A:D,4,FALSE),"")</f>
        <v/>
      </c>
      <c r="E614" s="3"/>
      <c r="F614" s="3" t="str">
        <f>IFERROR(VLOOKUP(E614,'سجل الموظفين والكفاءة'!B:C,2,FALSE),"")</f>
        <v/>
      </c>
      <c r="G614" s="3">
        <f>IFERROR(VLOOKUP(A614,'الخطة التدريبية المعتمدة'!A:J,10,FALSE),0)</f>
        <v>0</v>
      </c>
      <c r="H614" s="3"/>
      <c r="I614" s="3"/>
      <c r="J614" s="3"/>
      <c r="K614" s="7" t="str">
        <f>IF(OR(I614="",J614="",I614=0),"",(J614-I614)/I614)</f>
        <v/>
      </c>
      <c r="L614" s="3" t="str">
        <f>IF(J614="","",IF(J614/10&gt;='الإعدادات والمستهدفات'!B5,"ناجح ومستوفى","ضعيف - يلزم إعادة اختبار"))</f>
        <v/>
      </c>
      <c r="M614" s="3"/>
      <c r="N614" s="3"/>
    </row>
    <row r="615" spans="1:14" x14ac:dyDescent="0.2">
      <c r="A615" s="3" t="str">
        <f>IFERROR(VLOOKUP(B615,'جدول الجلسات التدريبية'!A:B,2,FALSE),"")</f>
        <v/>
      </c>
      <c r="B615" s="3"/>
      <c r="C615" s="3" t="str">
        <f>IFERROR(VLOOKUP(A615,'الخطة التدريبية المعتمدة'!A:C,3,FALSE),"")</f>
        <v/>
      </c>
      <c r="D615" s="3" t="str">
        <f>IFERROR(VLOOKUP(B615,'جدول الجلسات التدريبية'!A:D,4,FALSE),"")</f>
        <v/>
      </c>
      <c r="E615" s="3"/>
      <c r="F615" s="3" t="str">
        <f>IFERROR(VLOOKUP(E615,'سجل الموظفين والكفاءة'!B:C,2,FALSE),"")</f>
        <v/>
      </c>
      <c r="G615" s="3">
        <f>IFERROR(VLOOKUP(A615,'الخطة التدريبية المعتمدة'!A:J,10,FALSE),0)</f>
        <v>0</v>
      </c>
      <c r="H615" s="3"/>
      <c r="I615" s="3"/>
      <c r="J615" s="3"/>
      <c r="K615" s="7" t="str">
        <f>IF(OR(I615="",J615="",I615=0),"",(J615-I615)/I615)</f>
        <v/>
      </c>
      <c r="L615" s="3" t="str">
        <f>IF(J615="","",IF(J615/10&gt;='الإعدادات والمستهدفات'!B5,"ناجح ومستوفى","ضعيف - يلزم إعادة اختبار"))</f>
        <v/>
      </c>
      <c r="M615" s="3"/>
      <c r="N615" s="3"/>
    </row>
    <row r="616" spans="1:14" x14ac:dyDescent="0.2">
      <c r="A616" s="3" t="str">
        <f>IFERROR(VLOOKUP(B616,'جدول الجلسات التدريبية'!A:B,2,FALSE),"")</f>
        <v/>
      </c>
      <c r="B616" s="3"/>
      <c r="C616" s="3" t="str">
        <f>IFERROR(VLOOKUP(A616,'الخطة التدريبية المعتمدة'!A:C,3,FALSE),"")</f>
        <v/>
      </c>
      <c r="D616" s="3" t="str">
        <f>IFERROR(VLOOKUP(B616,'جدول الجلسات التدريبية'!A:D,4,FALSE),"")</f>
        <v/>
      </c>
      <c r="E616" s="3"/>
      <c r="F616" s="3" t="str">
        <f>IFERROR(VLOOKUP(E616,'سجل الموظفين والكفاءة'!B:C,2,FALSE),"")</f>
        <v/>
      </c>
      <c r="G616" s="3">
        <f>IFERROR(VLOOKUP(A616,'الخطة التدريبية المعتمدة'!A:J,10,FALSE),0)</f>
        <v>0</v>
      </c>
      <c r="H616" s="3"/>
      <c r="I616" s="3"/>
      <c r="J616" s="3"/>
      <c r="K616" s="7" t="str">
        <f>IF(OR(I616="",J616="",I616=0),"",(J616-I616)/I616)</f>
        <v/>
      </c>
      <c r="L616" s="3" t="str">
        <f>IF(J616="","",IF(J616/10&gt;='الإعدادات والمستهدفات'!B5,"ناجح ومستوفى","ضعيف - يلزم إعادة اختبار"))</f>
        <v/>
      </c>
      <c r="M616" s="3"/>
      <c r="N616" s="3"/>
    </row>
    <row r="617" spans="1:14" x14ac:dyDescent="0.2">
      <c r="A617" s="3" t="str">
        <f>IFERROR(VLOOKUP(B617,'جدول الجلسات التدريبية'!A:B,2,FALSE),"")</f>
        <v/>
      </c>
      <c r="B617" s="3"/>
      <c r="C617" s="3" t="str">
        <f>IFERROR(VLOOKUP(A617,'الخطة التدريبية المعتمدة'!A:C,3,FALSE),"")</f>
        <v/>
      </c>
      <c r="D617" s="3" t="str">
        <f>IFERROR(VLOOKUP(B617,'جدول الجلسات التدريبية'!A:D,4,FALSE),"")</f>
        <v/>
      </c>
      <c r="E617" s="3"/>
      <c r="F617" s="3" t="str">
        <f>IFERROR(VLOOKUP(E617,'سجل الموظفين والكفاءة'!B:C,2,FALSE),"")</f>
        <v/>
      </c>
      <c r="G617" s="3">
        <f>IFERROR(VLOOKUP(A617,'الخطة التدريبية المعتمدة'!A:J,10,FALSE),0)</f>
        <v>0</v>
      </c>
      <c r="H617" s="3"/>
      <c r="I617" s="3"/>
      <c r="J617" s="3"/>
      <c r="K617" s="7" t="str">
        <f>IF(OR(I617="",J617="",I617=0),"",(J617-I617)/I617)</f>
        <v/>
      </c>
      <c r="L617" s="3" t="str">
        <f>IF(J617="","",IF(J617/10&gt;='الإعدادات والمستهدفات'!B5,"ناجح ومستوفى","ضعيف - يلزم إعادة اختبار"))</f>
        <v/>
      </c>
      <c r="M617" s="3"/>
      <c r="N617" s="3"/>
    </row>
    <row r="618" spans="1:14" x14ac:dyDescent="0.2">
      <c r="A618" s="3" t="str">
        <f>IFERROR(VLOOKUP(B618,'جدول الجلسات التدريبية'!A:B,2,FALSE),"")</f>
        <v/>
      </c>
      <c r="B618" s="3"/>
      <c r="C618" s="3" t="str">
        <f>IFERROR(VLOOKUP(A618,'الخطة التدريبية المعتمدة'!A:C,3,FALSE),"")</f>
        <v/>
      </c>
      <c r="D618" s="3" t="str">
        <f>IFERROR(VLOOKUP(B618,'جدول الجلسات التدريبية'!A:D,4,FALSE),"")</f>
        <v/>
      </c>
      <c r="E618" s="3"/>
      <c r="F618" s="3" t="str">
        <f>IFERROR(VLOOKUP(E618,'سجل الموظفين والكفاءة'!B:C,2,FALSE),"")</f>
        <v/>
      </c>
      <c r="G618" s="3">
        <f>IFERROR(VLOOKUP(A618,'الخطة التدريبية المعتمدة'!A:J,10,FALSE),0)</f>
        <v>0</v>
      </c>
      <c r="H618" s="3"/>
      <c r="I618" s="3"/>
      <c r="J618" s="3"/>
      <c r="K618" s="7" t="str">
        <f>IF(OR(I618="",J618="",I618=0),"",(J618-I618)/I618)</f>
        <v/>
      </c>
      <c r="L618" s="3" t="str">
        <f>IF(J618="","",IF(J618/10&gt;='الإعدادات والمستهدفات'!B5,"ناجح ومستوفى","ضعيف - يلزم إعادة اختبار"))</f>
        <v/>
      </c>
      <c r="M618" s="3"/>
      <c r="N618" s="3"/>
    </row>
    <row r="619" spans="1:14" x14ac:dyDescent="0.2">
      <c r="A619" s="3" t="str">
        <f>IFERROR(VLOOKUP(B619,'جدول الجلسات التدريبية'!A:B,2,FALSE),"")</f>
        <v/>
      </c>
      <c r="B619" s="3"/>
      <c r="C619" s="3" t="str">
        <f>IFERROR(VLOOKUP(A619,'الخطة التدريبية المعتمدة'!A:C,3,FALSE),"")</f>
        <v/>
      </c>
      <c r="D619" s="3" t="str">
        <f>IFERROR(VLOOKUP(B619,'جدول الجلسات التدريبية'!A:D,4,FALSE),"")</f>
        <v/>
      </c>
      <c r="E619" s="3"/>
      <c r="F619" s="3" t="str">
        <f>IFERROR(VLOOKUP(E619,'سجل الموظفين والكفاءة'!B:C,2,FALSE),"")</f>
        <v/>
      </c>
      <c r="G619" s="3">
        <f>IFERROR(VLOOKUP(A619,'الخطة التدريبية المعتمدة'!A:J,10,FALSE),0)</f>
        <v>0</v>
      </c>
      <c r="H619" s="3"/>
      <c r="I619" s="3"/>
      <c r="J619" s="3"/>
      <c r="K619" s="7" t="str">
        <f>IF(OR(I619="",J619="",I619=0),"",(J619-I619)/I619)</f>
        <v/>
      </c>
      <c r="L619" s="3" t="str">
        <f>IF(J619="","",IF(J619/10&gt;='الإعدادات والمستهدفات'!B5,"ناجح ومستوفى","ضعيف - يلزم إعادة اختبار"))</f>
        <v/>
      </c>
      <c r="M619" s="3"/>
      <c r="N619" s="3"/>
    </row>
    <row r="620" spans="1:14" x14ac:dyDescent="0.2">
      <c r="A620" s="3" t="str">
        <f>IFERROR(VLOOKUP(B620,'جدول الجلسات التدريبية'!A:B,2,FALSE),"")</f>
        <v/>
      </c>
      <c r="B620" s="3"/>
      <c r="C620" s="3" t="str">
        <f>IFERROR(VLOOKUP(A620,'الخطة التدريبية المعتمدة'!A:C,3,FALSE),"")</f>
        <v/>
      </c>
      <c r="D620" s="3" t="str">
        <f>IFERROR(VLOOKUP(B620,'جدول الجلسات التدريبية'!A:D,4,FALSE),"")</f>
        <v/>
      </c>
      <c r="E620" s="3"/>
      <c r="F620" s="3" t="str">
        <f>IFERROR(VLOOKUP(E620,'سجل الموظفين والكفاءة'!B:C,2,FALSE),"")</f>
        <v/>
      </c>
      <c r="G620" s="3">
        <f>IFERROR(VLOOKUP(A620,'الخطة التدريبية المعتمدة'!A:J,10,FALSE),0)</f>
        <v>0</v>
      </c>
      <c r="H620" s="3"/>
      <c r="I620" s="3"/>
      <c r="J620" s="3"/>
      <c r="K620" s="7" t="str">
        <f>IF(OR(I620="",J620="",I620=0),"",(J620-I620)/I620)</f>
        <v/>
      </c>
      <c r="L620" s="3" t="str">
        <f>IF(J620="","",IF(J620/10&gt;='الإعدادات والمستهدفات'!B5,"ناجح ومستوفى","ضعيف - يلزم إعادة اختبار"))</f>
        <v/>
      </c>
      <c r="M620" s="3"/>
      <c r="N620" s="3"/>
    </row>
    <row r="621" spans="1:14" x14ac:dyDescent="0.2">
      <c r="A621" s="3" t="str">
        <f>IFERROR(VLOOKUP(B621,'جدول الجلسات التدريبية'!A:B,2,FALSE),"")</f>
        <v/>
      </c>
      <c r="B621" s="3"/>
      <c r="C621" s="3" t="str">
        <f>IFERROR(VLOOKUP(A621,'الخطة التدريبية المعتمدة'!A:C,3,FALSE),"")</f>
        <v/>
      </c>
      <c r="D621" s="3" t="str">
        <f>IFERROR(VLOOKUP(B621,'جدول الجلسات التدريبية'!A:D,4,FALSE),"")</f>
        <v/>
      </c>
      <c r="E621" s="3"/>
      <c r="F621" s="3" t="str">
        <f>IFERROR(VLOOKUP(E621,'سجل الموظفين والكفاءة'!B:C,2,FALSE),"")</f>
        <v/>
      </c>
      <c r="G621" s="3">
        <f>IFERROR(VLOOKUP(A621,'الخطة التدريبية المعتمدة'!A:J,10,FALSE),0)</f>
        <v>0</v>
      </c>
      <c r="H621" s="3"/>
      <c r="I621" s="3"/>
      <c r="J621" s="3"/>
      <c r="K621" s="7" t="str">
        <f>IF(OR(I621="",J621="",I621=0),"",(J621-I621)/I621)</f>
        <v/>
      </c>
      <c r="L621" s="3" t="str">
        <f>IF(J621="","",IF(J621/10&gt;='الإعدادات والمستهدفات'!B5,"ناجح ومستوفى","ضعيف - يلزم إعادة اختبار"))</f>
        <v/>
      </c>
      <c r="M621" s="3"/>
      <c r="N621" s="3"/>
    </row>
    <row r="622" spans="1:14" x14ac:dyDescent="0.2">
      <c r="A622" s="3" t="str">
        <f>IFERROR(VLOOKUP(B622,'جدول الجلسات التدريبية'!A:B,2,FALSE),"")</f>
        <v/>
      </c>
      <c r="B622" s="3"/>
      <c r="C622" s="3" t="str">
        <f>IFERROR(VLOOKUP(A622,'الخطة التدريبية المعتمدة'!A:C,3,FALSE),"")</f>
        <v/>
      </c>
      <c r="D622" s="3" t="str">
        <f>IFERROR(VLOOKUP(B622,'جدول الجلسات التدريبية'!A:D,4,FALSE),"")</f>
        <v/>
      </c>
      <c r="E622" s="3"/>
      <c r="F622" s="3" t="str">
        <f>IFERROR(VLOOKUP(E622,'سجل الموظفين والكفاءة'!B:C,2,FALSE),"")</f>
        <v/>
      </c>
      <c r="G622" s="3">
        <f>IFERROR(VLOOKUP(A622,'الخطة التدريبية المعتمدة'!A:J,10,FALSE),0)</f>
        <v>0</v>
      </c>
      <c r="H622" s="3"/>
      <c r="I622" s="3"/>
      <c r="J622" s="3"/>
      <c r="K622" s="7" t="str">
        <f>IF(OR(I622="",J622="",I622=0),"",(J622-I622)/I622)</f>
        <v/>
      </c>
      <c r="L622" s="3" t="str">
        <f>IF(J622="","",IF(J622/10&gt;='الإعدادات والمستهدفات'!B5,"ناجح ومستوفى","ضعيف - يلزم إعادة اختبار"))</f>
        <v/>
      </c>
      <c r="M622" s="3"/>
      <c r="N622" s="3"/>
    </row>
    <row r="623" spans="1:14" x14ac:dyDescent="0.2">
      <c r="A623" s="3" t="str">
        <f>IFERROR(VLOOKUP(B623,'جدول الجلسات التدريبية'!A:B,2,FALSE),"")</f>
        <v/>
      </c>
      <c r="B623" s="3"/>
      <c r="C623" s="3" t="str">
        <f>IFERROR(VLOOKUP(A623,'الخطة التدريبية المعتمدة'!A:C,3,FALSE),"")</f>
        <v/>
      </c>
      <c r="D623" s="3" t="str">
        <f>IFERROR(VLOOKUP(B623,'جدول الجلسات التدريبية'!A:D,4,FALSE),"")</f>
        <v/>
      </c>
      <c r="E623" s="3"/>
      <c r="F623" s="3" t="str">
        <f>IFERROR(VLOOKUP(E623,'سجل الموظفين والكفاءة'!B:C,2,FALSE),"")</f>
        <v/>
      </c>
      <c r="G623" s="3">
        <f>IFERROR(VLOOKUP(A623,'الخطة التدريبية المعتمدة'!A:J,10,FALSE),0)</f>
        <v>0</v>
      </c>
      <c r="H623" s="3"/>
      <c r="I623" s="3"/>
      <c r="J623" s="3"/>
      <c r="K623" s="7" t="str">
        <f>IF(OR(I623="",J623="",I623=0),"",(J623-I623)/I623)</f>
        <v/>
      </c>
      <c r="L623" s="3" t="str">
        <f>IF(J623="","",IF(J623/10&gt;='الإعدادات والمستهدفات'!B5,"ناجح ومستوفى","ضعيف - يلزم إعادة اختبار"))</f>
        <v/>
      </c>
      <c r="M623" s="3"/>
      <c r="N623" s="3"/>
    </row>
    <row r="624" spans="1:14" x14ac:dyDescent="0.2">
      <c r="A624" s="3" t="str">
        <f>IFERROR(VLOOKUP(B624,'جدول الجلسات التدريبية'!A:B,2,FALSE),"")</f>
        <v/>
      </c>
      <c r="B624" s="3"/>
      <c r="C624" s="3" t="str">
        <f>IFERROR(VLOOKUP(A624,'الخطة التدريبية المعتمدة'!A:C,3,FALSE),"")</f>
        <v/>
      </c>
      <c r="D624" s="3" t="str">
        <f>IFERROR(VLOOKUP(B624,'جدول الجلسات التدريبية'!A:D,4,FALSE),"")</f>
        <v/>
      </c>
      <c r="E624" s="3"/>
      <c r="F624" s="3" t="str">
        <f>IFERROR(VLOOKUP(E624,'سجل الموظفين والكفاءة'!B:C,2,FALSE),"")</f>
        <v/>
      </c>
      <c r="G624" s="3">
        <f>IFERROR(VLOOKUP(A624,'الخطة التدريبية المعتمدة'!A:J,10,FALSE),0)</f>
        <v>0</v>
      </c>
      <c r="H624" s="3"/>
      <c r="I624" s="3"/>
      <c r="J624" s="3"/>
      <c r="K624" s="7" t="str">
        <f>IF(OR(I624="",J624="",I624=0),"",(J624-I624)/I624)</f>
        <v/>
      </c>
      <c r="L624" s="3" t="str">
        <f>IF(J624="","",IF(J624/10&gt;='الإعدادات والمستهدفات'!B5,"ناجح ومستوفى","ضعيف - يلزم إعادة اختبار"))</f>
        <v/>
      </c>
      <c r="M624" s="3"/>
      <c r="N624" s="3"/>
    </row>
    <row r="625" spans="1:14" x14ac:dyDescent="0.2">
      <c r="A625" s="3" t="str">
        <f>IFERROR(VLOOKUP(B625,'جدول الجلسات التدريبية'!A:B,2,FALSE),"")</f>
        <v/>
      </c>
      <c r="B625" s="3"/>
      <c r="C625" s="3" t="str">
        <f>IFERROR(VLOOKUP(A625,'الخطة التدريبية المعتمدة'!A:C,3,FALSE),"")</f>
        <v/>
      </c>
      <c r="D625" s="3" t="str">
        <f>IFERROR(VLOOKUP(B625,'جدول الجلسات التدريبية'!A:D,4,FALSE),"")</f>
        <v/>
      </c>
      <c r="E625" s="3"/>
      <c r="F625" s="3" t="str">
        <f>IFERROR(VLOOKUP(E625,'سجل الموظفين والكفاءة'!B:C,2,FALSE),"")</f>
        <v/>
      </c>
      <c r="G625" s="3">
        <f>IFERROR(VLOOKUP(A625,'الخطة التدريبية المعتمدة'!A:J,10,FALSE),0)</f>
        <v>0</v>
      </c>
      <c r="H625" s="3"/>
      <c r="I625" s="3"/>
      <c r="J625" s="3"/>
      <c r="K625" s="7" t="str">
        <f>IF(OR(I625="",J625="",I625=0),"",(J625-I625)/I625)</f>
        <v/>
      </c>
      <c r="L625" s="3" t="str">
        <f>IF(J625="","",IF(J625/10&gt;='الإعدادات والمستهدفات'!B5,"ناجح ومستوفى","ضعيف - يلزم إعادة اختبار"))</f>
        <v/>
      </c>
      <c r="M625" s="3"/>
      <c r="N625" s="3"/>
    </row>
    <row r="626" spans="1:14" x14ac:dyDescent="0.2">
      <c r="A626" s="3" t="str">
        <f>IFERROR(VLOOKUP(B626,'جدول الجلسات التدريبية'!A:B,2,FALSE),"")</f>
        <v/>
      </c>
      <c r="B626" s="3"/>
      <c r="C626" s="3" t="str">
        <f>IFERROR(VLOOKUP(A626,'الخطة التدريبية المعتمدة'!A:C,3,FALSE),"")</f>
        <v/>
      </c>
      <c r="D626" s="3" t="str">
        <f>IFERROR(VLOOKUP(B626,'جدول الجلسات التدريبية'!A:D,4,FALSE),"")</f>
        <v/>
      </c>
      <c r="E626" s="3"/>
      <c r="F626" s="3" t="str">
        <f>IFERROR(VLOOKUP(E626,'سجل الموظفين والكفاءة'!B:C,2,FALSE),"")</f>
        <v/>
      </c>
      <c r="G626" s="3">
        <f>IFERROR(VLOOKUP(A626,'الخطة التدريبية المعتمدة'!A:J,10,FALSE),0)</f>
        <v>0</v>
      </c>
      <c r="H626" s="3"/>
      <c r="I626" s="3"/>
      <c r="J626" s="3"/>
      <c r="K626" s="7" t="str">
        <f>IF(OR(I626="",J626="",I626=0),"",(J626-I626)/I626)</f>
        <v/>
      </c>
      <c r="L626" s="3" t="str">
        <f>IF(J626="","",IF(J626/10&gt;='الإعدادات والمستهدفات'!B5,"ناجح ومستوفى","ضعيف - يلزم إعادة اختبار"))</f>
        <v/>
      </c>
      <c r="M626" s="3"/>
      <c r="N626" s="3"/>
    </row>
    <row r="627" spans="1:14" x14ac:dyDescent="0.2">
      <c r="A627" s="3" t="str">
        <f>IFERROR(VLOOKUP(B627,'جدول الجلسات التدريبية'!A:B,2,FALSE),"")</f>
        <v/>
      </c>
      <c r="B627" s="3"/>
      <c r="C627" s="3" t="str">
        <f>IFERROR(VLOOKUP(A627,'الخطة التدريبية المعتمدة'!A:C,3,FALSE),"")</f>
        <v/>
      </c>
      <c r="D627" s="3" t="str">
        <f>IFERROR(VLOOKUP(B627,'جدول الجلسات التدريبية'!A:D,4,FALSE),"")</f>
        <v/>
      </c>
      <c r="E627" s="3"/>
      <c r="F627" s="3" t="str">
        <f>IFERROR(VLOOKUP(E627,'سجل الموظفين والكفاءة'!B:C,2,FALSE),"")</f>
        <v/>
      </c>
      <c r="G627" s="3">
        <f>IFERROR(VLOOKUP(A627,'الخطة التدريبية المعتمدة'!A:J,10,FALSE),0)</f>
        <v>0</v>
      </c>
      <c r="H627" s="3"/>
      <c r="I627" s="3"/>
      <c r="J627" s="3"/>
      <c r="K627" s="7" t="str">
        <f>IF(OR(I627="",J627="",I627=0),"",(J627-I627)/I627)</f>
        <v/>
      </c>
      <c r="L627" s="3" t="str">
        <f>IF(J627="","",IF(J627/10&gt;='الإعدادات والمستهدفات'!B5,"ناجح ومستوفى","ضعيف - يلزم إعادة اختبار"))</f>
        <v/>
      </c>
      <c r="M627" s="3"/>
      <c r="N627" s="3"/>
    </row>
    <row r="628" spans="1:14" x14ac:dyDescent="0.2">
      <c r="A628" s="3" t="str">
        <f>IFERROR(VLOOKUP(B628,'جدول الجلسات التدريبية'!A:B,2,FALSE),"")</f>
        <v/>
      </c>
      <c r="B628" s="3"/>
      <c r="C628" s="3" t="str">
        <f>IFERROR(VLOOKUP(A628,'الخطة التدريبية المعتمدة'!A:C,3,FALSE),"")</f>
        <v/>
      </c>
      <c r="D628" s="3" t="str">
        <f>IFERROR(VLOOKUP(B628,'جدول الجلسات التدريبية'!A:D,4,FALSE),"")</f>
        <v/>
      </c>
      <c r="E628" s="3"/>
      <c r="F628" s="3" t="str">
        <f>IFERROR(VLOOKUP(E628,'سجل الموظفين والكفاءة'!B:C,2,FALSE),"")</f>
        <v/>
      </c>
      <c r="G628" s="3">
        <f>IFERROR(VLOOKUP(A628,'الخطة التدريبية المعتمدة'!A:J,10,FALSE),0)</f>
        <v>0</v>
      </c>
      <c r="H628" s="3"/>
      <c r="I628" s="3"/>
      <c r="J628" s="3"/>
      <c r="K628" s="7" t="str">
        <f>IF(OR(I628="",J628="",I628=0),"",(J628-I628)/I628)</f>
        <v/>
      </c>
      <c r="L628" s="3" t="str">
        <f>IF(J628="","",IF(J628/10&gt;='الإعدادات والمستهدفات'!B5,"ناجح ومستوفى","ضعيف - يلزم إعادة اختبار"))</f>
        <v/>
      </c>
      <c r="M628" s="3"/>
      <c r="N628" s="3"/>
    </row>
    <row r="629" spans="1:14" x14ac:dyDescent="0.2">
      <c r="A629" s="3" t="str">
        <f>IFERROR(VLOOKUP(B629,'جدول الجلسات التدريبية'!A:B,2,FALSE),"")</f>
        <v/>
      </c>
      <c r="B629" s="3"/>
      <c r="C629" s="3" t="str">
        <f>IFERROR(VLOOKUP(A629,'الخطة التدريبية المعتمدة'!A:C,3,FALSE),"")</f>
        <v/>
      </c>
      <c r="D629" s="3" t="str">
        <f>IFERROR(VLOOKUP(B629,'جدول الجلسات التدريبية'!A:D,4,FALSE),"")</f>
        <v/>
      </c>
      <c r="E629" s="3"/>
      <c r="F629" s="3" t="str">
        <f>IFERROR(VLOOKUP(E629,'سجل الموظفين والكفاءة'!B:C,2,FALSE),"")</f>
        <v/>
      </c>
      <c r="G629" s="3">
        <f>IFERROR(VLOOKUP(A629,'الخطة التدريبية المعتمدة'!A:J,10,FALSE),0)</f>
        <v>0</v>
      </c>
      <c r="H629" s="3"/>
      <c r="I629" s="3"/>
      <c r="J629" s="3"/>
      <c r="K629" s="7" t="str">
        <f>IF(OR(I629="",J629="",I629=0),"",(J629-I629)/I629)</f>
        <v/>
      </c>
      <c r="L629" s="3" t="str">
        <f>IF(J629="","",IF(J629/10&gt;='الإعدادات والمستهدفات'!B5,"ناجح ومستوفى","ضعيف - يلزم إعادة اختبار"))</f>
        <v/>
      </c>
      <c r="M629" s="3"/>
      <c r="N629" s="3"/>
    </row>
    <row r="630" spans="1:14" x14ac:dyDescent="0.2">
      <c r="A630" s="3" t="str">
        <f>IFERROR(VLOOKUP(B630,'جدول الجلسات التدريبية'!A:B,2,FALSE),"")</f>
        <v/>
      </c>
      <c r="B630" s="3"/>
      <c r="C630" s="3" t="str">
        <f>IFERROR(VLOOKUP(A630,'الخطة التدريبية المعتمدة'!A:C,3,FALSE),"")</f>
        <v/>
      </c>
      <c r="D630" s="3" t="str">
        <f>IFERROR(VLOOKUP(B630,'جدول الجلسات التدريبية'!A:D,4,FALSE),"")</f>
        <v/>
      </c>
      <c r="E630" s="3"/>
      <c r="F630" s="3" t="str">
        <f>IFERROR(VLOOKUP(E630,'سجل الموظفين والكفاءة'!B:C,2,FALSE),"")</f>
        <v/>
      </c>
      <c r="G630" s="3">
        <f>IFERROR(VLOOKUP(A630,'الخطة التدريبية المعتمدة'!A:J,10,FALSE),0)</f>
        <v>0</v>
      </c>
      <c r="H630" s="3"/>
      <c r="I630" s="3"/>
      <c r="J630" s="3"/>
      <c r="K630" s="7" t="str">
        <f>IF(OR(I630="",J630="",I630=0),"",(J630-I630)/I630)</f>
        <v/>
      </c>
      <c r="L630" s="3" t="str">
        <f>IF(J630="","",IF(J630/10&gt;='الإعدادات والمستهدفات'!B5,"ناجح ومستوفى","ضعيف - يلزم إعادة اختبار"))</f>
        <v/>
      </c>
      <c r="M630" s="3"/>
      <c r="N630" s="3"/>
    </row>
    <row r="631" spans="1:14" x14ac:dyDescent="0.2">
      <c r="A631" s="3" t="str">
        <f>IFERROR(VLOOKUP(B631,'جدول الجلسات التدريبية'!A:B,2,FALSE),"")</f>
        <v/>
      </c>
      <c r="B631" s="3"/>
      <c r="C631" s="3" t="str">
        <f>IFERROR(VLOOKUP(A631,'الخطة التدريبية المعتمدة'!A:C,3,FALSE),"")</f>
        <v/>
      </c>
      <c r="D631" s="3" t="str">
        <f>IFERROR(VLOOKUP(B631,'جدول الجلسات التدريبية'!A:D,4,FALSE),"")</f>
        <v/>
      </c>
      <c r="E631" s="3"/>
      <c r="F631" s="3" t="str">
        <f>IFERROR(VLOOKUP(E631,'سجل الموظفين والكفاءة'!B:C,2,FALSE),"")</f>
        <v/>
      </c>
      <c r="G631" s="3">
        <f>IFERROR(VLOOKUP(A631,'الخطة التدريبية المعتمدة'!A:J,10,FALSE),0)</f>
        <v>0</v>
      </c>
      <c r="H631" s="3"/>
      <c r="I631" s="3"/>
      <c r="J631" s="3"/>
      <c r="K631" s="7" t="str">
        <f>IF(OR(I631="",J631="",I631=0),"",(J631-I631)/I631)</f>
        <v/>
      </c>
      <c r="L631" s="3" t="str">
        <f>IF(J631="","",IF(J631/10&gt;='الإعدادات والمستهدفات'!B5,"ناجح ومستوفى","ضعيف - يلزم إعادة اختبار"))</f>
        <v/>
      </c>
      <c r="M631" s="3"/>
      <c r="N631" s="3"/>
    </row>
    <row r="632" spans="1:14" x14ac:dyDescent="0.2">
      <c r="A632" s="3" t="str">
        <f>IFERROR(VLOOKUP(B632,'جدول الجلسات التدريبية'!A:B,2,FALSE),"")</f>
        <v/>
      </c>
      <c r="B632" s="3"/>
      <c r="C632" s="3" t="str">
        <f>IFERROR(VLOOKUP(A632,'الخطة التدريبية المعتمدة'!A:C,3,FALSE),"")</f>
        <v/>
      </c>
      <c r="D632" s="3" t="str">
        <f>IFERROR(VLOOKUP(B632,'جدول الجلسات التدريبية'!A:D,4,FALSE),"")</f>
        <v/>
      </c>
      <c r="E632" s="3"/>
      <c r="F632" s="3" t="str">
        <f>IFERROR(VLOOKUP(E632,'سجل الموظفين والكفاءة'!B:C,2,FALSE),"")</f>
        <v/>
      </c>
      <c r="G632" s="3">
        <f>IFERROR(VLOOKUP(A632,'الخطة التدريبية المعتمدة'!A:J,10,FALSE),0)</f>
        <v>0</v>
      </c>
      <c r="H632" s="3"/>
      <c r="I632" s="3"/>
      <c r="J632" s="3"/>
      <c r="K632" s="7" t="str">
        <f>IF(OR(I632="",J632="",I632=0),"",(J632-I632)/I632)</f>
        <v/>
      </c>
      <c r="L632" s="3" t="str">
        <f>IF(J632="","",IF(J632/10&gt;='الإعدادات والمستهدفات'!B5,"ناجح ومستوفى","ضعيف - يلزم إعادة اختبار"))</f>
        <v/>
      </c>
      <c r="M632" s="3"/>
      <c r="N632" s="3"/>
    </row>
    <row r="633" spans="1:14" x14ac:dyDescent="0.2">
      <c r="A633" s="3" t="str">
        <f>IFERROR(VLOOKUP(B633,'جدول الجلسات التدريبية'!A:B,2,FALSE),"")</f>
        <v/>
      </c>
      <c r="B633" s="3"/>
      <c r="C633" s="3" t="str">
        <f>IFERROR(VLOOKUP(A633,'الخطة التدريبية المعتمدة'!A:C,3,FALSE),"")</f>
        <v/>
      </c>
      <c r="D633" s="3" t="str">
        <f>IFERROR(VLOOKUP(B633,'جدول الجلسات التدريبية'!A:D,4,FALSE),"")</f>
        <v/>
      </c>
      <c r="E633" s="3"/>
      <c r="F633" s="3" t="str">
        <f>IFERROR(VLOOKUP(E633,'سجل الموظفين والكفاءة'!B:C,2,FALSE),"")</f>
        <v/>
      </c>
      <c r="G633" s="3">
        <f>IFERROR(VLOOKUP(A633,'الخطة التدريبية المعتمدة'!A:J,10,FALSE),0)</f>
        <v>0</v>
      </c>
      <c r="H633" s="3"/>
      <c r="I633" s="3"/>
      <c r="J633" s="3"/>
      <c r="K633" s="7" t="str">
        <f>IF(OR(I633="",J633="",I633=0),"",(J633-I633)/I633)</f>
        <v/>
      </c>
      <c r="L633" s="3" t="str">
        <f>IF(J633="","",IF(J633/10&gt;='الإعدادات والمستهدفات'!B5,"ناجح ومستوفى","ضعيف - يلزم إعادة اختبار"))</f>
        <v/>
      </c>
      <c r="M633" s="3"/>
      <c r="N633" s="3"/>
    </row>
    <row r="634" spans="1:14" x14ac:dyDescent="0.2">
      <c r="A634" s="3" t="str">
        <f>IFERROR(VLOOKUP(B634,'جدول الجلسات التدريبية'!A:B,2,FALSE),"")</f>
        <v/>
      </c>
      <c r="B634" s="3"/>
      <c r="C634" s="3" t="str">
        <f>IFERROR(VLOOKUP(A634,'الخطة التدريبية المعتمدة'!A:C,3,FALSE),"")</f>
        <v/>
      </c>
      <c r="D634" s="3" t="str">
        <f>IFERROR(VLOOKUP(B634,'جدول الجلسات التدريبية'!A:D,4,FALSE),"")</f>
        <v/>
      </c>
      <c r="E634" s="3"/>
      <c r="F634" s="3" t="str">
        <f>IFERROR(VLOOKUP(E634,'سجل الموظفين والكفاءة'!B:C,2,FALSE),"")</f>
        <v/>
      </c>
      <c r="G634" s="3">
        <f>IFERROR(VLOOKUP(A634,'الخطة التدريبية المعتمدة'!A:J,10,FALSE),0)</f>
        <v>0</v>
      </c>
      <c r="H634" s="3"/>
      <c r="I634" s="3"/>
      <c r="J634" s="3"/>
      <c r="K634" s="7" t="str">
        <f>IF(OR(I634="",J634="",I634=0),"",(J634-I634)/I634)</f>
        <v/>
      </c>
      <c r="L634" s="3" t="str">
        <f>IF(J634="","",IF(J634/10&gt;='الإعدادات والمستهدفات'!B5,"ناجح ومستوفى","ضعيف - يلزم إعادة اختبار"))</f>
        <v/>
      </c>
      <c r="M634" s="3"/>
      <c r="N634" s="3"/>
    </row>
    <row r="635" spans="1:14" x14ac:dyDescent="0.2">
      <c r="A635" s="3" t="str">
        <f>IFERROR(VLOOKUP(B635,'جدول الجلسات التدريبية'!A:B,2,FALSE),"")</f>
        <v/>
      </c>
      <c r="B635" s="3"/>
      <c r="C635" s="3" t="str">
        <f>IFERROR(VLOOKUP(A635,'الخطة التدريبية المعتمدة'!A:C,3,FALSE),"")</f>
        <v/>
      </c>
      <c r="D635" s="3" t="str">
        <f>IFERROR(VLOOKUP(B635,'جدول الجلسات التدريبية'!A:D,4,FALSE),"")</f>
        <v/>
      </c>
      <c r="E635" s="3"/>
      <c r="F635" s="3" t="str">
        <f>IFERROR(VLOOKUP(E635,'سجل الموظفين والكفاءة'!B:C,2,FALSE),"")</f>
        <v/>
      </c>
      <c r="G635" s="3">
        <f>IFERROR(VLOOKUP(A635,'الخطة التدريبية المعتمدة'!A:J,10,FALSE),0)</f>
        <v>0</v>
      </c>
      <c r="H635" s="3"/>
      <c r="I635" s="3"/>
      <c r="J635" s="3"/>
      <c r="K635" s="7" t="str">
        <f>IF(OR(I635="",J635="",I635=0),"",(J635-I635)/I635)</f>
        <v/>
      </c>
      <c r="L635" s="3" t="str">
        <f>IF(J635="","",IF(J635/10&gt;='الإعدادات والمستهدفات'!B5,"ناجح ومستوفى","ضعيف - يلزم إعادة اختبار"))</f>
        <v/>
      </c>
      <c r="M635" s="3"/>
      <c r="N635" s="3"/>
    </row>
    <row r="636" spans="1:14" x14ac:dyDescent="0.2">
      <c r="A636" s="3" t="str">
        <f>IFERROR(VLOOKUP(B636,'جدول الجلسات التدريبية'!A:B,2,FALSE),"")</f>
        <v/>
      </c>
      <c r="B636" s="3"/>
      <c r="C636" s="3" t="str">
        <f>IFERROR(VLOOKUP(A636,'الخطة التدريبية المعتمدة'!A:C,3,FALSE),"")</f>
        <v/>
      </c>
      <c r="D636" s="3" t="str">
        <f>IFERROR(VLOOKUP(B636,'جدول الجلسات التدريبية'!A:D,4,FALSE),"")</f>
        <v/>
      </c>
      <c r="E636" s="3"/>
      <c r="F636" s="3" t="str">
        <f>IFERROR(VLOOKUP(E636,'سجل الموظفين والكفاءة'!B:C,2,FALSE),"")</f>
        <v/>
      </c>
      <c r="G636" s="3">
        <f>IFERROR(VLOOKUP(A636,'الخطة التدريبية المعتمدة'!A:J,10,FALSE),0)</f>
        <v>0</v>
      </c>
      <c r="H636" s="3"/>
      <c r="I636" s="3"/>
      <c r="J636" s="3"/>
      <c r="K636" s="7" t="str">
        <f>IF(OR(I636="",J636="",I636=0),"",(J636-I636)/I636)</f>
        <v/>
      </c>
      <c r="L636" s="3" t="str">
        <f>IF(J636="","",IF(J636/10&gt;='الإعدادات والمستهدفات'!B5,"ناجح ومستوفى","ضعيف - يلزم إعادة اختبار"))</f>
        <v/>
      </c>
      <c r="M636" s="3"/>
      <c r="N636" s="3"/>
    </row>
    <row r="637" spans="1:14" x14ac:dyDescent="0.2">
      <c r="A637" s="3" t="str">
        <f>IFERROR(VLOOKUP(B637,'جدول الجلسات التدريبية'!A:B,2,FALSE),"")</f>
        <v/>
      </c>
      <c r="B637" s="3"/>
      <c r="C637" s="3" t="str">
        <f>IFERROR(VLOOKUP(A637,'الخطة التدريبية المعتمدة'!A:C,3,FALSE),"")</f>
        <v/>
      </c>
      <c r="D637" s="3" t="str">
        <f>IFERROR(VLOOKUP(B637,'جدول الجلسات التدريبية'!A:D,4,FALSE),"")</f>
        <v/>
      </c>
      <c r="E637" s="3"/>
      <c r="F637" s="3" t="str">
        <f>IFERROR(VLOOKUP(E637,'سجل الموظفين والكفاءة'!B:C,2,FALSE),"")</f>
        <v/>
      </c>
      <c r="G637" s="3">
        <f>IFERROR(VLOOKUP(A637,'الخطة التدريبية المعتمدة'!A:J,10,FALSE),0)</f>
        <v>0</v>
      </c>
      <c r="H637" s="3"/>
      <c r="I637" s="3"/>
      <c r="J637" s="3"/>
      <c r="K637" s="7" t="str">
        <f>IF(OR(I637="",J637="",I637=0),"",(J637-I637)/I637)</f>
        <v/>
      </c>
      <c r="L637" s="3" t="str">
        <f>IF(J637="","",IF(J637/10&gt;='الإعدادات والمستهدفات'!B5,"ناجح ومستوفى","ضعيف - يلزم إعادة اختبار"))</f>
        <v/>
      </c>
      <c r="M637" s="3"/>
      <c r="N637" s="3"/>
    </row>
    <row r="638" spans="1:14" x14ac:dyDescent="0.2">
      <c r="A638" s="3" t="str">
        <f>IFERROR(VLOOKUP(B638,'جدول الجلسات التدريبية'!A:B,2,FALSE),"")</f>
        <v/>
      </c>
      <c r="B638" s="3"/>
      <c r="C638" s="3" t="str">
        <f>IFERROR(VLOOKUP(A638,'الخطة التدريبية المعتمدة'!A:C,3,FALSE),"")</f>
        <v/>
      </c>
      <c r="D638" s="3" t="str">
        <f>IFERROR(VLOOKUP(B638,'جدول الجلسات التدريبية'!A:D,4,FALSE),"")</f>
        <v/>
      </c>
      <c r="E638" s="3"/>
      <c r="F638" s="3" t="str">
        <f>IFERROR(VLOOKUP(E638,'سجل الموظفين والكفاءة'!B:C,2,FALSE),"")</f>
        <v/>
      </c>
      <c r="G638" s="3">
        <f>IFERROR(VLOOKUP(A638,'الخطة التدريبية المعتمدة'!A:J,10,FALSE),0)</f>
        <v>0</v>
      </c>
      <c r="H638" s="3"/>
      <c r="I638" s="3"/>
      <c r="J638" s="3"/>
      <c r="K638" s="7" t="str">
        <f>IF(OR(I638="",J638="",I638=0),"",(J638-I638)/I638)</f>
        <v/>
      </c>
      <c r="L638" s="3" t="str">
        <f>IF(J638="","",IF(J638/10&gt;='الإعدادات والمستهدفات'!B5,"ناجح ومستوفى","ضعيف - يلزم إعادة اختبار"))</f>
        <v/>
      </c>
      <c r="M638" s="3"/>
      <c r="N638" s="3"/>
    </row>
    <row r="639" spans="1:14" x14ac:dyDescent="0.2">
      <c r="A639" s="3" t="str">
        <f>IFERROR(VLOOKUP(B639,'جدول الجلسات التدريبية'!A:B,2,FALSE),"")</f>
        <v/>
      </c>
      <c r="B639" s="3"/>
      <c r="C639" s="3" t="str">
        <f>IFERROR(VLOOKUP(A639,'الخطة التدريبية المعتمدة'!A:C,3,FALSE),"")</f>
        <v/>
      </c>
      <c r="D639" s="3" t="str">
        <f>IFERROR(VLOOKUP(B639,'جدول الجلسات التدريبية'!A:D,4,FALSE),"")</f>
        <v/>
      </c>
      <c r="E639" s="3"/>
      <c r="F639" s="3" t="str">
        <f>IFERROR(VLOOKUP(E639,'سجل الموظفين والكفاءة'!B:C,2,FALSE),"")</f>
        <v/>
      </c>
      <c r="G639" s="3">
        <f>IFERROR(VLOOKUP(A639,'الخطة التدريبية المعتمدة'!A:J,10,FALSE),0)</f>
        <v>0</v>
      </c>
      <c r="H639" s="3"/>
      <c r="I639" s="3"/>
      <c r="J639" s="3"/>
      <c r="K639" s="7" t="str">
        <f>IF(OR(I639="",J639="",I639=0),"",(J639-I639)/I639)</f>
        <v/>
      </c>
      <c r="L639" s="3" t="str">
        <f>IF(J639="","",IF(J639/10&gt;='الإعدادات والمستهدفات'!B5,"ناجح ومستوفى","ضعيف - يلزم إعادة اختبار"))</f>
        <v/>
      </c>
      <c r="M639" s="3"/>
      <c r="N639" s="3"/>
    </row>
    <row r="640" spans="1:14" x14ac:dyDescent="0.2">
      <c r="A640" s="3" t="str">
        <f>IFERROR(VLOOKUP(B640,'جدول الجلسات التدريبية'!A:B,2,FALSE),"")</f>
        <v/>
      </c>
      <c r="B640" s="3"/>
      <c r="C640" s="3" t="str">
        <f>IFERROR(VLOOKUP(A640,'الخطة التدريبية المعتمدة'!A:C,3,FALSE),"")</f>
        <v/>
      </c>
      <c r="D640" s="3" t="str">
        <f>IFERROR(VLOOKUP(B640,'جدول الجلسات التدريبية'!A:D,4,FALSE),"")</f>
        <v/>
      </c>
      <c r="E640" s="3"/>
      <c r="F640" s="3" t="str">
        <f>IFERROR(VLOOKUP(E640,'سجل الموظفين والكفاءة'!B:C,2,FALSE),"")</f>
        <v/>
      </c>
      <c r="G640" s="3">
        <f>IFERROR(VLOOKUP(A640,'الخطة التدريبية المعتمدة'!A:J,10,FALSE),0)</f>
        <v>0</v>
      </c>
      <c r="H640" s="3"/>
      <c r="I640" s="3"/>
      <c r="J640" s="3"/>
      <c r="K640" s="7" t="str">
        <f>IF(OR(I640="",J640="",I640=0),"",(J640-I640)/I640)</f>
        <v/>
      </c>
      <c r="L640" s="3" t="str">
        <f>IF(J640="","",IF(J640/10&gt;='الإعدادات والمستهدفات'!B5,"ناجح ومستوفى","ضعيف - يلزم إعادة اختبار"))</f>
        <v/>
      </c>
      <c r="M640" s="3"/>
      <c r="N640" s="3"/>
    </row>
    <row r="641" spans="1:14" x14ac:dyDescent="0.2">
      <c r="A641" s="3" t="str">
        <f>IFERROR(VLOOKUP(B641,'جدول الجلسات التدريبية'!A:B,2,FALSE),"")</f>
        <v/>
      </c>
      <c r="B641" s="3"/>
      <c r="C641" s="3" t="str">
        <f>IFERROR(VLOOKUP(A641,'الخطة التدريبية المعتمدة'!A:C,3,FALSE),"")</f>
        <v/>
      </c>
      <c r="D641" s="3" t="str">
        <f>IFERROR(VLOOKUP(B641,'جدول الجلسات التدريبية'!A:D,4,FALSE),"")</f>
        <v/>
      </c>
      <c r="E641" s="3"/>
      <c r="F641" s="3" t="str">
        <f>IFERROR(VLOOKUP(E641,'سجل الموظفين والكفاءة'!B:C,2,FALSE),"")</f>
        <v/>
      </c>
      <c r="G641" s="3">
        <f>IFERROR(VLOOKUP(A641,'الخطة التدريبية المعتمدة'!A:J,10,FALSE),0)</f>
        <v>0</v>
      </c>
      <c r="H641" s="3"/>
      <c r="I641" s="3"/>
      <c r="J641" s="3"/>
      <c r="K641" s="7" t="str">
        <f>IF(OR(I641="",J641="",I641=0),"",(J641-I641)/I641)</f>
        <v/>
      </c>
      <c r="L641" s="3" t="str">
        <f>IF(J641="","",IF(J641/10&gt;='الإعدادات والمستهدفات'!B5,"ناجح ومستوفى","ضعيف - يلزم إعادة اختبار"))</f>
        <v/>
      </c>
      <c r="M641" s="3"/>
      <c r="N641" s="3"/>
    </row>
    <row r="642" spans="1:14" x14ac:dyDescent="0.2">
      <c r="A642" s="3" t="str">
        <f>IFERROR(VLOOKUP(B642,'جدول الجلسات التدريبية'!A:B,2,FALSE),"")</f>
        <v/>
      </c>
      <c r="B642" s="3"/>
      <c r="C642" s="3" t="str">
        <f>IFERROR(VLOOKUP(A642,'الخطة التدريبية المعتمدة'!A:C,3,FALSE),"")</f>
        <v/>
      </c>
      <c r="D642" s="3" t="str">
        <f>IFERROR(VLOOKUP(B642,'جدول الجلسات التدريبية'!A:D,4,FALSE),"")</f>
        <v/>
      </c>
      <c r="E642" s="3"/>
      <c r="F642" s="3" t="str">
        <f>IFERROR(VLOOKUP(E642,'سجل الموظفين والكفاءة'!B:C,2,FALSE),"")</f>
        <v/>
      </c>
      <c r="G642" s="3">
        <f>IFERROR(VLOOKUP(A642,'الخطة التدريبية المعتمدة'!A:J,10,FALSE),0)</f>
        <v>0</v>
      </c>
      <c r="H642" s="3"/>
      <c r="I642" s="3"/>
      <c r="J642" s="3"/>
      <c r="K642" s="7" t="str">
        <f>IF(OR(I642="",J642="",I642=0),"",(J642-I642)/I642)</f>
        <v/>
      </c>
      <c r="L642" s="3" t="str">
        <f>IF(J642="","",IF(J642/10&gt;='الإعدادات والمستهدفات'!B5,"ناجح ومستوفى","ضعيف - يلزم إعادة اختبار"))</f>
        <v/>
      </c>
      <c r="M642" s="3"/>
      <c r="N642" s="3"/>
    </row>
    <row r="643" spans="1:14" x14ac:dyDescent="0.2">
      <c r="A643" s="3" t="str">
        <f>IFERROR(VLOOKUP(B643,'جدول الجلسات التدريبية'!A:B,2,FALSE),"")</f>
        <v/>
      </c>
      <c r="B643" s="3"/>
      <c r="C643" s="3" t="str">
        <f>IFERROR(VLOOKUP(A643,'الخطة التدريبية المعتمدة'!A:C,3,FALSE),"")</f>
        <v/>
      </c>
      <c r="D643" s="3" t="str">
        <f>IFERROR(VLOOKUP(B643,'جدول الجلسات التدريبية'!A:D,4,FALSE),"")</f>
        <v/>
      </c>
      <c r="E643" s="3"/>
      <c r="F643" s="3" t="str">
        <f>IFERROR(VLOOKUP(E643,'سجل الموظفين والكفاءة'!B:C,2,FALSE),"")</f>
        <v/>
      </c>
      <c r="G643" s="3">
        <f>IFERROR(VLOOKUP(A643,'الخطة التدريبية المعتمدة'!A:J,10,FALSE),0)</f>
        <v>0</v>
      </c>
      <c r="H643" s="3"/>
      <c r="I643" s="3"/>
      <c r="J643" s="3"/>
      <c r="K643" s="7" t="str">
        <f>IF(OR(I643="",J643="",I643=0),"",(J643-I643)/I643)</f>
        <v/>
      </c>
      <c r="L643" s="3" t="str">
        <f>IF(J643="","",IF(J643/10&gt;='الإعدادات والمستهدفات'!B5,"ناجح ومستوفى","ضعيف - يلزم إعادة اختبار"))</f>
        <v/>
      </c>
      <c r="M643" s="3"/>
      <c r="N643" s="3"/>
    </row>
    <row r="644" spans="1:14" x14ac:dyDescent="0.2">
      <c r="A644" s="3" t="str">
        <f>IFERROR(VLOOKUP(B644,'جدول الجلسات التدريبية'!A:B,2,FALSE),"")</f>
        <v/>
      </c>
      <c r="B644" s="3"/>
      <c r="C644" s="3" t="str">
        <f>IFERROR(VLOOKUP(A644,'الخطة التدريبية المعتمدة'!A:C,3,FALSE),"")</f>
        <v/>
      </c>
      <c r="D644" s="3" t="str">
        <f>IFERROR(VLOOKUP(B644,'جدول الجلسات التدريبية'!A:D,4,FALSE),"")</f>
        <v/>
      </c>
      <c r="E644" s="3"/>
      <c r="F644" s="3" t="str">
        <f>IFERROR(VLOOKUP(E644,'سجل الموظفين والكفاءة'!B:C,2,FALSE),"")</f>
        <v/>
      </c>
      <c r="G644" s="3">
        <f>IFERROR(VLOOKUP(A644,'الخطة التدريبية المعتمدة'!A:J,10,FALSE),0)</f>
        <v>0</v>
      </c>
      <c r="H644" s="3"/>
      <c r="I644" s="3"/>
      <c r="J644" s="3"/>
      <c r="K644" s="7" t="str">
        <f>IF(OR(I644="",J644="",I644=0),"",(J644-I644)/I644)</f>
        <v/>
      </c>
      <c r="L644" s="3" t="str">
        <f>IF(J644="","",IF(J644/10&gt;='الإعدادات والمستهدفات'!B5,"ناجح ومستوفى","ضعيف - يلزم إعادة اختبار"))</f>
        <v/>
      </c>
      <c r="M644" s="3"/>
      <c r="N644" s="3"/>
    </row>
    <row r="645" spans="1:14" x14ac:dyDescent="0.2">
      <c r="A645" s="3" t="str">
        <f>IFERROR(VLOOKUP(B645,'جدول الجلسات التدريبية'!A:B,2,FALSE),"")</f>
        <v/>
      </c>
      <c r="B645" s="3"/>
      <c r="C645" s="3" t="str">
        <f>IFERROR(VLOOKUP(A645,'الخطة التدريبية المعتمدة'!A:C,3,FALSE),"")</f>
        <v/>
      </c>
      <c r="D645" s="3" t="str">
        <f>IFERROR(VLOOKUP(B645,'جدول الجلسات التدريبية'!A:D,4,FALSE),"")</f>
        <v/>
      </c>
      <c r="E645" s="3"/>
      <c r="F645" s="3" t="str">
        <f>IFERROR(VLOOKUP(E645,'سجل الموظفين والكفاءة'!B:C,2,FALSE),"")</f>
        <v/>
      </c>
      <c r="G645" s="3">
        <f>IFERROR(VLOOKUP(A645,'الخطة التدريبية المعتمدة'!A:J,10,FALSE),0)</f>
        <v>0</v>
      </c>
      <c r="H645" s="3"/>
      <c r="I645" s="3"/>
      <c r="J645" s="3"/>
      <c r="K645" s="7" t="str">
        <f>IF(OR(I645="",J645="",I645=0),"",(J645-I645)/I645)</f>
        <v/>
      </c>
      <c r="L645" s="3" t="str">
        <f>IF(J645="","",IF(J645/10&gt;='الإعدادات والمستهدفات'!B5,"ناجح ومستوفى","ضعيف - يلزم إعادة اختبار"))</f>
        <v/>
      </c>
      <c r="M645" s="3"/>
      <c r="N645" s="3"/>
    </row>
    <row r="646" spans="1:14" x14ac:dyDescent="0.2">
      <c r="A646" s="3" t="str">
        <f>IFERROR(VLOOKUP(B646,'جدول الجلسات التدريبية'!A:B,2,FALSE),"")</f>
        <v/>
      </c>
      <c r="B646" s="3"/>
      <c r="C646" s="3" t="str">
        <f>IFERROR(VLOOKUP(A646,'الخطة التدريبية المعتمدة'!A:C,3,FALSE),"")</f>
        <v/>
      </c>
      <c r="D646" s="3" t="str">
        <f>IFERROR(VLOOKUP(B646,'جدول الجلسات التدريبية'!A:D,4,FALSE),"")</f>
        <v/>
      </c>
      <c r="E646" s="3"/>
      <c r="F646" s="3" t="str">
        <f>IFERROR(VLOOKUP(E646,'سجل الموظفين والكفاءة'!B:C,2,FALSE),"")</f>
        <v/>
      </c>
      <c r="G646" s="3">
        <f>IFERROR(VLOOKUP(A646,'الخطة التدريبية المعتمدة'!A:J,10,FALSE),0)</f>
        <v>0</v>
      </c>
      <c r="H646" s="3"/>
      <c r="I646" s="3"/>
      <c r="J646" s="3"/>
      <c r="K646" s="7" t="str">
        <f>IF(OR(I646="",J646="",I646=0),"",(J646-I646)/I646)</f>
        <v/>
      </c>
      <c r="L646" s="3" t="str">
        <f>IF(J646="","",IF(J646/10&gt;='الإعدادات والمستهدفات'!B5,"ناجح ومستوفى","ضعيف - يلزم إعادة اختبار"))</f>
        <v/>
      </c>
      <c r="M646" s="3"/>
      <c r="N646" s="3"/>
    </row>
    <row r="647" spans="1:14" x14ac:dyDescent="0.2">
      <c r="A647" s="3" t="str">
        <f>IFERROR(VLOOKUP(B647,'جدول الجلسات التدريبية'!A:B,2,FALSE),"")</f>
        <v/>
      </c>
      <c r="B647" s="3"/>
      <c r="C647" s="3" t="str">
        <f>IFERROR(VLOOKUP(A647,'الخطة التدريبية المعتمدة'!A:C,3,FALSE),"")</f>
        <v/>
      </c>
      <c r="D647" s="3" t="str">
        <f>IFERROR(VLOOKUP(B647,'جدول الجلسات التدريبية'!A:D,4,FALSE),"")</f>
        <v/>
      </c>
      <c r="E647" s="3"/>
      <c r="F647" s="3" t="str">
        <f>IFERROR(VLOOKUP(E647,'سجل الموظفين والكفاءة'!B:C,2,FALSE),"")</f>
        <v/>
      </c>
      <c r="G647" s="3">
        <f>IFERROR(VLOOKUP(A647,'الخطة التدريبية المعتمدة'!A:J,10,FALSE),0)</f>
        <v>0</v>
      </c>
      <c r="H647" s="3"/>
      <c r="I647" s="3"/>
      <c r="J647" s="3"/>
      <c r="K647" s="7" t="str">
        <f>IF(OR(I647="",J647="",I647=0),"",(J647-I647)/I647)</f>
        <v/>
      </c>
      <c r="L647" s="3" t="str">
        <f>IF(J647="","",IF(J647/10&gt;='الإعدادات والمستهدفات'!B5,"ناجح ومستوفى","ضعيف - يلزم إعادة اختبار"))</f>
        <v/>
      </c>
      <c r="M647" s="3"/>
      <c r="N647" s="3"/>
    </row>
    <row r="648" spans="1:14" x14ac:dyDescent="0.2">
      <c r="A648" s="3" t="str">
        <f>IFERROR(VLOOKUP(B648,'جدول الجلسات التدريبية'!A:B,2,FALSE),"")</f>
        <v/>
      </c>
      <c r="B648" s="3"/>
      <c r="C648" s="3" t="str">
        <f>IFERROR(VLOOKUP(A648,'الخطة التدريبية المعتمدة'!A:C,3,FALSE),"")</f>
        <v/>
      </c>
      <c r="D648" s="3" t="str">
        <f>IFERROR(VLOOKUP(B648,'جدول الجلسات التدريبية'!A:D,4,FALSE),"")</f>
        <v/>
      </c>
      <c r="E648" s="3"/>
      <c r="F648" s="3" t="str">
        <f>IFERROR(VLOOKUP(E648,'سجل الموظفين والكفاءة'!B:C,2,FALSE),"")</f>
        <v/>
      </c>
      <c r="G648" s="3">
        <f>IFERROR(VLOOKUP(A648,'الخطة التدريبية المعتمدة'!A:J,10,FALSE),0)</f>
        <v>0</v>
      </c>
      <c r="H648" s="3"/>
      <c r="I648" s="3"/>
      <c r="J648" s="3"/>
      <c r="K648" s="7" t="str">
        <f>IF(OR(I648="",J648="",I648=0),"",(J648-I648)/I648)</f>
        <v/>
      </c>
      <c r="L648" s="3" t="str">
        <f>IF(J648="","",IF(J648/10&gt;='الإعدادات والمستهدفات'!B5,"ناجح ومستوفى","ضعيف - يلزم إعادة اختبار"))</f>
        <v/>
      </c>
      <c r="M648" s="3"/>
      <c r="N648" s="3"/>
    </row>
    <row r="649" spans="1:14" x14ac:dyDescent="0.2">
      <c r="A649" s="3" t="str">
        <f>IFERROR(VLOOKUP(B649,'جدول الجلسات التدريبية'!A:B,2,FALSE),"")</f>
        <v/>
      </c>
      <c r="B649" s="3"/>
      <c r="C649" s="3" t="str">
        <f>IFERROR(VLOOKUP(A649,'الخطة التدريبية المعتمدة'!A:C,3,FALSE),"")</f>
        <v/>
      </c>
      <c r="D649" s="3" t="str">
        <f>IFERROR(VLOOKUP(B649,'جدول الجلسات التدريبية'!A:D,4,FALSE),"")</f>
        <v/>
      </c>
      <c r="E649" s="3"/>
      <c r="F649" s="3" t="str">
        <f>IFERROR(VLOOKUP(E649,'سجل الموظفين والكفاءة'!B:C,2,FALSE),"")</f>
        <v/>
      </c>
      <c r="G649" s="3">
        <f>IFERROR(VLOOKUP(A649,'الخطة التدريبية المعتمدة'!A:J,10,FALSE),0)</f>
        <v>0</v>
      </c>
      <c r="H649" s="3"/>
      <c r="I649" s="3"/>
      <c r="J649" s="3"/>
      <c r="K649" s="7" t="str">
        <f>IF(OR(I649="",J649="",I649=0),"",(J649-I649)/I649)</f>
        <v/>
      </c>
      <c r="L649" s="3" t="str">
        <f>IF(J649="","",IF(J649/10&gt;='الإعدادات والمستهدفات'!B5,"ناجح ومستوفى","ضعيف - يلزم إعادة اختبار"))</f>
        <v/>
      </c>
      <c r="M649" s="3"/>
      <c r="N649" s="3"/>
    </row>
    <row r="650" spans="1:14" x14ac:dyDescent="0.2">
      <c r="A650" s="3" t="str">
        <f>IFERROR(VLOOKUP(B650,'جدول الجلسات التدريبية'!A:B,2,FALSE),"")</f>
        <v/>
      </c>
      <c r="B650" s="3"/>
      <c r="C650" s="3" t="str">
        <f>IFERROR(VLOOKUP(A650,'الخطة التدريبية المعتمدة'!A:C,3,FALSE),"")</f>
        <v/>
      </c>
      <c r="D650" s="3" t="str">
        <f>IFERROR(VLOOKUP(B650,'جدول الجلسات التدريبية'!A:D,4,FALSE),"")</f>
        <v/>
      </c>
      <c r="E650" s="3"/>
      <c r="F650" s="3" t="str">
        <f>IFERROR(VLOOKUP(E650,'سجل الموظفين والكفاءة'!B:C,2,FALSE),"")</f>
        <v/>
      </c>
      <c r="G650" s="3">
        <f>IFERROR(VLOOKUP(A650,'الخطة التدريبية المعتمدة'!A:J,10,FALSE),0)</f>
        <v>0</v>
      </c>
      <c r="H650" s="3"/>
      <c r="I650" s="3"/>
      <c r="J650" s="3"/>
      <c r="K650" s="7" t="str">
        <f>IF(OR(I650="",J650="",I650=0),"",(J650-I650)/I650)</f>
        <v/>
      </c>
      <c r="L650" s="3" t="str">
        <f>IF(J650="","",IF(J650/10&gt;='الإعدادات والمستهدفات'!B5,"ناجح ومستوفى","ضعيف - يلزم إعادة اختبار"))</f>
        <v/>
      </c>
      <c r="M650" s="3"/>
      <c r="N650" s="3"/>
    </row>
    <row r="651" spans="1:14" x14ac:dyDescent="0.2">
      <c r="A651" s="3" t="str">
        <f>IFERROR(VLOOKUP(B651,'جدول الجلسات التدريبية'!A:B,2,FALSE),"")</f>
        <v/>
      </c>
      <c r="B651" s="3"/>
      <c r="C651" s="3" t="str">
        <f>IFERROR(VLOOKUP(A651,'الخطة التدريبية المعتمدة'!A:C,3,FALSE),"")</f>
        <v/>
      </c>
      <c r="D651" s="3" t="str">
        <f>IFERROR(VLOOKUP(B651,'جدول الجلسات التدريبية'!A:D,4,FALSE),"")</f>
        <v/>
      </c>
      <c r="E651" s="3"/>
      <c r="F651" s="3" t="str">
        <f>IFERROR(VLOOKUP(E651,'سجل الموظفين والكفاءة'!B:C,2,FALSE),"")</f>
        <v/>
      </c>
      <c r="G651" s="3">
        <f>IFERROR(VLOOKUP(A651,'الخطة التدريبية المعتمدة'!A:J,10,FALSE),0)</f>
        <v>0</v>
      </c>
      <c r="H651" s="3"/>
      <c r="I651" s="3"/>
      <c r="J651" s="3"/>
      <c r="K651" s="7" t="str">
        <f>IF(OR(I651="",J651="",I651=0),"",(J651-I651)/I651)</f>
        <v/>
      </c>
      <c r="L651" s="3" t="str">
        <f>IF(J651="","",IF(J651/10&gt;='الإعدادات والمستهدفات'!B5,"ناجح ومستوفى","ضعيف - يلزم إعادة اختبار"))</f>
        <v/>
      </c>
      <c r="M651" s="3"/>
      <c r="N651" s="3"/>
    </row>
    <row r="652" spans="1:14" x14ac:dyDescent="0.2">
      <c r="A652" s="3" t="str">
        <f>IFERROR(VLOOKUP(B652,'جدول الجلسات التدريبية'!A:B,2,FALSE),"")</f>
        <v/>
      </c>
      <c r="B652" s="3"/>
      <c r="C652" s="3" t="str">
        <f>IFERROR(VLOOKUP(A652,'الخطة التدريبية المعتمدة'!A:C,3,FALSE),"")</f>
        <v/>
      </c>
      <c r="D652" s="3" t="str">
        <f>IFERROR(VLOOKUP(B652,'جدول الجلسات التدريبية'!A:D,4,FALSE),"")</f>
        <v/>
      </c>
      <c r="E652" s="3"/>
      <c r="F652" s="3" t="str">
        <f>IFERROR(VLOOKUP(E652,'سجل الموظفين والكفاءة'!B:C,2,FALSE),"")</f>
        <v/>
      </c>
      <c r="G652" s="3">
        <f>IFERROR(VLOOKUP(A652,'الخطة التدريبية المعتمدة'!A:J,10,FALSE),0)</f>
        <v>0</v>
      </c>
      <c r="H652" s="3"/>
      <c r="I652" s="3"/>
      <c r="J652" s="3"/>
      <c r="K652" s="7" t="str">
        <f>IF(OR(I652="",J652="",I652=0),"",(J652-I652)/I652)</f>
        <v/>
      </c>
      <c r="L652" s="3" t="str">
        <f>IF(J652="","",IF(J652/10&gt;='الإعدادات والمستهدفات'!B5,"ناجح ومستوفى","ضعيف - يلزم إعادة اختبار"))</f>
        <v/>
      </c>
      <c r="M652" s="3"/>
      <c r="N652" s="3"/>
    </row>
    <row r="653" spans="1:14" x14ac:dyDescent="0.2">
      <c r="A653" s="3" t="str">
        <f>IFERROR(VLOOKUP(B653,'جدول الجلسات التدريبية'!A:B,2,FALSE),"")</f>
        <v/>
      </c>
      <c r="B653" s="3"/>
      <c r="C653" s="3" t="str">
        <f>IFERROR(VLOOKUP(A653,'الخطة التدريبية المعتمدة'!A:C,3,FALSE),"")</f>
        <v/>
      </c>
      <c r="D653" s="3" t="str">
        <f>IFERROR(VLOOKUP(B653,'جدول الجلسات التدريبية'!A:D,4,FALSE),"")</f>
        <v/>
      </c>
      <c r="E653" s="3"/>
      <c r="F653" s="3" t="str">
        <f>IFERROR(VLOOKUP(E653,'سجل الموظفين والكفاءة'!B:C,2,FALSE),"")</f>
        <v/>
      </c>
      <c r="G653" s="3">
        <f>IFERROR(VLOOKUP(A653,'الخطة التدريبية المعتمدة'!A:J,10,FALSE),0)</f>
        <v>0</v>
      </c>
      <c r="H653" s="3"/>
      <c r="I653" s="3"/>
      <c r="J653" s="3"/>
      <c r="K653" s="7" t="str">
        <f>IF(OR(I653="",J653="",I653=0),"",(J653-I653)/I653)</f>
        <v/>
      </c>
      <c r="L653" s="3" t="str">
        <f>IF(J653="","",IF(J653/10&gt;='الإعدادات والمستهدفات'!B5,"ناجح ومستوفى","ضعيف - يلزم إعادة اختبار"))</f>
        <v/>
      </c>
      <c r="M653" s="3"/>
      <c r="N653" s="3"/>
    </row>
    <row r="654" spans="1:14" x14ac:dyDescent="0.2">
      <c r="A654" s="3" t="str">
        <f>IFERROR(VLOOKUP(B654,'جدول الجلسات التدريبية'!A:B,2,FALSE),"")</f>
        <v/>
      </c>
      <c r="B654" s="3"/>
      <c r="C654" s="3" t="str">
        <f>IFERROR(VLOOKUP(A654,'الخطة التدريبية المعتمدة'!A:C,3,FALSE),"")</f>
        <v/>
      </c>
      <c r="D654" s="3" t="str">
        <f>IFERROR(VLOOKUP(B654,'جدول الجلسات التدريبية'!A:D,4,FALSE),"")</f>
        <v/>
      </c>
      <c r="E654" s="3"/>
      <c r="F654" s="3" t="str">
        <f>IFERROR(VLOOKUP(E654,'سجل الموظفين والكفاءة'!B:C,2,FALSE),"")</f>
        <v/>
      </c>
      <c r="G654" s="3">
        <f>IFERROR(VLOOKUP(A654,'الخطة التدريبية المعتمدة'!A:J,10,FALSE),0)</f>
        <v>0</v>
      </c>
      <c r="H654" s="3"/>
      <c r="I654" s="3"/>
      <c r="J654" s="3"/>
      <c r="K654" s="7" t="str">
        <f>IF(OR(I654="",J654="",I654=0),"",(J654-I654)/I654)</f>
        <v/>
      </c>
      <c r="L654" s="3" t="str">
        <f>IF(J654="","",IF(J654/10&gt;='الإعدادات والمستهدفات'!B5,"ناجح ومستوفى","ضعيف - يلزم إعادة اختبار"))</f>
        <v/>
      </c>
      <c r="M654" s="3"/>
      <c r="N654" s="3"/>
    </row>
    <row r="655" spans="1:14" x14ac:dyDescent="0.2">
      <c r="A655" s="3" t="str">
        <f>IFERROR(VLOOKUP(B655,'جدول الجلسات التدريبية'!A:B,2,FALSE),"")</f>
        <v/>
      </c>
      <c r="B655" s="3"/>
      <c r="C655" s="3" t="str">
        <f>IFERROR(VLOOKUP(A655,'الخطة التدريبية المعتمدة'!A:C,3,FALSE),"")</f>
        <v/>
      </c>
      <c r="D655" s="3" t="str">
        <f>IFERROR(VLOOKUP(B655,'جدول الجلسات التدريبية'!A:D,4,FALSE),"")</f>
        <v/>
      </c>
      <c r="E655" s="3"/>
      <c r="F655" s="3" t="str">
        <f>IFERROR(VLOOKUP(E655,'سجل الموظفين والكفاءة'!B:C,2,FALSE),"")</f>
        <v/>
      </c>
      <c r="G655" s="3">
        <f>IFERROR(VLOOKUP(A655,'الخطة التدريبية المعتمدة'!A:J,10,FALSE),0)</f>
        <v>0</v>
      </c>
      <c r="H655" s="3"/>
      <c r="I655" s="3"/>
      <c r="J655" s="3"/>
      <c r="K655" s="7" t="str">
        <f>IF(OR(I655="",J655="",I655=0),"",(J655-I655)/I655)</f>
        <v/>
      </c>
      <c r="L655" s="3" t="str">
        <f>IF(J655="","",IF(J655/10&gt;='الإعدادات والمستهدفات'!B5,"ناجح ومستوفى","ضعيف - يلزم إعادة اختبار"))</f>
        <v/>
      </c>
      <c r="M655" s="3"/>
      <c r="N655" s="3"/>
    </row>
    <row r="656" spans="1:14" x14ac:dyDescent="0.2">
      <c r="A656" s="3" t="str">
        <f>IFERROR(VLOOKUP(B656,'جدول الجلسات التدريبية'!A:B,2,FALSE),"")</f>
        <v/>
      </c>
      <c r="B656" s="3"/>
      <c r="C656" s="3" t="str">
        <f>IFERROR(VLOOKUP(A656,'الخطة التدريبية المعتمدة'!A:C,3,FALSE),"")</f>
        <v/>
      </c>
      <c r="D656" s="3" t="str">
        <f>IFERROR(VLOOKUP(B656,'جدول الجلسات التدريبية'!A:D,4,FALSE),"")</f>
        <v/>
      </c>
      <c r="E656" s="3"/>
      <c r="F656" s="3" t="str">
        <f>IFERROR(VLOOKUP(E656,'سجل الموظفين والكفاءة'!B:C,2,FALSE),"")</f>
        <v/>
      </c>
      <c r="G656" s="3">
        <f>IFERROR(VLOOKUP(A656,'الخطة التدريبية المعتمدة'!A:J,10,FALSE),0)</f>
        <v>0</v>
      </c>
      <c r="H656" s="3"/>
      <c r="I656" s="3"/>
      <c r="J656" s="3"/>
      <c r="K656" s="7" t="str">
        <f>IF(OR(I656="",J656="",I656=0),"",(J656-I656)/I656)</f>
        <v/>
      </c>
      <c r="L656" s="3" t="str">
        <f>IF(J656="","",IF(J656/10&gt;='الإعدادات والمستهدفات'!B5,"ناجح ومستوفى","ضعيف - يلزم إعادة اختبار"))</f>
        <v/>
      </c>
      <c r="M656" s="3"/>
      <c r="N656" s="3"/>
    </row>
    <row r="657" spans="1:14" x14ac:dyDescent="0.2">
      <c r="A657" s="3" t="str">
        <f>IFERROR(VLOOKUP(B657,'جدول الجلسات التدريبية'!A:B,2,FALSE),"")</f>
        <v/>
      </c>
      <c r="B657" s="3"/>
      <c r="C657" s="3" t="str">
        <f>IFERROR(VLOOKUP(A657,'الخطة التدريبية المعتمدة'!A:C,3,FALSE),"")</f>
        <v/>
      </c>
      <c r="D657" s="3" t="str">
        <f>IFERROR(VLOOKUP(B657,'جدول الجلسات التدريبية'!A:D,4,FALSE),"")</f>
        <v/>
      </c>
      <c r="E657" s="3"/>
      <c r="F657" s="3" t="str">
        <f>IFERROR(VLOOKUP(E657,'سجل الموظفين والكفاءة'!B:C,2,FALSE),"")</f>
        <v/>
      </c>
      <c r="G657" s="3">
        <f>IFERROR(VLOOKUP(A657,'الخطة التدريبية المعتمدة'!A:J,10,FALSE),0)</f>
        <v>0</v>
      </c>
      <c r="H657" s="3"/>
      <c r="I657" s="3"/>
      <c r="J657" s="3"/>
      <c r="K657" s="7" t="str">
        <f>IF(OR(I657="",J657="",I657=0),"",(J657-I657)/I657)</f>
        <v/>
      </c>
      <c r="L657" s="3" t="str">
        <f>IF(J657="","",IF(J657/10&gt;='الإعدادات والمستهدفات'!B5,"ناجح ومستوفى","ضعيف - يلزم إعادة اختبار"))</f>
        <v/>
      </c>
      <c r="M657" s="3"/>
      <c r="N657" s="3"/>
    </row>
    <row r="658" spans="1:14" x14ac:dyDescent="0.2">
      <c r="A658" s="3" t="str">
        <f>IFERROR(VLOOKUP(B658,'جدول الجلسات التدريبية'!A:B,2,FALSE),"")</f>
        <v/>
      </c>
      <c r="B658" s="3"/>
      <c r="C658" s="3" t="str">
        <f>IFERROR(VLOOKUP(A658,'الخطة التدريبية المعتمدة'!A:C,3,FALSE),"")</f>
        <v/>
      </c>
      <c r="D658" s="3" t="str">
        <f>IFERROR(VLOOKUP(B658,'جدول الجلسات التدريبية'!A:D,4,FALSE),"")</f>
        <v/>
      </c>
      <c r="E658" s="3"/>
      <c r="F658" s="3" t="str">
        <f>IFERROR(VLOOKUP(E658,'سجل الموظفين والكفاءة'!B:C,2,FALSE),"")</f>
        <v/>
      </c>
      <c r="G658" s="3">
        <f>IFERROR(VLOOKUP(A658,'الخطة التدريبية المعتمدة'!A:J,10,FALSE),0)</f>
        <v>0</v>
      </c>
      <c r="H658" s="3"/>
      <c r="I658" s="3"/>
      <c r="J658" s="3"/>
      <c r="K658" s="7" t="str">
        <f>IF(OR(I658="",J658="",I658=0),"",(J658-I658)/I658)</f>
        <v/>
      </c>
      <c r="L658" s="3" t="str">
        <f>IF(J658="","",IF(J658/10&gt;='الإعدادات والمستهدفات'!B5,"ناجح ومستوفى","ضعيف - يلزم إعادة اختبار"))</f>
        <v/>
      </c>
      <c r="M658" s="3"/>
      <c r="N658" s="3"/>
    </row>
    <row r="659" spans="1:14" x14ac:dyDescent="0.2">
      <c r="A659" s="3" t="str">
        <f>IFERROR(VLOOKUP(B659,'جدول الجلسات التدريبية'!A:B,2,FALSE),"")</f>
        <v/>
      </c>
      <c r="B659" s="3"/>
      <c r="C659" s="3" t="str">
        <f>IFERROR(VLOOKUP(A659,'الخطة التدريبية المعتمدة'!A:C,3,FALSE),"")</f>
        <v/>
      </c>
      <c r="D659" s="3" t="str">
        <f>IFERROR(VLOOKUP(B659,'جدول الجلسات التدريبية'!A:D,4,FALSE),"")</f>
        <v/>
      </c>
      <c r="E659" s="3"/>
      <c r="F659" s="3" t="str">
        <f>IFERROR(VLOOKUP(E659,'سجل الموظفين والكفاءة'!B:C,2,FALSE),"")</f>
        <v/>
      </c>
      <c r="G659" s="3">
        <f>IFERROR(VLOOKUP(A659,'الخطة التدريبية المعتمدة'!A:J,10,FALSE),0)</f>
        <v>0</v>
      </c>
      <c r="H659" s="3"/>
      <c r="I659" s="3"/>
      <c r="J659" s="3"/>
      <c r="K659" s="7" t="str">
        <f>IF(OR(I659="",J659="",I659=0),"",(J659-I659)/I659)</f>
        <v/>
      </c>
      <c r="L659" s="3" t="str">
        <f>IF(J659="","",IF(J659/10&gt;='الإعدادات والمستهدفات'!B5,"ناجح ومستوفى","ضعيف - يلزم إعادة اختبار"))</f>
        <v/>
      </c>
      <c r="M659" s="3"/>
      <c r="N659" s="3"/>
    </row>
    <row r="660" spans="1:14" x14ac:dyDescent="0.2">
      <c r="A660" s="3" t="str">
        <f>IFERROR(VLOOKUP(B660,'جدول الجلسات التدريبية'!A:B,2,FALSE),"")</f>
        <v/>
      </c>
      <c r="B660" s="3"/>
      <c r="C660" s="3" t="str">
        <f>IFERROR(VLOOKUP(A660,'الخطة التدريبية المعتمدة'!A:C,3,FALSE),"")</f>
        <v/>
      </c>
      <c r="D660" s="3" t="str">
        <f>IFERROR(VLOOKUP(B660,'جدول الجلسات التدريبية'!A:D,4,FALSE),"")</f>
        <v/>
      </c>
      <c r="E660" s="3"/>
      <c r="F660" s="3" t="str">
        <f>IFERROR(VLOOKUP(E660,'سجل الموظفين والكفاءة'!B:C,2,FALSE),"")</f>
        <v/>
      </c>
      <c r="G660" s="3">
        <f>IFERROR(VLOOKUP(A660,'الخطة التدريبية المعتمدة'!A:J,10,FALSE),0)</f>
        <v>0</v>
      </c>
      <c r="H660" s="3"/>
      <c r="I660" s="3"/>
      <c r="J660" s="3"/>
      <c r="K660" s="7" t="str">
        <f>IF(OR(I660="",J660="",I660=0),"",(J660-I660)/I660)</f>
        <v/>
      </c>
      <c r="L660" s="3" t="str">
        <f>IF(J660="","",IF(J660/10&gt;='الإعدادات والمستهدفات'!B5,"ناجح ومستوفى","ضعيف - يلزم إعادة اختبار"))</f>
        <v/>
      </c>
      <c r="M660" s="3"/>
      <c r="N660" s="3"/>
    </row>
    <row r="661" spans="1:14" x14ac:dyDescent="0.2">
      <c r="A661" s="3" t="str">
        <f>IFERROR(VLOOKUP(B661,'جدول الجلسات التدريبية'!A:B,2,FALSE),"")</f>
        <v/>
      </c>
      <c r="B661" s="3"/>
      <c r="C661" s="3" t="str">
        <f>IFERROR(VLOOKUP(A661,'الخطة التدريبية المعتمدة'!A:C,3,FALSE),"")</f>
        <v/>
      </c>
      <c r="D661" s="3" t="str">
        <f>IFERROR(VLOOKUP(B661,'جدول الجلسات التدريبية'!A:D,4,FALSE),"")</f>
        <v/>
      </c>
      <c r="E661" s="3"/>
      <c r="F661" s="3" t="str">
        <f>IFERROR(VLOOKUP(E661,'سجل الموظفين والكفاءة'!B:C,2,FALSE),"")</f>
        <v/>
      </c>
      <c r="G661" s="3">
        <f>IFERROR(VLOOKUP(A661,'الخطة التدريبية المعتمدة'!A:J,10,FALSE),0)</f>
        <v>0</v>
      </c>
      <c r="H661" s="3"/>
      <c r="I661" s="3"/>
      <c r="J661" s="3"/>
      <c r="K661" s="7" t="str">
        <f>IF(OR(I661="",J661="",I661=0),"",(J661-I661)/I661)</f>
        <v/>
      </c>
      <c r="L661" s="3" t="str">
        <f>IF(J661="","",IF(J661/10&gt;='الإعدادات والمستهدفات'!B5,"ناجح ومستوفى","ضعيف - يلزم إعادة اختبار"))</f>
        <v/>
      </c>
      <c r="M661" s="3"/>
      <c r="N661" s="3"/>
    </row>
    <row r="662" spans="1:14" x14ac:dyDescent="0.2">
      <c r="A662" s="3" t="str">
        <f>IFERROR(VLOOKUP(B662,'جدول الجلسات التدريبية'!A:B,2,FALSE),"")</f>
        <v/>
      </c>
      <c r="B662" s="3"/>
      <c r="C662" s="3" t="str">
        <f>IFERROR(VLOOKUP(A662,'الخطة التدريبية المعتمدة'!A:C,3,FALSE),"")</f>
        <v/>
      </c>
      <c r="D662" s="3" t="str">
        <f>IFERROR(VLOOKUP(B662,'جدول الجلسات التدريبية'!A:D,4,FALSE),"")</f>
        <v/>
      </c>
      <c r="E662" s="3"/>
      <c r="F662" s="3" t="str">
        <f>IFERROR(VLOOKUP(E662,'سجل الموظفين والكفاءة'!B:C,2,FALSE),"")</f>
        <v/>
      </c>
      <c r="G662" s="3">
        <f>IFERROR(VLOOKUP(A662,'الخطة التدريبية المعتمدة'!A:J,10,FALSE),0)</f>
        <v>0</v>
      </c>
      <c r="H662" s="3"/>
      <c r="I662" s="3"/>
      <c r="J662" s="3"/>
      <c r="K662" s="7" t="str">
        <f>IF(OR(I662="",J662="",I662=0),"",(J662-I662)/I662)</f>
        <v/>
      </c>
      <c r="L662" s="3" t="str">
        <f>IF(J662="","",IF(J662/10&gt;='الإعدادات والمستهدفات'!B5,"ناجح ومستوفى","ضعيف - يلزم إعادة اختبار"))</f>
        <v/>
      </c>
      <c r="M662" s="3"/>
      <c r="N662" s="3"/>
    </row>
    <row r="663" spans="1:14" x14ac:dyDescent="0.2">
      <c r="A663" s="3" t="str">
        <f>IFERROR(VLOOKUP(B663,'جدول الجلسات التدريبية'!A:B,2,FALSE),"")</f>
        <v/>
      </c>
      <c r="B663" s="3"/>
      <c r="C663" s="3" t="str">
        <f>IFERROR(VLOOKUP(A663,'الخطة التدريبية المعتمدة'!A:C,3,FALSE),"")</f>
        <v/>
      </c>
      <c r="D663" s="3" t="str">
        <f>IFERROR(VLOOKUP(B663,'جدول الجلسات التدريبية'!A:D,4,FALSE),"")</f>
        <v/>
      </c>
      <c r="E663" s="3"/>
      <c r="F663" s="3" t="str">
        <f>IFERROR(VLOOKUP(E663,'سجل الموظفين والكفاءة'!B:C,2,FALSE),"")</f>
        <v/>
      </c>
      <c r="G663" s="3">
        <f>IFERROR(VLOOKUP(A663,'الخطة التدريبية المعتمدة'!A:J,10,FALSE),0)</f>
        <v>0</v>
      </c>
      <c r="H663" s="3"/>
      <c r="I663" s="3"/>
      <c r="J663" s="3"/>
      <c r="K663" s="7" t="str">
        <f>IF(OR(I663="",J663="",I663=0),"",(J663-I663)/I663)</f>
        <v/>
      </c>
      <c r="L663" s="3" t="str">
        <f>IF(J663="","",IF(J663/10&gt;='الإعدادات والمستهدفات'!B5,"ناجح ومستوفى","ضعيف - يلزم إعادة اختبار"))</f>
        <v/>
      </c>
      <c r="M663" s="3"/>
      <c r="N663" s="3"/>
    </row>
    <row r="664" spans="1:14" x14ac:dyDescent="0.2">
      <c r="A664" s="3" t="str">
        <f>IFERROR(VLOOKUP(B664,'جدول الجلسات التدريبية'!A:B,2,FALSE),"")</f>
        <v/>
      </c>
      <c r="B664" s="3"/>
      <c r="C664" s="3" t="str">
        <f>IFERROR(VLOOKUP(A664,'الخطة التدريبية المعتمدة'!A:C,3,FALSE),"")</f>
        <v/>
      </c>
      <c r="D664" s="3" t="str">
        <f>IFERROR(VLOOKUP(B664,'جدول الجلسات التدريبية'!A:D,4,FALSE),"")</f>
        <v/>
      </c>
      <c r="E664" s="3"/>
      <c r="F664" s="3" t="str">
        <f>IFERROR(VLOOKUP(E664,'سجل الموظفين والكفاءة'!B:C,2,FALSE),"")</f>
        <v/>
      </c>
      <c r="G664" s="3">
        <f>IFERROR(VLOOKUP(A664,'الخطة التدريبية المعتمدة'!A:J,10,FALSE),0)</f>
        <v>0</v>
      </c>
      <c r="H664" s="3"/>
      <c r="I664" s="3"/>
      <c r="J664" s="3"/>
      <c r="K664" s="7" t="str">
        <f>IF(OR(I664="",J664="",I664=0),"",(J664-I664)/I664)</f>
        <v/>
      </c>
      <c r="L664" s="3" t="str">
        <f>IF(J664="","",IF(J664/10&gt;='الإعدادات والمستهدفات'!B5,"ناجح ومستوفى","ضعيف - يلزم إعادة اختبار"))</f>
        <v/>
      </c>
      <c r="M664" s="3"/>
      <c r="N664" s="3"/>
    </row>
    <row r="665" spans="1:14" x14ac:dyDescent="0.2">
      <c r="A665" s="3" t="str">
        <f>IFERROR(VLOOKUP(B665,'جدول الجلسات التدريبية'!A:B,2,FALSE),"")</f>
        <v/>
      </c>
      <c r="B665" s="3"/>
      <c r="C665" s="3" t="str">
        <f>IFERROR(VLOOKUP(A665,'الخطة التدريبية المعتمدة'!A:C,3,FALSE),"")</f>
        <v/>
      </c>
      <c r="D665" s="3" t="str">
        <f>IFERROR(VLOOKUP(B665,'جدول الجلسات التدريبية'!A:D,4,FALSE),"")</f>
        <v/>
      </c>
      <c r="E665" s="3"/>
      <c r="F665" s="3" t="str">
        <f>IFERROR(VLOOKUP(E665,'سجل الموظفين والكفاءة'!B:C,2,FALSE),"")</f>
        <v/>
      </c>
      <c r="G665" s="3">
        <f>IFERROR(VLOOKUP(A665,'الخطة التدريبية المعتمدة'!A:J,10,FALSE),0)</f>
        <v>0</v>
      </c>
      <c r="H665" s="3"/>
      <c r="I665" s="3"/>
      <c r="J665" s="3"/>
      <c r="K665" s="7" t="str">
        <f>IF(OR(I665="",J665="",I665=0),"",(J665-I665)/I665)</f>
        <v/>
      </c>
      <c r="L665" s="3" t="str">
        <f>IF(J665="","",IF(J665/10&gt;='الإعدادات والمستهدفات'!B5,"ناجح ومستوفى","ضعيف - يلزم إعادة اختبار"))</f>
        <v/>
      </c>
      <c r="M665" s="3"/>
      <c r="N665" s="3"/>
    </row>
    <row r="666" spans="1:14" x14ac:dyDescent="0.2">
      <c r="A666" s="3" t="str">
        <f>IFERROR(VLOOKUP(B666,'جدول الجلسات التدريبية'!A:B,2,FALSE),"")</f>
        <v/>
      </c>
      <c r="B666" s="3"/>
      <c r="C666" s="3" t="str">
        <f>IFERROR(VLOOKUP(A666,'الخطة التدريبية المعتمدة'!A:C,3,FALSE),"")</f>
        <v/>
      </c>
      <c r="D666" s="3" t="str">
        <f>IFERROR(VLOOKUP(B666,'جدول الجلسات التدريبية'!A:D,4,FALSE),"")</f>
        <v/>
      </c>
      <c r="E666" s="3"/>
      <c r="F666" s="3" t="str">
        <f>IFERROR(VLOOKUP(E666,'سجل الموظفين والكفاءة'!B:C,2,FALSE),"")</f>
        <v/>
      </c>
      <c r="G666" s="3">
        <f>IFERROR(VLOOKUP(A666,'الخطة التدريبية المعتمدة'!A:J,10,FALSE),0)</f>
        <v>0</v>
      </c>
      <c r="H666" s="3"/>
      <c r="I666" s="3"/>
      <c r="J666" s="3"/>
      <c r="K666" s="7" t="str">
        <f>IF(OR(I666="",J666="",I666=0),"",(J666-I666)/I666)</f>
        <v/>
      </c>
      <c r="L666" s="3" t="str">
        <f>IF(J666="","",IF(J666/10&gt;='الإعدادات والمستهدفات'!B5,"ناجح ومستوفى","ضعيف - يلزم إعادة اختبار"))</f>
        <v/>
      </c>
      <c r="M666" s="3"/>
      <c r="N666" s="3"/>
    </row>
    <row r="667" spans="1:14" x14ac:dyDescent="0.2">
      <c r="A667" s="3" t="str">
        <f>IFERROR(VLOOKUP(B667,'جدول الجلسات التدريبية'!A:B,2,FALSE),"")</f>
        <v/>
      </c>
      <c r="B667" s="3"/>
      <c r="C667" s="3" t="str">
        <f>IFERROR(VLOOKUP(A667,'الخطة التدريبية المعتمدة'!A:C,3,FALSE),"")</f>
        <v/>
      </c>
      <c r="D667" s="3" t="str">
        <f>IFERROR(VLOOKUP(B667,'جدول الجلسات التدريبية'!A:D,4,FALSE),"")</f>
        <v/>
      </c>
      <c r="E667" s="3"/>
      <c r="F667" s="3" t="str">
        <f>IFERROR(VLOOKUP(E667,'سجل الموظفين والكفاءة'!B:C,2,FALSE),"")</f>
        <v/>
      </c>
      <c r="G667" s="3">
        <f>IFERROR(VLOOKUP(A667,'الخطة التدريبية المعتمدة'!A:J,10,FALSE),0)</f>
        <v>0</v>
      </c>
      <c r="H667" s="3"/>
      <c r="I667" s="3"/>
      <c r="J667" s="3"/>
      <c r="K667" s="7" t="str">
        <f>IF(OR(I667="",J667="",I667=0),"",(J667-I667)/I667)</f>
        <v/>
      </c>
      <c r="L667" s="3" t="str">
        <f>IF(J667="","",IF(J667/10&gt;='الإعدادات والمستهدفات'!B5,"ناجح ومستوفى","ضعيف - يلزم إعادة اختبار"))</f>
        <v/>
      </c>
      <c r="M667" s="3"/>
      <c r="N667" s="3"/>
    </row>
    <row r="668" spans="1:14" x14ac:dyDescent="0.2">
      <c r="A668" s="3" t="str">
        <f>IFERROR(VLOOKUP(B668,'جدول الجلسات التدريبية'!A:B,2,FALSE),"")</f>
        <v/>
      </c>
      <c r="B668" s="3"/>
      <c r="C668" s="3" t="str">
        <f>IFERROR(VLOOKUP(A668,'الخطة التدريبية المعتمدة'!A:C,3,FALSE),"")</f>
        <v/>
      </c>
      <c r="D668" s="3" t="str">
        <f>IFERROR(VLOOKUP(B668,'جدول الجلسات التدريبية'!A:D,4,FALSE),"")</f>
        <v/>
      </c>
      <c r="E668" s="3"/>
      <c r="F668" s="3" t="str">
        <f>IFERROR(VLOOKUP(E668,'سجل الموظفين والكفاءة'!B:C,2,FALSE),"")</f>
        <v/>
      </c>
      <c r="G668" s="3">
        <f>IFERROR(VLOOKUP(A668,'الخطة التدريبية المعتمدة'!A:J,10,FALSE),0)</f>
        <v>0</v>
      </c>
      <c r="H668" s="3"/>
      <c r="I668" s="3"/>
      <c r="J668" s="3"/>
      <c r="K668" s="7" t="str">
        <f>IF(OR(I668="",J668="",I668=0),"",(J668-I668)/I668)</f>
        <v/>
      </c>
      <c r="L668" s="3" t="str">
        <f>IF(J668="","",IF(J668/10&gt;='الإعدادات والمستهدفات'!B5,"ناجح ومستوفى","ضعيف - يلزم إعادة اختبار"))</f>
        <v/>
      </c>
      <c r="M668" s="3"/>
      <c r="N668" s="3"/>
    </row>
    <row r="669" spans="1:14" x14ac:dyDescent="0.2">
      <c r="A669" s="3" t="str">
        <f>IFERROR(VLOOKUP(B669,'جدول الجلسات التدريبية'!A:B,2,FALSE),"")</f>
        <v/>
      </c>
      <c r="B669" s="3"/>
      <c r="C669" s="3" t="str">
        <f>IFERROR(VLOOKUP(A669,'الخطة التدريبية المعتمدة'!A:C,3,FALSE),"")</f>
        <v/>
      </c>
      <c r="D669" s="3" t="str">
        <f>IFERROR(VLOOKUP(B669,'جدول الجلسات التدريبية'!A:D,4,FALSE),"")</f>
        <v/>
      </c>
      <c r="E669" s="3"/>
      <c r="F669" s="3" t="str">
        <f>IFERROR(VLOOKUP(E669,'سجل الموظفين والكفاءة'!B:C,2,FALSE),"")</f>
        <v/>
      </c>
      <c r="G669" s="3">
        <f>IFERROR(VLOOKUP(A669,'الخطة التدريبية المعتمدة'!A:J,10,FALSE),0)</f>
        <v>0</v>
      </c>
      <c r="H669" s="3"/>
      <c r="I669" s="3"/>
      <c r="J669" s="3"/>
      <c r="K669" s="7" t="str">
        <f>IF(OR(I669="",J669="",I669=0),"",(J669-I669)/I669)</f>
        <v/>
      </c>
      <c r="L669" s="3" t="str">
        <f>IF(J669="","",IF(J669/10&gt;='الإعدادات والمستهدفات'!B5,"ناجح ومستوفى","ضعيف - يلزم إعادة اختبار"))</f>
        <v/>
      </c>
      <c r="M669" s="3"/>
      <c r="N669" s="3"/>
    </row>
    <row r="670" spans="1:14" x14ac:dyDescent="0.2">
      <c r="A670" s="3" t="str">
        <f>IFERROR(VLOOKUP(B670,'جدول الجلسات التدريبية'!A:B,2,FALSE),"")</f>
        <v/>
      </c>
      <c r="B670" s="3"/>
      <c r="C670" s="3" t="str">
        <f>IFERROR(VLOOKUP(A670,'الخطة التدريبية المعتمدة'!A:C,3,FALSE),"")</f>
        <v/>
      </c>
      <c r="D670" s="3" t="str">
        <f>IFERROR(VLOOKUP(B670,'جدول الجلسات التدريبية'!A:D,4,FALSE),"")</f>
        <v/>
      </c>
      <c r="E670" s="3"/>
      <c r="F670" s="3" t="str">
        <f>IFERROR(VLOOKUP(E670,'سجل الموظفين والكفاءة'!B:C,2,FALSE),"")</f>
        <v/>
      </c>
      <c r="G670" s="3">
        <f>IFERROR(VLOOKUP(A670,'الخطة التدريبية المعتمدة'!A:J,10,FALSE),0)</f>
        <v>0</v>
      </c>
      <c r="H670" s="3"/>
      <c r="I670" s="3"/>
      <c r="J670" s="3"/>
      <c r="K670" s="7" t="str">
        <f>IF(OR(I670="",J670="",I670=0),"",(J670-I670)/I670)</f>
        <v/>
      </c>
      <c r="L670" s="3" t="str">
        <f>IF(J670="","",IF(J670/10&gt;='الإعدادات والمستهدفات'!B5,"ناجح ومستوفى","ضعيف - يلزم إعادة اختبار"))</f>
        <v/>
      </c>
      <c r="M670" s="3"/>
      <c r="N670" s="3"/>
    </row>
    <row r="671" spans="1:14" x14ac:dyDescent="0.2">
      <c r="A671" s="3" t="str">
        <f>IFERROR(VLOOKUP(B671,'جدول الجلسات التدريبية'!A:B,2,FALSE),"")</f>
        <v/>
      </c>
      <c r="B671" s="3"/>
      <c r="C671" s="3" t="str">
        <f>IFERROR(VLOOKUP(A671,'الخطة التدريبية المعتمدة'!A:C,3,FALSE),"")</f>
        <v/>
      </c>
      <c r="D671" s="3" t="str">
        <f>IFERROR(VLOOKUP(B671,'جدول الجلسات التدريبية'!A:D,4,FALSE),"")</f>
        <v/>
      </c>
      <c r="E671" s="3"/>
      <c r="F671" s="3" t="str">
        <f>IFERROR(VLOOKUP(E671,'سجل الموظفين والكفاءة'!B:C,2,FALSE),"")</f>
        <v/>
      </c>
      <c r="G671" s="3">
        <f>IFERROR(VLOOKUP(A671,'الخطة التدريبية المعتمدة'!A:J,10,FALSE),0)</f>
        <v>0</v>
      </c>
      <c r="H671" s="3"/>
      <c r="I671" s="3"/>
      <c r="J671" s="3"/>
      <c r="K671" s="7" t="str">
        <f>IF(OR(I671="",J671="",I671=0),"",(J671-I671)/I671)</f>
        <v/>
      </c>
      <c r="L671" s="3" t="str">
        <f>IF(J671="","",IF(J671/10&gt;='الإعدادات والمستهدفات'!B5,"ناجح ومستوفى","ضعيف - يلزم إعادة اختبار"))</f>
        <v/>
      </c>
      <c r="M671" s="3"/>
      <c r="N671" s="3"/>
    </row>
    <row r="672" spans="1:14" x14ac:dyDescent="0.2">
      <c r="A672" s="3" t="str">
        <f>IFERROR(VLOOKUP(B672,'جدول الجلسات التدريبية'!A:B,2,FALSE),"")</f>
        <v/>
      </c>
      <c r="B672" s="3"/>
      <c r="C672" s="3" t="str">
        <f>IFERROR(VLOOKUP(A672,'الخطة التدريبية المعتمدة'!A:C,3,FALSE),"")</f>
        <v/>
      </c>
      <c r="D672" s="3" t="str">
        <f>IFERROR(VLOOKUP(B672,'جدول الجلسات التدريبية'!A:D,4,FALSE),"")</f>
        <v/>
      </c>
      <c r="E672" s="3"/>
      <c r="F672" s="3" t="str">
        <f>IFERROR(VLOOKUP(E672,'سجل الموظفين والكفاءة'!B:C,2,FALSE),"")</f>
        <v/>
      </c>
      <c r="G672" s="3">
        <f>IFERROR(VLOOKUP(A672,'الخطة التدريبية المعتمدة'!A:J,10,FALSE),0)</f>
        <v>0</v>
      </c>
      <c r="H672" s="3"/>
      <c r="I672" s="3"/>
      <c r="J672" s="3"/>
      <c r="K672" s="7" t="str">
        <f>IF(OR(I672="",J672="",I672=0),"",(J672-I672)/I672)</f>
        <v/>
      </c>
      <c r="L672" s="3" t="str">
        <f>IF(J672="","",IF(J672/10&gt;='الإعدادات والمستهدفات'!B5,"ناجح ومستوفى","ضعيف - يلزم إعادة اختبار"))</f>
        <v/>
      </c>
      <c r="M672" s="3"/>
      <c r="N672" s="3"/>
    </row>
    <row r="673" spans="1:14" x14ac:dyDescent="0.2">
      <c r="A673" s="3" t="str">
        <f>IFERROR(VLOOKUP(B673,'جدول الجلسات التدريبية'!A:B,2,FALSE),"")</f>
        <v/>
      </c>
      <c r="B673" s="3"/>
      <c r="C673" s="3" t="str">
        <f>IFERROR(VLOOKUP(A673,'الخطة التدريبية المعتمدة'!A:C,3,FALSE),"")</f>
        <v/>
      </c>
      <c r="D673" s="3" t="str">
        <f>IFERROR(VLOOKUP(B673,'جدول الجلسات التدريبية'!A:D,4,FALSE),"")</f>
        <v/>
      </c>
      <c r="E673" s="3"/>
      <c r="F673" s="3" t="str">
        <f>IFERROR(VLOOKUP(E673,'سجل الموظفين والكفاءة'!B:C,2,FALSE),"")</f>
        <v/>
      </c>
      <c r="G673" s="3">
        <f>IFERROR(VLOOKUP(A673,'الخطة التدريبية المعتمدة'!A:J,10,FALSE),0)</f>
        <v>0</v>
      </c>
      <c r="H673" s="3"/>
      <c r="I673" s="3"/>
      <c r="J673" s="3"/>
      <c r="K673" s="7" t="str">
        <f>IF(OR(I673="",J673="",I673=0),"",(J673-I673)/I673)</f>
        <v/>
      </c>
      <c r="L673" s="3" t="str">
        <f>IF(J673="","",IF(J673/10&gt;='الإعدادات والمستهدفات'!B5,"ناجح ومستوفى","ضعيف - يلزم إعادة اختبار"))</f>
        <v/>
      </c>
      <c r="M673" s="3"/>
      <c r="N673" s="3"/>
    </row>
    <row r="674" spans="1:14" x14ac:dyDescent="0.2">
      <c r="A674" s="3" t="str">
        <f>IFERROR(VLOOKUP(B674,'جدول الجلسات التدريبية'!A:B,2,FALSE),"")</f>
        <v/>
      </c>
      <c r="B674" s="3"/>
      <c r="C674" s="3" t="str">
        <f>IFERROR(VLOOKUP(A674,'الخطة التدريبية المعتمدة'!A:C,3,FALSE),"")</f>
        <v/>
      </c>
      <c r="D674" s="3" t="str">
        <f>IFERROR(VLOOKUP(B674,'جدول الجلسات التدريبية'!A:D,4,FALSE),"")</f>
        <v/>
      </c>
      <c r="E674" s="3"/>
      <c r="F674" s="3" t="str">
        <f>IFERROR(VLOOKUP(E674,'سجل الموظفين والكفاءة'!B:C,2,FALSE),"")</f>
        <v/>
      </c>
      <c r="G674" s="3">
        <f>IFERROR(VLOOKUP(A674,'الخطة التدريبية المعتمدة'!A:J,10,FALSE),0)</f>
        <v>0</v>
      </c>
      <c r="H674" s="3"/>
      <c r="I674" s="3"/>
      <c r="J674" s="3"/>
      <c r="K674" s="7" t="str">
        <f>IF(OR(I674="",J674="",I674=0),"",(J674-I674)/I674)</f>
        <v/>
      </c>
      <c r="L674" s="3" t="str">
        <f>IF(J674="","",IF(J674/10&gt;='الإعدادات والمستهدفات'!B5,"ناجح ومستوفى","ضعيف - يلزم إعادة اختبار"))</f>
        <v/>
      </c>
      <c r="M674" s="3"/>
      <c r="N674" s="3"/>
    </row>
    <row r="675" spans="1:14" x14ac:dyDescent="0.2">
      <c r="A675" s="3" t="str">
        <f>IFERROR(VLOOKUP(B675,'جدول الجلسات التدريبية'!A:B,2,FALSE),"")</f>
        <v/>
      </c>
      <c r="B675" s="3"/>
      <c r="C675" s="3" t="str">
        <f>IFERROR(VLOOKUP(A675,'الخطة التدريبية المعتمدة'!A:C,3,FALSE),"")</f>
        <v/>
      </c>
      <c r="D675" s="3" t="str">
        <f>IFERROR(VLOOKUP(B675,'جدول الجلسات التدريبية'!A:D,4,FALSE),"")</f>
        <v/>
      </c>
      <c r="E675" s="3"/>
      <c r="F675" s="3" t="str">
        <f>IFERROR(VLOOKUP(E675,'سجل الموظفين والكفاءة'!B:C,2,FALSE),"")</f>
        <v/>
      </c>
      <c r="G675" s="3">
        <f>IFERROR(VLOOKUP(A675,'الخطة التدريبية المعتمدة'!A:J,10,FALSE),0)</f>
        <v>0</v>
      </c>
      <c r="H675" s="3"/>
      <c r="I675" s="3"/>
      <c r="J675" s="3"/>
      <c r="K675" s="7" t="str">
        <f>IF(OR(I675="",J675="",I675=0),"",(J675-I675)/I675)</f>
        <v/>
      </c>
      <c r="L675" s="3" t="str">
        <f>IF(J675="","",IF(J675/10&gt;='الإعدادات والمستهدفات'!B5,"ناجح ومستوفى","ضعيف - يلزم إعادة اختبار"))</f>
        <v/>
      </c>
      <c r="M675" s="3"/>
      <c r="N675" s="3"/>
    </row>
    <row r="676" spans="1:14" x14ac:dyDescent="0.2">
      <c r="A676" s="3" t="str">
        <f>IFERROR(VLOOKUP(B676,'جدول الجلسات التدريبية'!A:B,2,FALSE),"")</f>
        <v/>
      </c>
      <c r="B676" s="3"/>
      <c r="C676" s="3" t="str">
        <f>IFERROR(VLOOKUP(A676,'الخطة التدريبية المعتمدة'!A:C,3,FALSE),"")</f>
        <v/>
      </c>
      <c r="D676" s="3" t="str">
        <f>IFERROR(VLOOKUP(B676,'جدول الجلسات التدريبية'!A:D,4,FALSE),"")</f>
        <v/>
      </c>
      <c r="E676" s="3"/>
      <c r="F676" s="3" t="str">
        <f>IFERROR(VLOOKUP(E676,'سجل الموظفين والكفاءة'!B:C,2,FALSE),"")</f>
        <v/>
      </c>
      <c r="G676" s="3">
        <f>IFERROR(VLOOKUP(A676,'الخطة التدريبية المعتمدة'!A:J,10,FALSE),0)</f>
        <v>0</v>
      </c>
      <c r="H676" s="3"/>
      <c r="I676" s="3"/>
      <c r="J676" s="3"/>
      <c r="K676" s="7" t="str">
        <f>IF(OR(I676="",J676="",I676=0),"",(J676-I676)/I676)</f>
        <v/>
      </c>
      <c r="L676" s="3" t="str">
        <f>IF(J676="","",IF(J676/10&gt;='الإعدادات والمستهدفات'!B5,"ناجح ومستوفى","ضعيف - يلزم إعادة اختبار"))</f>
        <v/>
      </c>
      <c r="M676" s="3"/>
      <c r="N676" s="3"/>
    </row>
    <row r="677" spans="1:14" x14ac:dyDescent="0.2">
      <c r="A677" s="3" t="str">
        <f>IFERROR(VLOOKUP(B677,'جدول الجلسات التدريبية'!A:B,2,FALSE),"")</f>
        <v/>
      </c>
      <c r="B677" s="3"/>
      <c r="C677" s="3" t="str">
        <f>IFERROR(VLOOKUP(A677,'الخطة التدريبية المعتمدة'!A:C,3,FALSE),"")</f>
        <v/>
      </c>
      <c r="D677" s="3" t="str">
        <f>IFERROR(VLOOKUP(B677,'جدول الجلسات التدريبية'!A:D,4,FALSE),"")</f>
        <v/>
      </c>
      <c r="E677" s="3"/>
      <c r="F677" s="3" t="str">
        <f>IFERROR(VLOOKUP(E677,'سجل الموظفين والكفاءة'!B:C,2,FALSE),"")</f>
        <v/>
      </c>
      <c r="G677" s="3">
        <f>IFERROR(VLOOKUP(A677,'الخطة التدريبية المعتمدة'!A:J,10,FALSE),0)</f>
        <v>0</v>
      </c>
      <c r="H677" s="3"/>
      <c r="I677" s="3"/>
      <c r="J677" s="3"/>
      <c r="K677" s="7" t="str">
        <f>IF(OR(I677="",J677="",I677=0),"",(J677-I677)/I677)</f>
        <v/>
      </c>
      <c r="L677" s="3" t="str">
        <f>IF(J677="","",IF(J677/10&gt;='الإعدادات والمستهدفات'!B5,"ناجح ومستوفى","ضعيف - يلزم إعادة اختبار"))</f>
        <v/>
      </c>
      <c r="M677" s="3"/>
      <c r="N677" s="3"/>
    </row>
    <row r="678" spans="1:14" x14ac:dyDescent="0.2">
      <c r="A678" s="3" t="str">
        <f>IFERROR(VLOOKUP(B678,'جدول الجلسات التدريبية'!A:B,2,FALSE),"")</f>
        <v/>
      </c>
      <c r="B678" s="3"/>
      <c r="C678" s="3" t="str">
        <f>IFERROR(VLOOKUP(A678,'الخطة التدريبية المعتمدة'!A:C,3,FALSE),"")</f>
        <v/>
      </c>
      <c r="D678" s="3" t="str">
        <f>IFERROR(VLOOKUP(B678,'جدول الجلسات التدريبية'!A:D,4,FALSE),"")</f>
        <v/>
      </c>
      <c r="E678" s="3"/>
      <c r="F678" s="3" t="str">
        <f>IFERROR(VLOOKUP(E678,'سجل الموظفين والكفاءة'!B:C,2,FALSE),"")</f>
        <v/>
      </c>
      <c r="G678" s="3">
        <f>IFERROR(VLOOKUP(A678,'الخطة التدريبية المعتمدة'!A:J,10,FALSE),0)</f>
        <v>0</v>
      </c>
      <c r="H678" s="3"/>
      <c r="I678" s="3"/>
      <c r="J678" s="3"/>
      <c r="K678" s="7" t="str">
        <f>IF(OR(I678="",J678="",I678=0),"",(J678-I678)/I678)</f>
        <v/>
      </c>
      <c r="L678" s="3" t="str">
        <f>IF(J678="","",IF(J678/10&gt;='الإعدادات والمستهدفات'!B5,"ناجح ومستوفى","ضعيف - يلزم إعادة اختبار"))</f>
        <v/>
      </c>
      <c r="M678" s="3"/>
      <c r="N678" s="3"/>
    </row>
    <row r="679" spans="1:14" x14ac:dyDescent="0.2">
      <c r="A679" s="3" t="str">
        <f>IFERROR(VLOOKUP(B679,'جدول الجلسات التدريبية'!A:B,2,FALSE),"")</f>
        <v/>
      </c>
      <c r="B679" s="3"/>
      <c r="C679" s="3" t="str">
        <f>IFERROR(VLOOKUP(A679,'الخطة التدريبية المعتمدة'!A:C,3,FALSE),"")</f>
        <v/>
      </c>
      <c r="D679" s="3" t="str">
        <f>IFERROR(VLOOKUP(B679,'جدول الجلسات التدريبية'!A:D,4,FALSE),"")</f>
        <v/>
      </c>
      <c r="E679" s="3"/>
      <c r="F679" s="3" t="str">
        <f>IFERROR(VLOOKUP(E679,'سجل الموظفين والكفاءة'!B:C,2,FALSE),"")</f>
        <v/>
      </c>
      <c r="G679" s="3">
        <f>IFERROR(VLOOKUP(A679,'الخطة التدريبية المعتمدة'!A:J,10,FALSE),0)</f>
        <v>0</v>
      </c>
      <c r="H679" s="3"/>
      <c r="I679" s="3"/>
      <c r="J679" s="3"/>
      <c r="K679" s="7" t="str">
        <f>IF(OR(I679="",J679="",I679=0),"",(J679-I679)/I679)</f>
        <v/>
      </c>
      <c r="L679" s="3" t="str">
        <f>IF(J679="","",IF(J679/10&gt;='الإعدادات والمستهدفات'!B5,"ناجح ومستوفى","ضعيف - يلزم إعادة اختبار"))</f>
        <v/>
      </c>
      <c r="M679" s="3"/>
      <c r="N679" s="3"/>
    </row>
    <row r="680" spans="1:14" x14ac:dyDescent="0.2">
      <c r="A680" s="3" t="str">
        <f>IFERROR(VLOOKUP(B680,'جدول الجلسات التدريبية'!A:B,2,FALSE),"")</f>
        <v/>
      </c>
      <c r="B680" s="3"/>
      <c r="C680" s="3" t="str">
        <f>IFERROR(VLOOKUP(A680,'الخطة التدريبية المعتمدة'!A:C,3,FALSE),"")</f>
        <v/>
      </c>
      <c r="D680" s="3" t="str">
        <f>IFERROR(VLOOKUP(B680,'جدول الجلسات التدريبية'!A:D,4,FALSE),"")</f>
        <v/>
      </c>
      <c r="E680" s="3"/>
      <c r="F680" s="3" t="str">
        <f>IFERROR(VLOOKUP(E680,'سجل الموظفين والكفاءة'!B:C,2,FALSE),"")</f>
        <v/>
      </c>
      <c r="G680" s="3">
        <f>IFERROR(VLOOKUP(A680,'الخطة التدريبية المعتمدة'!A:J,10,FALSE),0)</f>
        <v>0</v>
      </c>
      <c r="H680" s="3"/>
      <c r="I680" s="3"/>
      <c r="J680" s="3"/>
      <c r="K680" s="7" t="str">
        <f>IF(OR(I680="",J680="",I680=0),"",(J680-I680)/I680)</f>
        <v/>
      </c>
      <c r="L680" s="3" t="str">
        <f>IF(J680="","",IF(J680/10&gt;='الإعدادات والمستهدفات'!B5,"ناجح ومستوفى","ضعيف - يلزم إعادة اختبار"))</f>
        <v/>
      </c>
      <c r="M680" s="3"/>
      <c r="N680" s="3"/>
    </row>
    <row r="681" spans="1:14" x14ac:dyDescent="0.2">
      <c r="A681" s="3" t="str">
        <f>IFERROR(VLOOKUP(B681,'جدول الجلسات التدريبية'!A:B,2,FALSE),"")</f>
        <v/>
      </c>
      <c r="B681" s="3"/>
      <c r="C681" s="3" t="str">
        <f>IFERROR(VLOOKUP(A681,'الخطة التدريبية المعتمدة'!A:C,3,FALSE),"")</f>
        <v/>
      </c>
      <c r="D681" s="3" t="str">
        <f>IFERROR(VLOOKUP(B681,'جدول الجلسات التدريبية'!A:D,4,FALSE),"")</f>
        <v/>
      </c>
      <c r="E681" s="3"/>
      <c r="F681" s="3" t="str">
        <f>IFERROR(VLOOKUP(E681,'سجل الموظفين والكفاءة'!B:C,2,FALSE),"")</f>
        <v/>
      </c>
      <c r="G681" s="3">
        <f>IFERROR(VLOOKUP(A681,'الخطة التدريبية المعتمدة'!A:J,10,FALSE),0)</f>
        <v>0</v>
      </c>
      <c r="H681" s="3"/>
      <c r="I681" s="3"/>
      <c r="J681" s="3"/>
      <c r="K681" s="7" t="str">
        <f>IF(OR(I681="",J681="",I681=0),"",(J681-I681)/I681)</f>
        <v/>
      </c>
      <c r="L681" s="3" t="str">
        <f>IF(J681="","",IF(J681/10&gt;='الإعدادات والمستهدفات'!B5,"ناجح ومستوفى","ضعيف - يلزم إعادة اختبار"))</f>
        <v/>
      </c>
      <c r="M681" s="3"/>
      <c r="N681" s="3"/>
    </row>
    <row r="682" spans="1:14" x14ac:dyDescent="0.2">
      <c r="A682" s="3" t="str">
        <f>IFERROR(VLOOKUP(B682,'جدول الجلسات التدريبية'!A:B,2,FALSE),"")</f>
        <v/>
      </c>
      <c r="B682" s="3"/>
      <c r="C682" s="3" t="str">
        <f>IFERROR(VLOOKUP(A682,'الخطة التدريبية المعتمدة'!A:C,3,FALSE),"")</f>
        <v/>
      </c>
      <c r="D682" s="3" t="str">
        <f>IFERROR(VLOOKUP(B682,'جدول الجلسات التدريبية'!A:D,4,FALSE),"")</f>
        <v/>
      </c>
      <c r="E682" s="3"/>
      <c r="F682" s="3" t="str">
        <f>IFERROR(VLOOKUP(E682,'سجل الموظفين والكفاءة'!B:C,2,FALSE),"")</f>
        <v/>
      </c>
      <c r="G682" s="3">
        <f>IFERROR(VLOOKUP(A682,'الخطة التدريبية المعتمدة'!A:J,10,FALSE),0)</f>
        <v>0</v>
      </c>
      <c r="H682" s="3"/>
      <c r="I682" s="3"/>
      <c r="J682" s="3"/>
      <c r="K682" s="7" t="str">
        <f>IF(OR(I682="",J682="",I682=0),"",(J682-I682)/I682)</f>
        <v/>
      </c>
      <c r="L682" s="3" t="str">
        <f>IF(J682="","",IF(J682/10&gt;='الإعدادات والمستهدفات'!B5,"ناجح ومستوفى","ضعيف - يلزم إعادة اختبار"))</f>
        <v/>
      </c>
      <c r="M682" s="3"/>
      <c r="N682" s="3"/>
    </row>
    <row r="683" spans="1:14" x14ac:dyDescent="0.2">
      <c r="A683" s="3" t="str">
        <f>IFERROR(VLOOKUP(B683,'جدول الجلسات التدريبية'!A:B,2,FALSE),"")</f>
        <v/>
      </c>
      <c r="B683" s="3"/>
      <c r="C683" s="3" t="str">
        <f>IFERROR(VLOOKUP(A683,'الخطة التدريبية المعتمدة'!A:C,3,FALSE),"")</f>
        <v/>
      </c>
      <c r="D683" s="3" t="str">
        <f>IFERROR(VLOOKUP(B683,'جدول الجلسات التدريبية'!A:D,4,FALSE),"")</f>
        <v/>
      </c>
      <c r="E683" s="3"/>
      <c r="F683" s="3" t="str">
        <f>IFERROR(VLOOKUP(E683,'سجل الموظفين والكفاءة'!B:C,2,FALSE),"")</f>
        <v/>
      </c>
      <c r="G683" s="3">
        <f>IFERROR(VLOOKUP(A683,'الخطة التدريبية المعتمدة'!A:J,10,FALSE),0)</f>
        <v>0</v>
      </c>
      <c r="H683" s="3"/>
      <c r="I683" s="3"/>
      <c r="J683" s="3"/>
      <c r="K683" s="7" t="str">
        <f>IF(OR(I683="",J683="",I683=0),"",(J683-I683)/I683)</f>
        <v/>
      </c>
      <c r="L683" s="3" t="str">
        <f>IF(J683="","",IF(J683/10&gt;='الإعدادات والمستهدفات'!B5,"ناجح ومستوفى","ضعيف - يلزم إعادة اختبار"))</f>
        <v/>
      </c>
      <c r="M683" s="3"/>
      <c r="N683" s="3"/>
    </row>
    <row r="684" spans="1:14" x14ac:dyDescent="0.2">
      <c r="A684" s="3" t="str">
        <f>IFERROR(VLOOKUP(B684,'جدول الجلسات التدريبية'!A:B,2,FALSE),"")</f>
        <v/>
      </c>
      <c r="B684" s="3"/>
      <c r="C684" s="3" t="str">
        <f>IFERROR(VLOOKUP(A684,'الخطة التدريبية المعتمدة'!A:C,3,FALSE),"")</f>
        <v/>
      </c>
      <c r="D684" s="3" t="str">
        <f>IFERROR(VLOOKUP(B684,'جدول الجلسات التدريبية'!A:D,4,FALSE),"")</f>
        <v/>
      </c>
      <c r="E684" s="3"/>
      <c r="F684" s="3" t="str">
        <f>IFERROR(VLOOKUP(E684,'سجل الموظفين والكفاءة'!B:C,2,FALSE),"")</f>
        <v/>
      </c>
      <c r="G684" s="3">
        <f>IFERROR(VLOOKUP(A684,'الخطة التدريبية المعتمدة'!A:J,10,FALSE),0)</f>
        <v>0</v>
      </c>
      <c r="H684" s="3"/>
      <c r="I684" s="3"/>
      <c r="J684" s="3"/>
      <c r="K684" s="7" t="str">
        <f>IF(OR(I684="",J684="",I684=0),"",(J684-I684)/I684)</f>
        <v/>
      </c>
      <c r="L684" s="3" t="str">
        <f>IF(J684="","",IF(J684/10&gt;='الإعدادات والمستهدفات'!B5,"ناجح ومستوفى","ضعيف - يلزم إعادة اختبار"))</f>
        <v/>
      </c>
      <c r="M684" s="3"/>
      <c r="N684" s="3"/>
    </row>
    <row r="685" spans="1:14" x14ac:dyDescent="0.2">
      <c r="A685" s="3" t="str">
        <f>IFERROR(VLOOKUP(B685,'جدول الجلسات التدريبية'!A:B,2,FALSE),"")</f>
        <v/>
      </c>
      <c r="B685" s="3"/>
      <c r="C685" s="3" t="str">
        <f>IFERROR(VLOOKUP(A685,'الخطة التدريبية المعتمدة'!A:C,3,FALSE),"")</f>
        <v/>
      </c>
      <c r="D685" s="3" t="str">
        <f>IFERROR(VLOOKUP(B685,'جدول الجلسات التدريبية'!A:D,4,FALSE),"")</f>
        <v/>
      </c>
      <c r="E685" s="3"/>
      <c r="F685" s="3" t="str">
        <f>IFERROR(VLOOKUP(E685,'سجل الموظفين والكفاءة'!B:C,2,FALSE),"")</f>
        <v/>
      </c>
      <c r="G685" s="3">
        <f>IFERROR(VLOOKUP(A685,'الخطة التدريبية المعتمدة'!A:J,10,FALSE),0)</f>
        <v>0</v>
      </c>
      <c r="H685" s="3"/>
      <c r="I685" s="3"/>
      <c r="J685" s="3"/>
      <c r="K685" s="7" t="str">
        <f>IF(OR(I685="",J685="",I685=0),"",(J685-I685)/I685)</f>
        <v/>
      </c>
      <c r="L685" s="3" t="str">
        <f>IF(J685="","",IF(J685/10&gt;='الإعدادات والمستهدفات'!B5,"ناجح ومستوفى","ضعيف - يلزم إعادة اختبار"))</f>
        <v/>
      </c>
      <c r="M685" s="3"/>
      <c r="N685" s="3"/>
    </row>
    <row r="686" spans="1:14" x14ac:dyDescent="0.2">
      <c r="A686" s="3" t="str">
        <f>IFERROR(VLOOKUP(B686,'جدول الجلسات التدريبية'!A:B,2,FALSE),"")</f>
        <v/>
      </c>
      <c r="B686" s="3"/>
      <c r="C686" s="3" t="str">
        <f>IFERROR(VLOOKUP(A686,'الخطة التدريبية المعتمدة'!A:C,3,FALSE),"")</f>
        <v/>
      </c>
      <c r="D686" s="3" t="str">
        <f>IFERROR(VLOOKUP(B686,'جدول الجلسات التدريبية'!A:D,4,FALSE),"")</f>
        <v/>
      </c>
      <c r="E686" s="3"/>
      <c r="F686" s="3" t="str">
        <f>IFERROR(VLOOKUP(E686,'سجل الموظفين والكفاءة'!B:C,2,FALSE),"")</f>
        <v/>
      </c>
      <c r="G686" s="3">
        <f>IFERROR(VLOOKUP(A686,'الخطة التدريبية المعتمدة'!A:J,10,FALSE),0)</f>
        <v>0</v>
      </c>
      <c r="H686" s="3"/>
      <c r="I686" s="3"/>
      <c r="J686" s="3"/>
      <c r="K686" s="7" t="str">
        <f>IF(OR(I686="",J686="",I686=0),"",(J686-I686)/I686)</f>
        <v/>
      </c>
      <c r="L686" s="3" t="str">
        <f>IF(J686="","",IF(J686/10&gt;='الإعدادات والمستهدفات'!B5,"ناجح ومستوفى","ضعيف - يلزم إعادة اختبار"))</f>
        <v/>
      </c>
      <c r="M686" s="3"/>
      <c r="N686" s="3"/>
    </row>
    <row r="687" spans="1:14" x14ac:dyDescent="0.2">
      <c r="A687" s="3" t="str">
        <f>IFERROR(VLOOKUP(B687,'جدول الجلسات التدريبية'!A:B,2,FALSE),"")</f>
        <v/>
      </c>
      <c r="B687" s="3"/>
      <c r="C687" s="3" t="str">
        <f>IFERROR(VLOOKUP(A687,'الخطة التدريبية المعتمدة'!A:C,3,FALSE),"")</f>
        <v/>
      </c>
      <c r="D687" s="3" t="str">
        <f>IFERROR(VLOOKUP(B687,'جدول الجلسات التدريبية'!A:D,4,FALSE),"")</f>
        <v/>
      </c>
      <c r="E687" s="3"/>
      <c r="F687" s="3" t="str">
        <f>IFERROR(VLOOKUP(E687,'سجل الموظفين والكفاءة'!B:C,2,FALSE),"")</f>
        <v/>
      </c>
      <c r="G687" s="3">
        <f>IFERROR(VLOOKUP(A687,'الخطة التدريبية المعتمدة'!A:J,10,FALSE),0)</f>
        <v>0</v>
      </c>
      <c r="H687" s="3"/>
      <c r="I687" s="3"/>
      <c r="J687" s="3"/>
      <c r="K687" s="7" t="str">
        <f>IF(OR(I687="",J687="",I687=0),"",(J687-I687)/I687)</f>
        <v/>
      </c>
      <c r="L687" s="3" t="str">
        <f>IF(J687="","",IF(J687/10&gt;='الإعدادات والمستهدفات'!B5,"ناجح ومستوفى","ضعيف - يلزم إعادة اختبار"))</f>
        <v/>
      </c>
      <c r="M687" s="3"/>
      <c r="N687" s="3"/>
    </row>
    <row r="688" spans="1:14" x14ac:dyDescent="0.2">
      <c r="A688" s="3" t="str">
        <f>IFERROR(VLOOKUP(B688,'جدول الجلسات التدريبية'!A:B,2,FALSE),"")</f>
        <v/>
      </c>
      <c r="B688" s="3"/>
      <c r="C688" s="3" t="str">
        <f>IFERROR(VLOOKUP(A688,'الخطة التدريبية المعتمدة'!A:C,3,FALSE),"")</f>
        <v/>
      </c>
      <c r="D688" s="3" t="str">
        <f>IFERROR(VLOOKUP(B688,'جدول الجلسات التدريبية'!A:D,4,FALSE),"")</f>
        <v/>
      </c>
      <c r="E688" s="3"/>
      <c r="F688" s="3" t="str">
        <f>IFERROR(VLOOKUP(E688,'سجل الموظفين والكفاءة'!B:C,2,FALSE),"")</f>
        <v/>
      </c>
      <c r="G688" s="3">
        <f>IFERROR(VLOOKUP(A688,'الخطة التدريبية المعتمدة'!A:J,10,FALSE),0)</f>
        <v>0</v>
      </c>
      <c r="H688" s="3"/>
      <c r="I688" s="3"/>
      <c r="J688" s="3"/>
      <c r="K688" s="7" t="str">
        <f>IF(OR(I688="",J688="",I688=0),"",(J688-I688)/I688)</f>
        <v/>
      </c>
      <c r="L688" s="3" t="str">
        <f>IF(J688="","",IF(J688/10&gt;='الإعدادات والمستهدفات'!B5,"ناجح ومستوفى","ضعيف - يلزم إعادة اختبار"))</f>
        <v/>
      </c>
      <c r="M688" s="3"/>
      <c r="N688" s="3"/>
    </row>
    <row r="689" spans="1:14" x14ac:dyDescent="0.2">
      <c r="A689" s="3" t="str">
        <f>IFERROR(VLOOKUP(B689,'جدول الجلسات التدريبية'!A:B,2,FALSE),"")</f>
        <v/>
      </c>
      <c r="B689" s="3"/>
      <c r="C689" s="3" t="str">
        <f>IFERROR(VLOOKUP(A689,'الخطة التدريبية المعتمدة'!A:C,3,FALSE),"")</f>
        <v/>
      </c>
      <c r="D689" s="3" t="str">
        <f>IFERROR(VLOOKUP(B689,'جدول الجلسات التدريبية'!A:D,4,FALSE),"")</f>
        <v/>
      </c>
      <c r="E689" s="3"/>
      <c r="F689" s="3" t="str">
        <f>IFERROR(VLOOKUP(E689,'سجل الموظفين والكفاءة'!B:C,2,FALSE),"")</f>
        <v/>
      </c>
      <c r="G689" s="3">
        <f>IFERROR(VLOOKUP(A689,'الخطة التدريبية المعتمدة'!A:J,10,FALSE),0)</f>
        <v>0</v>
      </c>
      <c r="H689" s="3"/>
      <c r="I689" s="3"/>
      <c r="J689" s="3"/>
      <c r="K689" s="7" t="str">
        <f>IF(OR(I689="",J689="",I689=0),"",(J689-I689)/I689)</f>
        <v/>
      </c>
      <c r="L689" s="3" t="str">
        <f>IF(J689="","",IF(J689/10&gt;='الإعدادات والمستهدفات'!B5,"ناجح ومستوفى","ضعيف - يلزم إعادة اختبار"))</f>
        <v/>
      </c>
      <c r="M689" s="3"/>
      <c r="N689" s="3"/>
    </row>
    <row r="690" spans="1:14" x14ac:dyDescent="0.2">
      <c r="A690" s="3" t="str">
        <f>IFERROR(VLOOKUP(B690,'جدول الجلسات التدريبية'!A:B,2,FALSE),"")</f>
        <v/>
      </c>
      <c r="B690" s="3"/>
      <c r="C690" s="3" t="str">
        <f>IFERROR(VLOOKUP(A690,'الخطة التدريبية المعتمدة'!A:C,3,FALSE),"")</f>
        <v/>
      </c>
      <c r="D690" s="3" t="str">
        <f>IFERROR(VLOOKUP(B690,'جدول الجلسات التدريبية'!A:D,4,FALSE),"")</f>
        <v/>
      </c>
      <c r="E690" s="3"/>
      <c r="F690" s="3" t="str">
        <f>IFERROR(VLOOKUP(E690,'سجل الموظفين والكفاءة'!B:C,2,FALSE),"")</f>
        <v/>
      </c>
      <c r="G690" s="3">
        <f>IFERROR(VLOOKUP(A690,'الخطة التدريبية المعتمدة'!A:J,10,FALSE),0)</f>
        <v>0</v>
      </c>
      <c r="H690" s="3"/>
      <c r="I690" s="3"/>
      <c r="J690" s="3"/>
      <c r="K690" s="7" t="str">
        <f>IF(OR(I690="",J690="",I690=0),"",(J690-I690)/I690)</f>
        <v/>
      </c>
      <c r="L690" s="3" t="str">
        <f>IF(J690="","",IF(J690/10&gt;='الإعدادات والمستهدفات'!B5,"ناجح ومستوفى","ضعيف - يلزم إعادة اختبار"))</f>
        <v/>
      </c>
      <c r="M690" s="3"/>
      <c r="N690" s="3"/>
    </row>
    <row r="691" spans="1:14" x14ac:dyDescent="0.2">
      <c r="A691" s="3" t="str">
        <f>IFERROR(VLOOKUP(B691,'جدول الجلسات التدريبية'!A:B,2,FALSE),"")</f>
        <v/>
      </c>
      <c r="B691" s="3"/>
      <c r="C691" s="3" t="str">
        <f>IFERROR(VLOOKUP(A691,'الخطة التدريبية المعتمدة'!A:C,3,FALSE),"")</f>
        <v/>
      </c>
      <c r="D691" s="3" t="str">
        <f>IFERROR(VLOOKUP(B691,'جدول الجلسات التدريبية'!A:D,4,FALSE),"")</f>
        <v/>
      </c>
      <c r="E691" s="3"/>
      <c r="F691" s="3" t="str">
        <f>IFERROR(VLOOKUP(E691,'سجل الموظفين والكفاءة'!B:C,2,FALSE),"")</f>
        <v/>
      </c>
      <c r="G691" s="3">
        <f>IFERROR(VLOOKUP(A691,'الخطة التدريبية المعتمدة'!A:J,10,FALSE),0)</f>
        <v>0</v>
      </c>
      <c r="H691" s="3"/>
      <c r="I691" s="3"/>
      <c r="J691" s="3"/>
      <c r="K691" s="7" t="str">
        <f>IF(OR(I691="",J691="",I691=0),"",(J691-I691)/I691)</f>
        <v/>
      </c>
      <c r="L691" s="3" t="str">
        <f>IF(J691="","",IF(J691/10&gt;='الإعدادات والمستهدفات'!B5,"ناجح ومستوفى","ضعيف - يلزم إعادة اختبار"))</f>
        <v/>
      </c>
      <c r="M691" s="3"/>
      <c r="N691" s="3"/>
    </row>
    <row r="692" spans="1:14" x14ac:dyDescent="0.2">
      <c r="A692" s="3" t="str">
        <f>IFERROR(VLOOKUP(B692,'جدول الجلسات التدريبية'!A:B,2,FALSE),"")</f>
        <v/>
      </c>
      <c r="B692" s="3"/>
      <c r="C692" s="3" t="str">
        <f>IFERROR(VLOOKUP(A692,'الخطة التدريبية المعتمدة'!A:C,3,FALSE),"")</f>
        <v/>
      </c>
      <c r="D692" s="3" t="str">
        <f>IFERROR(VLOOKUP(B692,'جدول الجلسات التدريبية'!A:D,4,FALSE),"")</f>
        <v/>
      </c>
      <c r="E692" s="3"/>
      <c r="F692" s="3" t="str">
        <f>IFERROR(VLOOKUP(E692,'سجل الموظفين والكفاءة'!B:C,2,FALSE),"")</f>
        <v/>
      </c>
      <c r="G692" s="3">
        <f>IFERROR(VLOOKUP(A692,'الخطة التدريبية المعتمدة'!A:J,10,FALSE),0)</f>
        <v>0</v>
      </c>
      <c r="H692" s="3"/>
      <c r="I692" s="3"/>
      <c r="J692" s="3"/>
      <c r="K692" s="7" t="str">
        <f>IF(OR(I692="",J692="",I692=0),"",(J692-I692)/I692)</f>
        <v/>
      </c>
      <c r="L692" s="3" t="str">
        <f>IF(J692="","",IF(J692/10&gt;='الإعدادات والمستهدفات'!B5,"ناجح ومستوفى","ضعيف - يلزم إعادة اختبار"))</f>
        <v/>
      </c>
      <c r="M692" s="3"/>
      <c r="N692" s="3"/>
    </row>
    <row r="693" spans="1:14" x14ac:dyDescent="0.2">
      <c r="A693" s="3" t="str">
        <f>IFERROR(VLOOKUP(B693,'جدول الجلسات التدريبية'!A:B,2,FALSE),"")</f>
        <v/>
      </c>
      <c r="B693" s="3"/>
      <c r="C693" s="3" t="str">
        <f>IFERROR(VLOOKUP(A693,'الخطة التدريبية المعتمدة'!A:C,3,FALSE),"")</f>
        <v/>
      </c>
      <c r="D693" s="3" t="str">
        <f>IFERROR(VLOOKUP(B693,'جدول الجلسات التدريبية'!A:D,4,FALSE),"")</f>
        <v/>
      </c>
      <c r="E693" s="3"/>
      <c r="F693" s="3" t="str">
        <f>IFERROR(VLOOKUP(E693,'سجل الموظفين والكفاءة'!B:C,2,FALSE),"")</f>
        <v/>
      </c>
      <c r="G693" s="3">
        <f>IFERROR(VLOOKUP(A693,'الخطة التدريبية المعتمدة'!A:J,10,FALSE),0)</f>
        <v>0</v>
      </c>
      <c r="H693" s="3"/>
      <c r="I693" s="3"/>
      <c r="J693" s="3"/>
      <c r="K693" s="7" t="str">
        <f>IF(OR(I693="",J693="",I693=0),"",(J693-I693)/I693)</f>
        <v/>
      </c>
      <c r="L693" s="3" t="str">
        <f>IF(J693="","",IF(J693/10&gt;='الإعدادات والمستهدفات'!B5,"ناجح ومستوفى","ضعيف - يلزم إعادة اختبار"))</f>
        <v/>
      </c>
      <c r="M693" s="3"/>
      <c r="N693" s="3"/>
    </row>
    <row r="694" spans="1:14" x14ac:dyDescent="0.2">
      <c r="A694" s="3" t="str">
        <f>IFERROR(VLOOKUP(B694,'جدول الجلسات التدريبية'!A:B,2,FALSE),"")</f>
        <v/>
      </c>
      <c r="B694" s="3"/>
      <c r="C694" s="3" t="str">
        <f>IFERROR(VLOOKUP(A694,'الخطة التدريبية المعتمدة'!A:C,3,FALSE),"")</f>
        <v/>
      </c>
      <c r="D694" s="3" t="str">
        <f>IFERROR(VLOOKUP(B694,'جدول الجلسات التدريبية'!A:D,4,FALSE),"")</f>
        <v/>
      </c>
      <c r="E694" s="3"/>
      <c r="F694" s="3" t="str">
        <f>IFERROR(VLOOKUP(E694,'سجل الموظفين والكفاءة'!B:C,2,FALSE),"")</f>
        <v/>
      </c>
      <c r="G694" s="3">
        <f>IFERROR(VLOOKUP(A694,'الخطة التدريبية المعتمدة'!A:J,10,FALSE),0)</f>
        <v>0</v>
      </c>
      <c r="H694" s="3"/>
      <c r="I694" s="3"/>
      <c r="J694" s="3"/>
      <c r="K694" s="7" t="str">
        <f>IF(OR(I694="",J694="",I694=0),"",(J694-I694)/I694)</f>
        <v/>
      </c>
      <c r="L694" s="3" t="str">
        <f>IF(J694="","",IF(J694/10&gt;='الإعدادات والمستهدفات'!B5,"ناجح ومستوفى","ضعيف - يلزم إعادة اختبار"))</f>
        <v/>
      </c>
      <c r="M694" s="3"/>
      <c r="N694" s="3"/>
    </row>
    <row r="695" spans="1:14" x14ac:dyDescent="0.2">
      <c r="A695" s="3" t="str">
        <f>IFERROR(VLOOKUP(B695,'جدول الجلسات التدريبية'!A:B,2,FALSE),"")</f>
        <v/>
      </c>
      <c r="B695" s="3"/>
      <c r="C695" s="3" t="str">
        <f>IFERROR(VLOOKUP(A695,'الخطة التدريبية المعتمدة'!A:C,3,FALSE),"")</f>
        <v/>
      </c>
      <c r="D695" s="3" t="str">
        <f>IFERROR(VLOOKUP(B695,'جدول الجلسات التدريبية'!A:D,4,FALSE),"")</f>
        <v/>
      </c>
      <c r="E695" s="3"/>
      <c r="F695" s="3" t="str">
        <f>IFERROR(VLOOKUP(E695,'سجل الموظفين والكفاءة'!B:C,2,FALSE),"")</f>
        <v/>
      </c>
      <c r="G695" s="3">
        <f>IFERROR(VLOOKUP(A695,'الخطة التدريبية المعتمدة'!A:J,10,FALSE),0)</f>
        <v>0</v>
      </c>
      <c r="H695" s="3"/>
      <c r="I695" s="3"/>
      <c r="J695" s="3"/>
      <c r="K695" s="7" t="str">
        <f>IF(OR(I695="",J695="",I695=0),"",(J695-I695)/I695)</f>
        <v/>
      </c>
      <c r="L695" s="3" t="str">
        <f>IF(J695="","",IF(J695/10&gt;='الإعدادات والمستهدفات'!B5,"ناجح ومستوفى","ضعيف - يلزم إعادة اختبار"))</f>
        <v/>
      </c>
      <c r="M695" s="3"/>
      <c r="N695" s="3"/>
    </row>
    <row r="696" spans="1:14" x14ac:dyDescent="0.2">
      <c r="A696" s="3" t="str">
        <f>IFERROR(VLOOKUP(B696,'جدول الجلسات التدريبية'!A:B,2,FALSE),"")</f>
        <v/>
      </c>
      <c r="B696" s="3"/>
      <c r="C696" s="3" t="str">
        <f>IFERROR(VLOOKUP(A696,'الخطة التدريبية المعتمدة'!A:C,3,FALSE),"")</f>
        <v/>
      </c>
      <c r="D696" s="3" t="str">
        <f>IFERROR(VLOOKUP(B696,'جدول الجلسات التدريبية'!A:D,4,FALSE),"")</f>
        <v/>
      </c>
      <c r="E696" s="3"/>
      <c r="F696" s="3" t="str">
        <f>IFERROR(VLOOKUP(E696,'سجل الموظفين والكفاءة'!B:C,2,FALSE),"")</f>
        <v/>
      </c>
      <c r="G696" s="3">
        <f>IFERROR(VLOOKUP(A696,'الخطة التدريبية المعتمدة'!A:J,10,FALSE),0)</f>
        <v>0</v>
      </c>
      <c r="H696" s="3"/>
      <c r="I696" s="3"/>
      <c r="J696" s="3"/>
      <c r="K696" s="7" t="str">
        <f>IF(OR(I696="",J696="",I696=0),"",(J696-I696)/I696)</f>
        <v/>
      </c>
      <c r="L696" s="3" t="str">
        <f>IF(J696="","",IF(J696/10&gt;='الإعدادات والمستهدفات'!B5,"ناجح ومستوفى","ضعيف - يلزم إعادة اختبار"))</f>
        <v/>
      </c>
      <c r="M696" s="3"/>
      <c r="N696" s="3"/>
    </row>
    <row r="697" spans="1:14" x14ac:dyDescent="0.2">
      <c r="A697" s="3" t="str">
        <f>IFERROR(VLOOKUP(B697,'جدول الجلسات التدريبية'!A:B,2,FALSE),"")</f>
        <v/>
      </c>
      <c r="B697" s="3"/>
      <c r="C697" s="3" t="str">
        <f>IFERROR(VLOOKUP(A697,'الخطة التدريبية المعتمدة'!A:C,3,FALSE),"")</f>
        <v/>
      </c>
      <c r="D697" s="3" t="str">
        <f>IFERROR(VLOOKUP(B697,'جدول الجلسات التدريبية'!A:D,4,FALSE),"")</f>
        <v/>
      </c>
      <c r="E697" s="3"/>
      <c r="F697" s="3" t="str">
        <f>IFERROR(VLOOKUP(E697,'سجل الموظفين والكفاءة'!B:C,2,FALSE),"")</f>
        <v/>
      </c>
      <c r="G697" s="3">
        <f>IFERROR(VLOOKUP(A697,'الخطة التدريبية المعتمدة'!A:J,10,FALSE),0)</f>
        <v>0</v>
      </c>
      <c r="H697" s="3"/>
      <c r="I697" s="3"/>
      <c r="J697" s="3"/>
      <c r="K697" s="7" t="str">
        <f>IF(OR(I697="",J697="",I697=0),"",(J697-I697)/I697)</f>
        <v/>
      </c>
      <c r="L697" s="3" t="str">
        <f>IF(J697="","",IF(J697/10&gt;='الإعدادات والمستهدفات'!B5,"ناجح ومستوفى","ضعيف - يلزم إعادة اختبار"))</f>
        <v/>
      </c>
      <c r="M697" s="3"/>
      <c r="N697" s="3"/>
    </row>
    <row r="698" spans="1:14" x14ac:dyDescent="0.2">
      <c r="A698" s="3" t="str">
        <f>IFERROR(VLOOKUP(B698,'جدول الجلسات التدريبية'!A:B,2,FALSE),"")</f>
        <v/>
      </c>
      <c r="B698" s="3"/>
      <c r="C698" s="3" t="str">
        <f>IFERROR(VLOOKUP(A698,'الخطة التدريبية المعتمدة'!A:C,3,FALSE),"")</f>
        <v/>
      </c>
      <c r="D698" s="3" t="str">
        <f>IFERROR(VLOOKUP(B698,'جدول الجلسات التدريبية'!A:D,4,FALSE),"")</f>
        <v/>
      </c>
      <c r="E698" s="3"/>
      <c r="F698" s="3" t="str">
        <f>IFERROR(VLOOKUP(E698,'سجل الموظفين والكفاءة'!B:C,2,FALSE),"")</f>
        <v/>
      </c>
      <c r="G698" s="3">
        <f>IFERROR(VLOOKUP(A698,'الخطة التدريبية المعتمدة'!A:J,10,FALSE),0)</f>
        <v>0</v>
      </c>
      <c r="H698" s="3"/>
      <c r="I698" s="3"/>
      <c r="J698" s="3"/>
      <c r="K698" s="7" t="str">
        <f>IF(OR(I698="",J698="",I698=0),"",(J698-I698)/I698)</f>
        <v/>
      </c>
      <c r="L698" s="3" t="str">
        <f>IF(J698="","",IF(J698/10&gt;='الإعدادات والمستهدفات'!B5,"ناجح ومستوفى","ضعيف - يلزم إعادة اختبار"))</f>
        <v/>
      </c>
      <c r="M698" s="3"/>
      <c r="N698" s="3"/>
    </row>
    <row r="699" spans="1:14" x14ac:dyDescent="0.2">
      <c r="A699" s="3" t="str">
        <f>IFERROR(VLOOKUP(B699,'جدول الجلسات التدريبية'!A:B,2,FALSE),"")</f>
        <v/>
      </c>
      <c r="B699" s="3"/>
      <c r="C699" s="3" t="str">
        <f>IFERROR(VLOOKUP(A699,'الخطة التدريبية المعتمدة'!A:C,3,FALSE),"")</f>
        <v/>
      </c>
      <c r="D699" s="3" t="str">
        <f>IFERROR(VLOOKUP(B699,'جدول الجلسات التدريبية'!A:D,4,FALSE),"")</f>
        <v/>
      </c>
      <c r="E699" s="3"/>
      <c r="F699" s="3" t="str">
        <f>IFERROR(VLOOKUP(E699,'سجل الموظفين والكفاءة'!B:C,2,FALSE),"")</f>
        <v/>
      </c>
      <c r="G699" s="3">
        <f>IFERROR(VLOOKUP(A699,'الخطة التدريبية المعتمدة'!A:J,10,FALSE),0)</f>
        <v>0</v>
      </c>
      <c r="H699" s="3"/>
      <c r="I699" s="3"/>
      <c r="J699" s="3"/>
      <c r="K699" s="7" t="str">
        <f>IF(OR(I699="",J699="",I699=0),"",(J699-I699)/I699)</f>
        <v/>
      </c>
      <c r="L699" s="3" t="str">
        <f>IF(J699="","",IF(J699/10&gt;='الإعدادات والمستهدفات'!B5,"ناجح ومستوفى","ضعيف - يلزم إعادة اختبار"))</f>
        <v/>
      </c>
      <c r="M699" s="3"/>
      <c r="N699" s="3"/>
    </row>
    <row r="700" spans="1:14" x14ac:dyDescent="0.2">
      <c r="A700" s="3" t="str">
        <f>IFERROR(VLOOKUP(B700,'جدول الجلسات التدريبية'!A:B,2,FALSE),"")</f>
        <v/>
      </c>
      <c r="B700" s="3"/>
      <c r="C700" s="3" t="str">
        <f>IFERROR(VLOOKUP(A700,'الخطة التدريبية المعتمدة'!A:C,3,FALSE),"")</f>
        <v/>
      </c>
      <c r="D700" s="3" t="str">
        <f>IFERROR(VLOOKUP(B700,'جدول الجلسات التدريبية'!A:D,4,FALSE),"")</f>
        <v/>
      </c>
      <c r="E700" s="3"/>
      <c r="F700" s="3" t="str">
        <f>IFERROR(VLOOKUP(E700,'سجل الموظفين والكفاءة'!B:C,2,FALSE),"")</f>
        <v/>
      </c>
      <c r="G700" s="3">
        <f>IFERROR(VLOOKUP(A700,'الخطة التدريبية المعتمدة'!A:J,10,FALSE),0)</f>
        <v>0</v>
      </c>
      <c r="H700" s="3"/>
      <c r="I700" s="3"/>
      <c r="J700" s="3"/>
      <c r="K700" s="7" t="str">
        <f>IF(OR(I700="",J700="",I700=0),"",(J700-I700)/I700)</f>
        <v/>
      </c>
      <c r="L700" s="3" t="str">
        <f>IF(J700="","",IF(J700/10&gt;='الإعدادات والمستهدفات'!B5,"ناجح ومستوفى","ضعيف - يلزم إعادة اختبار"))</f>
        <v/>
      </c>
      <c r="M700" s="3"/>
      <c r="N700" s="3"/>
    </row>
    <row r="701" spans="1:14" x14ac:dyDescent="0.2">
      <c r="A701" s="3" t="str">
        <f>IFERROR(VLOOKUP(B701,'جدول الجلسات التدريبية'!A:B,2,FALSE),"")</f>
        <v/>
      </c>
      <c r="B701" s="3"/>
      <c r="C701" s="3" t="str">
        <f>IFERROR(VLOOKUP(A701,'الخطة التدريبية المعتمدة'!A:C,3,FALSE),"")</f>
        <v/>
      </c>
      <c r="D701" s="3" t="str">
        <f>IFERROR(VLOOKUP(B701,'جدول الجلسات التدريبية'!A:D,4,FALSE),"")</f>
        <v/>
      </c>
      <c r="E701" s="3"/>
      <c r="F701" s="3" t="str">
        <f>IFERROR(VLOOKUP(E701,'سجل الموظفين والكفاءة'!B:C,2,FALSE),"")</f>
        <v/>
      </c>
      <c r="G701" s="3">
        <f>IFERROR(VLOOKUP(A701,'الخطة التدريبية المعتمدة'!A:J,10,FALSE),0)</f>
        <v>0</v>
      </c>
      <c r="H701" s="3"/>
      <c r="I701" s="3"/>
      <c r="J701" s="3"/>
      <c r="K701" s="7" t="str">
        <f>IF(OR(I701="",J701="",I701=0),"",(J701-I701)/I701)</f>
        <v/>
      </c>
      <c r="L701" s="3" t="str">
        <f>IF(J701="","",IF(J701/10&gt;='الإعدادات والمستهدفات'!B5,"ناجح ومستوفى","ضعيف - يلزم إعادة اختبار"))</f>
        <v/>
      </c>
      <c r="M701" s="3"/>
      <c r="N701" s="3"/>
    </row>
    <row r="702" spans="1:14" x14ac:dyDescent="0.2">
      <c r="A702" s="3" t="str">
        <f>IFERROR(VLOOKUP(B702,'جدول الجلسات التدريبية'!A:B,2,FALSE),"")</f>
        <v/>
      </c>
      <c r="B702" s="3"/>
      <c r="C702" s="3" t="str">
        <f>IFERROR(VLOOKUP(A702,'الخطة التدريبية المعتمدة'!A:C,3,FALSE),"")</f>
        <v/>
      </c>
      <c r="D702" s="3" t="str">
        <f>IFERROR(VLOOKUP(B702,'جدول الجلسات التدريبية'!A:D,4,FALSE),"")</f>
        <v/>
      </c>
      <c r="E702" s="3"/>
      <c r="F702" s="3" t="str">
        <f>IFERROR(VLOOKUP(E702,'سجل الموظفين والكفاءة'!B:C,2,FALSE),"")</f>
        <v/>
      </c>
      <c r="G702" s="3">
        <f>IFERROR(VLOOKUP(A702,'الخطة التدريبية المعتمدة'!A:J,10,FALSE),0)</f>
        <v>0</v>
      </c>
      <c r="H702" s="3"/>
      <c r="I702" s="3"/>
      <c r="J702" s="3"/>
      <c r="K702" s="7" t="str">
        <f>IF(OR(I702="",J702="",I702=0),"",(J702-I702)/I702)</f>
        <v/>
      </c>
      <c r="L702" s="3" t="str">
        <f>IF(J702="","",IF(J702/10&gt;='الإعدادات والمستهدفات'!B5,"ناجح ومستوفى","ضعيف - يلزم إعادة اختبار"))</f>
        <v/>
      </c>
      <c r="M702" s="3"/>
      <c r="N702" s="3"/>
    </row>
    <row r="703" spans="1:14" x14ac:dyDescent="0.2">
      <c r="A703" s="3" t="str">
        <f>IFERROR(VLOOKUP(B703,'جدول الجلسات التدريبية'!A:B,2,FALSE),"")</f>
        <v/>
      </c>
      <c r="B703" s="3"/>
      <c r="C703" s="3" t="str">
        <f>IFERROR(VLOOKUP(A703,'الخطة التدريبية المعتمدة'!A:C,3,FALSE),"")</f>
        <v/>
      </c>
      <c r="D703" s="3" t="str">
        <f>IFERROR(VLOOKUP(B703,'جدول الجلسات التدريبية'!A:D,4,FALSE),"")</f>
        <v/>
      </c>
      <c r="E703" s="3"/>
      <c r="F703" s="3" t="str">
        <f>IFERROR(VLOOKUP(E703,'سجل الموظفين والكفاءة'!B:C,2,FALSE),"")</f>
        <v/>
      </c>
      <c r="G703" s="3">
        <f>IFERROR(VLOOKUP(A703,'الخطة التدريبية المعتمدة'!A:J,10,FALSE),0)</f>
        <v>0</v>
      </c>
      <c r="H703" s="3"/>
      <c r="I703" s="3"/>
      <c r="J703" s="3"/>
      <c r="K703" s="7" t="str">
        <f>IF(OR(I703="",J703="",I703=0),"",(J703-I703)/I703)</f>
        <v/>
      </c>
      <c r="L703" s="3" t="str">
        <f>IF(J703="","",IF(J703/10&gt;='الإعدادات والمستهدفات'!B5,"ناجح ومستوفى","ضعيف - يلزم إعادة اختبار"))</f>
        <v/>
      </c>
      <c r="M703" s="3"/>
      <c r="N703" s="3"/>
    </row>
    <row r="704" spans="1:14" x14ac:dyDescent="0.2">
      <c r="A704" s="3" t="str">
        <f>IFERROR(VLOOKUP(B704,'جدول الجلسات التدريبية'!A:B,2,FALSE),"")</f>
        <v/>
      </c>
      <c r="B704" s="3"/>
      <c r="C704" s="3" t="str">
        <f>IFERROR(VLOOKUP(A704,'الخطة التدريبية المعتمدة'!A:C,3,FALSE),"")</f>
        <v/>
      </c>
      <c r="D704" s="3" t="str">
        <f>IFERROR(VLOOKUP(B704,'جدول الجلسات التدريبية'!A:D,4,FALSE),"")</f>
        <v/>
      </c>
      <c r="E704" s="3"/>
      <c r="F704" s="3" t="str">
        <f>IFERROR(VLOOKUP(E704,'سجل الموظفين والكفاءة'!B:C,2,FALSE),"")</f>
        <v/>
      </c>
      <c r="G704" s="3">
        <f>IFERROR(VLOOKUP(A704,'الخطة التدريبية المعتمدة'!A:J,10,FALSE),0)</f>
        <v>0</v>
      </c>
      <c r="H704" s="3"/>
      <c r="I704" s="3"/>
      <c r="J704" s="3"/>
      <c r="K704" s="7" t="str">
        <f>IF(OR(I704="",J704="",I704=0),"",(J704-I704)/I704)</f>
        <v/>
      </c>
      <c r="L704" s="3" t="str">
        <f>IF(J704="","",IF(J704/10&gt;='الإعدادات والمستهدفات'!B5,"ناجح ومستوفى","ضعيف - يلزم إعادة اختبار"))</f>
        <v/>
      </c>
      <c r="M704" s="3"/>
      <c r="N704" s="3"/>
    </row>
    <row r="705" spans="1:14" x14ac:dyDescent="0.2">
      <c r="A705" s="3" t="str">
        <f>IFERROR(VLOOKUP(B705,'جدول الجلسات التدريبية'!A:B,2,FALSE),"")</f>
        <v/>
      </c>
      <c r="B705" s="3"/>
      <c r="C705" s="3" t="str">
        <f>IFERROR(VLOOKUP(A705,'الخطة التدريبية المعتمدة'!A:C,3,FALSE),"")</f>
        <v/>
      </c>
      <c r="D705" s="3" t="str">
        <f>IFERROR(VLOOKUP(B705,'جدول الجلسات التدريبية'!A:D,4,FALSE),"")</f>
        <v/>
      </c>
      <c r="E705" s="3"/>
      <c r="F705" s="3" t="str">
        <f>IFERROR(VLOOKUP(E705,'سجل الموظفين والكفاءة'!B:C,2,FALSE),"")</f>
        <v/>
      </c>
      <c r="G705" s="3">
        <f>IFERROR(VLOOKUP(A705,'الخطة التدريبية المعتمدة'!A:J,10,FALSE),0)</f>
        <v>0</v>
      </c>
      <c r="H705" s="3"/>
      <c r="I705" s="3"/>
      <c r="J705" s="3"/>
      <c r="K705" s="7" t="str">
        <f>IF(OR(I705="",J705="",I705=0),"",(J705-I705)/I705)</f>
        <v/>
      </c>
      <c r="L705" s="3" t="str">
        <f>IF(J705="","",IF(J705/10&gt;='الإعدادات والمستهدفات'!B5,"ناجح ومستوفى","ضعيف - يلزم إعادة اختبار"))</f>
        <v/>
      </c>
      <c r="M705" s="3"/>
      <c r="N705" s="3"/>
    </row>
    <row r="706" spans="1:14" x14ac:dyDescent="0.2">
      <c r="A706" s="3" t="str">
        <f>IFERROR(VLOOKUP(B706,'جدول الجلسات التدريبية'!A:B,2,FALSE),"")</f>
        <v/>
      </c>
      <c r="B706" s="3"/>
      <c r="C706" s="3" t="str">
        <f>IFERROR(VLOOKUP(A706,'الخطة التدريبية المعتمدة'!A:C,3,FALSE),"")</f>
        <v/>
      </c>
      <c r="D706" s="3" t="str">
        <f>IFERROR(VLOOKUP(B706,'جدول الجلسات التدريبية'!A:D,4,FALSE),"")</f>
        <v/>
      </c>
      <c r="E706" s="3"/>
      <c r="F706" s="3" t="str">
        <f>IFERROR(VLOOKUP(E706,'سجل الموظفين والكفاءة'!B:C,2,FALSE),"")</f>
        <v/>
      </c>
      <c r="G706" s="3">
        <f>IFERROR(VLOOKUP(A706,'الخطة التدريبية المعتمدة'!A:J,10,FALSE),0)</f>
        <v>0</v>
      </c>
      <c r="H706" s="3"/>
      <c r="I706" s="3"/>
      <c r="J706" s="3"/>
      <c r="K706" s="7" t="str">
        <f>IF(OR(I706="",J706="",I706=0),"",(J706-I706)/I706)</f>
        <v/>
      </c>
      <c r="L706" s="3" t="str">
        <f>IF(J706="","",IF(J706/10&gt;='الإعدادات والمستهدفات'!B5,"ناجح ومستوفى","ضعيف - يلزم إعادة اختبار"))</f>
        <v/>
      </c>
      <c r="M706" s="3"/>
      <c r="N706" s="3"/>
    </row>
    <row r="707" spans="1:14" x14ac:dyDescent="0.2">
      <c r="A707" s="3" t="str">
        <f>IFERROR(VLOOKUP(B707,'جدول الجلسات التدريبية'!A:B,2,FALSE),"")</f>
        <v/>
      </c>
      <c r="B707" s="3"/>
      <c r="C707" s="3" t="str">
        <f>IFERROR(VLOOKUP(A707,'الخطة التدريبية المعتمدة'!A:C,3,FALSE),"")</f>
        <v/>
      </c>
      <c r="D707" s="3" t="str">
        <f>IFERROR(VLOOKUP(B707,'جدول الجلسات التدريبية'!A:D,4,FALSE),"")</f>
        <v/>
      </c>
      <c r="E707" s="3"/>
      <c r="F707" s="3" t="str">
        <f>IFERROR(VLOOKUP(E707,'سجل الموظفين والكفاءة'!B:C,2,FALSE),"")</f>
        <v/>
      </c>
      <c r="G707" s="3">
        <f>IFERROR(VLOOKUP(A707,'الخطة التدريبية المعتمدة'!A:J,10,FALSE),0)</f>
        <v>0</v>
      </c>
      <c r="H707" s="3"/>
      <c r="I707" s="3"/>
      <c r="J707" s="3"/>
      <c r="K707" s="7" t="str">
        <f>IF(OR(I707="",J707="",I707=0),"",(J707-I707)/I707)</f>
        <v/>
      </c>
      <c r="L707" s="3" t="str">
        <f>IF(J707="","",IF(J707/10&gt;='الإعدادات والمستهدفات'!B5,"ناجح ومستوفى","ضعيف - يلزم إعادة اختبار"))</f>
        <v/>
      </c>
      <c r="M707" s="3"/>
      <c r="N707" s="3"/>
    </row>
    <row r="708" spans="1:14" x14ac:dyDescent="0.2">
      <c r="A708" s="3" t="str">
        <f>IFERROR(VLOOKUP(B708,'جدول الجلسات التدريبية'!A:B,2,FALSE),"")</f>
        <v/>
      </c>
      <c r="B708" s="3"/>
      <c r="C708" s="3" t="str">
        <f>IFERROR(VLOOKUP(A708,'الخطة التدريبية المعتمدة'!A:C,3,FALSE),"")</f>
        <v/>
      </c>
      <c r="D708" s="3" t="str">
        <f>IFERROR(VLOOKUP(B708,'جدول الجلسات التدريبية'!A:D,4,FALSE),"")</f>
        <v/>
      </c>
      <c r="E708" s="3"/>
      <c r="F708" s="3" t="str">
        <f>IFERROR(VLOOKUP(E708,'سجل الموظفين والكفاءة'!B:C,2,FALSE),"")</f>
        <v/>
      </c>
      <c r="G708" s="3">
        <f>IFERROR(VLOOKUP(A708,'الخطة التدريبية المعتمدة'!A:J,10,FALSE),0)</f>
        <v>0</v>
      </c>
      <c r="H708" s="3"/>
      <c r="I708" s="3"/>
      <c r="J708" s="3"/>
      <c r="K708" s="7" t="str">
        <f>IF(OR(I708="",J708="",I708=0),"",(J708-I708)/I708)</f>
        <v/>
      </c>
      <c r="L708" s="3" t="str">
        <f>IF(J708="","",IF(J708/10&gt;='الإعدادات والمستهدفات'!B5,"ناجح ومستوفى","ضعيف - يلزم إعادة اختبار"))</f>
        <v/>
      </c>
      <c r="M708" s="3"/>
      <c r="N708" s="3"/>
    </row>
    <row r="709" spans="1:14" x14ac:dyDescent="0.2">
      <c r="A709" s="3" t="str">
        <f>IFERROR(VLOOKUP(B709,'جدول الجلسات التدريبية'!A:B,2,FALSE),"")</f>
        <v/>
      </c>
      <c r="B709" s="3"/>
      <c r="C709" s="3" t="str">
        <f>IFERROR(VLOOKUP(A709,'الخطة التدريبية المعتمدة'!A:C,3,FALSE),"")</f>
        <v/>
      </c>
      <c r="D709" s="3" t="str">
        <f>IFERROR(VLOOKUP(B709,'جدول الجلسات التدريبية'!A:D,4,FALSE),"")</f>
        <v/>
      </c>
      <c r="E709" s="3"/>
      <c r="F709" s="3" t="str">
        <f>IFERROR(VLOOKUP(E709,'سجل الموظفين والكفاءة'!B:C,2,FALSE),"")</f>
        <v/>
      </c>
      <c r="G709" s="3">
        <f>IFERROR(VLOOKUP(A709,'الخطة التدريبية المعتمدة'!A:J,10,FALSE),0)</f>
        <v>0</v>
      </c>
      <c r="H709" s="3"/>
      <c r="I709" s="3"/>
      <c r="J709" s="3"/>
      <c r="K709" s="7" t="str">
        <f>IF(OR(I709="",J709="",I709=0),"",(J709-I709)/I709)</f>
        <v/>
      </c>
      <c r="L709" s="3" t="str">
        <f>IF(J709="","",IF(J709/10&gt;='الإعدادات والمستهدفات'!B5,"ناجح ومستوفى","ضعيف - يلزم إعادة اختبار"))</f>
        <v/>
      </c>
      <c r="M709" s="3"/>
      <c r="N709" s="3"/>
    </row>
    <row r="710" spans="1:14" x14ac:dyDescent="0.2">
      <c r="A710" s="3" t="str">
        <f>IFERROR(VLOOKUP(B710,'جدول الجلسات التدريبية'!A:B,2,FALSE),"")</f>
        <v/>
      </c>
      <c r="B710" s="3"/>
      <c r="C710" s="3" t="str">
        <f>IFERROR(VLOOKUP(A710,'الخطة التدريبية المعتمدة'!A:C,3,FALSE),"")</f>
        <v/>
      </c>
      <c r="D710" s="3" t="str">
        <f>IFERROR(VLOOKUP(B710,'جدول الجلسات التدريبية'!A:D,4,FALSE),"")</f>
        <v/>
      </c>
      <c r="E710" s="3"/>
      <c r="F710" s="3" t="str">
        <f>IFERROR(VLOOKUP(E710,'سجل الموظفين والكفاءة'!B:C,2,FALSE),"")</f>
        <v/>
      </c>
      <c r="G710" s="3">
        <f>IFERROR(VLOOKUP(A710,'الخطة التدريبية المعتمدة'!A:J,10,FALSE),0)</f>
        <v>0</v>
      </c>
      <c r="H710" s="3"/>
      <c r="I710" s="3"/>
      <c r="J710" s="3"/>
      <c r="K710" s="7" t="str">
        <f>IF(OR(I710="",J710="",I710=0),"",(J710-I710)/I710)</f>
        <v/>
      </c>
      <c r="L710" s="3" t="str">
        <f>IF(J710="","",IF(J710/10&gt;='الإعدادات والمستهدفات'!B5,"ناجح ومستوفى","ضعيف - يلزم إعادة اختبار"))</f>
        <v/>
      </c>
      <c r="M710" s="3"/>
      <c r="N710" s="3"/>
    </row>
    <row r="711" spans="1:14" x14ac:dyDescent="0.2">
      <c r="A711" s="3" t="str">
        <f>IFERROR(VLOOKUP(B711,'جدول الجلسات التدريبية'!A:B,2,FALSE),"")</f>
        <v/>
      </c>
      <c r="B711" s="3"/>
      <c r="C711" s="3" t="str">
        <f>IFERROR(VLOOKUP(A711,'الخطة التدريبية المعتمدة'!A:C,3,FALSE),"")</f>
        <v/>
      </c>
      <c r="D711" s="3" t="str">
        <f>IFERROR(VLOOKUP(B711,'جدول الجلسات التدريبية'!A:D,4,FALSE),"")</f>
        <v/>
      </c>
      <c r="E711" s="3"/>
      <c r="F711" s="3" t="str">
        <f>IFERROR(VLOOKUP(E711,'سجل الموظفين والكفاءة'!B:C,2,FALSE),"")</f>
        <v/>
      </c>
      <c r="G711" s="3">
        <f>IFERROR(VLOOKUP(A711,'الخطة التدريبية المعتمدة'!A:J,10,FALSE),0)</f>
        <v>0</v>
      </c>
      <c r="H711" s="3"/>
      <c r="I711" s="3"/>
      <c r="J711" s="3"/>
      <c r="K711" s="7" t="str">
        <f>IF(OR(I711="",J711="",I711=0),"",(J711-I711)/I711)</f>
        <v/>
      </c>
      <c r="L711" s="3" t="str">
        <f>IF(J711="","",IF(J711/10&gt;='الإعدادات والمستهدفات'!B5,"ناجح ومستوفى","ضعيف - يلزم إعادة اختبار"))</f>
        <v/>
      </c>
      <c r="M711" s="3"/>
      <c r="N711" s="3"/>
    </row>
    <row r="712" spans="1:14" x14ac:dyDescent="0.2">
      <c r="A712" s="3" t="str">
        <f>IFERROR(VLOOKUP(B712,'جدول الجلسات التدريبية'!A:B,2,FALSE),"")</f>
        <v/>
      </c>
      <c r="B712" s="3"/>
      <c r="C712" s="3" t="str">
        <f>IFERROR(VLOOKUP(A712,'الخطة التدريبية المعتمدة'!A:C,3,FALSE),"")</f>
        <v/>
      </c>
      <c r="D712" s="3" t="str">
        <f>IFERROR(VLOOKUP(B712,'جدول الجلسات التدريبية'!A:D,4,FALSE),"")</f>
        <v/>
      </c>
      <c r="E712" s="3"/>
      <c r="F712" s="3" t="str">
        <f>IFERROR(VLOOKUP(E712,'سجل الموظفين والكفاءة'!B:C,2,FALSE),"")</f>
        <v/>
      </c>
      <c r="G712" s="3">
        <f>IFERROR(VLOOKUP(A712,'الخطة التدريبية المعتمدة'!A:J,10,FALSE),0)</f>
        <v>0</v>
      </c>
      <c r="H712" s="3"/>
      <c r="I712" s="3"/>
      <c r="J712" s="3"/>
      <c r="K712" s="7" t="str">
        <f>IF(OR(I712="",J712="",I712=0),"",(J712-I712)/I712)</f>
        <v/>
      </c>
      <c r="L712" s="3" t="str">
        <f>IF(J712="","",IF(J712/10&gt;='الإعدادات والمستهدفات'!B5,"ناجح ومستوفى","ضعيف - يلزم إعادة اختبار"))</f>
        <v/>
      </c>
      <c r="M712" s="3"/>
      <c r="N712" s="3"/>
    </row>
    <row r="713" spans="1:14" x14ac:dyDescent="0.2">
      <c r="A713" s="3" t="str">
        <f>IFERROR(VLOOKUP(B713,'جدول الجلسات التدريبية'!A:B,2,FALSE),"")</f>
        <v/>
      </c>
      <c r="B713" s="3"/>
      <c r="C713" s="3" t="str">
        <f>IFERROR(VLOOKUP(A713,'الخطة التدريبية المعتمدة'!A:C,3,FALSE),"")</f>
        <v/>
      </c>
      <c r="D713" s="3" t="str">
        <f>IFERROR(VLOOKUP(B713,'جدول الجلسات التدريبية'!A:D,4,FALSE),"")</f>
        <v/>
      </c>
      <c r="E713" s="3"/>
      <c r="F713" s="3" t="str">
        <f>IFERROR(VLOOKUP(E713,'سجل الموظفين والكفاءة'!B:C,2,FALSE),"")</f>
        <v/>
      </c>
      <c r="G713" s="3">
        <f>IFERROR(VLOOKUP(A713,'الخطة التدريبية المعتمدة'!A:J,10,FALSE),0)</f>
        <v>0</v>
      </c>
      <c r="H713" s="3"/>
      <c r="I713" s="3"/>
      <c r="J713" s="3"/>
      <c r="K713" s="7" t="str">
        <f>IF(OR(I713="",J713="",I713=0),"",(J713-I713)/I713)</f>
        <v/>
      </c>
      <c r="L713" s="3" t="str">
        <f>IF(J713="","",IF(J713/10&gt;='الإعدادات والمستهدفات'!B5,"ناجح ومستوفى","ضعيف - يلزم إعادة اختبار"))</f>
        <v/>
      </c>
      <c r="M713" s="3"/>
      <c r="N713" s="3"/>
    </row>
    <row r="714" spans="1:14" x14ac:dyDescent="0.2">
      <c r="A714" s="3" t="str">
        <f>IFERROR(VLOOKUP(B714,'جدول الجلسات التدريبية'!A:B,2,FALSE),"")</f>
        <v/>
      </c>
      <c r="B714" s="3"/>
      <c r="C714" s="3" t="str">
        <f>IFERROR(VLOOKUP(A714,'الخطة التدريبية المعتمدة'!A:C,3,FALSE),"")</f>
        <v/>
      </c>
      <c r="D714" s="3" t="str">
        <f>IFERROR(VLOOKUP(B714,'جدول الجلسات التدريبية'!A:D,4,FALSE),"")</f>
        <v/>
      </c>
      <c r="E714" s="3"/>
      <c r="F714" s="3" t="str">
        <f>IFERROR(VLOOKUP(E714,'سجل الموظفين والكفاءة'!B:C,2,FALSE),"")</f>
        <v/>
      </c>
      <c r="G714" s="3">
        <f>IFERROR(VLOOKUP(A714,'الخطة التدريبية المعتمدة'!A:J,10,FALSE),0)</f>
        <v>0</v>
      </c>
      <c r="H714" s="3"/>
      <c r="I714" s="3"/>
      <c r="J714" s="3"/>
      <c r="K714" s="7" t="str">
        <f>IF(OR(I714="",J714="",I714=0),"",(J714-I714)/I714)</f>
        <v/>
      </c>
      <c r="L714" s="3" t="str">
        <f>IF(J714="","",IF(J714/10&gt;='الإعدادات والمستهدفات'!B5,"ناجح ومستوفى","ضعيف - يلزم إعادة اختبار"))</f>
        <v/>
      </c>
      <c r="M714" s="3"/>
      <c r="N714" s="3"/>
    </row>
    <row r="715" spans="1:14" x14ac:dyDescent="0.2">
      <c r="A715" s="3" t="str">
        <f>IFERROR(VLOOKUP(B715,'جدول الجلسات التدريبية'!A:B,2,FALSE),"")</f>
        <v/>
      </c>
      <c r="B715" s="3"/>
      <c r="C715" s="3" t="str">
        <f>IFERROR(VLOOKUP(A715,'الخطة التدريبية المعتمدة'!A:C,3,FALSE),"")</f>
        <v/>
      </c>
      <c r="D715" s="3" t="str">
        <f>IFERROR(VLOOKUP(B715,'جدول الجلسات التدريبية'!A:D,4,FALSE),"")</f>
        <v/>
      </c>
      <c r="E715" s="3"/>
      <c r="F715" s="3" t="str">
        <f>IFERROR(VLOOKUP(E715,'سجل الموظفين والكفاءة'!B:C,2,FALSE),"")</f>
        <v/>
      </c>
      <c r="G715" s="3">
        <f>IFERROR(VLOOKUP(A715,'الخطة التدريبية المعتمدة'!A:J,10,FALSE),0)</f>
        <v>0</v>
      </c>
      <c r="H715" s="3"/>
      <c r="I715" s="3"/>
      <c r="J715" s="3"/>
      <c r="K715" s="7" t="str">
        <f>IF(OR(I715="",J715="",I715=0),"",(J715-I715)/I715)</f>
        <v/>
      </c>
      <c r="L715" s="3" t="str">
        <f>IF(J715="","",IF(J715/10&gt;='الإعدادات والمستهدفات'!B5,"ناجح ومستوفى","ضعيف - يلزم إعادة اختبار"))</f>
        <v/>
      </c>
      <c r="M715" s="3"/>
      <c r="N715" s="3"/>
    </row>
    <row r="716" spans="1:14" x14ac:dyDescent="0.2">
      <c r="A716" s="3" t="str">
        <f>IFERROR(VLOOKUP(B716,'جدول الجلسات التدريبية'!A:B,2,FALSE),"")</f>
        <v/>
      </c>
      <c r="B716" s="3"/>
      <c r="C716" s="3" t="str">
        <f>IFERROR(VLOOKUP(A716,'الخطة التدريبية المعتمدة'!A:C,3,FALSE),"")</f>
        <v/>
      </c>
      <c r="D716" s="3" t="str">
        <f>IFERROR(VLOOKUP(B716,'جدول الجلسات التدريبية'!A:D,4,FALSE),"")</f>
        <v/>
      </c>
      <c r="E716" s="3"/>
      <c r="F716" s="3" t="str">
        <f>IFERROR(VLOOKUP(E716,'سجل الموظفين والكفاءة'!B:C,2,FALSE),"")</f>
        <v/>
      </c>
      <c r="G716" s="3">
        <f>IFERROR(VLOOKUP(A716,'الخطة التدريبية المعتمدة'!A:J,10,FALSE),0)</f>
        <v>0</v>
      </c>
      <c r="H716" s="3"/>
      <c r="I716" s="3"/>
      <c r="J716" s="3"/>
      <c r="K716" s="7" t="str">
        <f>IF(OR(I716="",J716="",I716=0),"",(J716-I716)/I716)</f>
        <v/>
      </c>
      <c r="L716" s="3" t="str">
        <f>IF(J716="","",IF(J716/10&gt;='الإعدادات والمستهدفات'!B5,"ناجح ومستوفى","ضعيف - يلزم إعادة اختبار"))</f>
        <v/>
      </c>
      <c r="M716" s="3"/>
      <c r="N716" s="3"/>
    </row>
    <row r="717" spans="1:14" x14ac:dyDescent="0.2">
      <c r="A717" s="3" t="str">
        <f>IFERROR(VLOOKUP(B717,'جدول الجلسات التدريبية'!A:B,2,FALSE),"")</f>
        <v/>
      </c>
      <c r="B717" s="3"/>
      <c r="C717" s="3" t="str">
        <f>IFERROR(VLOOKUP(A717,'الخطة التدريبية المعتمدة'!A:C,3,FALSE),"")</f>
        <v/>
      </c>
      <c r="D717" s="3" t="str">
        <f>IFERROR(VLOOKUP(B717,'جدول الجلسات التدريبية'!A:D,4,FALSE),"")</f>
        <v/>
      </c>
      <c r="E717" s="3"/>
      <c r="F717" s="3" t="str">
        <f>IFERROR(VLOOKUP(E717,'سجل الموظفين والكفاءة'!B:C,2,FALSE),"")</f>
        <v/>
      </c>
      <c r="G717" s="3">
        <f>IFERROR(VLOOKUP(A717,'الخطة التدريبية المعتمدة'!A:J,10,FALSE),0)</f>
        <v>0</v>
      </c>
      <c r="H717" s="3"/>
      <c r="I717" s="3"/>
      <c r="J717" s="3"/>
      <c r="K717" s="7" t="str">
        <f>IF(OR(I717="",J717="",I717=0),"",(J717-I717)/I717)</f>
        <v/>
      </c>
      <c r="L717" s="3" t="str">
        <f>IF(J717="","",IF(J717/10&gt;='الإعدادات والمستهدفات'!B5,"ناجح ومستوفى","ضعيف - يلزم إعادة اختبار"))</f>
        <v/>
      </c>
      <c r="M717" s="3"/>
      <c r="N717" s="3"/>
    </row>
    <row r="718" spans="1:14" x14ac:dyDescent="0.2">
      <c r="A718" s="3" t="str">
        <f>IFERROR(VLOOKUP(B718,'جدول الجلسات التدريبية'!A:B,2,FALSE),"")</f>
        <v/>
      </c>
      <c r="B718" s="3"/>
      <c r="C718" s="3" t="str">
        <f>IFERROR(VLOOKUP(A718,'الخطة التدريبية المعتمدة'!A:C,3,FALSE),"")</f>
        <v/>
      </c>
      <c r="D718" s="3" t="str">
        <f>IFERROR(VLOOKUP(B718,'جدول الجلسات التدريبية'!A:D,4,FALSE),"")</f>
        <v/>
      </c>
      <c r="E718" s="3"/>
      <c r="F718" s="3" t="str">
        <f>IFERROR(VLOOKUP(E718,'سجل الموظفين والكفاءة'!B:C,2,FALSE),"")</f>
        <v/>
      </c>
      <c r="G718" s="3">
        <f>IFERROR(VLOOKUP(A718,'الخطة التدريبية المعتمدة'!A:J,10,FALSE),0)</f>
        <v>0</v>
      </c>
      <c r="H718" s="3"/>
      <c r="I718" s="3"/>
      <c r="J718" s="3"/>
      <c r="K718" s="7" t="str">
        <f>IF(OR(I718="",J718="",I718=0),"",(J718-I718)/I718)</f>
        <v/>
      </c>
      <c r="L718" s="3" t="str">
        <f>IF(J718="","",IF(J718/10&gt;='الإعدادات والمستهدفات'!B5,"ناجح ومستوفى","ضعيف - يلزم إعادة اختبار"))</f>
        <v/>
      </c>
      <c r="M718" s="3"/>
      <c r="N718" s="3"/>
    </row>
    <row r="719" spans="1:14" x14ac:dyDescent="0.2">
      <c r="A719" s="3" t="str">
        <f>IFERROR(VLOOKUP(B719,'جدول الجلسات التدريبية'!A:B,2,FALSE),"")</f>
        <v/>
      </c>
      <c r="B719" s="3"/>
      <c r="C719" s="3" t="str">
        <f>IFERROR(VLOOKUP(A719,'الخطة التدريبية المعتمدة'!A:C,3,FALSE),"")</f>
        <v/>
      </c>
      <c r="D719" s="3" t="str">
        <f>IFERROR(VLOOKUP(B719,'جدول الجلسات التدريبية'!A:D,4,FALSE),"")</f>
        <v/>
      </c>
      <c r="E719" s="3"/>
      <c r="F719" s="3" t="str">
        <f>IFERROR(VLOOKUP(E719,'سجل الموظفين والكفاءة'!B:C,2,FALSE),"")</f>
        <v/>
      </c>
      <c r="G719" s="3">
        <f>IFERROR(VLOOKUP(A719,'الخطة التدريبية المعتمدة'!A:J,10,FALSE),0)</f>
        <v>0</v>
      </c>
      <c r="H719" s="3"/>
      <c r="I719" s="3"/>
      <c r="J719" s="3"/>
      <c r="K719" s="7" t="str">
        <f>IF(OR(I719="",J719="",I719=0),"",(J719-I719)/I719)</f>
        <v/>
      </c>
      <c r="L719" s="3" t="str">
        <f>IF(J719="","",IF(J719/10&gt;='الإعدادات والمستهدفات'!B5,"ناجح ومستوفى","ضعيف - يلزم إعادة اختبار"))</f>
        <v/>
      </c>
      <c r="M719" s="3"/>
      <c r="N719" s="3"/>
    </row>
    <row r="720" spans="1:14" x14ac:dyDescent="0.2">
      <c r="A720" s="3" t="str">
        <f>IFERROR(VLOOKUP(B720,'جدول الجلسات التدريبية'!A:B,2,FALSE),"")</f>
        <v/>
      </c>
      <c r="B720" s="3"/>
      <c r="C720" s="3" t="str">
        <f>IFERROR(VLOOKUP(A720,'الخطة التدريبية المعتمدة'!A:C,3,FALSE),"")</f>
        <v/>
      </c>
      <c r="D720" s="3" t="str">
        <f>IFERROR(VLOOKUP(B720,'جدول الجلسات التدريبية'!A:D,4,FALSE),"")</f>
        <v/>
      </c>
      <c r="E720" s="3"/>
      <c r="F720" s="3" t="str">
        <f>IFERROR(VLOOKUP(E720,'سجل الموظفين والكفاءة'!B:C,2,FALSE),"")</f>
        <v/>
      </c>
      <c r="G720" s="3">
        <f>IFERROR(VLOOKUP(A720,'الخطة التدريبية المعتمدة'!A:J,10,FALSE),0)</f>
        <v>0</v>
      </c>
      <c r="H720" s="3"/>
      <c r="I720" s="3"/>
      <c r="J720" s="3"/>
      <c r="K720" s="7" t="str">
        <f>IF(OR(I720="",J720="",I720=0),"",(J720-I720)/I720)</f>
        <v/>
      </c>
      <c r="L720" s="3" t="str">
        <f>IF(J720="","",IF(J720/10&gt;='الإعدادات والمستهدفات'!B5,"ناجح ومستوفى","ضعيف - يلزم إعادة اختبار"))</f>
        <v/>
      </c>
      <c r="M720" s="3"/>
      <c r="N720" s="3"/>
    </row>
    <row r="721" spans="1:14" x14ac:dyDescent="0.2">
      <c r="A721" s="3" t="str">
        <f>IFERROR(VLOOKUP(B721,'جدول الجلسات التدريبية'!A:B,2,FALSE),"")</f>
        <v/>
      </c>
      <c r="B721" s="3"/>
      <c r="C721" s="3" t="str">
        <f>IFERROR(VLOOKUP(A721,'الخطة التدريبية المعتمدة'!A:C,3,FALSE),"")</f>
        <v/>
      </c>
      <c r="D721" s="3" t="str">
        <f>IFERROR(VLOOKUP(B721,'جدول الجلسات التدريبية'!A:D,4,FALSE),"")</f>
        <v/>
      </c>
      <c r="E721" s="3"/>
      <c r="F721" s="3" t="str">
        <f>IFERROR(VLOOKUP(E721,'سجل الموظفين والكفاءة'!B:C,2,FALSE),"")</f>
        <v/>
      </c>
      <c r="G721" s="3">
        <f>IFERROR(VLOOKUP(A721,'الخطة التدريبية المعتمدة'!A:J,10,FALSE),0)</f>
        <v>0</v>
      </c>
      <c r="H721" s="3"/>
      <c r="I721" s="3"/>
      <c r="J721" s="3"/>
      <c r="K721" s="7" t="str">
        <f>IF(OR(I721="",J721="",I721=0),"",(J721-I721)/I721)</f>
        <v/>
      </c>
      <c r="L721" s="3" t="str">
        <f>IF(J721="","",IF(J721/10&gt;='الإعدادات والمستهدفات'!B5,"ناجح ومستوفى","ضعيف - يلزم إعادة اختبار"))</f>
        <v/>
      </c>
      <c r="M721" s="3"/>
      <c r="N721" s="3"/>
    </row>
    <row r="722" spans="1:14" x14ac:dyDescent="0.2">
      <c r="A722" s="3" t="str">
        <f>IFERROR(VLOOKUP(B722,'جدول الجلسات التدريبية'!A:B,2,FALSE),"")</f>
        <v/>
      </c>
      <c r="B722" s="3"/>
      <c r="C722" s="3" t="str">
        <f>IFERROR(VLOOKUP(A722,'الخطة التدريبية المعتمدة'!A:C,3,FALSE),"")</f>
        <v/>
      </c>
      <c r="D722" s="3" t="str">
        <f>IFERROR(VLOOKUP(B722,'جدول الجلسات التدريبية'!A:D,4,FALSE),"")</f>
        <v/>
      </c>
      <c r="E722" s="3"/>
      <c r="F722" s="3" t="str">
        <f>IFERROR(VLOOKUP(E722,'سجل الموظفين والكفاءة'!B:C,2,FALSE),"")</f>
        <v/>
      </c>
      <c r="G722" s="3">
        <f>IFERROR(VLOOKUP(A722,'الخطة التدريبية المعتمدة'!A:J,10,FALSE),0)</f>
        <v>0</v>
      </c>
      <c r="H722" s="3"/>
      <c r="I722" s="3"/>
      <c r="J722" s="3"/>
      <c r="K722" s="7" t="str">
        <f>IF(OR(I722="",J722="",I722=0),"",(J722-I722)/I722)</f>
        <v/>
      </c>
      <c r="L722" s="3" t="str">
        <f>IF(J722="","",IF(J722/10&gt;='الإعدادات والمستهدفات'!B5,"ناجح ومستوفى","ضعيف - يلزم إعادة اختبار"))</f>
        <v/>
      </c>
      <c r="M722" s="3"/>
      <c r="N722" s="3"/>
    </row>
    <row r="723" spans="1:14" x14ac:dyDescent="0.2">
      <c r="A723" s="3" t="str">
        <f>IFERROR(VLOOKUP(B723,'جدول الجلسات التدريبية'!A:B,2,FALSE),"")</f>
        <v/>
      </c>
      <c r="B723" s="3"/>
      <c r="C723" s="3" t="str">
        <f>IFERROR(VLOOKUP(A723,'الخطة التدريبية المعتمدة'!A:C,3,FALSE),"")</f>
        <v/>
      </c>
      <c r="D723" s="3" t="str">
        <f>IFERROR(VLOOKUP(B723,'جدول الجلسات التدريبية'!A:D,4,FALSE),"")</f>
        <v/>
      </c>
      <c r="E723" s="3"/>
      <c r="F723" s="3" t="str">
        <f>IFERROR(VLOOKUP(E723,'سجل الموظفين والكفاءة'!B:C,2,FALSE),"")</f>
        <v/>
      </c>
      <c r="G723" s="3">
        <f>IFERROR(VLOOKUP(A723,'الخطة التدريبية المعتمدة'!A:J,10,FALSE),0)</f>
        <v>0</v>
      </c>
      <c r="H723" s="3"/>
      <c r="I723" s="3"/>
      <c r="J723" s="3"/>
      <c r="K723" s="7" t="str">
        <f>IF(OR(I723="",J723="",I723=0),"",(J723-I723)/I723)</f>
        <v/>
      </c>
      <c r="L723" s="3" t="str">
        <f>IF(J723="","",IF(J723/10&gt;='الإعدادات والمستهدفات'!B5,"ناجح ومستوفى","ضعيف - يلزم إعادة اختبار"))</f>
        <v/>
      </c>
      <c r="M723" s="3"/>
      <c r="N723" s="3"/>
    </row>
    <row r="724" spans="1:14" x14ac:dyDescent="0.2">
      <c r="A724" s="3" t="str">
        <f>IFERROR(VLOOKUP(B724,'جدول الجلسات التدريبية'!A:B,2,FALSE),"")</f>
        <v/>
      </c>
      <c r="B724" s="3"/>
      <c r="C724" s="3" t="str">
        <f>IFERROR(VLOOKUP(A724,'الخطة التدريبية المعتمدة'!A:C,3,FALSE),"")</f>
        <v/>
      </c>
      <c r="D724" s="3" t="str">
        <f>IFERROR(VLOOKUP(B724,'جدول الجلسات التدريبية'!A:D,4,FALSE),"")</f>
        <v/>
      </c>
      <c r="E724" s="3"/>
      <c r="F724" s="3" t="str">
        <f>IFERROR(VLOOKUP(E724,'سجل الموظفين والكفاءة'!B:C,2,FALSE),"")</f>
        <v/>
      </c>
      <c r="G724" s="3">
        <f>IFERROR(VLOOKUP(A724,'الخطة التدريبية المعتمدة'!A:J,10,FALSE),0)</f>
        <v>0</v>
      </c>
      <c r="H724" s="3"/>
      <c r="I724" s="3"/>
      <c r="J724" s="3"/>
      <c r="K724" s="7" t="str">
        <f>IF(OR(I724="",J724="",I724=0),"",(J724-I724)/I724)</f>
        <v/>
      </c>
      <c r="L724" s="3" t="str">
        <f>IF(J724="","",IF(J724/10&gt;='الإعدادات والمستهدفات'!B5,"ناجح ومستوفى","ضعيف - يلزم إعادة اختبار"))</f>
        <v/>
      </c>
      <c r="M724" s="3"/>
      <c r="N724" s="3"/>
    </row>
    <row r="725" spans="1:14" x14ac:dyDescent="0.2">
      <c r="A725" s="3" t="str">
        <f>IFERROR(VLOOKUP(B725,'جدول الجلسات التدريبية'!A:B,2,FALSE),"")</f>
        <v/>
      </c>
      <c r="B725" s="3"/>
      <c r="C725" s="3" t="str">
        <f>IFERROR(VLOOKUP(A725,'الخطة التدريبية المعتمدة'!A:C,3,FALSE),"")</f>
        <v/>
      </c>
      <c r="D725" s="3" t="str">
        <f>IFERROR(VLOOKUP(B725,'جدول الجلسات التدريبية'!A:D,4,FALSE),"")</f>
        <v/>
      </c>
      <c r="E725" s="3"/>
      <c r="F725" s="3" t="str">
        <f>IFERROR(VLOOKUP(E725,'سجل الموظفين والكفاءة'!B:C,2,FALSE),"")</f>
        <v/>
      </c>
      <c r="G725" s="3">
        <f>IFERROR(VLOOKUP(A725,'الخطة التدريبية المعتمدة'!A:J,10,FALSE),0)</f>
        <v>0</v>
      </c>
      <c r="H725" s="3"/>
      <c r="I725" s="3"/>
      <c r="J725" s="3"/>
      <c r="K725" s="7" t="str">
        <f>IF(OR(I725="",J725="",I725=0),"",(J725-I725)/I725)</f>
        <v/>
      </c>
      <c r="L725" s="3" t="str">
        <f>IF(J725="","",IF(J725/10&gt;='الإعدادات والمستهدفات'!B5,"ناجح ومستوفى","ضعيف - يلزم إعادة اختبار"))</f>
        <v/>
      </c>
      <c r="M725" s="3"/>
      <c r="N725" s="3"/>
    </row>
    <row r="726" spans="1:14" x14ac:dyDescent="0.2">
      <c r="A726" s="3" t="str">
        <f>IFERROR(VLOOKUP(B726,'جدول الجلسات التدريبية'!A:B,2,FALSE),"")</f>
        <v/>
      </c>
      <c r="B726" s="3"/>
      <c r="C726" s="3" t="str">
        <f>IFERROR(VLOOKUP(A726,'الخطة التدريبية المعتمدة'!A:C,3,FALSE),"")</f>
        <v/>
      </c>
      <c r="D726" s="3" t="str">
        <f>IFERROR(VLOOKUP(B726,'جدول الجلسات التدريبية'!A:D,4,FALSE),"")</f>
        <v/>
      </c>
      <c r="E726" s="3"/>
      <c r="F726" s="3" t="str">
        <f>IFERROR(VLOOKUP(E726,'سجل الموظفين والكفاءة'!B:C,2,FALSE),"")</f>
        <v/>
      </c>
      <c r="G726" s="3">
        <f>IFERROR(VLOOKUP(A726,'الخطة التدريبية المعتمدة'!A:J,10,FALSE),0)</f>
        <v>0</v>
      </c>
      <c r="H726" s="3"/>
      <c r="I726" s="3"/>
      <c r="J726" s="3"/>
      <c r="K726" s="7" t="str">
        <f>IF(OR(I726="",J726="",I726=0),"",(J726-I726)/I726)</f>
        <v/>
      </c>
      <c r="L726" s="3" t="str">
        <f>IF(J726="","",IF(J726/10&gt;='الإعدادات والمستهدفات'!B5,"ناجح ومستوفى","ضعيف - يلزم إعادة اختبار"))</f>
        <v/>
      </c>
      <c r="M726" s="3"/>
      <c r="N726" s="3"/>
    </row>
    <row r="727" spans="1:14" x14ac:dyDescent="0.2">
      <c r="A727" s="3" t="str">
        <f>IFERROR(VLOOKUP(B727,'جدول الجلسات التدريبية'!A:B,2,FALSE),"")</f>
        <v/>
      </c>
      <c r="B727" s="3"/>
      <c r="C727" s="3" t="str">
        <f>IFERROR(VLOOKUP(A727,'الخطة التدريبية المعتمدة'!A:C,3,FALSE),"")</f>
        <v/>
      </c>
      <c r="D727" s="3" t="str">
        <f>IFERROR(VLOOKUP(B727,'جدول الجلسات التدريبية'!A:D,4,FALSE),"")</f>
        <v/>
      </c>
      <c r="E727" s="3"/>
      <c r="F727" s="3" t="str">
        <f>IFERROR(VLOOKUP(E727,'سجل الموظفين والكفاءة'!B:C,2,FALSE),"")</f>
        <v/>
      </c>
      <c r="G727" s="3">
        <f>IFERROR(VLOOKUP(A727,'الخطة التدريبية المعتمدة'!A:J,10,FALSE),0)</f>
        <v>0</v>
      </c>
      <c r="H727" s="3"/>
      <c r="I727" s="3"/>
      <c r="J727" s="3"/>
      <c r="K727" s="7" t="str">
        <f>IF(OR(I727="",J727="",I727=0),"",(J727-I727)/I727)</f>
        <v/>
      </c>
      <c r="L727" s="3" t="str">
        <f>IF(J727="","",IF(J727/10&gt;='الإعدادات والمستهدفات'!B5,"ناجح ومستوفى","ضعيف - يلزم إعادة اختبار"))</f>
        <v/>
      </c>
      <c r="M727" s="3"/>
      <c r="N727" s="3"/>
    </row>
    <row r="728" spans="1:14" x14ac:dyDescent="0.2">
      <c r="A728" s="3" t="str">
        <f>IFERROR(VLOOKUP(B728,'جدول الجلسات التدريبية'!A:B,2,FALSE),"")</f>
        <v/>
      </c>
      <c r="B728" s="3"/>
      <c r="C728" s="3" t="str">
        <f>IFERROR(VLOOKUP(A728,'الخطة التدريبية المعتمدة'!A:C,3,FALSE),"")</f>
        <v/>
      </c>
      <c r="D728" s="3" t="str">
        <f>IFERROR(VLOOKUP(B728,'جدول الجلسات التدريبية'!A:D,4,FALSE),"")</f>
        <v/>
      </c>
      <c r="E728" s="3"/>
      <c r="F728" s="3" t="str">
        <f>IFERROR(VLOOKUP(E728,'سجل الموظفين والكفاءة'!B:C,2,FALSE),"")</f>
        <v/>
      </c>
      <c r="G728" s="3">
        <f>IFERROR(VLOOKUP(A728,'الخطة التدريبية المعتمدة'!A:J,10,FALSE),0)</f>
        <v>0</v>
      </c>
      <c r="H728" s="3"/>
      <c r="I728" s="3"/>
      <c r="J728" s="3"/>
      <c r="K728" s="7" t="str">
        <f>IF(OR(I728="",J728="",I728=0),"",(J728-I728)/I728)</f>
        <v/>
      </c>
      <c r="L728" s="3" t="str">
        <f>IF(J728="","",IF(J728/10&gt;='الإعدادات والمستهدفات'!B5,"ناجح ومستوفى","ضعيف - يلزم إعادة اختبار"))</f>
        <v/>
      </c>
      <c r="M728" s="3"/>
      <c r="N728" s="3"/>
    </row>
    <row r="729" spans="1:14" x14ac:dyDescent="0.2">
      <c r="A729" s="3" t="str">
        <f>IFERROR(VLOOKUP(B729,'جدول الجلسات التدريبية'!A:B,2,FALSE),"")</f>
        <v/>
      </c>
      <c r="B729" s="3"/>
      <c r="C729" s="3" t="str">
        <f>IFERROR(VLOOKUP(A729,'الخطة التدريبية المعتمدة'!A:C,3,FALSE),"")</f>
        <v/>
      </c>
      <c r="D729" s="3" t="str">
        <f>IFERROR(VLOOKUP(B729,'جدول الجلسات التدريبية'!A:D,4,FALSE),"")</f>
        <v/>
      </c>
      <c r="E729" s="3"/>
      <c r="F729" s="3" t="str">
        <f>IFERROR(VLOOKUP(E729,'سجل الموظفين والكفاءة'!B:C,2,FALSE),"")</f>
        <v/>
      </c>
      <c r="G729" s="3">
        <f>IFERROR(VLOOKUP(A729,'الخطة التدريبية المعتمدة'!A:J,10,FALSE),0)</f>
        <v>0</v>
      </c>
      <c r="H729" s="3"/>
      <c r="I729" s="3"/>
      <c r="J729" s="3"/>
      <c r="K729" s="7" t="str">
        <f>IF(OR(I729="",J729="",I729=0),"",(J729-I729)/I729)</f>
        <v/>
      </c>
      <c r="L729" s="3" t="str">
        <f>IF(J729="","",IF(J729/10&gt;='الإعدادات والمستهدفات'!B5,"ناجح ومستوفى","ضعيف - يلزم إعادة اختبار"))</f>
        <v/>
      </c>
      <c r="M729" s="3"/>
      <c r="N729" s="3"/>
    </row>
    <row r="730" spans="1:14" x14ac:dyDescent="0.2">
      <c r="A730" s="3" t="str">
        <f>IFERROR(VLOOKUP(B730,'جدول الجلسات التدريبية'!A:B,2,FALSE),"")</f>
        <v/>
      </c>
      <c r="B730" s="3"/>
      <c r="C730" s="3" t="str">
        <f>IFERROR(VLOOKUP(A730,'الخطة التدريبية المعتمدة'!A:C,3,FALSE),"")</f>
        <v/>
      </c>
      <c r="D730" s="3" t="str">
        <f>IFERROR(VLOOKUP(B730,'جدول الجلسات التدريبية'!A:D,4,FALSE),"")</f>
        <v/>
      </c>
      <c r="E730" s="3"/>
      <c r="F730" s="3" t="str">
        <f>IFERROR(VLOOKUP(E730,'سجل الموظفين والكفاءة'!B:C,2,FALSE),"")</f>
        <v/>
      </c>
      <c r="G730" s="3">
        <f>IFERROR(VLOOKUP(A730,'الخطة التدريبية المعتمدة'!A:J,10,FALSE),0)</f>
        <v>0</v>
      </c>
      <c r="H730" s="3"/>
      <c r="I730" s="3"/>
      <c r="J730" s="3"/>
      <c r="K730" s="7" t="str">
        <f>IF(OR(I730="",J730="",I730=0),"",(J730-I730)/I730)</f>
        <v/>
      </c>
      <c r="L730" s="3" t="str">
        <f>IF(J730="","",IF(J730/10&gt;='الإعدادات والمستهدفات'!B5,"ناجح ومستوفى","ضعيف - يلزم إعادة اختبار"))</f>
        <v/>
      </c>
      <c r="M730" s="3"/>
      <c r="N730" s="3"/>
    </row>
    <row r="731" spans="1:14" x14ac:dyDescent="0.2">
      <c r="A731" s="3" t="str">
        <f>IFERROR(VLOOKUP(B731,'جدول الجلسات التدريبية'!A:B,2,FALSE),"")</f>
        <v/>
      </c>
      <c r="B731" s="3"/>
      <c r="C731" s="3" t="str">
        <f>IFERROR(VLOOKUP(A731,'الخطة التدريبية المعتمدة'!A:C,3,FALSE),"")</f>
        <v/>
      </c>
      <c r="D731" s="3" t="str">
        <f>IFERROR(VLOOKUP(B731,'جدول الجلسات التدريبية'!A:D,4,FALSE),"")</f>
        <v/>
      </c>
      <c r="E731" s="3"/>
      <c r="F731" s="3" t="str">
        <f>IFERROR(VLOOKUP(E731,'سجل الموظفين والكفاءة'!B:C,2,FALSE),"")</f>
        <v/>
      </c>
      <c r="G731" s="3">
        <f>IFERROR(VLOOKUP(A731,'الخطة التدريبية المعتمدة'!A:J,10,FALSE),0)</f>
        <v>0</v>
      </c>
      <c r="H731" s="3"/>
      <c r="I731" s="3"/>
      <c r="J731" s="3"/>
      <c r="K731" s="7" t="str">
        <f>IF(OR(I731="",J731="",I731=0),"",(J731-I731)/I731)</f>
        <v/>
      </c>
      <c r="L731" s="3" t="str">
        <f>IF(J731="","",IF(J731/10&gt;='الإعدادات والمستهدفات'!B5,"ناجح ومستوفى","ضعيف - يلزم إعادة اختبار"))</f>
        <v/>
      </c>
      <c r="M731" s="3"/>
      <c r="N731" s="3"/>
    </row>
    <row r="732" spans="1:14" x14ac:dyDescent="0.2">
      <c r="A732" s="3" t="str">
        <f>IFERROR(VLOOKUP(B732,'جدول الجلسات التدريبية'!A:B,2,FALSE),"")</f>
        <v/>
      </c>
      <c r="B732" s="3"/>
      <c r="C732" s="3" t="str">
        <f>IFERROR(VLOOKUP(A732,'الخطة التدريبية المعتمدة'!A:C,3,FALSE),"")</f>
        <v/>
      </c>
      <c r="D732" s="3" t="str">
        <f>IFERROR(VLOOKUP(B732,'جدول الجلسات التدريبية'!A:D,4,FALSE),"")</f>
        <v/>
      </c>
      <c r="E732" s="3"/>
      <c r="F732" s="3" t="str">
        <f>IFERROR(VLOOKUP(E732,'سجل الموظفين والكفاءة'!B:C,2,FALSE),"")</f>
        <v/>
      </c>
      <c r="G732" s="3">
        <f>IFERROR(VLOOKUP(A732,'الخطة التدريبية المعتمدة'!A:J,10,FALSE),0)</f>
        <v>0</v>
      </c>
      <c r="H732" s="3"/>
      <c r="I732" s="3"/>
      <c r="J732" s="3"/>
      <c r="K732" s="7" t="str">
        <f>IF(OR(I732="",J732="",I732=0),"",(J732-I732)/I732)</f>
        <v/>
      </c>
      <c r="L732" s="3" t="str">
        <f>IF(J732="","",IF(J732/10&gt;='الإعدادات والمستهدفات'!B5,"ناجح ومستوفى","ضعيف - يلزم إعادة اختبار"))</f>
        <v/>
      </c>
      <c r="M732" s="3"/>
      <c r="N732" s="3"/>
    </row>
    <row r="733" spans="1:14" x14ac:dyDescent="0.2">
      <c r="A733" s="3" t="str">
        <f>IFERROR(VLOOKUP(B733,'جدول الجلسات التدريبية'!A:B,2,FALSE),"")</f>
        <v/>
      </c>
      <c r="B733" s="3"/>
      <c r="C733" s="3" t="str">
        <f>IFERROR(VLOOKUP(A733,'الخطة التدريبية المعتمدة'!A:C,3,FALSE),"")</f>
        <v/>
      </c>
      <c r="D733" s="3" t="str">
        <f>IFERROR(VLOOKUP(B733,'جدول الجلسات التدريبية'!A:D,4,FALSE),"")</f>
        <v/>
      </c>
      <c r="E733" s="3"/>
      <c r="F733" s="3" t="str">
        <f>IFERROR(VLOOKUP(E733,'سجل الموظفين والكفاءة'!B:C,2,FALSE),"")</f>
        <v/>
      </c>
      <c r="G733" s="3">
        <f>IFERROR(VLOOKUP(A733,'الخطة التدريبية المعتمدة'!A:J,10,FALSE),0)</f>
        <v>0</v>
      </c>
      <c r="H733" s="3"/>
      <c r="I733" s="3"/>
      <c r="J733" s="3"/>
      <c r="K733" s="7" t="str">
        <f>IF(OR(I733="",J733="",I733=0),"",(J733-I733)/I733)</f>
        <v/>
      </c>
      <c r="L733" s="3" t="str">
        <f>IF(J733="","",IF(J733/10&gt;='الإعدادات والمستهدفات'!B5,"ناجح ومستوفى","ضعيف - يلزم إعادة اختبار"))</f>
        <v/>
      </c>
      <c r="M733" s="3"/>
      <c r="N733" s="3"/>
    </row>
    <row r="734" spans="1:14" x14ac:dyDescent="0.2">
      <c r="A734" s="3" t="str">
        <f>IFERROR(VLOOKUP(B734,'جدول الجلسات التدريبية'!A:B,2,FALSE),"")</f>
        <v/>
      </c>
      <c r="B734" s="3"/>
      <c r="C734" s="3" t="str">
        <f>IFERROR(VLOOKUP(A734,'الخطة التدريبية المعتمدة'!A:C,3,FALSE),"")</f>
        <v/>
      </c>
      <c r="D734" s="3" t="str">
        <f>IFERROR(VLOOKUP(B734,'جدول الجلسات التدريبية'!A:D,4,FALSE),"")</f>
        <v/>
      </c>
      <c r="E734" s="3"/>
      <c r="F734" s="3" t="str">
        <f>IFERROR(VLOOKUP(E734,'سجل الموظفين والكفاءة'!B:C,2,FALSE),"")</f>
        <v/>
      </c>
      <c r="G734" s="3">
        <f>IFERROR(VLOOKUP(A734,'الخطة التدريبية المعتمدة'!A:J,10,FALSE),0)</f>
        <v>0</v>
      </c>
      <c r="H734" s="3"/>
      <c r="I734" s="3"/>
      <c r="J734" s="3"/>
      <c r="K734" s="7" t="str">
        <f>IF(OR(I734="",J734="",I734=0),"",(J734-I734)/I734)</f>
        <v/>
      </c>
      <c r="L734" s="3" t="str">
        <f>IF(J734="","",IF(J734/10&gt;='الإعدادات والمستهدفات'!B5,"ناجح ومستوفى","ضعيف - يلزم إعادة اختبار"))</f>
        <v/>
      </c>
      <c r="M734" s="3"/>
      <c r="N734" s="3"/>
    </row>
    <row r="735" spans="1:14" x14ac:dyDescent="0.2">
      <c r="A735" s="3" t="str">
        <f>IFERROR(VLOOKUP(B735,'جدول الجلسات التدريبية'!A:B,2,FALSE),"")</f>
        <v/>
      </c>
      <c r="B735" s="3"/>
      <c r="C735" s="3" t="str">
        <f>IFERROR(VLOOKUP(A735,'الخطة التدريبية المعتمدة'!A:C,3,FALSE),"")</f>
        <v/>
      </c>
      <c r="D735" s="3" t="str">
        <f>IFERROR(VLOOKUP(B735,'جدول الجلسات التدريبية'!A:D,4,FALSE),"")</f>
        <v/>
      </c>
      <c r="E735" s="3"/>
      <c r="F735" s="3" t="str">
        <f>IFERROR(VLOOKUP(E735,'سجل الموظفين والكفاءة'!B:C,2,FALSE),"")</f>
        <v/>
      </c>
      <c r="G735" s="3">
        <f>IFERROR(VLOOKUP(A735,'الخطة التدريبية المعتمدة'!A:J,10,FALSE),0)</f>
        <v>0</v>
      </c>
      <c r="H735" s="3"/>
      <c r="I735" s="3"/>
      <c r="J735" s="3"/>
      <c r="K735" s="7" t="str">
        <f>IF(OR(I735="",J735="",I735=0),"",(J735-I735)/I735)</f>
        <v/>
      </c>
      <c r="L735" s="3" t="str">
        <f>IF(J735="","",IF(J735/10&gt;='الإعدادات والمستهدفات'!B5,"ناجح ومستوفى","ضعيف - يلزم إعادة اختبار"))</f>
        <v/>
      </c>
      <c r="M735" s="3"/>
      <c r="N735" s="3"/>
    </row>
    <row r="736" spans="1:14" x14ac:dyDescent="0.2">
      <c r="A736" s="3" t="str">
        <f>IFERROR(VLOOKUP(B736,'جدول الجلسات التدريبية'!A:B,2,FALSE),"")</f>
        <v/>
      </c>
      <c r="B736" s="3"/>
      <c r="C736" s="3" t="str">
        <f>IFERROR(VLOOKUP(A736,'الخطة التدريبية المعتمدة'!A:C,3,FALSE),"")</f>
        <v/>
      </c>
      <c r="D736" s="3" t="str">
        <f>IFERROR(VLOOKUP(B736,'جدول الجلسات التدريبية'!A:D,4,FALSE),"")</f>
        <v/>
      </c>
      <c r="E736" s="3"/>
      <c r="F736" s="3" t="str">
        <f>IFERROR(VLOOKUP(E736,'سجل الموظفين والكفاءة'!B:C,2,FALSE),"")</f>
        <v/>
      </c>
      <c r="G736" s="3">
        <f>IFERROR(VLOOKUP(A736,'الخطة التدريبية المعتمدة'!A:J,10,FALSE),0)</f>
        <v>0</v>
      </c>
      <c r="H736" s="3"/>
      <c r="I736" s="3"/>
      <c r="J736" s="3"/>
      <c r="K736" s="7" t="str">
        <f>IF(OR(I736="",J736="",I736=0),"",(J736-I736)/I736)</f>
        <v/>
      </c>
      <c r="L736" s="3" t="str">
        <f>IF(J736="","",IF(J736/10&gt;='الإعدادات والمستهدفات'!B5,"ناجح ومستوفى","ضعيف - يلزم إعادة اختبار"))</f>
        <v/>
      </c>
      <c r="M736" s="3"/>
      <c r="N736" s="3"/>
    </row>
    <row r="737" spans="1:14" x14ac:dyDescent="0.2">
      <c r="A737" s="3" t="str">
        <f>IFERROR(VLOOKUP(B737,'جدول الجلسات التدريبية'!A:B,2,FALSE),"")</f>
        <v/>
      </c>
      <c r="B737" s="3"/>
      <c r="C737" s="3" t="str">
        <f>IFERROR(VLOOKUP(A737,'الخطة التدريبية المعتمدة'!A:C,3,FALSE),"")</f>
        <v/>
      </c>
      <c r="D737" s="3" t="str">
        <f>IFERROR(VLOOKUP(B737,'جدول الجلسات التدريبية'!A:D,4,FALSE),"")</f>
        <v/>
      </c>
      <c r="E737" s="3"/>
      <c r="F737" s="3" t="str">
        <f>IFERROR(VLOOKUP(E737,'سجل الموظفين والكفاءة'!B:C,2,FALSE),"")</f>
        <v/>
      </c>
      <c r="G737" s="3">
        <f>IFERROR(VLOOKUP(A737,'الخطة التدريبية المعتمدة'!A:J,10,FALSE),0)</f>
        <v>0</v>
      </c>
      <c r="H737" s="3"/>
      <c r="I737" s="3"/>
      <c r="J737" s="3"/>
      <c r="K737" s="7" t="str">
        <f>IF(OR(I737="",J737="",I737=0),"",(J737-I737)/I737)</f>
        <v/>
      </c>
      <c r="L737" s="3" t="str">
        <f>IF(J737="","",IF(J737/10&gt;='الإعدادات والمستهدفات'!B5,"ناجح ومستوفى","ضعيف - يلزم إعادة اختبار"))</f>
        <v/>
      </c>
      <c r="M737" s="3"/>
      <c r="N737" s="3"/>
    </row>
    <row r="738" spans="1:14" x14ac:dyDescent="0.2">
      <c r="A738" s="3" t="str">
        <f>IFERROR(VLOOKUP(B738,'جدول الجلسات التدريبية'!A:B,2,FALSE),"")</f>
        <v/>
      </c>
      <c r="B738" s="3"/>
      <c r="C738" s="3" t="str">
        <f>IFERROR(VLOOKUP(A738,'الخطة التدريبية المعتمدة'!A:C,3,FALSE),"")</f>
        <v/>
      </c>
      <c r="D738" s="3" t="str">
        <f>IFERROR(VLOOKUP(B738,'جدول الجلسات التدريبية'!A:D,4,FALSE),"")</f>
        <v/>
      </c>
      <c r="E738" s="3"/>
      <c r="F738" s="3" t="str">
        <f>IFERROR(VLOOKUP(E738,'سجل الموظفين والكفاءة'!B:C,2,FALSE),"")</f>
        <v/>
      </c>
      <c r="G738" s="3">
        <f>IFERROR(VLOOKUP(A738,'الخطة التدريبية المعتمدة'!A:J,10,FALSE),0)</f>
        <v>0</v>
      </c>
      <c r="H738" s="3"/>
      <c r="I738" s="3"/>
      <c r="J738" s="3"/>
      <c r="K738" s="7" t="str">
        <f>IF(OR(I738="",J738="",I738=0),"",(J738-I738)/I738)</f>
        <v/>
      </c>
      <c r="L738" s="3" t="str">
        <f>IF(J738="","",IF(J738/10&gt;='الإعدادات والمستهدفات'!B5,"ناجح ومستوفى","ضعيف - يلزم إعادة اختبار"))</f>
        <v/>
      </c>
      <c r="M738" s="3"/>
      <c r="N738" s="3"/>
    </row>
    <row r="739" spans="1:14" x14ac:dyDescent="0.2">
      <c r="A739" s="3" t="str">
        <f>IFERROR(VLOOKUP(B739,'جدول الجلسات التدريبية'!A:B,2,FALSE),"")</f>
        <v/>
      </c>
      <c r="B739" s="3"/>
      <c r="C739" s="3" t="str">
        <f>IFERROR(VLOOKUP(A739,'الخطة التدريبية المعتمدة'!A:C,3,FALSE),"")</f>
        <v/>
      </c>
      <c r="D739" s="3" t="str">
        <f>IFERROR(VLOOKUP(B739,'جدول الجلسات التدريبية'!A:D,4,FALSE),"")</f>
        <v/>
      </c>
      <c r="E739" s="3"/>
      <c r="F739" s="3" t="str">
        <f>IFERROR(VLOOKUP(E739,'سجل الموظفين والكفاءة'!B:C,2,FALSE),"")</f>
        <v/>
      </c>
      <c r="G739" s="3">
        <f>IFERROR(VLOOKUP(A739,'الخطة التدريبية المعتمدة'!A:J,10,FALSE),0)</f>
        <v>0</v>
      </c>
      <c r="H739" s="3"/>
      <c r="I739" s="3"/>
      <c r="J739" s="3"/>
      <c r="K739" s="7" t="str">
        <f>IF(OR(I739="",J739="",I739=0),"",(J739-I739)/I739)</f>
        <v/>
      </c>
      <c r="L739" s="3" t="str">
        <f>IF(J739="","",IF(J739/10&gt;='الإعدادات والمستهدفات'!B5,"ناجح ومستوفى","ضعيف - يلزم إعادة اختبار"))</f>
        <v/>
      </c>
      <c r="M739" s="3"/>
      <c r="N739" s="3"/>
    </row>
    <row r="740" spans="1:14" x14ac:dyDescent="0.2">
      <c r="A740" s="3" t="str">
        <f>IFERROR(VLOOKUP(B740,'جدول الجلسات التدريبية'!A:B,2,FALSE),"")</f>
        <v/>
      </c>
      <c r="B740" s="3"/>
      <c r="C740" s="3" t="str">
        <f>IFERROR(VLOOKUP(A740,'الخطة التدريبية المعتمدة'!A:C,3,FALSE),"")</f>
        <v/>
      </c>
      <c r="D740" s="3" t="str">
        <f>IFERROR(VLOOKUP(B740,'جدول الجلسات التدريبية'!A:D,4,FALSE),"")</f>
        <v/>
      </c>
      <c r="E740" s="3"/>
      <c r="F740" s="3" t="str">
        <f>IFERROR(VLOOKUP(E740,'سجل الموظفين والكفاءة'!B:C,2,FALSE),"")</f>
        <v/>
      </c>
      <c r="G740" s="3">
        <f>IFERROR(VLOOKUP(A740,'الخطة التدريبية المعتمدة'!A:J,10,FALSE),0)</f>
        <v>0</v>
      </c>
      <c r="H740" s="3"/>
      <c r="I740" s="3"/>
      <c r="J740" s="3"/>
      <c r="K740" s="7" t="str">
        <f>IF(OR(I740="",J740="",I740=0),"",(J740-I740)/I740)</f>
        <v/>
      </c>
      <c r="L740" s="3" t="str">
        <f>IF(J740="","",IF(J740/10&gt;='الإعدادات والمستهدفات'!B5,"ناجح ومستوفى","ضعيف - يلزم إعادة اختبار"))</f>
        <v/>
      </c>
      <c r="M740" s="3"/>
      <c r="N740" s="3"/>
    </row>
    <row r="741" spans="1:14" x14ac:dyDescent="0.2">
      <c r="A741" s="3" t="str">
        <f>IFERROR(VLOOKUP(B741,'جدول الجلسات التدريبية'!A:B,2,FALSE),"")</f>
        <v/>
      </c>
      <c r="B741" s="3"/>
      <c r="C741" s="3" t="str">
        <f>IFERROR(VLOOKUP(A741,'الخطة التدريبية المعتمدة'!A:C,3,FALSE),"")</f>
        <v/>
      </c>
      <c r="D741" s="3" t="str">
        <f>IFERROR(VLOOKUP(B741,'جدول الجلسات التدريبية'!A:D,4,FALSE),"")</f>
        <v/>
      </c>
      <c r="E741" s="3"/>
      <c r="F741" s="3" t="str">
        <f>IFERROR(VLOOKUP(E741,'سجل الموظفين والكفاءة'!B:C,2,FALSE),"")</f>
        <v/>
      </c>
      <c r="G741" s="3">
        <f>IFERROR(VLOOKUP(A741,'الخطة التدريبية المعتمدة'!A:J,10,FALSE),0)</f>
        <v>0</v>
      </c>
      <c r="H741" s="3"/>
      <c r="I741" s="3"/>
      <c r="J741" s="3"/>
      <c r="K741" s="7" t="str">
        <f>IF(OR(I741="",J741="",I741=0),"",(J741-I741)/I741)</f>
        <v/>
      </c>
      <c r="L741" s="3" t="str">
        <f>IF(J741="","",IF(J741/10&gt;='الإعدادات والمستهدفات'!B5,"ناجح ومستوفى","ضعيف - يلزم إعادة اختبار"))</f>
        <v/>
      </c>
      <c r="M741" s="3"/>
      <c r="N741" s="3"/>
    </row>
    <row r="742" spans="1:14" x14ac:dyDescent="0.2">
      <c r="A742" s="3" t="str">
        <f>IFERROR(VLOOKUP(B742,'جدول الجلسات التدريبية'!A:B,2,FALSE),"")</f>
        <v/>
      </c>
      <c r="B742" s="3"/>
      <c r="C742" s="3" t="str">
        <f>IFERROR(VLOOKUP(A742,'الخطة التدريبية المعتمدة'!A:C,3,FALSE),"")</f>
        <v/>
      </c>
      <c r="D742" s="3" t="str">
        <f>IFERROR(VLOOKUP(B742,'جدول الجلسات التدريبية'!A:D,4,FALSE),"")</f>
        <v/>
      </c>
      <c r="E742" s="3"/>
      <c r="F742" s="3" t="str">
        <f>IFERROR(VLOOKUP(E742,'سجل الموظفين والكفاءة'!B:C,2,FALSE),"")</f>
        <v/>
      </c>
      <c r="G742" s="3">
        <f>IFERROR(VLOOKUP(A742,'الخطة التدريبية المعتمدة'!A:J,10,FALSE),0)</f>
        <v>0</v>
      </c>
      <c r="H742" s="3"/>
      <c r="I742" s="3"/>
      <c r="J742" s="3"/>
      <c r="K742" s="7" t="str">
        <f>IF(OR(I742="",J742="",I742=0),"",(J742-I742)/I742)</f>
        <v/>
      </c>
      <c r="L742" s="3" t="str">
        <f>IF(J742="","",IF(J742/10&gt;='الإعدادات والمستهدفات'!B5,"ناجح ومستوفى","ضعيف - يلزم إعادة اختبار"))</f>
        <v/>
      </c>
      <c r="M742" s="3"/>
      <c r="N742" s="3"/>
    </row>
    <row r="743" spans="1:14" x14ac:dyDescent="0.2">
      <c r="A743" s="3" t="str">
        <f>IFERROR(VLOOKUP(B743,'جدول الجلسات التدريبية'!A:B,2,FALSE),"")</f>
        <v/>
      </c>
      <c r="B743" s="3"/>
      <c r="C743" s="3" t="str">
        <f>IFERROR(VLOOKUP(A743,'الخطة التدريبية المعتمدة'!A:C,3,FALSE),"")</f>
        <v/>
      </c>
      <c r="D743" s="3" t="str">
        <f>IFERROR(VLOOKUP(B743,'جدول الجلسات التدريبية'!A:D,4,FALSE),"")</f>
        <v/>
      </c>
      <c r="E743" s="3"/>
      <c r="F743" s="3" t="str">
        <f>IFERROR(VLOOKUP(E743,'سجل الموظفين والكفاءة'!B:C,2,FALSE),"")</f>
        <v/>
      </c>
      <c r="G743" s="3">
        <f>IFERROR(VLOOKUP(A743,'الخطة التدريبية المعتمدة'!A:J,10,FALSE),0)</f>
        <v>0</v>
      </c>
      <c r="H743" s="3"/>
      <c r="I743" s="3"/>
      <c r="J743" s="3"/>
      <c r="K743" s="7" t="str">
        <f>IF(OR(I743="",J743="",I743=0),"",(J743-I743)/I743)</f>
        <v/>
      </c>
      <c r="L743" s="3" t="str">
        <f>IF(J743="","",IF(J743/10&gt;='الإعدادات والمستهدفات'!B5,"ناجح ومستوفى","ضعيف - يلزم إعادة اختبار"))</f>
        <v/>
      </c>
      <c r="M743" s="3"/>
      <c r="N743" s="3"/>
    </row>
    <row r="744" spans="1:14" x14ac:dyDescent="0.2">
      <c r="A744" s="3" t="str">
        <f>IFERROR(VLOOKUP(B744,'جدول الجلسات التدريبية'!A:B,2,FALSE),"")</f>
        <v/>
      </c>
      <c r="B744" s="3"/>
      <c r="C744" s="3" t="str">
        <f>IFERROR(VLOOKUP(A744,'الخطة التدريبية المعتمدة'!A:C,3,FALSE),"")</f>
        <v/>
      </c>
      <c r="D744" s="3" t="str">
        <f>IFERROR(VLOOKUP(B744,'جدول الجلسات التدريبية'!A:D,4,FALSE),"")</f>
        <v/>
      </c>
      <c r="E744" s="3"/>
      <c r="F744" s="3" t="str">
        <f>IFERROR(VLOOKUP(E744,'سجل الموظفين والكفاءة'!B:C,2,FALSE),"")</f>
        <v/>
      </c>
      <c r="G744" s="3">
        <f>IFERROR(VLOOKUP(A744,'الخطة التدريبية المعتمدة'!A:J,10,FALSE),0)</f>
        <v>0</v>
      </c>
      <c r="H744" s="3"/>
      <c r="I744" s="3"/>
      <c r="J744" s="3"/>
      <c r="K744" s="7" t="str">
        <f>IF(OR(I744="",J744="",I744=0),"",(J744-I744)/I744)</f>
        <v/>
      </c>
      <c r="L744" s="3" t="str">
        <f>IF(J744="","",IF(J744/10&gt;='الإعدادات والمستهدفات'!B5,"ناجح ومستوفى","ضعيف - يلزم إعادة اختبار"))</f>
        <v/>
      </c>
      <c r="M744" s="3"/>
      <c r="N744" s="3"/>
    </row>
    <row r="745" spans="1:14" x14ac:dyDescent="0.2">
      <c r="A745" s="3" t="str">
        <f>IFERROR(VLOOKUP(B745,'جدول الجلسات التدريبية'!A:B,2,FALSE),"")</f>
        <v/>
      </c>
      <c r="B745" s="3"/>
      <c r="C745" s="3" t="str">
        <f>IFERROR(VLOOKUP(A745,'الخطة التدريبية المعتمدة'!A:C,3,FALSE),"")</f>
        <v/>
      </c>
      <c r="D745" s="3" t="str">
        <f>IFERROR(VLOOKUP(B745,'جدول الجلسات التدريبية'!A:D,4,FALSE),"")</f>
        <v/>
      </c>
      <c r="E745" s="3"/>
      <c r="F745" s="3" t="str">
        <f>IFERROR(VLOOKUP(E745,'سجل الموظفين والكفاءة'!B:C,2,FALSE),"")</f>
        <v/>
      </c>
      <c r="G745" s="3">
        <f>IFERROR(VLOOKUP(A745,'الخطة التدريبية المعتمدة'!A:J,10,FALSE),0)</f>
        <v>0</v>
      </c>
      <c r="H745" s="3"/>
      <c r="I745" s="3"/>
      <c r="J745" s="3"/>
      <c r="K745" s="7" t="str">
        <f>IF(OR(I745="",J745="",I745=0),"",(J745-I745)/I745)</f>
        <v/>
      </c>
      <c r="L745" s="3" t="str">
        <f>IF(J745="","",IF(J745/10&gt;='الإعدادات والمستهدفات'!B5,"ناجح ومستوفى","ضعيف - يلزم إعادة اختبار"))</f>
        <v/>
      </c>
      <c r="M745" s="3"/>
      <c r="N745" s="3"/>
    </row>
    <row r="746" spans="1:14" x14ac:dyDescent="0.2">
      <c r="A746" s="3" t="str">
        <f>IFERROR(VLOOKUP(B746,'جدول الجلسات التدريبية'!A:B,2,FALSE),"")</f>
        <v/>
      </c>
      <c r="B746" s="3"/>
      <c r="C746" s="3" t="str">
        <f>IFERROR(VLOOKUP(A746,'الخطة التدريبية المعتمدة'!A:C,3,FALSE),"")</f>
        <v/>
      </c>
      <c r="D746" s="3" t="str">
        <f>IFERROR(VLOOKUP(B746,'جدول الجلسات التدريبية'!A:D,4,FALSE),"")</f>
        <v/>
      </c>
      <c r="E746" s="3"/>
      <c r="F746" s="3" t="str">
        <f>IFERROR(VLOOKUP(E746,'سجل الموظفين والكفاءة'!B:C,2,FALSE),"")</f>
        <v/>
      </c>
      <c r="G746" s="3">
        <f>IFERROR(VLOOKUP(A746,'الخطة التدريبية المعتمدة'!A:J,10,FALSE),0)</f>
        <v>0</v>
      </c>
      <c r="H746" s="3"/>
      <c r="I746" s="3"/>
      <c r="J746" s="3"/>
      <c r="K746" s="7" t="str">
        <f>IF(OR(I746="",J746="",I746=0),"",(J746-I746)/I746)</f>
        <v/>
      </c>
      <c r="L746" s="3" t="str">
        <f>IF(J746="","",IF(J746/10&gt;='الإعدادات والمستهدفات'!B5,"ناجح ومستوفى","ضعيف - يلزم إعادة اختبار"))</f>
        <v/>
      </c>
      <c r="M746" s="3"/>
      <c r="N746" s="3"/>
    </row>
    <row r="747" spans="1:14" x14ac:dyDescent="0.2">
      <c r="A747" s="3" t="str">
        <f>IFERROR(VLOOKUP(B747,'جدول الجلسات التدريبية'!A:B,2,FALSE),"")</f>
        <v/>
      </c>
      <c r="B747" s="3"/>
      <c r="C747" s="3" t="str">
        <f>IFERROR(VLOOKUP(A747,'الخطة التدريبية المعتمدة'!A:C,3,FALSE),"")</f>
        <v/>
      </c>
      <c r="D747" s="3" t="str">
        <f>IFERROR(VLOOKUP(B747,'جدول الجلسات التدريبية'!A:D,4,FALSE),"")</f>
        <v/>
      </c>
      <c r="E747" s="3"/>
      <c r="F747" s="3" t="str">
        <f>IFERROR(VLOOKUP(E747,'سجل الموظفين والكفاءة'!B:C,2,FALSE),"")</f>
        <v/>
      </c>
      <c r="G747" s="3">
        <f>IFERROR(VLOOKUP(A747,'الخطة التدريبية المعتمدة'!A:J,10,FALSE),0)</f>
        <v>0</v>
      </c>
      <c r="H747" s="3"/>
      <c r="I747" s="3"/>
      <c r="J747" s="3"/>
      <c r="K747" s="7" t="str">
        <f>IF(OR(I747="",J747="",I747=0),"",(J747-I747)/I747)</f>
        <v/>
      </c>
      <c r="L747" s="3" t="str">
        <f>IF(J747="","",IF(J747/10&gt;='الإعدادات والمستهدفات'!B5,"ناجح ومستوفى","ضعيف - يلزم إعادة اختبار"))</f>
        <v/>
      </c>
      <c r="M747" s="3"/>
      <c r="N747" s="3"/>
    </row>
    <row r="748" spans="1:14" x14ac:dyDescent="0.2">
      <c r="A748" s="3" t="str">
        <f>IFERROR(VLOOKUP(B748,'جدول الجلسات التدريبية'!A:B,2,FALSE),"")</f>
        <v/>
      </c>
      <c r="B748" s="3"/>
      <c r="C748" s="3" t="str">
        <f>IFERROR(VLOOKUP(A748,'الخطة التدريبية المعتمدة'!A:C,3,FALSE),"")</f>
        <v/>
      </c>
      <c r="D748" s="3" t="str">
        <f>IFERROR(VLOOKUP(B748,'جدول الجلسات التدريبية'!A:D,4,FALSE),"")</f>
        <v/>
      </c>
      <c r="E748" s="3"/>
      <c r="F748" s="3" t="str">
        <f>IFERROR(VLOOKUP(E748,'سجل الموظفين والكفاءة'!B:C,2,FALSE),"")</f>
        <v/>
      </c>
      <c r="G748" s="3">
        <f>IFERROR(VLOOKUP(A748,'الخطة التدريبية المعتمدة'!A:J,10,FALSE),0)</f>
        <v>0</v>
      </c>
      <c r="H748" s="3"/>
      <c r="I748" s="3"/>
      <c r="J748" s="3"/>
      <c r="K748" s="7" t="str">
        <f>IF(OR(I748="",J748="",I748=0),"",(J748-I748)/I748)</f>
        <v/>
      </c>
      <c r="L748" s="3" t="str">
        <f>IF(J748="","",IF(J748/10&gt;='الإعدادات والمستهدفات'!B5,"ناجح ومستوفى","ضعيف - يلزم إعادة اختبار"))</f>
        <v/>
      </c>
      <c r="M748" s="3"/>
      <c r="N748" s="3"/>
    </row>
    <row r="749" spans="1:14" x14ac:dyDescent="0.2">
      <c r="A749" s="3" t="str">
        <f>IFERROR(VLOOKUP(B749,'جدول الجلسات التدريبية'!A:B,2,FALSE),"")</f>
        <v/>
      </c>
      <c r="B749" s="3"/>
      <c r="C749" s="3" t="str">
        <f>IFERROR(VLOOKUP(A749,'الخطة التدريبية المعتمدة'!A:C,3,FALSE),"")</f>
        <v/>
      </c>
      <c r="D749" s="3" t="str">
        <f>IFERROR(VLOOKUP(B749,'جدول الجلسات التدريبية'!A:D,4,FALSE),"")</f>
        <v/>
      </c>
      <c r="E749" s="3"/>
      <c r="F749" s="3" t="str">
        <f>IFERROR(VLOOKUP(E749,'سجل الموظفين والكفاءة'!B:C,2,FALSE),"")</f>
        <v/>
      </c>
      <c r="G749" s="3">
        <f>IFERROR(VLOOKUP(A749,'الخطة التدريبية المعتمدة'!A:J,10,FALSE),0)</f>
        <v>0</v>
      </c>
      <c r="H749" s="3"/>
      <c r="I749" s="3"/>
      <c r="J749" s="3"/>
      <c r="K749" s="7" t="str">
        <f>IF(OR(I749="",J749="",I749=0),"",(J749-I749)/I749)</f>
        <v/>
      </c>
      <c r="L749" s="3" t="str">
        <f>IF(J749="","",IF(J749/10&gt;='الإعدادات والمستهدفات'!B5,"ناجح ومستوفى","ضعيف - يلزم إعادة اختبار"))</f>
        <v/>
      </c>
      <c r="M749" s="3"/>
      <c r="N749" s="3"/>
    </row>
    <row r="750" spans="1:14" x14ac:dyDescent="0.2">
      <c r="A750" s="3" t="str">
        <f>IFERROR(VLOOKUP(B750,'جدول الجلسات التدريبية'!A:B,2,FALSE),"")</f>
        <v/>
      </c>
      <c r="B750" s="3"/>
      <c r="C750" s="3" t="str">
        <f>IFERROR(VLOOKUP(A750,'الخطة التدريبية المعتمدة'!A:C,3,FALSE),"")</f>
        <v/>
      </c>
      <c r="D750" s="3" t="str">
        <f>IFERROR(VLOOKUP(B750,'جدول الجلسات التدريبية'!A:D,4,FALSE),"")</f>
        <v/>
      </c>
      <c r="E750" s="3"/>
      <c r="F750" s="3" t="str">
        <f>IFERROR(VLOOKUP(E750,'سجل الموظفين والكفاءة'!B:C,2,FALSE),"")</f>
        <v/>
      </c>
      <c r="G750" s="3">
        <f>IFERROR(VLOOKUP(A750,'الخطة التدريبية المعتمدة'!A:J,10,FALSE),0)</f>
        <v>0</v>
      </c>
      <c r="H750" s="3"/>
      <c r="I750" s="3"/>
      <c r="J750" s="3"/>
      <c r="K750" s="7" t="str">
        <f>IF(OR(I750="",J750="",I750=0),"",(J750-I750)/I750)</f>
        <v/>
      </c>
      <c r="L750" s="3" t="str">
        <f>IF(J750="","",IF(J750/10&gt;='الإعدادات والمستهدفات'!B5,"ناجح ومستوفى","ضعيف - يلزم إعادة اختبار"))</f>
        <v/>
      </c>
      <c r="M750" s="3"/>
      <c r="N750" s="3"/>
    </row>
    <row r="751" spans="1:14" x14ac:dyDescent="0.2">
      <c r="A751" s="3" t="str">
        <f>IFERROR(VLOOKUP(B751,'جدول الجلسات التدريبية'!A:B,2,FALSE),"")</f>
        <v/>
      </c>
      <c r="B751" s="3"/>
      <c r="C751" s="3" t="str">
        <f>IFERROR(VLOOKUP(A751,'الخطة التدريبية المعتمدة'!A:C,3,FALSE),"")</f>
        <v/>
      </c>
      <c r="D751" s="3" t="str">
        <f>IFERROR(VLOOKUP(B751,'جدول الجلسات التدريبية'!A:D,4,FALSE),"")</f>
        <v/>
      </c>
      <c r="E751" s="3"/>
      <c r="F751" s="3" t="str">
        <f>IFERROR(VLOOKUP(E751,'سجل الموظفين والكفاءة'!B:C,2,FALSE),"")</f>
        <v/>
      </c>
      <c r="G751" s="3">
        <f>IFERROR(VLOOKUP(A751,'الخطة التدريبية المعتمدة'!A:J,10,FALSE),0)</f>
        <v>0</v>
      </c>
      <c r="H751" s="3"/>
      <c r="I751" s="3"/>
      <c r="J751" s="3"/>
      <c r="K751" s="7" t="str">
        <f>IF(OR(I751="",J751="",I751=0),"",(J751-I751)/I751)</f>
        <v/>
      </c>
      <c r="L751" s="3" t="str">
        <f>IF(J751="","",IF(J751/10&gt;='الإعدادات والمستهدفات'!B5,"ناجح ومستوفى","ضعيف - يلزم إعادة اختبار"))</f>
        <v/>
      </c>
      <c r="M751" s="3"/>
      <c r="N751" s="3"/>
    </row>
    <row r="752" spans="1:14" x14ac:dyDescent="0.2">
      <c r="A752" s="3" t="str">
        <f>IFERROR(VLOOKUP(B752,'جدول الجلسات التدريبية'!A:B,2,FALSE),"")</f>
        <v/>
      </c>
      <c r="B752" s="3"/>
      <c r="C752" s="3" t="str">
        <f>IFERROR(VLOOKUP(A752,'الخطة التدريبية المعتمدة'!A:C,3,FALSE),"")</f>
        <v/>
      </c>
      <c r="D752" s="3" t="str">
        <f>IFERROR(VLOOKUP(B752,'جدول الجلسات التدريبية'!A:D,4,FALSE),"")</f>
        <v/>
      </c>
      <c r="E752" s="3"/>
      <c r="F752" s="3" t="str">
        <f>IFERROR(VLOOKUP(E752,'سجل الموظفين والكفاءة'!B:C,2,FALSE),"")</f>
        <v/>
      </c>
      <c r="G752" s="3">
        <f>IFERROR(VLOOKUP(A752,'الخطة التدريبية المعتمدة'!A:J,10,FALSE),0)</f>
        <v>0</v>
      </c>
      <c r="H752" s="3"/>
      <c r="I752" s="3"/>
      <c r="J752" s="3"/>
      <c r="K752" s="7" t="str">
        <f>IF(OR(I752="",J752="",I752=0),"",(J752-I752)/I752)</f>
        <v/>
      </c>
      <c r="L752" s="3" t="str">
        <f>IF(J752="","",IF(J752/10&gt;='الإعدادات والمستهدفات'!B5,"ناجح ومستوفى","ضعيف - يلزم إعادة اختبار"))</f>
        <v/>
      </c>
      <c r="M752" s="3"/>
      <c r="N752" s="3"/>
    </row>
    <row r="753" spans="1:14" x14ac:dyDescent="0.2">
      <c r="A753" s="3" t="str">
        <f>IFERROR(VLOOKUP(B753,'جدول الجلسات التدريبية'!A:B,2,FALSE),"")</f>
        <v/>
      </c>
      <c r="B753" s="3"/>
      <c r="C753" s="3" t="str">
        <f>IFERROR(VLOOKUP(A753,'الخطة التدريبية المعتمدة'!A:C,3,FALSE),"")</f>
        <v/>
      </c>
      <c r="D753" s="3" t="str">
        <f>IFERROR(VLOOKUP(B753,'جدول الجلسات التدريبية'!A:D,4,FALSE),"")</f>
        <v/>
      </c>
      <c r="E753" s="3"/>
      <c r="F753" s="3" t="str">
        <f>IFERROR(VLOOKUP(E753,'سجل الموظفين والكفاءة'!B:C,2,FALSE),"")</f>
        <v/>
      </c>
      <c r="G753" s="3">
        <f>IFERROR(VLOOKUP(A753,'الخطة التدريبية المعتمدة'!A:J,10,FALSE),0)</f>
        <v>0</v>
      </c>
      <c r="H753" s="3"/>
      <c r="I753" s="3"/>
      <c r="J753" s="3"/>
      <c r="K753" s="7" t="str">
        <f>IF(OR(I753="",J753="",I753=0),"",(J753-I753)/I753)</f>
        <v/>
      </c>
      <c r="L753" s="3" t="str">
        <f>IF(J753="","",IF(J753/10&gt;='الإعدادات والمستهدفات'!B5,"ناجح ومستوفى","ضعيف - يلزم إعادة اختبار"))</f>
        <v/>
      </c>
      <c r="M753" s="3"/>
      <c r="N753" s="3"/>
    </row>
    <row r="754" spans="1:14" x14ac:dyDescent="0.2">
      <c r="A754" s="3" t="str">
        <f>IFERROR(VLOOKUP(B754,'جدول الجلسات التدريبية'!A:B,2,FALSE),"")</f>
        <v/>
      </c>
      <c r="B754" s="3"/>
      <c r="C754" s="3" t="str">
        <f>IFERROR(VLOOKUP(A754,'الخطة التدريبية المعتمدة'!A:C,3,FALSE),"")</f>
        <v/>
      </c>
      <c r="D754" s="3" t="str">
        <f>IFERROR(VLOOKUP(B754,'جدول الجلسات التدريبية'!A:D,4,FALSE),"")</f>
        <v/>
      </c>
      <c r="E754" s="3"/>
      <c r="F754" s="3" t="str">
        <f>IFERROR(VLOOKUP(E754,'سجل الموظفين والكفاءة'!B:C,2,FALSE),"")</f>
        <v/>
      </c>
      <c r="G754" s="3">
        <f>IFERROR(VLOOKUP(A754,'الخطة التدريبية المعتمدة'!A:J,10,FALSE),0)</f>
        <v>0</v>
      </c>
      <c r="H754" s="3"/>
      <c r="I754" s="3"/>
      <c r="J754" s="3"/>
      <c r="K754" s="7" t="str">
        <f>IF(OR(I754="",J754="",I754=0),"",(J754-I754)/I754)</f>
        <v/>
      </c>
      <c r="L754" s="3" t="str">
        <f>IF(J754="","",IF(J754/10&gt;='الإعدادات والمستهدفات'!B5,"ناجح ومستوفى","ضعيف - يلزم إعادة اختبار"))</f>
        <v/>
      </c>
      <c r="M754" s="3"/>
      <c r="N754" s="3"/>
    </row>
    <row r="755" spans="1:14" x14ac:dyDescent="0.2">
      <c r="A755" s="3" t="str">
        <f>IFERROR(VLOOKUP(B755,'جدول الجلسات التدريبية'!A:B,2,FALSE),"")</f>
        <v/>
      </c>
      <c r="B755" s="3"/>
      <c r="C755" s="3" t="str">
        <f>IFERROR(VLOOKUP(A755,'الخطة التدريبية المعتمدة'!A:C,3,FALSE),"")</f>
        <v/>
      </c>
      <c r="D755" s="3" t="str">
        <f>IFERROR(VLOOKUP(B755,'جدول الجلسات التدريبية'!A:D,4,FALSE),"")</f>
        <v/>
      </c>
      <c r="E755" s="3"/>
      <c r="F755" s="3" t="str">
        <f>IFERROR(VLOOKUP(E755,'سجل الموظفين والكفاءة'!B:C,2,FALSE),"")</f>
        <v/>
      </c>
      <c r="G755" s="3">
        <f>IFERROR(VLOOKUP(A755,'الخطة التدريبية المعتمدة'!A:J,10,FALSE),0)</f>
        <v>0</v>
      </c>
      <c r="H755" s="3"/>
      <c r="I755" s="3"/>
      <c r="J755" s="3"/>
      <c r="K755" s="7" t="str">
        <f>IF(OR(I755="",J755="",I755=0),"",(J755-I755)/I755)</f>
        <v/>
      </c>
      <c r="L755" s="3" t="str">
        <f>IF(J755="","",IF(J755/10&gt;='الإعدادات والمستهدفات'!B5,"ناجح ومستوفى","ضعيف - يلزم إعادة اختبار"))</f>
        <v/>
      </c>
      <c r="M755" s="3"/>
      <c r="N755" s="3"/>
    </row>
    <row r="756" spans="1:14" x14ac:dyDescent="0.2">
      <c r="A756" s="3" t="str">
        <f>IFERROR(VLOOKUP(B756,'جدول الجلسات التدريبية'!A:B,2,FALSE),"")</f>
        <v/>
      </c>
      <c r="B756" s="3"/>
      <c r="C756" s="3" t="str">
        <f>IFERROR(VLOOKUP(A756,'الخطة التدريبية المعتمدة'!A:C,3,FALSE),"")</f>
        <v/>
      </c>
      <c r="D756" s="3" t="str">
        <f>IFERROR(VLOOKUP(B756,'جدول الجلسات التدريبية'!A:D,4,FALSE),"")</f>
        <v/>
      </c>
      <c r="E756" s="3"/>
      <c r="F756" s="3" t="str">
        <f>IFERROR(VLOOKUP(E756,'سجل الموظفين والكفاءة'!B:C,2,FALSE),"")</f>
        <v/>
      </c>
      <c r="G756" s="3">
        <f>IFERROR(VLOOKUP(A756,'الخطة التدريبية المعتمدة'!A:J,10,FALSE),0)</f>
        <v>0</v>
      </c>
      <c r="H756" s="3"/>
      <c r="I756" s="3"/>
      <c r="J756" s="3"/>
      <c r="K756" s="7" t="str">
        <f>IF(OR(I756="",J756="",I756=0),"",(J756-I756)/I756)</f>
        <v/>
      </c>
      <c r="L756" s="3" t="str">
        <f>IF(J756="","",IF(J756/10&gt;='الإعدادات والمستهدفات'!B5,"ناجح ومستوفى","ضعيف - يلزم إعادة اختبار"))</f>
        <v/>
      </c>
      <c r="M756" s="3"/>
      <c r="N756" s="3"/>
    </row>
    <row r="757" spans="1:14" x14ac:dyDescent="0.2">
      <c r="A757" s="3" t="str">
        <f>IFERROR(VLOOKUP(B757,'جدول الجلسات التدريبية'!A:B,2,FALSE),"")</f>
        <v/>
      </c>
      <c r="B757" s="3"/>
      <c r="C757" s="3" t="str">
        <f>IFERROR(VLOOKUP(A757,'الخطة التدريبية المعتمدة'!A:C,3,FALSE),"")</f>
        <v/>
      </c>
      <c r="D757" s="3" t="str">
        <f>IFERROR(VLOOKUP(B757,'جدول الجلسات التدريبية'!A:D,4,FALSE),"")</f>
        <v/>
      </c>
      <c r="E757" s="3"/>
      <c r="F757" s="3" t="str">
        <f>IFERROR(VLOOKUP(E757,'سجل الموظفين والكفاءة'!B:C,2,FALSE),"")</f>
        <v/>
      </c>
      <c r="G757" s="3">
        <f>IFERROR(VLOOKUP(A757,'الخطة التدريبية المعتمدة'!A:J,10,FALSE),0)</f>
        <v>0</v>
      </c>
      <c r="H757" s="3"/>
      <c r="I757" s="3"/>
      <c r="J757" s="3"/>
      <c r="K757" s="7" t="str">
        <f>IF(OR(I757="",J757="",I757=0),"",(J757-I757)/I757)</f>
        <v/>
      </c>
      <c r="L757" s="3" t="str">
        <f>IF(J757="","",IF(J757/10&gt;='الإعدادات والمستهدفات'!B5,"ناجح ومستوفى","ضعيف - يلزم إعادة اختبار"))</f>
        <v/>
      </c>
      <c r="M757" s="3"/>
      <c r="N757" s="3"/>
    </row>
    <row r="758" spans="1:14" x14ac:dyDescent="0.2">
      <c r="A758" s="3" t="str">
        <f>IFERROR(VLOOKUP(B758,'جدول الجلسات التدريبية'!A:B,2,FALSE),"")</f>
        <v/>
      </c>
      <c r="B758" s="3"/>
      <c r="C758" s="3" t="str">
        <f>IFERROR(VLOOKUP(A758,'الخطة التدريبية المعتمدة'!A:C,3,FALSE),"")</f>
        <v/>
      </c>
      <c r="D758" s="3" t="str">
        <f>IFERROR(VLOOKUP(B758,'جدول الجلسات التدريبية'!A:D,4,FALSE),"")</f>
        <v/>
      </c>
      <c r="E758" s="3"/>
      <c r="F758" s="3" t="str">
        <f>IFERROR(VLOOKUP(E758,'سجل الموظفين والكفاءة'!B:C,2,FALSE),"")</f>
        <v/>
      </c>
      <c r="G758" s="3">
        <f>IFERROR(VLOOKUP(A758,'الخطة التدريبية المعتمدة'!A:J,10,FALSE),0)</f>
        <v>0</v>
      </c>
      <c r="H758" s="3"/>
      <c r="I758" s="3"/>
      <c r="J758" s="3"/>
      <c r="K758" s="7" t="str">
        <f>IF(OR(I758="",J758="",I758=0),"",(J758-I758)/I758)</f>
        <v/>
      </c>
      <c r="L758" s="3" t="str">
        <f>IF(J758="","",IF(J758/10&gt;='الإعدادات والمستهدفات'!B5,"ناجح ومستوفى","ضعيف - يلزم إعادة اختبار"))</f>
        <v/>
      </c>
      <c r="M758" s="3"/>
      <c r="N758" s="3"/>
    </row>
    <row r="759" spans="1:14" x14ac:dyDescent="0.2">
      <c r="A759" s="3" t="str">
        <f>IFERROR(VLOOKUP(B759,'جدول الجلسات التدريبية'!A:B,2,FALSE),"")</f>
        <v/>
      </c>
      <c r="B759" s="3"/>
      <c r="C759" s="3" t="str">
        <f>IFERROR(VLOOKUP(A759,'الخطة التدريبية المعتمدة'!A:C,3,FALSE),"")</f>
        <v/>
      </c>
      <c r="D759" s="3" t="str">
        <f>IFERROR(VLOOKUP(B759,'جدول الجلسات التدريبية'!A:D,4,FALSE),"")</f>
        <v/>
      </c>
      <c r="E759" s="3"/>
      <c r="F759" s="3" t="str">
        <f>IFERROR(VLOOKUP(E759,'سجل الموظفين والكفاءة'!B:C,2,FALSE),"")</f>
        <v/>
      </c>
      <c r="G759" s="3">
        <f>IFERROR(VLOOKUP(A759,'الخطة التدريبية المعتمدة'!A:J,10,FALSE),0)</f>
        <v>0</v>
      </c>
      <c r="H759" s="3"/>
      <c r="I759" s="3"/>
      <c r="J759" s="3"/>
      <c r="K759" s="7" t="str">
        <f>IF(OR(I759="",J759="",I759=0),"",(J759-I759)/I759)</f>
        <v/>
      </c>
      <c r="L759" s="3" t="str">
        <f>IF(J759="","",IF(J759/10&gt;='الإعدادات والمستهدفات'!B5,"ناجح ومستوفى","ضعيف - يلزم إعادة اختبار"))</f>
        <v/>
      </c>
      <c r="M759" s="3"/>
      <c r="N759" s="3"/>
    </row>
    <row r="760" spans="1:14" x14ac:dyDescent="0.2">
      <c r="A760" s="3" t="str">
        <f>IFERROR(VLOOKUP(B760,'جدول الجلسات التدريبية'!A:B,2,FALSE),"")</f>
        <v/>
      </c>
      <c r="B760" s="3"/>
      <c r="C760" s="3" t="str">
        <f>IFERROR(VLOOKUP(A760,'الخطة التدريبية المعتمدة'!A:C,3,FALSE),"")</f>
        <v/>
      </c>
      <c r="D760" s="3" t="str">
        <f>IFERROR(VLOOKUP(B760,'جدول الجلسات التدريبية'!A:D,4,FALSE),"")</f>
        <v/>
      </c>
      <c r="E760" s="3"/>
      <c r="F760" s="3" t="str">
        <f>IFERROR(VLOOKUP(E760,'سجل الموظفين والكفاءة'!B:C,2,FALSE),"")</f>
        <v/>
      </c>
      <c r="G760" s="3">
        <f>IFERROR(VLOOKUP(A760,'الخطة التدريبية المعتمدة'!A:J,10,FALSE),0)</f>
        <v>0</v>
      </c>
      <c r="H760" s="3"/>
      <c r="I760" s="3"/>
      <c r="J760" s="3"/>
      <c r="K760" s="7" t="str">
        <f>IF(OR(I760="",J760="",I760=0),"",(J760-I760)/I760)</f>
        <v/>
      </c>
      <c r="L760" s="3" t="str">
        <f>IF(J760="","",IF(J760/10&gt;='الإعدادات والمستهدفات'!B5,"ناجح ومستوفى","ضعيف - يلزم إعادة اختبار"))</f>
        <v/>
      </c>
      <c r="M760" s="3"/>
      <c r="N760" s="3"/>
    </row>
    <row r="761" spans="1:14" x14ac:dyDescent="0.2">
      <c r="A761" s="3" t="str">
        <f>IFERROR(VLOOKUP(B761,'جدول الجلسات التدريبية'!A:B,2,FALSE),"")</f>
        <v/>
      </c>
      <c r="B761" s="3"/>
      <c r="C761" s="3" t="str">
        <f>IFERROR(VLOOKUP(A761,'الخطة التدريبية المعتمدة'!A:C,3,FALSE),"")</f>
        <v/>
      </c>
      <c r="D761" s="3" t="str">
        <f>IFERROR(VLOOKUP(B761,'جدول الجلسات التدريبية'!A:D,4,FALSE),"")</f>
        <v/>
      </c>
      <c r="E761" s="3"/>
      <c r="F761" s="3" t="str">
        <f>IFERROR(VLOOKUP(E761,'سجل الموظفين والكفاءة'!B:C,2,FALSE),"")</f>
        <v/>
      </c>
      <c r="G761" s="3">
        <f>IFERROR(VLOOKUP(A761,'الخطة التدريبية المعتمدة'!A:J,10,FALSE),0)</f>
        <v>0</v>
      </c>
      <c r="H761" s="3"/>
      <c r="I761" s="3"/>
      <c r="J761" s="3"/>
      <c r="K761" s="7" t="str">
        <f>IF(OR(I761="",J761="",I761=0),"",(J761-I761)/I761)</f>
        <v/>
      </c>
      <c r="L761" s="3" t="str">
        <f>IF(J761="","",IF(J761/10&gt;='الإعدادات والمستهدفات'!B5,"ناجح ومستوفى","ضعيف - يلزم إعادة اختبار"))</f>
        <v/>
      </c>
      <c r="M761" s="3"/>
      <c r="N761" s="3"/>
    </row>
    <row r="762" spans="1:14" x14ac:dyDescent="0.2">
      <c r="A762" s="3" t="str">
        <f>IFERROR(VLOOKUP(B762,'جدول الجلسات التدريبية'!A:B,2,FALSE),"")</f>
        <v/>
      </c>
      <c r="B762" s="3"/>
      <c r="C762" s="3" t="str">
        <f>IFERROR(VLOOKUP(A762,'الخطة التدريبية المعتمدة'!A:C,3,FALSE),"")</f>
        <v/>
      </c>
      <c r="D762" s="3" t="str">
        <f>IFERROR(VLOOKUP(B762,'جدول الجلسات التدريبية'!A:D,4,FALSE),"")</f>
        <v/>
      </c>
      <c r="E762" s="3"/>
      <c r="F762" s="3" t="str">
        <f>IFERROR(VLOOKUP(E762,'سجل الموظفين والكفاءة'!B:C,2,FALSE),"")</f>
        <v/>
      </c>
      <c r="G762" s="3">
        <f>IFERROR(VLOOKUP(A762,'الخطة التدريبية المعتمدة'!A:J,10,FALSE),0)</f>
        <v>0</v>
      </c>
      <c r="H762" s="3"/>
      <c r="I762" s="3"/>
      <c r="J762" s="3"/>
      <c r="K762" s="7" t="str">
        <f>IF(OR(I762="",J762="",I762=0),"",(J762-I762)/I762)</f>
        <v/>
      </c>
      <c r="L762" s="3" t="str">
        <f>IF(J762="","",IF(J762/10&gt;='الإعدادات والمستهدفات'!B5,"ناجح ومستوفى","ضعيف - يلزم إعادة اختبار"))</f>
        <v/>
      </c>
      <c r="M762" s="3"/>
      <c r="N762" s="3"/>
    </row>
    <row r="763" spans="1:14" x14ac:dyDescent="0.2">
      <c r="A763" s="3" t="str">
        <f>IFERROR(VLOOKUP(B763,'جدول الجلسات التدريبية'!A:B,2,FALSE),"")</f>
        <v/>
      </c>
      <c r="B763" s="3"/>
      <c r="C763" s="3" t="str">
        <f>IFERROR(VLOOKUP(A763,'الخطة التدريبية المعتمدة'!A:C,3,FALSE),"")</f>
        <v/>
      </c>
      <c r="D763" s="3" t="str">
        <f>IFERROR(VLOOKUP(B763,'جدول الجلسات التدريبية'!A:D,4,FALSE),"")</f>
        <v/>
      </c>
      <c r="E763" s="3"/>
      <c r="F763" s="3" t="str">
        <f>IFERROR(VLOOKUP(E763,'سجل الموظفين والكفاءة'!B:C,2,FALSE),"")</f>
        <v/>
      </c>
      <c r="G763" s="3">
        <f>IFERROR(VLOOKUP(A763,'الخطة التدريبية المعتمدة'!A:J,10,FALSE),0)</f>
        <v>0</v>
      </c>
      <c r="H763" s="3"/>
      <c r="I763" s="3"/>
      <c r="J763" s="3"/>
      <c r="K763" s="7" t="str">
        <f>IF(OR(I763="",J763="",I763=0),"",(J763-I763)/I763)</f>
        <v/>
      </c>
      <c r="L763" s="3" t="str">
        <f>IF(J763="","",IF(J763/10&gt;='الإعدادات والمستهدفات'!B5,"ناجح ومستوفى","ضعيف - يلزم إعادة اختبار"))</f>
        <v/>
      </c>
      <c r="M763" s="3"/>
      <c r="N763" s="3"/>
    </row>
    <row r="764" spans="1:14" x14ac:dyDescent="0.2">
      <c r="A764" s="3" t="str">
        <f>IFERROR(VLOOKUP(B764,'جدول الجلسات التدريبية'!A:B,2,FALSE),"")</f>
        <v/>
      </c>
      <c r="B764" s="3"/>
      <c r="C764" s="3" t="str">
        <f>IFERROR(VLOOKUP(A764,'الخطة التدريبية المعتمدة'!A:C,3,FALSE),"")</f>
        <v/>
      </c>
      <c r="D764" s="3" t="str">
        <f>IFERROR(VLOOKUP(B764,'جدول الجلسات التدريبية'!A:D,4,FALSE),"")</f>
        <v/>
      </c>
      <c r="E764" s="3"/>
      <c r="F764" s="3" t="str">
        <f>IFERROR(VLOOKUP(E764,'سجل الموظفين والكفاءة'!B:C,2,FALSE),"")</f>
        <v/>
      </c>
      <c r="G764" s="3">
        <f>IFERROR(VLOOKUP(A764,'الخطة التدريبية المعتمدة'!A:J,10,FALSE),0)</f>
        <v>0</v>
      </c>
      <c r="H764" s="3"/>
      <c r="I764" s="3"/>
      <c r="J764" s="3"/>
      <c r="K764" s="7" t="str">
        <f>IF(OR(I764="",J764="",I764=0),"",(J764-I764)/I764)</f>
        <v/>
      </c>
      <c r="L764" s="3" t="str">
        <f>IF(J764="","",IF(J764/10&gt;='الإعدادات والمستهدفات'!B5,"ناجح ومستوفى","ضعيف - يلزم إعادة اختبار"))</f>
        <v/>
      </c>
      <c r="M764" s="3"/>
      <c r="N764" s="3"/>
    </row>
    <row r="765" spans="1:14" x14ac:dyDescent="0.2">
      <c r="A765" s="3" t="str">
        <f>IFERROR(VLOOKUP(B765,'جدول الجلسات التدريبية'!A:B,2,FALSE),"")</f>
        <v/>
      </c>
      <c r="B765" s="3"/>
      <c r="C765" s="3" t="str">
        <f>IFERROR(VLOOKUP(A765,'الخطة التدريبية المعتمدة'!A:C,3,FALSE),"")</f>
        <v/>
      </c>
      <c r="D765" s="3" t="str">
        <f>IFERROR(VLOOKUP(B765,'جدول الجلسات التدريبية'!A:D,4,FALSE),"")</f>
        <v/>
      </c>
      <c r="E765" s="3"/>
      <c r="F765" s="3" t="str">
        <f>IFERROR(VLOOKUP(E765,'سجل الموظفين والكفاءة'!B:C,2,FALSE),"")</f>
        <v/>
      </c>
      <c r="G765" s="3">
        <f>IFERROR(VLOOKUP(A765,'الخطة التدريبية المعتمدة'!A:J,10,FALSE),0)</f>
        <v>0</v>
      </c>
      <c r="H765" s="3"/>
      <c r="I765" s="3"/>
      <c r="J765" s="3"/>
      <c r="K765" s="7" t="str">
        <f>IF(OR(I765="",J765="",I765=0),"",(J765-I765)/I765)</f>
        <v/>
      </c>
      <c r="L765" s="3" t="str">
        <f>IF(J765="","",IF(J765/10&gt;='الإعدادات والمستهدفات'!B5,"ناجح ومستوفى","ضعيف - يلزم إعادة اختبار"))</f>
        <v/>
      </c>
      <c r="M765" s="3"/>
      <c r="N765" s="3"/>
    </row>
    <row r="766" spans="1:14" x14ac:dyDescent="0.2">
      <c r="A766" s="3" t="str">
        <f>IFERROR(VLOOKUP(B766,'جدول الجلسات التدريبية'!A:B,2,FALSE),"")</f>
        <v/>
      </c>
      <c r="B766" s="3"/>
      <c r="C766" s="3" t="str">
        <f>IFERROR(VLOOKUP(A766,'الخطة التدريبية المعتمدة'!A:C,3,FALSE),"")</f>
        <v/>
      </c>
      <c r="D766" s="3" t="str">
        <f>IFERROR(VLOOKUP(B766,'جدول الجلسات التدريبية'!A:D,4,FALSE),"")</f>
        <v/>
      </c>
      <c r="E766" s="3"/>
      <c r="F766" s="3" t="str">
        <f>IFERROR(VLOOKUP(E766,'سجل الموظفين والكفاءة'!B:C,2,FALSE),"")</f>
        <v/>
      </c>
      <c r="G766" s="3">
        <f>IFERROR(VLOOKUP(A766,'الخطة التدريبية المعتمدة'!A:J,10,FALSE),0)</f>
        <v>0</v>
      </c>
      <c r="H766" s="3"/>
      <c r="I766" s="3"/>
      <c r="J766" s="3"/>
      <c r="K766" s="7" t="str">
        <f>IF(OR(I766="",J766="",I766=0),"",(J766-I766)/I766)</f>
        <v/>
      </c>
      <c r="L766" s="3" t="str">
        <f>IF(J766="","",IF(J766/10&gt;='الإعدادات والمستهدفات'!B5,"ناجح ومستوفى","ضعيف - يلزم إعادة اختبار"))</f>
        <v/>
      </c>
      <c r="M766" s="3"/>
      <c r="N766" s="3"/>
    </row>
    <row r="767" spans="1:14" x14ac:dyDescent="0.2">
      <c r="A767" s="3" t="str">
        <f>IFERROR(VLOOKUP(B767,'جدول الجلسات التدريبية'!A:B,2,FALSE),"")</f>
        <v/>
      </c>
      <c r="B767" s="3"/>
      <c r="C767" s="3" t="str">
        <f>IFERROR(VLOOKUP(A767,'الخطة التدريبية المعتمدة'!A:C,3,FALSE),"")</f>
        <v/>
      </c>
      <c r="D767" s="3" t="str">
        <f>IFERROR(VLOOKUP(B767,'جدول الجلسات التدريبية'!A:D,4,FALSE),"")</f>
        <v/>
      </c>
      <c r="E767" s="3"/>
      <c r="F767" s="3" t="str">
        <f>IFERROR(VLOOKUP(E767,'سجل الموظفين والكفاءة'!B:C,2,FALSE),"")</f>
        <v/>
      </c>
      <c r="G767" s="3">
        <f>IFERROR(VLOOKUP(A767,'الخطة التدريبية المعتمدة'!A:J,10,FALSE),0)</f>
        <v>0</v>
      </c>
      <c r="H767" s="3"/>
      <c r="I767" s="3"/>
      <c r="J767" s="3"/>
      <c r="K767" s="7" t="str">
        <f>IF(OR(I767="",J767="",I767=0),"",(J767-I767)/I767)</f>
        <v/>
      </c>
      <c r="L767" s="3" t="str">
        <f>IF(J767="","",IF(J767/10&gt;='الإعدادات والمستهدفات'!B5,"ناجح ومستوفى","ضعيف - يلزم إعادة اختبار"))</f>
        <v/>
      </c>
      <c r="M767" s="3"/>
      <c r="N767" s="3"/>
    </row>
    <row r="768" spans="1:14" x14ac:dyDescent="0.2">
      <c r="A768" s="3" t="str">
        <f>IFERROR(VLOOKUP(B768,'جدول الجلسات التدريبية'!A:B,2,FALSE),"")</f>
        <v/>
      </c>
      <c r="B768" s="3"/>
      <c r="C768" s="3" t="str">
        <f>IFERROR(VLOOKUP(A768,'الخطة التدريبية المعتمدة'!A:C,3,FALSE),"")</f>
        <v/>
      </c>
      <c r="D768" s="3" t="str">
        <f>IFERROR(VLOOKUP(B768,'جدول الجلسات التدريبية'!A:D,4,FALSE),"")</f>
        <v/>
      </c>
      <c r="E768" s="3"/>
      <c r="F768" s="3" t="str">
        <f>IFERROR(VLOOKUP(E768,'سجل الموظفين والكفاءة'!B:C,2,FALSE),"")</f>
        <v/>
      </c>
      <c r="G768" s="3">
        <f>IFERROR(VLOOKUP(A768,'الخطة التدريبية المعتمدة'!A:J,10,FALSE),0)</f>
        <v>0</v>
      </c>
      <c r="H768" s="3"/>
      <c r="I768" s="3"/>
      <c r="J768" s="3"/>
      <c r="K768" s="7" t="str">
        <f>IF(OR(I768="",J768="",I768=0),"",(J768-I768)/I768)</f>
        <v/>
      </c>
      <c r="L768" s="3" t="str">
        <f>IF(J768="","",IF(J768/10&gt;='الإعدادات والمستهدفات'!B5,"ناجح ومستوفى","ضعيف - يلزم إعادة اختبار"))</f>
        <v/>
      </c>
      <c r="M768" s="3"/>
      <c r="N768" s="3"/>
    </row>
    <row r="769" spans="1:14" x14ac:dyDescent="0.2">
      <c r="A769" s="3" t="str">
        <f>IFERROR(VLOOKUP(B769,'جدول الجلسات التدريبية'!A:B,2,FALSE),"")</f>
        <v/>
      </c>
      <c r="B769" s="3"/>
      <c r="C769" s="3" t="str">
        <f>IFERROR(VLOOKUP(A769,'الخطة التدريبية المعتمدة'!A:C,3,FALSE),"")</f>
        <v/>
      </c>
      <c r="D769" s="3" t="str">
        <f>IFERROR(VLOOKUP(B769,'جدول الجلسات التدريبية'!A:D,4,FALSE),"")</f>
        <v/>
      </c>
      <c r="E769" s="3"/>
      <c r="F769" s="3" t="str">
        <f>IFERROR(VLOOKUP(E769,'سجل الموظفين والكفاءة'!B:C,2,FALSE),"")</f>
        <v/>
      </c>
      <c r="G769" s="3">
        <f>IFERROR(VLOOKUP(A769,'الخطة التدريبية المعتمدة'!A:J,10,FALSE),0)</f>
        <v>0</v>
      </c>
      <c r="H769" s="3"/>
      <c r="I769" s="3"/>
      <c r="J769" s="3"/>
      <c r="K769" s="7" t="str">
        <f>IF(OR(I769="",J769="",I769=0),"",(J769-I769)/I769)</f>
        <v/>
      </c>
      <c r="L769" s="3" t="str">
        <f>IF(J769="","",IF(J769/10&gt;='الإعدادات والمستهدفات'!B5,"ناجح ومستوفى","ضعيف - يلزم إعادة اختبار"))</f>
        <v/>
      </c>
      <c r="M769" s="3"/>
      <c r="N769" s="3"/>
    </row>
    <row r="770" spans="1:14" x14ac:dyDescent="0.2">
      <c r="A770" s="3" t="str">
        <f>IFERROR(VLOOKUP(B770,'جدول الجلسات التدريبية'!A:B,2,FALSE),"")</f>
        <v/>
      </c>
      <c r="B770" s="3"/>
      <c r="C770" s="3" t="str">
        <f>IFERROR(VLOOKUP(A770,'الخطة التدريبية المعتمدة'!A:C,3,FALSE),"")</f>
        <v/>
      </c>
      <c r="D770" s="3" t="str">
        <f>IFERROR(VLOOKUP(B770,'جدول الجلسات التدريبية'!A:D,4,FALSE),"")</f>
        <v/>
      </c>
      <c r="E770" s="3"/>
      <c r="F770" s="3" t="str">
        <f>IFERROR(VLOOKUP(E770,'سجل الموظفين والكفاءة'!B:C,2,FALSE),"")</f>
        <v/>
      </c>
      <c r="G770" s="3">
        <f>IFERROR(VLOOKUP(A770,'الخطة التدريبية المعتمدة'!A:J,10,FALSE),0)</f>
        <v>0</v>
      </c>
      <c r="H770" s="3"/>
      <c r="I770" s="3"/>
      <c r="J770" s="3"/>
      <c r="K770" s="7" t="str">
        <f>IF(OR(I770="",J770="",I770=0),"",(J770-I770)/I770)</f>
        <v/>
      </c>
      <c r="L770" s="3" t="str">
        <f>IF(J770="","",IF(J770/10&gt;='الإعدادات والمستهدفات'!B5,"ناجح ومستوفى","ضعيف - يلزم إعادة اختبار"))</f>
        <v/>
      </c>
      <c r="M770" s="3"/>
      <c r="N770" s="3"/>
    </row>
    <row r="771" spans="1:14" x14ac:dyDescent="0.2">
      <c r="A771" s="3" t="str">
        <f>IFERROR(VLOOKUP(B771,'جدول الجلسات التدريبية'!A:B,2,FALSE),"")</f>
        <v/>
      </c>
      <c r="B771" s="3"/>
      <c r="C771" s="3" t="str">
        <f>IFERROR(VLOOKUP(A771,'الخطة التدريبية المعتمدة'!A:C,3,FALSE),"")</f>
        <v/>
      </c>
      <c r="D771" s="3" t="str">
        <f>IFERROR(VLOOKUP(B771,'جدول الجلسات التدريبية'!A:D,4,FALSE),"")</f>
        <v/>
      </c>
      <c r="E771" s="3"/>
      <c r="F771" s="3" t="str">
        <f>IFERROR(VLOOKUP(E771,'سجل الموظفين والكفاءة'!B:C,2,FALSE),"")</f>
        <v/>
      </c>
      <c r="G771" s="3">
        <f>IFERROR(VLOOKUP(A771,'الخطة التدريبية المعتمدة'!A:J,10,FALSE),0)</f>
        <v>0</v>
      </c>
      <c r="H771" s="3"/>
      <c r="I771" s="3"/>
      <c r="J771" s="3"/>
      <c r="K771" s="7" t="str">
        <f>IF(OR(I771="",J771="",I771=0),"",(J771-I771)/I771)</f>
        <v/>
      </c>
      <c r="L771" s="3" t="str">
        <f>IF(J771="","",IF(J771/10&gt;='الإعدادات والمستهدفات'!B5,"ناجح ومستوفى","ضعيف - يلزم إعادة اختبار"))</f>
        <v/>
      </c>
      <c r="M771" s="3"/>
      <c r="N771" s="3"/>
    </row>
    <row r="772" spans="1:14" x14ac:dyDescent="0.2">
      <c r="A772" s="3" t="str">
        <f>IFERROR(VLOOKUP(B772,'جدول الجلسات التدريبية'!A:B,2,FALSE),"")</f>
        <v/>
      </c>
      <c r="B772" s="3"/>
      <c r="C772" s="3" t="str">
        <f>IFERROR(VLOOKUP(A772,'الخطة التدريبية المعتمدة'!A:C,3,FALSE),"")</f>
        <v/>
      </c>
      <c r="D772" s="3" t="str">
        <f>IFERROR(VLOOKUP(B772,'جدول الجلسات التدريبية'!A:D,4,FALSE),"")</f>
        <v/>
      </c>
      <c r="E772" s="3"/>
      <c r="F772" s="3" t="str">
        <f>IFERROR(VLOOKUP(E772,'سجل الموظفين والكفاءة'!B:C,2,FALSE),"")</f>
        <v/>
      </c>
      <c r="G772" s="3">
        <f>IFERROR(VLOOKUP(A772,'الخطة التدريبية المعتمدة'!A:J,10,FALSE),0)</f>
        <v>0</v>
      </c>
      <c r="H772" s="3"/>
      <c r="I772" s="3"/>
      <c r="J772" s="3"/>
      <c r="K772" s="7" t="str">
        <f>IF(OR(I772="",J772="",I772=0),"",(J772-I772)/I772)</f>
        <v/>
      </c>
      <c r="L772" s="3" t="str">
        <f>IF(J772="","",IF(J772/10&gt;='الإعدادات والمستهدفات'!B5,"ناجح ومستوفى","ضعيف - يلزم إعادة اختبار"))</f>
        <v/>
      </c>
      <c r="M772" s="3"/>
      <c r="N772" s="3"/>
    </row>
    <row r="773" spans="1:14" x14ac:dyDescent="0.2">
      <c r="A773" s="3" t="str">
        <f>IFERROR(VLOOKUP(B773,'جدول الجلسات التدريبية'!A:B,2,FALSE),"")</f>
        <v/>
      </c>
      <c r="B773" s="3"/>
      <c r="C773" s="3" t="str">
        <f>IFERROR(VLOOKUP(A773,'الخطة التدريبية المعتمدة'!A:C,3,FALSE),"")</f>
        <v/>
      </c>
      <c r="D773" s="3" t="str">
        <f>IFERROR(VLOOKUP(B773,'جدول الجلسات التدريبية'!A:D,4,FALSE),"")</f>
        <v/>
      </c>
      <c r="E773" s="3"/>
      <c r="F773" s="3" t="str">
        <f>IFERROR(VLOOKUP(E773,'سجل الموظفين والكفاءة'!B:C,2,FALSE),"")</f>
        <v/>
      </c>
      <c r="G773" s="3">
        <f>IFERROR(VLOOKUP(A773,'الخطة التدريبية المعتمدة'!A:J,10,FALSE),0)</f>
        <v>0</v>
      </c>
      <c r="H773" s="3"/>
      <c r="I773" s="3"/>
      <c r="J773" s="3"/>
      <c r="K773" s="7" t="str">
        <f>IF(OR(I773="",J773="",I773=0),"",(J773-I773)/I773)</f>
        <v/>
      </c>
      <c r="L773" s="3" t="str">
        <f>IF(J773="","",IF(J773/10&gt;='الإعدادات والمستهدفات'!B5,"ناجح ومستوفى","ضعيف - يلزم إعادة اختبار"))</f>
        <v/>
      </c>
      <c r="M773" s="3"/>
      <c r="N773" s="3"/>
    </row>
    <row r="774" spans="1:14" x14ac:dyDescent="0.2">
      <c r="A774" s="3" t="str">
        <f>IFERROR(VLOOKUP(B774,'جدول الجلسات التدريبية'!A:B,2,FALSE),"")</f>
        <v/>
      </c>
      <c r="B774" s="3"/>
      <c r="C774" s="3" t="str">
        <f>IFERROR(VLOOKUP(A774,'الخطة التدريبية المعتمدة'!A:C,3,FALSE),"")</f>
        <v/>
      </c>
      <c r="D774" s="3" t="str">
        <f>IFERROR(VLOOKUP(B774,'جدول الجلسات التدريبية'!A:D,4,FALSE),"")</f>
        <v/>
      </c>
      <c r="E774" s="3"/>
      <c r="F774" s="3" t="str">
        <f>IFERROR(VLOOKUP(E774,'سجل الموظفين والكفاءة'!B:C,2,FALSE),"")</f>
        <v/>
      </c>
      <c r="G774" s="3">
        <f>IFERROR(VLOOKUP(A774,'الخطة التدريبية المعتمدة'!A:J,10,FALSE),0)</f>
        <v>0</v>
      </c>
      <c r="H774" s="3"/>
      <c r="I774" s="3"/>
      <c r="J774" s="3"/>
      <c r="K774" s="7" t="str">
        <f>IF(OR(I774="",J774="",I774=0),"",(J774-I774)/I774)</f>
        <v/>
      </c>
      <c r="L774" s="3" t="str">
        <f>IF(J774="","",IF(J774/10&gt;='الإعدادات والمستهدفات'!B5,"ناجح ومستوفى","ضعيف - يلزم إعادة اختبار"))</f>
        <v/>
      </c>
      <c r="M774" s="3"/>
      <c r="N774" s="3"/>
    </row>
    <row r="775" spans="1:14" x14ac:dyDescent="0.2">
      <c r="A775" s="3" t="str">
        <f>IFERROR(VLOOKUP(B775,'جدول الجلسات التدريبية'!A:B,2,FALSE),"")</f>
        <v/>
      </c>
      <c r="B775" s="3"/>
      <c r="C775" s="3" t="str">
        <f>IFERROR(VLOOKUP(A775,'الخطة التدريبية المعتمدة'!A:C,3,FALSE),"")</f>
        <v/>
      </c>
      <c r="D775" s="3" t="str">
        <f>IFERROR(VLOOKUP(B775,'جدول الجلسات التدريبية'!A:D,4,FALSE),"")</f>
        <v/>
      </c>
      <c r="E775" s="3"/>
      <c r="F775" s="3" t="str">
        <f>IFERROR(VLOOKUP(E775,'سجل الموظفين والكفاءة'!B:C,2,FALSE),"")</f>
        <v/>
      </c>
      <c r="G775" s="3">
        <f>IFERROR(VLOOKUP(A775,'الخطة التدريبية المعتمدة'!A:J,10,FALSE),0)</f>
        <v>0</v>
      </c>
      <c r="H775" s="3"/>
      <c r="I775" s="3"/>
      <c r="J775" s="3"/>
      <c r="K775" s="7" t="str">
        <f>IF(OR(I775="",J775="",I775=0),"",(J775-I775)/I775)</f>
        <v/>
      </c>
      <c r="L775" s="3" t="str">
        <f>IF(J775="","",IF(J775/10&gt;='الإعدادات والمستهدفات'!B5,"ناجح ومستوفى","ضعيف - يلزم إعادة اختبار"))</f>
        <v/>
      </c>
      <c r="M775" s="3"/>
      <c r="N775" s="3"/>
    </row>
    <row r="776" spans="1:14" x14ac:dyDescent="0.2">
      <c r="A776" s="3" t="str">
        <f>IFERROR(VLOOKUP(B776,'جدول الجلسات التدريبية'!A:B,2,FALSE),"")</f>
        <v/>
      </c>
      <c r="B776" s="3"/>
      <c r="C776" s="3" t="str">
        <f>IFERROR(VLOOKUP(A776,'الخطة التدريبية المعتمدة'!A:C,3,FALSE),"")</f>
        <v/>
      </c>
      <c r="D776" s="3" t="str">
        <f>IFERROR(VLOOKUP(B776,'جدول الجلسات التدريبية'!A:D,4,FALSE),"")</f>
        <v/>
      </c>
      <c r="E776" s="3"/>
      <c r="F776" s="3" t="str">
        <f>IFERROR(VLOOKUP(E776,'سجل الموظفين والكفاءة'!B:C,2,FALSE),"")</f>
        <v/>
      </c>
      <c r="G776" s="3">
        <f>IFERROR(VLOOKUP(A776,'الخطة التدريبية المعتمدة'!A:J,10,FALSE),0)</f>
        <v>0</v>
      </c>
      <c r="H776" s="3"/>
      <c r="I776" s="3"/>
      <c r="J776" s="3"/>
      <c r="K776" s="7" t="str">
        <f>IF(OR(I776="",J776="",I776=0),"",(J776-I776)/I776)</f>
        <v/>
      </c>
      <c r="L776" s="3" t="str">
        <f>IF(J776="","",IF(J776/10&gt;='الإعدادات والمستهدفات'!B5,"ناجح ومستوفى","ضعيف - يلزم إعادة اختبار"))</f>
        <v/>
      </c>
      <c r="M776" s="3"/>
      <c r="N776" s="3"/>
    </row>
    <row r="777" spans="1:14" x14ac:dyDescent="0.2">
      <c r="A777" s="3" t="str">
        <f>IFERROR(VLOOKUP(B777,'جدول الجلسات التدريبية'!A:B,2,FALSE),"")</f>
        <v/>
      </c>
      <c r="B777" s="3"/>
      <c r="C777" s="3" t="str">
        <f>IFERROR(VLOOKUP(A777,'الخطة التدريبية المعتمدة'!A:C,3,FALSE),"")</f>
        <v/>
      </c>
      <c r="D777" s="3" t="str">
        <f>IFERROR(VLOOKUP(B777,'جدول الجلسات التدريبية'!A:D,4,FALSE),"")</f>
        <v/>
      </c>
      <c r="E777" s="3"/>
      <c r="F777" s="3" t="str">
        <f>IFERROR(VLOOKUP(E777,'سجل الموظفين والكفاءة'!B:C,2,FALSE),"")</f>
        <v/>
      </c>
      <c r="G777" s="3">
        <f>IFERROR(VLOOKUP(A777,'الخطة التدريبية المعتمدة'!A:J,10,FALSE),0)</f>
        <v>0</v>
      </c>
      <c r="H777" s="3"/>
      <c r="I777" s="3"/>
      <c r="J777" s="3"/>
      <c r="K777" s="7" t="str">
        <f>IF(OR(I777="",J777="",I777=0),"",(J777-I777)/I777)</f>
        <v/>
      </c>
      <c r="L777" s="3" t="str">
        <f>IF(J777="","",IF(J777/10&gt;='الإعدادات والمستهدفات'!B5,"ناجح ومستوفى","ضعيف - يلزم إعادة اختبار"))</f>
        <v/>
      </c>
      <c r="M777" s="3"/>
      <c r="N777" s="3"/>
    </row>
    <row r="778" spans="1:14" x14ac:dyDescent="0.2">
      <c r="A778" s="3" t="str">
        <f>IFERROR(VLOOKUP(B778,'جدول الجلسات التدريبية'!A:B,2,FALSE),"")</f>
        <v/>
      </c>
      <c r="B778" s="3"/>
      <c r="C778" s="3" t="str">
        <f>IFERROR(VLOOKUP(A778,'الخطة التدريبية المعتمدة'!A:C,3,FALSE),"")</f>
        <v/>
      </c>
      <c r="D778" s="3" t="str">
        <f>IFERROR(VLOOKUP(B778,'جدول الجلسات التدريبية'!A:D,4,FALSE),"")</f>
        <v/>
      </c>
      <c r="E778" s="3"/>
      <c r="F778" s="3" t="str">
        <f>IFERROR(VLOOKUP(E778,'سجل الموظفين والكفاءة'!B:C,2,FALSE),"")</f>
        <v/>
      </c>
      <c r="G778" s="3">
        <f>IFERROR(VLOOKUP(A778,'الخطة التدريبية المعتمدة'!A:J,10,FALSE),0)</f>
        <v>0</v>
      </c>
      <c r="H778" s="3"/>
      <c r="I778" s="3"/>
      <c r="J778" s="3"/>
      <c r="K778" s="7" t="str">
        <f>IF(OR(I778="",J778="",I778=0),"",(J778-I778)/I778)</f>
        <v/>
      </c>
      <c r="L778" s="3" t="str">
        <f>IF(J778="","",IF(J778/10&gt;='الإعدادات والمستهدفات'!B5,"ناجح ومستوفى","ضعيف - يلزم إعادة اختبار"))</f>
        <v/>
      </c>
      <c r="M778" s="3"/>
      <c r="N778" s="3"/>
    </row>
    <row r="779" spans="1:14" x14ac:dyDescent="0.2">
      <c r="A779" s="3" t="str">
        <f>IFERROR(VLOOKUP(B779,'جدول الجلسات التدريبية'!A:B,2,FALSE),"")</f>
        <v/>
      </c>
      <c r="B779" s="3"/>
      <c r="C779" s="3" t="str">
        <f>IFERROR(VLOOKUP(A779,'الخطة التدريبية المعتمدة'!A:C,3,FALSE),"")</f>
        <v/>
      </c>
      <c r="D779" s="3" t="str">
        <f>IFERROR(VLOOKUP(B779,'جدول الجلسات التدريبية'!A:D,4,FALSE),"")</f>
        <v/>
      </c>
      <c r="E779" s="3"/>
      <c r="F779" s="3" t="str">
        <f>IFERROR(VLOOKUP(E779,'سجل الموظفين والكفاءة'!B:C,2,FALSE),"")</f>
        <v/>
      </c>
      <c r="G779" s="3">
        <f>IFERROR(VLOOKUP(A779,'الخطة التدريبية المعتمدة'!A:J,10,FALSE),0)</f>
        <v>0</v>
      </c>
      <c r="H779" s="3"/>
      <c r="I779" s="3"/>
      <c r="J779" s="3"/>
      <c r="K779" s="7" t="str">
        <f>IF(OR(I779="",J779="",I779=0),"",(J779-I779)/I779)</f>
        <v/>
      </c>
      <c r="L779" s="3" t="str">
        <f>IF(J779="","",IF(J779/10&gt;='الإعدادات والمستهدفات'!B5,"ناجح ومستوفى","ضعيف - يلزم إعادة اختبار"))</f>
        <v/>
      </c>
      <c r="M779" s="3"/>
      <c r="N779" s="3"/>
    </row>
    <row r="780" spans="1:14" x14ac:dyDescent="0.2">
      <c r="A780" s="3" t="str">
        <f>IFERROR(VLOOKUP(B780,'جدول الجلسات التدريبية'!A:B,2,FALSE),"")</f>
        <v/>
      </c>
      <c r="B780" s="3"/>
      <c r="C780" s="3" t="str">
        <f>IFERROR(VLOOKUP(A780,'الخطة التدريبية المعتمدة'!A:C,3,FALSE),"")</f>
        <v/>
      </c>
      <c r="D780" s="3" t="str">
        <f>IFERROR(VLOOKUP(B780,'جدول الجلسات التدريبية'!A:D,4,FALSE),"")</f>
        <v/>
      </c>
      <c r="E780" s="3"/>
      <c r="F780" s="3" t="str">
        <f>IFERROR(VLOOKUP(E780,'سجل الموظفين والكفاءة'!B:C,2,FALSE),"")</f>
        <v/>
      </c>
      <c r="G780" s="3">
        <f>IFERROR(VLOOKUP(A780,'الخطة التدريبية المعتمدة'!A:J,10,FALSE),0)</f>
        <v>0</v>
      </c>
      <c r="H780" s="3"/>
      <c r="I780" s="3"/>
      <c r="J780" s="3"/>
      <c r="K780" s="7" t="str">
        <f>IF(OR(I780="",J780="",I780=0),"",(J780-I780)/I780)</f>
        <v/>
      </c>
      <c r="L780" s="3" t="str">
        <f>IF(J780="","",IF(J780/10&gt;='الإعدادات والمستهدفات'!B5,"ناجح ومستوفى","ضعيف - يلزم إعادة اختبار"))</f>
        <v/>
      </c>
      <c r="M780" s="3"/>
      <c r="N780" s="3"/>
    </row>
    <row r="781" spans="1:14" x14ac:dyDescent="0.2">
      <c r="A781" s="3" t="str">
        <f>IFERROR(VLOOKUP(B781,'جدول الجلسات التدريبية'!A:B,2,FALSE),"")</f>
        <v/>
      </c>
      <c r="B781" s="3"/>
      <c r="C781" s="3" t="str">
        <f>IFERROR(VLOOKUP(A781,'الخطة التدريبية المعتمدة'!A:C,3,FALSE),"")</f>
        <v/>
      </c>
      <c r="D781" s="3" t="str">
        <f>IFERROR(VLOOKUP(B781,'جدول الجلسات التدريبية'!A:D,4,FALSE),"")</f>
        <v/>
      </c>
      <c r="E781" s="3"/>
      <c r="F781" s="3" t="str">
        <f>IFERROR(VLOOKUP(E781,'سجل الموظفين والكفاءة'!B:C,2,FALSE),"")</f>
        <v/>
      </c>
      <c r="G781" s="3">
        <f>IFERROR(VLOOKUP(A781,'الخطة التدريبية المعتمدة'!A:J,10,FALSE),0)</f>
        <v>0</v>
      </c>
      <c r="H781" s="3"/>
      <c r="I781" s="3"/>
      <c r="J781" s="3"/>
      <c r="K781" s="7" t="str">
        <f>IF(OR(I781="",J781="",I781=0),"",(J781-I781)/I781)</f>
        <v/>
      </c>
      <c r="L781" s="3" t="str">
        <f>IF(J781="","",IF(J781/10&gt;='الإعدادات والمستهدفات'!B5,"ناجح ومستوفى","ضعيف - يلزم إعادة اختبار"))</f>
        <v/>
      </c>
      <c r="M781" s="3"/>
      <c r="N781" s="3"/>
    </row>
    <row r="782" spans="1:14" x14ac:dyDescent="0.2">
      <c r="A782" s="3" t="str">
        <f>IFERROR(VLOOKUP(B782,'جدول الجلسات التدريبية'!A:B,2,FALSE),"")</f>
        <v/>
      </c>
      <c r="B782" s="3"/>
      <c r="C782" s="3" t="str">
        <f>IFERROR(VLOOKUP(A782,'الخطة التدريبية المعتمدة'!A:C,3,FALSE),"")</f>
        <v/>
      </c>
      <c r="D782" s="3" t="str">
        <f>IFERROR(VLOOKUP(B782,'جدول الجلسات التدريبية'!A:D,4,FALSE),"")</f>
        <v/>
      </c>
      <c r="E782" s="3"/>
      <c r="F782" s="3" t="str">
        <f>IFERROR(VLOOKUP(E782,'سجل الموظفين والكفاءة'!B:C,2,FALSE),"")</f>
        <v/>
      </c>
      <c r="G782" s="3">
        <f>IFERROR(VLOOKUP(A782,'الخطة التدريبية المعتمدة'!A:J,10,FALSE),0)</f>
        <v>0</v>
      </c>
      <c r="H782" s="3"/>
      <c r="I782" s="3"/>
      <c r="J782" s="3"/>
      <c r="K782" s="7" t="str">
        <f>IF(OR(I782="",J782="",I782=0),"",(J782-I782)/I782)</f>
        <v/>
      </c>
      <c r="L782" s="3" t="str">
        <f>IF(J782="","",IF(J782/10&gt;='الإعدادات والمستهدفات'!B5,"ناجح ومستوفى","ضعيف - يلزم إعادة اختبار"))</f>
        <v/>
      </c>
      <c r="M782" s="3"/>
      <c r="N782" s="3"/>
    </row>
    <row r="783" spans="1:14" x14ac:dyDescent="0.2">
      <c r="A783" s="3" t="str">
        <f>IFERROR(VLOOKUP(B783,'جدول الجلسات التدريبية'!A:B,2,FALSE),"")</f>
        <v/>
      </c>
      <c r="B783" s="3"/>
      <c r="C783" s="3" t="str">
        <f>IFERROR(VLOOKUP(A783,'الخطة التدريبية المعتمدة'!A:C,3,FALSE),"")</f>
        <v/>
      </c>
      <c r="D783" s="3" t="str">
        <f>IFERROR(VLOOKUP(B783,'جدول الجلسات التدريبية'!A:D,4,FALSE),"")</f>
        <v/>
      </c>
      <c r="E783" s="3"/>
      <c r="F783" s="3" t="str">
        <f>IFERROR(VLOOKUP(E783,'سجل الموظفين والكفاءة'!B:C,2,FALSE),"")</f>
        <v/>
      </c>
      <c r="G783" s="3">
        <f>IFERROR(VLOOKUP(A783,'الخطة التدريبية المعتمدة'!A:J,10,FALSE),0)</f>
        <v>0</v>
      </c>
      <c r="H783" s="3"/>
      <c r="I783" s="3"/>
      <c r="J783" s="3"/>
      <c r="K783" s="7" t="str">
        <f>IF(OR(I783="",J783="",I783=0),"",(J783-I783)/I783)</f>
        <v/>
      </c>
      <c r="L783" s="3" t="str">
        <f>IF(J783="","",IF(J783/10&gt;='الإعدادات والمستهدفات'!B5,"ناجح ومستوفى","ضعيف - يلزم إعادة اختبار"))</f>
        <v/>
      </c>
      <c r="M783" s="3"/>
      <c r="N783" s="3"/>
    </row>
    <row r="784" spans="1:14" x14ac:dyDescent="0.2">
      <c r="A784" s="3" t="str">
        <f>IFERROR(VLOOKUP(B784,'جدول الجلسات التدريبية'!A:B,2,FALSE),"")</f>
        <v/>
      </c>
      <c r="B784" s="3"/>
      <c r="C784" s="3" t="str">
        <f>IFERROR(VLOOKUP(A784,'الخطة التدريبية المعتمدة'!A:C,3,FALSE),"")</f>
        <v/>
      </c>
      <c r="D784" s="3" t="str">
        <f>IFERROR(VLOOKUP(B784,'جدول الجلسات التدريبية'!A:D,4,FALSE),"")</f>
        <v/>
      </c>
      <c r="E784" s="3"/>
      <c r="F784" s="3" t="str">
        <f>IFERROR(VLOOKUP(E784,'سجل الموظفين والكفاءة'!B:C,2,FALSE),"")</f>
        <v/>
      </c>
      <c r="G784" s="3">
        <f>IFERROR(VLOOKUP(A784,'الخطة التدريبية المعتمدة'!A:J,10,FALSE),0)</f>
        <v>0</v>
      </c>
      <c r="H784" s="3"/>
      <c r="I784" s="3"/>
      <c r="J784" s="3"/>
      <c r="K784" s="7" t="str">
        <f>IF(OR(I784="",J784="",I784=0),"",(J784-I784)/I784)</f>
        <v/>
      </c>
      <c r="L784" s="3" t="str">
        <f>IF(J784="","",IF(J784/10&gt;='الإعدادات والمستهدفات'!B5,"ناجح ومستوفى","ضعيف - يلزم إعادة اختبار"))</f>
        <v/>
      </c>
      <c r="M784" s="3"/>
      <c r="N784" s="3"/>
    </row>
    <row r="785" spans="1:14" x14ac:dyDescent="0.2">
      <c r="A785" s="3" t="str">
        <f>IFERROR(VLOOKUP(B785,'جدول الجلسات التدريبية'!A:B,2,FALSE),"")</f>
        <v/>
      </c>
      <c r="B785" s="3"/>
      <c r="C785" s="3" t="str">
        <f>IFERROR(VLOOKUP(A785,'الخطة التدريبية المعتمدة'!A:C,3,FALSE),"")</f>
        <v/>
      </c>
      <c r="D785" s="3" t="str">
        <f>IFERROR(VLOOKUP(B785,'جدول الجلسات التدريبية'!A:D,4,FALSE),"")</f>
        <v/>
      </c>
      <c r="E785" s="3"/>
      <c r="F785" s="3" t="str">
        <f>IFERROR(VLOOKUP(E785,'سجل الموظفين والكفاءة'!B:C,2,FALSE),"")</f>
        <v/>
      </c>
      <c r="G785" s="3">
        <f>IFERROR(VLOOKUP(A785,'الخطة التدريبية المعتمدة'!A:J,10,FALSE),0)</f>
        <v>0</v>
      </c>
      <c r="H785" s="3"/>
      <c r="I785" s="3"/>
      <c r="J785" s="3"/>
      <c r="K785" s="7" t="str">
        <f>IF(OR(I785="",J785="",I785=0),"",(J785-I785)/I785)</f>
        <v/>
      </c>
      <c r="L785" s="3" t="str">
        <f>IF(J785="","",IF(J785/10&gt;='الإعدادات والمستهدفات'!B5,"ناجح ومستوفى","ضعيف - يلزم إعادة اختبار"))</f>
        <v/>
      </c>
      <c r="M785" s="3"/>
      <c r="N785" s="3"/>
    </row>
    <row r="786" spans="1:14" x14ac:dyDescent="0.2">
      <c r="A786" s="3" t="str">
        <f>IFERROR(VLOOKUP(B786,'جدول الجلسات التدريبية'!A:B,2,FALSE),"")</f>
        <v/>
      </c>
      <c r="B786" s="3"/>
      <c r="C786" s="3" t="str">
        <f>IFERROR(VLOOKUP(A786,'الخطة التدريبية المعتمدة'!A:C,3,FALSE),"")</f>
        <v/>
      </c>
      <c r="D786" s="3" t="str">
        <f>IFERROR(VLOOKUP(B786,'جدول الجلسات التدريبية'!A:D,4,FALSE),"")</f>
        <v/>
      </c>
      <c r="E786" s="3"/>
      <c r="F786" s="3" t="str">
        <f>IFERROR(VLOOKUP(E786,'سجل الموظفين والكفاءة'!B:C,2,FALSE),"")</f>
        <v/>
      </c>
      <c r="G786" s="3">
        <f>IFERROR(VLOOKUP(A786,'الخطة التدريبية المعتمدة'!A:J,10,FALSE),0)</f>
        <v>0</v>
      </c>
      <c r="H786" s="3"/>
      <c r="I786" s="3"/>
      <c r="J786" s="3"/>
      <c r="K786" s="7" t="str">
        <f>IF(OR(I786="",J786="",I786=0),"",(J786-I786)/I786)</f>
        <v/>
      </c>
      <c r="L786" s="3" t="str">
        <f>IF(J786="","",IF(J786/10&gt;='الإعدادات والمستهدفات'!B5,"ناجح ومستوفى","ضعيف - يلزم إعادة اختبار"))</f>
        <v/>
      </c>
      <c r="M786" s="3"/>
      <c r="N786" s="3"/>
    </row>
    <row r="787" spans="1:14" x14ac:dyDescent="0.2">
      <c r="A787" s="3" t="str">
        <f>IFERROR(VLOOKUP(B787,'جدول الجلسات التدريبية'!A:B,2,FALSE),"")</f>
        <v/>
      </c>
      <c r="B787" s="3"/>
      <c r="C787" s="3" t="str">
        <f>IFERROR(VLOOKUP(A787,'الخطة التدريبية المعتمدة'!A:C,3,FALSE),"")</f>
        <v/>
      </c>
      <c r="D787" s="3" t="str">
        <f>IFERROR(VLOOKUP(B787,'جدول الجلسات التدريبية'!A:D,4,FALSE),"")</f>
        <v/>
      </c>
      <c r="E787" s="3"/>
      <c r="F787" s="3" t="str">
        <f>IFERROR(VLOOKUP(E787,'سجل الموظفين والكفاءة'!B:C,2,FALSE),"")</f>
        <v/>
      </c>
      <c r="G787" s="3">
        <f>IFERROR(VLOOKUP(A787,'الخطة التدريبية المعتمدة'!A:J,10,FALSE),0)</f>
        <v>0</v>
      </c>
      <c r="H787" s="3"/>
      <c r="I787" s="3"/>
      <c r="J787" s="3"/>
      <c r="K787" s="7" t="str">
        <f>IF(OR(I787="",J787="",I787=0),"",(J787-I787)/I787)</f>
        <v/>
      </c>
      <c r="L787" s="3" t="str">
        <f>IF(J787="","",IF(J787/10&gt;='الإعدادات والمستهدفات'!B5,"ناجح ومستوفى","ضعيف - يلزم إعادة اختبار"))</f>
        <v/>
      </c>
      <c r="M787" s="3"/>
      <c r="N787" s="3"/>
    </row>
    <row r="788" spans="1:14" x14ac:dyDescent="0.2">
      <c r="A788" s="3" t="str">
        <f>IFERROR(VLOOKUP(B788,'جدول الجلسات التدريبية'!A:B,2,FALSE),"")</f>
        <v/>
      </c>
      <c r="B788" s="3"/>
      <c r="C788" s="3" t="str">
        <f>IFERROR(VLOOKUP(A788,'الخطة التدريبية المعتمدة'!A:C,3,FALSE),"")</f>
        <v/>
      </c>
      <c r="D788" s="3" t="str">
        <f>IFERROR(VLOOKUP(B788,'جدول الجلسات التدريبية'!A:D,4,FALSE),"")</f>
        <v/>
      </c>
      <c r="E788" s="3"/>
      <c r="F788" s="3" t="str">
        <f>IFERROR(VLOOKUP(E788,'سجل الموظفين والكفاءة'!B:C,2,FALSE),"")</f>
        <v/>
      </c>
      <c r="G788" s="3">
        <f>IFERROR(VLOOKUP(A788,'الخطة التدريبية المعتمدة'!A:J,10,FALSE),0)</f>
        <v>0</v>
      </c>
      <c r="H788" s="3"/>
      <c r="I788" s="3"/>
      <c r="J788" s="3"/>
      <c r="K788" s="7" t="str">
        <f>IF(OR(I788="",J788="",I788=0),"",(J788-I788)/I788)</f>
        <v/>
      </c>
      <c r="L788" s="3" t="str">
        <f>IF(J788="","",IF(J788/10&gt;='الإعدادات والمستهدفات'!B5,"ناجح ومستوفى","ضعيف - يلزم إعادة اختبار"))</f>
        <v/>
      </c>
      <c r="M788" s="3"/>
      <c r="N788" s="3"/>
    </row>
    <row r="789" spans="1:14" x14ac:dyDescent="0.2">
      <c r="A789" s="3" t="str">
        <f>IFERROR(VLOOKUP(B789,'جدول الجلسات التدريبية'!A:B,2,FALSE),"")</f>
        <v/>
      </c>
      <c r="B789" s="3"/>
      <c r="C789" s="3" t="str">
        <f>IFERROR(VLOOKUP(A789,'الخطة التدريبية المعتمدة'!A:C,3,FALSE),"")</f>
        <v/>
      </c>
      <c r="D789" s="3" t="str">
        <f>IFERROR(VLOOKUP(B789,'جدول الجلسات التدريبية'!A:D,4,FALSE),"")</f>
        <v/>
      </c>
      <c r="E789" s="3"/>
      <c r="F789" s="3" t="str">
        <f>IFERROR(VLOOKUP(E789,'سجل الموظفين والكفاءة'!B:C,2,FALSE),"")</f>
        <v/>
      </c>
      <c r="G789" s="3">
        <f>IFERROR(VLOOKUP(A789,'الخطة التدريبية المعتمدة'!A:J,10,FALSE),0)</f>
        <v>0</v>
      </c>
      <c r="H789" s="3"/>
      <c r="I789" s="3"/>
      <c r="J789" s="3"/>
      <c r="K789" s="7" t="str">
        <f>IF(OR(I789="",J789="",I789=0),"",(J789-I789)/I789)</f>
        <v/>
      </c>
      <c r="L789" s="3" t="str">
        <f>IF(J789="","",IF(J789/10&gt;='الإعدادات والمستهدفات'!B5,"ناجح ومستوفى","ضعيف - يلزم إعادة اختبار"))</f>
        <v/>
      </c>
      <c r="M789" s="3"/>
      <c r="N789" s="3"/>
    </row>
    <row r="790" spans="1:14" x14ac:dyDescent="0.2">
      <c r="A790" s="3" t="str">
        <f>IFERROR(VLOOKUP(B790,'جدول الجلسات التدريبية'!A:B,2,FALSE),"")</f>
        <v/>
      </c>
      <c r="B790" s="3"/>
      <c r="C790" s="3" t="str">
        <f>IFERROR(VLOOKUP(A790,'الخطة التدريبية المعتمدة'!A:C,3,FALSE),"")</f>
        <v/>
      </c>
      <c r="D790" s="3" t="str">
        <f>IFERROR(VLOOKUP(B790,'جدول الجلسات التدريبية'!A:D,4,FALSE),"")</f>
        <v/>
      </c>
      <c r="E790" s="3"/>
      <c r="F790" s="3" t="str">
        <f>IFERROR(VLOOKUP(E790,'سجل الموظفين والكفاءة'!B:C,2,FALSE),"")</f>
        <v/>
      </c>
      <c r="G790" s="3">
        <f>IFERROR(VLOOKUP(A790,'الخطة التدريبية المعتمدة'!A:J,10,FALSE),0)</f>
        <v>0</v>
      </c>
      <c r="H790" s="3"/>
      <c r="I790" s="3"/>
      <c r="J790" s="3"/>
      <c r="K790" s="7" t="str">
        <f>IF(OR(I790="",J790="",I790=0),"",(J790-I790)/I790)</f>
        <v/>
      </c>
      <c r="L790" s="3" t="str">
        <f>IF(J790="","",IF(J790/10&gt;='الإعدادات والمستهدفات'!B5,"ناجح ومستوفى","ضعيف - يلزم إعادة اختبار"))</f>
        <v/>
      </c>
      <c r="M790" s="3"/>
      <c r="N790" s="3"/>
    </row>
    <row r="791" spans="1:14" x14ac:dyDescent="0.2">
      <c r="A791" s="3" t="str">
        <f>IFERROR(VLOOKUP(B791,'جدول الجلسات التدريبية'!A:B,2,FALSE),"")</f>
        <v/>
      </c>
      <c r="B791" s="3"/>
      <c r="C791" s="3" t="str">
        <f>IFERROR(VLOOKUP(A791,'الخطة التدريبية المعتمدة'!A:C,3,FALSE),"")</f>
        <v/>
      </c>
      <c r="D791" s="3" t="str">
        <f>IFERROR(VLOOKUP(B791,'جدول الجلسات التدريبية'!A:D,4,FALSE),"")</f>
        <v/>
      </c>
      <c r="E791" s="3"/>
      <c r="F791" s="3" t="str">
        <f>IFERROR(VLOOKUP(E791,'سجل الموظفين والكفاءة'!B:C,2,FALSE),"")</f>
        <v/>
      </c>
      <c r="G791" s="3">
        <f>IFERROR(VLOOKUP(A791,'الخطة التدريبية المعتمدة'!A:J,10,FALSE),0)</f>
        <v>0</v>
      </c>
      <c r="H791" s="3"/>
      <c r="I791" s="3"/>
      <c r="J791" s="3"/>
      <c r="K791" s="7" t="str">
        <f>IF(OR(I791="",J791="",I791=0),"",(J791-I791)/I791)</f>
        <v/>
      </c>
      <c r="L791" s="3" t="str">
        <f>IF(J791="","",IF(J791/10&gt;='الإعدادات والمستهدفات'!B5,"ناجح ومستوفى","ضعيف - يلزم إعادة اختبار"))</f>
        <v/>
      </c>
      <c r="M791" s="3"/>
      <c r="N791" s="3"/>
    </row>
    <row r="792" spans="1:14" x14ac:dyDescent="0.2">
      <c r="A792" s="3" t="str">
        <f>IFERROR(VLOOKUP(B792,'جدول الجلسات التدريبية'!A:B,2,FALSE),"")</f>
        <v/>
      </c>
      <c r="B792" s="3"/>
      <c r="C792" s="3" t="str">
        <f>IFERROR(VLOOKUP(A792,'الخطة التدريبية المعتمدة'!A:C,3,FALSE),"")</f>
        <v/>
      </c>
      <c r="D792" s="3" t="str">
        <f>IFERROR(VLOOKUP(B792,'جدول الجلسات التدريبية'!A:D,4,FALSE),"")</f>
        <v/>
      </c>
      <c r="E792" s="3"/>
      <c r="F792" s="3" t="str">
        <f>IFERROR(VLOOKUP(E792,'سجل الموظفين والكفاءة'!B:C,2,FALSE),"")</f>
        <v/>
      </c>
      <c r="G792" s="3">
        <f>IFERROR(VLOOKUP(A792,'الخطة التدريبية المعتمدة'!A:J,10,FALSE),0)</f>
        <v>0</v>
      </c>
      <c r="H792" s="3"/>
      <c r="I792" s="3"/>
      <c r="J792" s="3"/>
      <c r="K792" s="7" t="str">
        <f>IF(OR(I792="",J792="",I792=0),"",(J792-I792)/I792)</f>
        <v/>
      </c>
      <c r="L792" s="3" t="str">
        <f>IF(J792="","",IF(J792/10&gt;='الإعدادات والمستهدفات'!B5,"ناجح ومستوفى","ضعيف - يلزم إعادة اختبار"))</f>
        <v/>
      </c>
      <c r="M792" s="3"/>
      <c r="N792" s="3"/>
    </row>
    <row r="793" spans="1:14" x14ac:dyDescent="0.2">
      <c r="A793" s="3" t="str">
        <f>IFERROR(VLOOKUP(B793,'جدول الجلسات التدريبية'!A:B,2,FALSE),"")</f>
        <v/>
      </c>
      <c r="B793" s="3"/>
      <c r="C793" s="3" t="str">
        <f>IFERROR(VLOOKUP(A793,'الخطة التدريبية المعتمدة'!A:C,3,FALSE),"")</f>
        <v/>
      </c>
      <c r="D793" s="3" t="str">
        <f>IFERROR(VLOOKUP(B793,'جدول الجلسات التدريبية'!A:D,4,FALSE),"")</f>
        <v/>
      </c>
      <c r="E793" s="3"/>
      <c r="F793" s="3" t="str">
        <f>IFERROR(VLOOKUP(E793,'سجل الموظفين والكفاءة'!B:C,2,FALSE),"")</f>
        <v/>
      </c>
      <c r="G793" s="3">
        <f>IFERROR(VLOOKUP(A793,'الخطة التدريبية المعتمدة'!A:J,10,FALSE),0)</f>
        <v>0</v>
      </c>
      <c r="H793" s="3"/>
      <c r="I793" s="3"/>
      <c r="J793" s="3"/>
      <c r="K793" s="7" t="str">
        <f>IF(OR(I793="",J793="",I793=0),"",(J793-I793)/I793)</f>
        <v/>
      </c>
      <c r="L793" s="3" t="str">
        <f>IF(J793="","",IF(J793/10&gt;='الإعدادات والمستهدفات'!B5,"ناجح ومستوفى","ضعيف - يلزم إعادة اختبار"))</f>
        <v/>
      </c>
      <c r="M793" s="3"/>
      <c r="N793" s="3"/>
    </row>
    <row r="794" spans="1:14" x14ac:dyDescent="0.2">
      <c r="A794" s="3" t="str">
        <f>IFERROR(VLOOKUP(B794,'جدول الجلسات التدريبية'!A:B,2,FALSE),"")</f>
        <v/>
      </c>
      <c r="B794" s="3"/>
      <c r="C794" s="3" t="str">
        <f>IFERROR(VLOOKUP(A794,'الخطة التدريبية المعتمدة'!A:C,3,FALSE),"")</f>
        <v/>
      </c>
      <c r="D794" s="3" t="str">
        <f>IFERROR(VLOOKUP(B794,'جدول الجلسات التدريبية'!A:D,4,FALSE),"")</f>
        <v/>
      </c>
      <c r="E794" s="3"/>
      <c r="F794" s="3" t="str">
        <f>IFERROR(VLOOKUP(E794,'سجل الموظفين والكفاءة'!B:C,2,FALSE),"")</f>
        <v/>
      </c>
      <c r="G794" s="3">
        <f>IFERROR(VLOOKUP(A794,'الخطة التدريبية المعتمدة'!A:J,10,FALSE),0)</f>
        <v>0</v>
      </c>
      <c r="H794" s="3"/>
      <c r="I794" s="3"/>
      <c r="J794" s="3"/>
      <c r="K794" s="7" t="str">
        <f>IF(OR(I794="",J794="",I794=0),"",(J794-I794)/I794)</f>
        <v/>
      </c>
      <c r="L794" s="3" t="str">
        <f>IF(J794="","",IF(J794/10&gt;='الإعدادات والمستهدفات'!B5,"ناجح ومستوفى","ضعيف - يلزم إعادة اختبار"))</f>
        <v/>
      </c>
      <c r="M794" s="3"/>
      <c r="N794" s="3"/>
    </row>
    <row r="795" spans="1:14" x14ac:dyDescent="0.2">
      <c r="A795" s="3" t="str">
        <f>IFERROR(VLOOKUP(B795,'جدول الجلسات التدريبية'!A:B,2,FALSE),"")</f>
        <v/>
      </c>
      <c r="B795" s="3"/>
      <c r="C795" s="3" t="str">
        <f>IFERROR(VLOOKUP(A795,'الخطة التدريبية المعتمدة'!A:C,3,FALSE),"")</f>
        <v/>
      </c>
      <c r="D795" s="3" t="str">
        <f>IFERROR(VLOOKUP(B795,'جدول الجلسات التدريبية'!A:D,4,FALSE),"")</f>
        <v/>
      </c>
      <c r="E795" s="3"/>
      <c r="F795" s="3" t="str">
        <f>IFERROR(VLOOKUP(E795,'سجل الموظفين والكفاءة'!B:C,2,FALSE),"")</f>
        <v/>
      </c>
      <c r="G795" s="3">
        <f>IFERROR(VLOOKUP(A795,'الخطة التدريبية المعتمدة'!A:J,10,FALSE),0)</f>
        <v>0</v>
      </c>
      <c r="H795" s="3"/>
      <c r="I795" s="3"/>
      <c r="J795" s="3"/>
      <c r="K795" s="7" t="str">
        <f>IF(OR(I795="",J795="",I795=0),"",(J795-I795)/I795)</f>
        <v/>
      </c>
      <c r="L795" s="3" t="str">
        <f>IF(J795="","",IF(J795/10&gt;='الإعدادات والمستهدفات'!B5,"ناجح ومستوفى","ضعيف - يلزم إعادة اختبار"))</f>
        <v/>
      </c>
      <c r="M795" s="3"/>
      <c r="N795" s="3"/>
    </row>
    <row r="796" spans="1:14" x14ac:dyDescent="0.2">
      <c r="A796" s="3" t="str">
        <f>IFERROR(VLOOKUP(B796,'جدول الجلسات التدريبية'!A:B,2,FALSE),"")</f>
        <v/>
      </c>
      <c r="B796" s="3"/>
      <c r="C796" s="3" t="str">
        <f>IFERROR(VLOOKUP(A796,'الخطة التدريبية المعتمدة'!A:C,3,FALSE),"")</f>
        <v/>
      </c>
      <c r="D796" s="3" t="str">
        <f>IFERROR(VLOOKUP(B796,'جدول الجلسات التدريبية'!A:D,4,FALSE),"")</f>
        <v/>
      </c>
      <c r="E796" s="3"/>
      <c r="F796" s="3" t="str">
        <f>IFERROR(VLOOKUP(E796,'سجل الموظفين والكفاءة'!B:C,2,FALSE),"")</f>
        <v/>
      </c>
      <c r="G796" s="3">
        <f>IFERROR(VLOOKUP(A796,'الخطة التدريبية المعتمدة'!A:J,10,FALSE),0)</f>
        <v>0</v>
      </c>
      <c r="H796" s="3"/>
      <c r="I796" s="3"/>
      <c r="J796" s="3"/>
      <c r="K796" s="7" t="str">
        <f>IF(OR(I796="",J796="",I796=0),"",(J796-I796)/I796)</f>
        <v/>
      </c>
      <c r="L796" s="3" t="str">
        <f>IF(J796="","",IF(J796/10&gt;='الإعدادات والمستهدفات'!B5,"ناجح ومستوفى","ضعيف - يلزم إعادة اختبار"))</f>
        <v/>
      </c>
      <c r="M796" s="3"/>
      <c r="N796" s="3"/>
    </row>
    <row r="797" spans="1:14" x14ac:dyDescent="0.2">
      <c r="A797" s="3" t="str">
        <f>IFERROR(VLOOKUP(B797,'جدول الجلسات التدريبية'!A:B,2,FALSE),"")</f>
        <v/>
      </c>
      <c r="B797" s="3"/>
      <c r="C797" s="3" t="str">
        <f>IFERROR(VLOOKUP(A797,'الخطة التدريبية المعتمدة'!A:C,3,FALSE),"")</f>
        <v/>
      </c>
      <c r="D797" s="3" t="str">
        <f>IFERROR(VLOOKUP(B797,'جدول الجلسات التدريبية'!A:D,4,FALSE),"")</f>
        <v/>
      </c>
      <c r="E797" s="3"/>
      <c r="F797" s="3" t="str">
        <f>IFERROR(VLOOKUP(E797,'سجل الموظفين والكفاءة'!B:C,2,FALSE),"")</f>
        <v/>
      </c>
      <c r="G797" s="3">
        <f>IFERROR(VLOOKUP(A797,'الخطة التدريبية المعتمدة'!A:J,10,FALSE),0)</f>
        <v>0</v>
      </c>
      <c r="H797" s="3"/>
      <c r="I797" s="3"/>
      <c r="J797" s="3"/>
      <c r="K797" s="7" t="str">
        <f>IF(OR(I797="",J797="",I797=0),"",(J797-I797)/I797)</f>
        <v/>
      </c>
      <c r="L797" s="3" t="str">
        <f>IF(J797="","",IF(J797/10&gt;='الإعدادات والمستهدفات'!B5,"ناجح ومستوفى","ضعيف - يلزم إعادة اختبار"))</f>
        <v/>
      </c>
      <c r="M797" s="3"/>
      <c r="N797" s="3"/>
    </row>
    <row r="798" spans="1:14" x14ac:dyDescent="0.2">
      <c r="A798" s="3" t="str">
        <f>IFERROR(VLOOKUP(B798,'جدول الجلسات التدريبية'!A:B,2,FALSE),"")</f>
        <v/>
      </c>
      <c r="B798" s="3"/>
      <c r="C798" s="3" t="str">
        <f>IFERROR(VLOOKUP(A798,'الخطة التدريبية المعتمدة'!A:C,3,FALSE),"")</f>
        <v/>
      </c>
      <c r="D798" s="3" t="str">
        <f>IFERROR(VLOOKUP(B798,'جدول الجلسات التدريبية'!A:D,4,FALSE),"")</f>
        <v/>
      </c>
      <c r="E798" s="3"/>
      <c r="F798" s="3" t="str">
        <f>IFERROR(VLOOKUP(E798,'سجل الموظفين والكفاءة'!B:C,2,FALSE),"")</f>
        <v/>
      </c>
      <c r="G798" s="3">
        <f>IFERROR(VLOOKUP(A798,'الخطة التدريبية المعتمدة'!A:J,10,FALSE),0)</f>
        <v>0</v>
      </c>
      <c r="H798" s="3"/>
      <c r="I798" s="3"/>
      <c r="J798" s="3"/>
      <c r="K798" s="7" t="str">
        <f>IF(OR(I798="",J798="",I798=0),"",(J798-I798)/I798)</f>
        <v/>
      </c>
      <c r="L798" s="3" t="str">
        <f>IF(J798="","",IF(J798/10&gt;='الإعدادات والمستهدفات'!B5,"ناجح ومستوفى","ضعيف - يلزم إعادة اختبار"))</f>
        <v/>
      </c>
      <c r="M798" s="3"/>
      <c r="N798" s="3"/>
    </row>
    <row r="799" spans="1:14" x14ac:dyDescent="0.2">
      <c r="A799" s="3" t="str">
        <f>IFERROR(VLOOKUP(B799,'جدول الجلسات التدريبية'!A:B,2,FALSE),"")</f>
        <v/>
      </c>
      <c r="B799" s="3"/>
      <c r="C799" s="3" t="str">
        <f>IFERROR(VLOOKUP(A799,'الخطة التدريبية المعتمدة'!A:C,3,FALSE),"")</f>
        <v/>
      </c>
      <c r="D799" s="3" t="str">
        <f>IFERROR(VLOOKUP(B799,'جدول الجلسات التدريبية'!A:D,4,FALSE),"")</f>
        <v/>
      </c>
      <c r="E799" s="3"/>
      <c r="F799" s="3" t="str">
        <f>IFERROR(VLOOKUP(E799,'سجل الموظفين والكفاءة'!B:C,2,FALSE),"")</f>
        <v/>
      </c>
      <c r="G799" s="3">
        <f>IFERROR(VLOOKUP(A799,'الخطة التدريبية المعتمدة'!A:J,10,FALSE),0)</f>
        <v>0</v>
      </c>
      <c r="H799" s="3"/>
      <c r="I799" s="3"/>
      <c r="J799" s="3"/>
      <c r="K799" s="7" t="str">
        <f>IF(OR(I799="",J799="",I799=0),"",(J799-I799)/I799)</f>
        <v/>
      </c>
      <c r="L799" s="3" t="str">
        <f>IF(J799="","",IF(J799/10&gt;='الإعدادات والمستهدفات'!B5,"ناجح ومستوفى","ضعيف - يلزم إعادة اختبار"))</f>
        <v/>
      </c>
      <c r="M799" s="3"/>
      <c r="N799" s="3"/>
    </row>
    <row r="800" spans="1:14" x14ac:dyDescent="0.2">
      <c r="A800" s="3" t="str">
        <f>IFERROR(VLOOKUP(B800,'جدول الجلسات التدريبية'!A:B,2,FALSE),"")</f>
        <v/>
      </c>
      <c r="B800" s="3"/>
      <c r="C800" s="3" t="str">
        <f>IFERROR(VLOOKUP(A800,'الخطة التدريبية المعتمدة'!A:C,3,FALSE),"")</f>
        <v/>
      </c>
      <c r="D800" s="3" t="str">
        <f>IFERROR(VLOOKUP(B800,'جدول الجلسات التدريبية'!A:D,4,FALSE),"")</f>
        <v/>
      </c>
      <c r="E800" s="3"/>
      <c r="F800" s="3" t="str">
        <f>IFERROR(VLOOKUP(E800,'سجل الموظفين والكفاءة'!B:C,2,FALSE),"")</f>
        <v/>
      </c>
      <c r="G800" s="3">
        <f>IFERROR(VLOOKUP(A800,'الخطة التدريبية المعتمدة'!A:J,10,FALSE),0)</f>
        <v>0</v>
      </c>
      <c r="H800" s="3"/>
      <c r="I800" s="3"/>
      <c r="J800" s="3"/>
      <c r="K800" s="7" t="str">
        <f>IF(OR(I800="",J800="",I800=0),"",(J800-I800)/I800)</f>
        <v/>
      </c>
      <c r="L800" s="3" t="str">
        <f>IF(J800="","",IF(J800/10&gt;='الإعدادات والمستهدفات'!B5,"ناجح ومستوفى","ضعيف - يلزم إعادة اختبار"))</f>
        <v/>
      </c>
      <c r="M800" s="3"/>
      <c r="N800" s="3"/>
    </row>
    <row r="801" spans="1:14" x14ac:dyDescent="0.2">
      <c r="A801" s="3" t="str">
        <f>IFERROR(VLOOKUP(B801,'جدول الجلسات التدريبية'!A:B,2,FALSE),"")</f>
        <v/>
      </c>
      <c r="B801" s="3"/>
      <c r="C801" s="3" t="str">
        <f>IFERROR(VLOOKUP(A801,'الخطة التدريبية المعتمدة'!A:C,3,FALSE),"")</f>
        <v/>
      </c>
      <c r="D801" s="3" t="str">
        <f>IFERROR(VLOOKUP(B801,'جدول الجلسات التدريبية'!A:D,4,FALSE),"")</f>
        <v/>
      </c>
      <c r="E801" s="3"/>
      <c r="F801" s="3" t="str">
        <f>IFERROR(VLOOKUP(E801,'سجل الموظفين والكفاءة'!B:C,2,FALSE),"")</f>
        <v/>
      </c>
      <c r="G801" s="3">
        <f>IFERROR(VLOOKUP(A801,'الخطة التدريبية المعتمدة'!A:J,10,FALSE),0)</f>
        <v>0</v>
      </c>
      <c r="H801" s="3"/>
      <c r="I801" s="3"/>
      <c r="J801" s="3"/>
      <c r="K801" s="7" t="str">
        <f>IF(OR(I801="",J801="",I801=0),"",(J801-I801)/I801)</f>
        <v/>
      </c>
      <c r="L801" s="3" t="str">
        <f>IF(J801="","",IF(J801/10&gt;='الإعدادات والمستهدفات'!B5,"ناجح ومستوفى","ضعيف - يلزم إعادة اختبار"))</f>
        <v/>
      </c>
      <c r="M801" s="3"/>
      <c r="N801" s="3"/>
    </row>
    <row r="802" spans="1:14" x14ac:dyDescent="0.2">
      <c r="A802" s="3" t="str">
        <f>IFERROR(VLOOKUP(B802,'جدول الجلسات التدريبية'!A:B,2,FALSE),"")</f>
        <v/>
      </c>
      <c r="B802" s="3"/>
      <c r="C802" s="3" t="str">
        <f>IFERROR(VLOOKUP(A802,'الخطة التدريبية المعتمدة'!A:C,3,FALSE),"")</f>
        <v/>
      </c>
      <c r="D802" s="3" t="str">
        <f>IFERROR(VLOOKUP(B802,'جدول الجلسات التدريبية'!A:D,4,FALSE),"")</f>
        <v/>
      </c>
      <c r="E802" s="3"/>
      <c r="F802" s="3" t="str">
        <f>IFERROR(VLOOKUP(E802,'سجل الموظفين والكفاءة'!B:C,2,FALSE),"")</f>
        <v/>
      </c>
      <c r="G802" s="3">
        <f>IFERROR(VLOOKUP(A802,'الخطة التدريبية المعتمدة'!A:J,10,FALSE),0)</f>
        <v>0</v>
      </c>
      <c r="H802" s="3"/>
      <c r="I802" s="3"/>
      <c r="J802" s="3"/>
      <c r="K802" s="7" t="str">
        <f>IF(OR(I802="",J802="",I802=0),"",(J802-I802)/I802)</f>
        <v/>
      </c>
      <c r="L802" s="3" t="str">
        <f>IF(J802="","",IF(J802/10&gt;='الإعدادات والمستهدفات'!B5,"ناجح ومستوفى","ضعيف - يلزم إعادة اختبار"))</f>
        <v/>
      </c>
      <c r="M802" s="3"/>
      <c r="N802" s="3"/>
    </row>
    <row r="803" spans="1:14" x14ac:dyDescent="0.2">
      <c r="A803" s="3" t="str">
        <f>IFERROR(VLOOKUP(B803,'جدول الجلسات التدريبية'!A:B,2,FALSE),"")</f>
        <v/>
      </c>
      <c r="B803" s="3"/>
      <c r="C803" s="3" t="str">
        <f>IFERROR(VLOOKUP(A803,'الخطة التدريبية المعتمدة'!A:C,3,FALSE),"")</f>
        <v/>
      </c>
      <c r="D803" s="3" t="str">
        <f>IFERROR(VLOOKUP(B803,'جدول الجلسات التدريبية'!A:D,4,FALSE),"")</f>
        <v/>
      </c>
      <c r="E803" s="3"/>
      <c r="F803" s="3" t="str">
        <f>IFERROR(VLOOKUP(E803,'سجل الموظفين والكفاءة'!B:C,2,FALSE),"")</f>
        <v/>
      </c>
      <c r="G803" s="3">
        <f>IFERROR(VLOOKUP(A803,'الخطة التدريبية المعتمدة'!A:J,10,FALSE),0)</f>
        <v>0</v>
      </c>
      <c r="H803" s="3"/>
      <c r="I803" s="3"/>
      <c r="J803" s="3"/>
      <c r="K803" s="7" t="str">
        <f>IF(OR(I803="",J803="",I803=0),"",(J803-I803)/I803)</f>
        <v/>
      </c>
      <c r="L803" s="3" t="str">
        <f>IF(J803="","",IF(J803/10&gt;='الإعدادات والمستهدفات'!B5,"ناجح ومستوفى","ضعيف - يلزم إعادة اختبار"))</f>
        <v/>
      </c>
      <c r="M803" s="3"/>
      <c r="N803" s="3"/>
    </row>
    <row r="804" spans="1:14" x14ac:dyDescent="0.2">
      <c r="A804" s="3" t="str">
        <f>IFERROR(VLOOKUP(B804,'جدول الجلسات التدريبية'!A:B,2,FALSE),"")</f>
        <v/>
      </c>
      <c r="B804" s="3"/>
      <c r="C804" s="3" t="str">
        <f>IFERROR(VLOOKUP(A804,'الخطة التدريبية المعتمدة'!A:C,3,FALSE),"")</f>
        <v/>
      </c>
      <c r="D804" s="3" t="str">
        <f>IFERROR(VLOOKUP(B804,'جدول الجلسات التدريبية'!A:D,4,FALSE),"")</f>
        <v/>
      </c>
      <c r="E804" s="3"/>
      <c r="F804" s="3" t="str">
        <f>IFERROR(VLOOKUP(E804,'سجل الموظفين والكفاءة'!B:C,2,FALSE),"")</f>
        <v/>
      </c>
      <c r="G804" s="3">
        <f>IFERROR(VLOOKUP(A804,'الخطة التدريبية المعتمدة'!A:J,10,FALSE),0)</f>
        <v>0</v>
      </c>
      <c r="H804" s="3"/>
      <c r="I804" s="3"/>
      <c r="J804" s="3"/>
      <c r="K804" s="7" t="str">
        <f>IF(OR(I804="",J804="",I804=0),"",(J804-I804)/I804)</f>
        <v/>
      </c>
      <c r="L804" s="3" t="str">
        <f>IF(J804="","",IF(J804/10&gt;='الإعدادات والمستهدفات'!B5,"ناجح ومستوفى","ضعيف - يلزم إعادة اختبار"))</f>
        <v/>
      </c>
      <c r="M804" s="3"/>
      <c r="N804" s="3"/>
    </row>
    <row r="805" spans="1:14" x14ac:dyDescent="0.2">
      <c r="A805" s="3" t="str">
        <f>IFERROR(VLOOKUP(B805,'جدول الجلسات التدريبية'!A:B,2,FALSE),"")</f>
        <v/>
      </c>
      <c r="B805" s="3"/>
      <c r="C805" s="3" t="str">
        <f>IFERROR(VLOOKUP(A805,'الخطة التدريبية المعتمدة'!A:C,3,FALSE),"")</f>
        <v/>
      </c>
      <c r="D805" s="3" t="str">
        <f>IFERROR(VLOOKUP(B805,'جدول الجلسات التدريبية'!A:D,4,FALSE),"")</f>
        <v/>
      </c>
      <c r="E805" s="3"/>
      <c r="F805" s="3" t="str">
        <f>IFERROR(VLOOKUP(E805,'سجل الموظفين والكفاءة'!B:C,2,FALSE),"")</f>
        <v/>
      </c>
      <c r="G805" s="3">
        <f>IFERROR(VLOOKUP(A805,'الخطة التدريبية المعتمدة'!A:J,10,FALSE),0)</f>
        <v>0</v>
      </c>
      <c r="H805" s="3"/>
      <c r="I805" s="3"/>
      <c r="J805" s="3"/>
      <c r="K805" s="7" t="str">
        <f>IF(OR(I805="",J805="",I805=0),"",(J805-I805)/I805)</f>
        <v/>
      </c>
      <c r="L805" s="3" t="str">
        <f>IF(J805="","",IF(J805/10&gt;='الإعدادات والمستهدفات'!B5,"ناجح ومستوفى","ضعيف - يلزم إعادة اختبار"))</f>
        <v/>
      </c>
      <c r="M805" s="3"/>
      <c r="N805" s="3"/>
    </row>
    <row r="806" spans="1:14" x14ac:dyDescent="0.2">
      <c r="A806" s="3" t="str">
        <f>IFERROR(VLOOKUP(B806,'جدول الجلسات التدريبية'!A:B,2,FALSE),"")</f>
        <v/>
      </c>
      <c r="B806" s="3"/>
      <c r="C806" s="3" t="str">
        <f>IFERROR(VLOOKUP(A806,'الخطة التدريبية المعتمدة'!A:C,3,FALSE),"")</f>
        <v/>
      </c>
      <c r="D806" s="3" t="str">
        <f>IFERROR(VLOOKUP(B806,'جدول الجلسات التدريبية'!A:D,4,FALSE),"")</f>
        <v/>
      </c>
      <c r="E806" s="3"/>
      <c r="F806" s="3" t="str">
        <f>IFERROR(VLOOKUP(E806,'سجل الموظفين والكفاءة'!B:C,2,FALSE),"")</f>
        <v/>
      </c>
      <c r="G806" s="3">
        <f>IFERROR(VLOOKUP(A806,'الخطة التدريبية المعتمدة'!A:J,10,FALSE),0)</f>
        <v>0</v>
      </c>
      <c r="H806" s="3"/>
      <c r="I806" s="3"/>
      <c r="J806" s="3"/>
      <c r="K806" s="7" t="str">
        <f>IF(OR(I806="",J806="",I806=0),"",(J806-I806)/I806)</f>
        <v/>
      </c>
      <c r="L806" s="3" t="str">
        <f>IF(J806="","",IF(J806/10&gt;='الإعدادات والمستهدفات'!B5,"ناجح ومستوفى","ضعيف - يلزم إعادة اختبار"))</f>
        <v/>
      </c>
      <c r="M806" s="3"/>
      <c r="N806" s="3"/>
    </row>
    <row r="807" spans="1:14" x14ac:dyDescent="0.2">
      <c r="A807" s="3" t="str">
        <f>IFERROR(VLOOKUP(B807,'جدول الجلسات التدريبية'!A:B,2,FALSE),"")</f>
        <v/>
      </c>
      <c r="B807" s="3"/>
      <c r="C807" s="3" t="str">
        <f>IFERROR(VLOOKUP(A807,'الخطة التدريبية المعتمدة'!A:C,3,FALSE),"")</f>
        <v/>
      </c>
      <c r="D807" s="3" t="str">
        <f>IFERROR(VLOOKUP(B807,'جدول الجلسات التدريبية'!A:D,4,FALSE),"")</f>
        <v/>
      </c>
      <c r="E807" s="3"/>
      <c r="F807" s="3" t="str">
        <f>IFERROR(VLOOKUP(E807,'سجل الموظفين والكفاءة'!B:C,2,FALSE),"")</f>
        <v/>
      </c>
      <c r="G807" s="3">
        <f>IFERROR(VLOOKUP(A807,'الخطة التدريبية المعتمدة'!A:J,10,FALSE),0)</f>
        <v>0</v>
      </c>
      <c r="H807" s="3"/>
      <c r="I807" s="3"/>
      <c r="J807" s="3"/>
      <c r="K807" s="7" t="str">
        <f>IF(OR(I807="",J807="",I807=0),"",(J807-I807)/I807)</f>
        <v/>
      </c>
      <c r="L807" s="3" t="str">
        <f>IF(J807="","",IF(J807/10&gt;='الإعدادات والمستهدفات'!B5,"ناجح ومستوفى","ضعيف - يلزم إعادة اختبار"))</f>
        <v/>
      </c>
      <c r="M807" s="3"/>
      <c r="N807" s="3"/>
    </row>
    <row r="808" spans="1:14" x14ac:dyDescent="0.2">
      <c r="A808" s="3" t="str">
        <f>IFERROR(VLOOKUP(B808,'جدول الجلسات التدريبية'!A:B,2,FALSE),"")</f>
        <v/>
      </c>
      <c r="B808" s="3"/>
      <c r="C808" s="3" t="str">
        <f>IFERROR(VLOOKUP(A808,'الخطة التدريبية المعتمدة'!A:C,3,FALSE),"")</f>
        <v/>
      </c>
      <c r="D808" s="3" t="str">
        <f>IFERROR(VLOOKUP(B808,'جدول الجلسات التدريبية'!A:D,4,FALSE),"")</f>
        <v/>
      </c>
      <c r="E808" s="3"/>
      <c r="F808" s="3" t="str">
        <f>IFERROR(VLOOKUP(E808,'سجل الموظفين والكفاءة'!B:C,2,FALSE),"")</f>
        <v/>
      </c>
      <c r="G808" s="3">
        <f>IFERROR(VLOOKUP(A808,'الخطة التدريبية المعتمدة'!A:J,10,FALSE),0)</f>
        <v>0</v>
      </c>
      <c r="H808" s="3"/>
      <c r="I808" s="3"/>
      <c r="J808" s="3"/>
      <c r="K808" s="7" t="str">
        <f>IF(OR(I808="",J808="",I808=0),"",(J808-I808)/I808)</f>
        <v/>
      </c>
      <c r="L808" s="3" t="str">
        <f>IF(J808="","",IF(J808/10&gt;='الإعدادات والمستهدفات'!B5,"ناجح ومستوفى","ضعيف - يلزم إعادة اختبار"))</f>
        <v/>
      </c>
      <c r="M808" s="3"/>
      <c r="N808" s="3"/>
    </row>
    <row r="809" spans="1:14" x14ac:dyDescent="0.2">
      <c r="A809" s="3" t="str">
        <f>IFERROR(VLOOKUP(B809,'جدول الجلسات التدريبية'!A:B,2,FALSE),"")</f>
        <v/>
      </c>
      <c r="B809" s="3"/>
      <c r="C809" s="3" t="str">
        <f>IFERROR(VLOOKUP(A809,'الخطة التدريبية المعتمدة'!A:C,3,FALSE),"")</f>
        <v/>
      </c>
      <c r="D809" s="3" t="str">
        <f>IFERROR(VLOOKUP(B809,'جدول الجلسات التدريبية'!A:D,4,FALSE),"")</f>
        <v/>
      </c>
      <c r="E809" s="3"/>
      <c r="F809" s="3" t="str">
        <f>IFERROR(VLOOKUP(E809,'سجل الموظفين والكفاءة'!B:C,2,FALSE),"")</f>
        <v/>
      </c>
      <c r="G809" s="3">
        <f>IFERROR(VLOOKUP(A809,'الخطة التدريبية المعتمدة'!A:J,10,FALSE),0)</f>
        <v>0</v>
      </c>
      <c r="H809" s="3"/>
      <c r="I809" s="3"/>
      <c r="J809" s="3"/>
      <c r="K809" s="7" t="str">
        <f>IF(OR(I809="",J809="",I809=0),"",(J809-I809)/I809)</f>
        <v/>
      </c>
      <c r="L809" s="3" t="str">
        <f>IF(J809="","",IF(J809/10&gt;='الإعدادات والمستهدفات'!B5,"ناجح ومستوفى","ضعيف - يلزم إعادة اختبار"))</f>
        <v/>
      </c>
      <c r="M809" s="3"/>
      <c r="N809" s="3"/>
    </row>
    <row r="810" spans="1:14" x14ac:dyDescent="0.2">
      <c r="A810" s="3" t="str">
        <f>IFERROR(VLOOKUP(B810,'جدول الجلسات التدريبية'!A:B,2,FALSE),"")</f>
        <v/>
      </c>
      <c r="B810" s="3"/>
      <c r="C810" s="3" t="str">
        <f>IFERROR(VLOOKUP(A810,'الخطة التدريبية المعتمدة'!A:C,3,FALSE),"")</f>
        <v/>
      </c>
      <c r="D810" s="3" t="str">
        <f>IFERROR(VLOOKUP(B810,'جدول الجلسات التدريبية'!A:D,4,FALSE),"")</f>
        <v/>
      </c>
      <c r="E810" s="3"/>
      <c r="F810" s="3" t="str">
        <f>IFERROR(VLOOKUP(E810,'سجل الموظفين والكفاءة'!B:C,2,FALSE),"")</f>
        <v/>
      </c>
      <c r="G810" s="3">
        <f>IFERROR(VLOOKUP(A810,'الخطة التدريبية المعتمدة'!A:J,10,FALSE),0)</f>
        <v>0</v>
      </c>
      <c r="H810" s="3"/>
      <c r="I810" s="3"/>
      <c r="J810" s="3"/>
      <c r="K810" s="7" t="str">
        <f>IF(OR(I810="",J810="",I810=0),"",(J810-I810)/I810)</f>
        <v/>
      </c>
      <c r="L810" s="3" t="str">
        <f>IF(J810="","",IF(J810/10&gt;='الإعدادات والمستهدفات'!B5,"ناجح ومستوفى","ضعيف - يلزم إعادة اختبار"))</f>
        <v/>
      </c>
      <c r="M810" s="3"/>
      <c r="N810" s="3"/>
    </row>
    <row r="811" spans="1:14" x14ac:dyDescent="0.2">
      <c r="A811" s="3" t="str">
        <f>IFERROR(VLOOKUP(B811,'جدول الجلسات التدريبية'!A:B,2,FALSE),"")</f>
        <v/>
      </c>
      <c r="B811" s="3"/>
      <c r="C811" s="3" t="str">
        <f>IFERROR(VLOOKUP(A811,'الخطة التدريبية المعتمدة'!A:C,3,FALSE),"")</f>
        <v/>
      </c>
      <c r="D811" s="3" t="str">
        <f>IFERROR(VLOOKUP(B811,'جدول الجلسات التدريبية'!A:D,4,FALSE),"")</f>
        <v/>
      </c>
      <c r="E811" s="3"/>
      <c r="F811" s="3" t="str">
        <f>IFERROR(VLOOKUP(E811,'سجل الموظفين والكفاءة'!B:C,2,FALSE),"")</f>
        <v/>
      </c>
      <c r="G811" s="3">
        <f>IFERROR(VLOOKUP(A811,'الخطة التدريبية المعتمدة'!A:J,10,FALSE),0)</f>
        <v>0</v>
      </c>
      <c r="H811" s="3"/>
      <c r="I811" s="3"/>
      <c r="J811" s="3"/>
      <c r="K811" s="7" t="str">
        <f>IF(OR(I811="",J811="",I811=0),"",(J811-I811)/I811)</f>
        <v/>
      </c>
      <c r="L811" s="3" t="str">
        <f>IF(J811="","",IF(J811/10&gt;='الإعدادات والمستهدفات'!B5,"ناجح ومستوفى","ضعيف - يلزم إعادة اختبار"))</f>
        <v/>
      </c>
      <c r="M811" s="3"/>
      <c r="N811" s="3"/>
    </row>
    <row r="812" spans="1:14" x14ac:dyDescent="0.2">
      <c r="A812" s="3" t="str">
        <f>IFERROR(VLOOKUP(B812,'جدول الجلسات التدريبية'!A:B,2,FALSE),"")</f>
        <v/>
      </c>
      <c r="B812" s="3"/>
      <c r="C812" s="3" t="str">
        <f>IFERROR(VLOOKUP(A812,'الخطة التدريبية المعتمدة'!A:C,3,FALSE),"")</f>
        <v/>
      </c>
      <c r="D812" s="3" t="str">
        <f>IFERROR(VLOOKUP(B812,'جدول الجلسات التدريبية'!A:D,4,FALSE),"")</f>
        <v/>
      </c>
      <c r="E812" s="3"/>
      <c r="F812" s="3" t="str">
        <f>IFERROR(VLOOKUP(E812,'سجل الموظفين والكفاءة'!B:C,2,FALSE),"")</f>
        <v/>
      </c>
      <c r="G812" s="3">
        <f>IFERROR(VLOOKUP(A812,'الخطة التدريبية المعتمدة'!A:J,10,FALSE),0)</f>
        <v>0</v>
      </c>
      <c r="H812" s="3"/>
      <c r="I812" s="3"/>
      <c r="J812" s="3"/>
      <c r="K812" s="7" t="str">
        <f>IF(OR(I812="",J812="",I812=0),"",(J812-I812)/I812)</f>
        <v/>
      </c>
      <c r="L812" s="3" t="str">
        <f>IF(J812="","",IF(J812/10&gt;='الإعدادات والمستهدفات'!B5,"ناجح ومستوفى","ضعيف - يلزم إعادة اختبار"))</f>
        <v/>
      </c>
      <c r="M812" s="3"/>
      <c r="N812" s="3"/>
    </row>
    <row r="813" spans="1:14" x14ac:dyDescent="0.2">
      <c r="A813" s="3" t="str">
        <f>IFERROR(VLOOKUP(B813,'جدول الجلسات التدريبية'!A:B,2,FALSE),"")</f>
        <v/>
      </c>
      <c r="B813" s="3"/>
      <c r="C813" s="3" t="str">
        <f>IFERROR(VLOOKUP(A813,'الخطة التدريبية المعتمدة'!A:C,3,FALSE),"")</f>
        <v/>
      </c>
      <c r="D813" s="3" t="str">
        <f>IFERROR(VLOOKUP(B813,'جدول الجلسات التدريبية'!A:D,4,FALSE),"")</f>
        <v/>
      </c>
      <c r="E813" s="3"/>
      <c r="F813" s="3" t="str">
        <f>IFERROR(VLOOKUP(E813,'سجل الموظفين والكفاءة'!B:C,2,FALSE),"")</f>
        <v/>
      </c>
      <c r="G813" s="3">
        <f>IFERROR(VLOOKUP(A813,'الخطة التدريبية المعتمدة'!A:J,10,FALSE),0)</f>
        <v>0</v>
      </c>
      <c r="H813" s="3"/>
      <c r="I813" s="3"/>
      <c r="J813" s="3"/>
      <c r="K813" s="7" t="str">
        <f>IF(OR(I813="",J813="",I813=0),"",(J813-I813)/I813)</f>
        <v/>
      </c>
      <c r="L813" s="3" t="str">
        <f>IF(J813="","",IF(J813/10&gt;='الإعدادات والمستهدفات'!B5,"ناجح ومستوفى","ضعيف - يلزم إعادة اختبار"))</f>
        <v/>
      </c>
      <c r="M813" s="3"/>
      <c r="N813" s="3"/>
    </row>
    <row r="814" spans="1:14" x14ac:dyDescent="0.2">
      <c r="A814" s="3" t="str">
        <f>IFERROR(VLOOKUP(B814,'جدول الجلسات التدريبية'!A:B,2,FALSE),"")</f>
        <v/>
      </c>
      <c r="B814" s="3"/>
      <c r="C814" s="3" t="str">
        <f>IFERROR(VLOOKUP(A814,'الخطة التدريبية المعتمدة'!A:C,3,FALSE),"")</f>
        <v/>
      </c>
      <c r="D814" s="3" t="str">
        <f>IFERROR(VLOOKUP(B814,'جدول الجلسات التدريبية'!A:D,4,FALSE),"")</f>
        <v/>
      </c>
      <c r="E814" s="3"/>
      <c r="F814" s="3" t="str">
        <f>IFERROR(VLOOKUP(E814,'سجل الموظفين والكفاءة'!B:C,2,FALSE),"")</f>
        <v/>
      </c>
      <c r="G814" s="3">
        <f>IFERROR(VLOOKUP(A814,'الخطة التدريبية المعتمدة'!A:J,10,FALSE),0)</f>
        <v>0</v>
      </c>
      <c r="H814" s="3"/>
      <c r="I814" s="3"/>
      <c r="J814" s="3"/>
      <c r="K814" s="7" t="str">
        <f>IF(OR(I814="",J814="",I814=0),"",(J814-I814)/I814)</f>
        <v/>
      </c>
      <c r="L814" s="3" t="str">
        <f>IF(J814="","",IF(J814/10&gt;='الإعدادات والمستهدفات'!B5,"ناجح ومستوفى","ضعيف - يلزم إعادة اختبار"))</f>
        <v/>
      </c>
      <c r="M814" s="3"/>
      <c r="N814" s="3"/>
    </row>
    <row r="815" spans="1:14" x14ac:dyDescent="0.2">
      <c r="A815" s="3" t="str">
        <f>IFERROR(VLOOKUP(B815,'جدول الجلسات التدريبية'!A:B,2,FALSE),"")</f>
        <v/>
      </c>
      <c r="B815" s="3"/>
      <c r="C815" s="3" t="str">
        <f>IFERROR(VLOOKUP(A815,'الخطة التدريبية المعتمدة'!A:C,3,FALSE),"")</f>
        <v/>
      </c>
      <c r="D815" s="3" t="str">
        <f>IFERROR(VLOOKUP(B815,'جدول الجلسات التدريبية'!A:D,4,FALSE),"")</f>
        <v/>
      </c>
      <c r="E815" s="3"/>
      <c r="F815" s="3" t="str">
        <f>IFERROR(VLOOKUP(E815,'سجل الموظفين والكفاءة'!B:C,2,FALSE),"")</f>
        <v/>
      </c>
      <c r="G815" s="3">
        <f>IFERROR(VLOOKUP(A815,'الخطة التدريبية المعتمدة'!A:J,10,FALSE),0)</f>
        <v>0</v>
      </c>
      <c r="H815" s="3"/>
      <c r="I815" s="3"/>
      <c r="J815" s="3"/>
      <c r="K815" s="7" t="str">
        <f>IF(OR(I815="",J815="",I815=0),"",(J815-I815)/I815)</f>
        <v/>
      </c>
      <c r="L815" s="3" t="str">
        <f>IF(J815="","",IF(J815/10&gt;='الإعدادات والمستهدفات'!B5,"ناجح ومستوفى","ضعيف - يلزم إعادة اختبار"))</f>
        <v/>
      </c>
      <c r="M815" s="3"/>
      <c r="N815" s="3"/>
    </row>
    <row r="816" spans="1:14" x14ac:dyDescent="0.2">
      <c r="A816" s="3" t="str">
        <f>IFERROR(VLOOKUP(B816,'جدول الجلسات التدريبية'!A:B,2,FALSE),"")</f>
        <v/>
      </c>
      <c r="B816" s="3"/>
      <c r="C816" s="3" t="str">
        <f>IFERROR(VLOOKUP(A816,'الخطة التدريبية المعتمدة'!A:C,3,FALSE),"")</f>
        <v/>
      </c>
      <c r="D816" s="3" t="str">
        <f>IFERROR(VLOOKUP(B816,'جدول الجلسات التدريبية'!A:D,4,FALSE),"")</f>
        <v/>
      </c>
      <c r="E816" s="3"/>
      <c r="F816" s="3" t="str">
        <f>IFERROR(VLOOKUP(E816,'سجل الموظفين والكفاءة'!B:C,2,FALSE),"")</f>
        <v/>
      </c>
      <c r="G816" s="3">
        <f>IFERROR(VLOOKUP(A816,'الخطة التدريبية المعتمدة'!A:J,10,FALSE),0)</f>
        <v>0</v>
      </c>
      <c r="H816" s="3"/>
      <c r="I816" s="3"/>
      <c r="J816" s="3"/>
      <c r="K816" s="7" t="str">
        <f>IF(OR(I816="",J816="",I816=0),"",(J816-I816)/I816)</f>
        <v/>
      </c>
      <c r="L816" s="3" t="str">
        <f>IF(J816="","",IF(J816/10&gt;='الإعدادات والمستهدفات'!B5,"ناجح ومستوفى","ضعيف - يلزم إعادة اختبار"))</f>
        <v/>
      </c>
      <c r="M816" s="3"/>
      <c r="N816" s="3"/>
    </row>
    <row r="817" spans="1:14" x14ac:dyDescent="0.2">
      <c r="A817" s="3" t="str">
        <f>IFERROR(VLOOKUP(B817,'جدول الجلسات التدريبية'!A:B,2,FALSE),"")</f>
        <v/>
      </c>
      <c r="B817" s="3"/>
      <c r="C817" s="3" t="str">
        <f>IFERROR(VLOOKUP(A817,'الخطة التدريبية المعتمدة'!A:C,3,FALSE),"")</f>
        <v/>
      </c>
      <c r="D817" s="3" t="str">
        <f>IFERROR(VLOOKUP(B817,'جدول الجلسات التدريبية'!A:D,4,FALSE),"")</f>
        <v/>
      </c>
      <c r="E817" s="3"/>
      <c r="F817" s="3" t="str">
        <f>IFERROR(VLOOKUP(E817,'سجل الموظفين والكفاءة'!B:C,2,FALSE),"")</f>
        <v/>
      </c>
      <c r="G817" s="3">
        <f>IFERROR(VLOOKUP(A817,'الخطة التدريبية المعتمدة'!A:J,10,FALSE),0)</f>
        <v>0</v>
      </c>
      <c r="H817" s="3"/>
      <c r="I817" s="3"/>
      <c r="J817" s="3"/>
      <c r="K817" s="7" t="str">
        <f>IF(OR(I817="",J817="",I817=0),"",(J817-I817)/I817)</f>
        <v/>
      </c>
      <c r="L817" s="3" t="str">
        <f>IF(J817="","",IF(J817/10&gt;='الإعدادات والمستهدفات'!B5,"ناجح ومستوفى","ضعيف - يلزم إعادة اختبار"))</f>
        <v/>
      </c>
      <c r="M817" s="3"/>
      <c r="N817" s="3"/>
    </row>
    <row r="818" spans="1:14" x14ac:dyDescent="0.2">
      <c r="A818" s="3" t="str">
        <f>IFERROR(VLOOKUP(B818,'جدول الجلسات التدريبية'!A:B,2,FALSE),"")</f>
        <v/>
      </c>
      <c r="B818" s="3"/>
      <c r="C818" s="3" t="str">
        <f>IFERROR(VLOOKUP(A818,'الخطة التدريبية المعتمدة'!A:C,3,FALSE),"")</f>
        <v/>
      </c>
      <c r="D818" s="3" t="str">
        <f>IFERROR(VLOOKUP(B818,'جدول الجلسات التدريبية'!A:D,4,FALSE),"")</f>
        <v/>
      </c>
      <c r="E818" s="3"/>
      <c r="F818" s="3" t="str">
        <f>IFERROR(VLOOKUP(E818,'سجل الموظفين والكفاءة'!B:C,2,FALSE),"")</f>
        <v/>
      </c>
      <c r="G818" s="3">
        <f>IFERROR(VLOOKUP(A818,'الخطة التدريبية المعتمدة'!A:J,10,FALSE),0)</f>
        <v>0</v>
      </c>
      <c r="H818" s="3"/>
      <c r="I818" s="3"/>
      <c r="J818" s="3"/>
      <c r="K818" s="7" t="str">
        <f>IF(OR(I818="",J818="",I818=0),"",(J818-I818)/I818)</f>
        <v/>
      </c>
      <c r="L818" s="3" t="str">
        <f>IF(J818="","",IF(J818/10&gt;='الإعدادات والمستهدفات'!B5,"ناجح ومستوفى","ضعيف - يلزم إعادة اختبار"))</f>
        <v/>
      </c>
      <c r="M818" s="3"/>
      <c r="N818" s="3"/>
    </row>
    <row r="819" spans="1:14" x14ac:dyDescent="0.2">
      <c r="A819" s="3" t="str">
        <f>IFERROR(VLOOKUP(B819,'جدول الجلسات التدريبية'!A:B,2,FALSE),"")</f>
        <v/>
      </c>
      <c r="B819" s="3"/>
      <c r="C819" s="3" t="str">
        <f>IFERROR(VLOOKUP(A819,'الخطة التدريبية المعتمدة'!A:C,3,FALSE),"")</f>
        <v/>
      </c>
      <c r="D819" s="3" t="str">
        <f>IFERROR(VLOOKUP(B819,'جدول الجلسات التدريبية'!A:D,4,FALSE),"")</f>
        <v/>
      </c>
      <c r="E819" s="3"/>
      <c r="F819" s="3" t="str">
        <f>IFERROR(VLOOKUP(E819,'سجل الموظفين والكفاءة'!B:C,2,FALSE),"")</f>
        <v/>
      </c>
      <c r="G819" s="3">
        <f>IFERROR(VLOOKUP(A819,'الخطة التدريبية المعتمدة'!A:J,10,FALSE),0)</f>
        <v>0</v>
      </c>
      <c r="H819" s="3"/>
      <c r="I819" s="3"/>
      <c r="J819" s="3"/>
      <c r="K819" s="7" t="str">
        <f>IF(OR(I819="",J819="",I819=0),"",(J819-I819)/I819)</f>
        <v/>
      </c>
      <c r="L819" s="3" t="str">
        <f>IF(J819="","",IF(J819/10&gt;='الإعدادات والمستهدفات'!B5,"ناجح ومستوفى","ضعيف - يلزم إعادة اختبار"))</f>
        <v/>
      </c>
      <c r="M819" s="3"/>
      <c r="N819" s="3"/>
    </row>
    <row r="820" spans="1:14" x14ac:dyDescent="0.2">
      <c r="A820" s="3" t="str">
        <f>IFERROR(VLOOKUP(B820,'جدول الجلسات التدريبية'!A:B,2,FALSE),"")</f>
        <v/>
      </c>
      <c r="B820" s="3"/>
      <c r="C820" s="3" t="str">
        <f>IFERROR(VLOOKUP(A820,'الخطة التدريبية المعتمدة'!A:C,3,FALSE),"")</f>
        <v/>
      </c>
      <c r="D820" s="3" t="str">
        <f>IFERROR(VLOOKUP(B820,'جدول الجلسات التدريبية'!A:D,4,FALSE),"")</f>
        <v/>
      </c>
      <c r="E820" s="3"/>
      <c r="F820" s="3" t="str">
        <f>IFERROR(VLOOKUP(E820,'سجل الموظفين والكفاءة'!B:C,2,FALSE),"")</f>
        <v/>
      </c>
      <c r="G820" s="3">
        <f>IFERROR(VLOOKUP(A820,'الخطة التدريبية المعتمدة'!A:J,10,FALSE),0)</f>
        <v>0</v>
      </c>
      <c r="H820" s="3"/>
      <c r="I820" s="3"/>
      <c r="J820" s="3"/>
      <c r="K820" s="7" t="str">
        <f>IF(OR(I820="",J820="",I820=0),"",(J820-I820)/I820)</f>
        <v/>
      </c>
      <c r="L820" s="3" t="str">
        <f>IF(J820="","",IF(J820/10&gt;='الإعدادات والمستهدفات'!B5,"ناجح ومستوفى","ضعيف - يلزم إعادة اختبار"))</f>
        <v/>
      </c>
      <c r="M820" s="3"/>
      <c r="N820" s="3"/>
    </row>
    <row r="821" spans="1:14" x14ac:dyDescent="0.2">
      <c r="A821" s="3" t="str">
        <f>IFERROR(VLOOKUP(B821,'جدول الجلسات التدريبية'!A:B,2,FALSE),"")</f>
        <v/>
      </c>
      <c r="B821" s="3"/>
      <c r="C821" s="3" t="str">
        <f>IFERROR(VLOOKUP(A821,'الخطة التدريبية المعتمدة'!A:C,3,FALSE),"")</f>
        <v/>
      </c>
      <c r="D821" s="3" t="str">
        <f>IFERROR(VLOOKUP(B821,'جدول الجلسات التدريبية'!A:D,4,FALSE),"")</f>
        <v/>
      </c>
      <c r="E821" s="3"/>
      <c r="F821" s="3" t="str">
        <f>IFERROR(VLOOKUP(E821,'سجل الموظفين والكفاءة'!B:C,2,FALSE),"")</f>
        <v/>
      </c>
      <c r="G821" s="3">
        <f>IFERROR(VLOOKUP(A821,'الخطة التدريبية المعتمدة'!A:J,10,FALSE),0)</f>
        <v>0</v>
      </c>
      <c r="H821" s="3"/>
      <c r="I821" s="3"/>
      <c r="J821" s="3"/>
      <c r="K821" s="7" t="str">
        <f>IF(OR(I821="",J821="",I821=0),"",(J821-I821)/I821)</f>
        <v/>
      </c>
      <c r="L821" s="3" t="str">
        <f>IF(J821="","",IF(J821/10&gt;='الإعدادات والمستهدفات'!B5,"ناجح ومستوفى","ضعيف - يلزم إعادة اختبار"))</f>
        <v/>
      </c>
      <c r="M821" s="3"/>
      <c r="N821" s="3"/>
    </row>
    <row r="822" spans="1:14" x14ac:dyDescent="0.2">
      <c r="A822" s="3" t="str">
        <f>IFERROR(VLOOKUP(B822,'جدول الجلسات التدريبية'!A:B,2,FALSE),"")</f>
        <v/>
      </c>
      <c r="B822" s="3"/>
      <c r="C822" s="3" t="str">
        <f>IFERROR(VLOOKUP(A822,'الخطة التدريبية المعتمدة'!A:C,3,FALSE),"")</f>
        <v/>
      </c>
      <c r="D822" s="3" t="str">
        <f>IFERROR(VLOOKUP(B822,'جدول الجلسات التدريبية'!A:D,4,FALSE),"")</f>
        <v/>
      </c>
      <c r="E822" s="3"/>
      <c r="F822" s="3" t="str">
        <f>IFERROR(VLOOKUP(E822,'سجل الموظفين والكفاءة'!B:C,2,FALSE),"")</f>
        <v/>
      </c>
      <c r="G822" s="3">
        <f>IFERROR(VLOOKUP(A822,'الخطة التدريبية المعتمدة'!A:J,10,FALSE),0)</f>
        <v>0</v>
      </c>
      <c r="H822" s="3"/>
      <c r="I822" s="3"/>
      <c r="J822" s="3"/>
      <c r="K822" s="7" t="str">
        <f>IF(OR(I822="",J822="",I822=0),"",(J822-I822)/I822)</f>
        <v/>
      </c>
      <c r="L822" s="3" t="str">
        <f>IF(J822="","",IF(J822/10&gt;='الإعدادات والمستهدفات'!B5,"ناجح ومستوفى","ضعيف - يلزم إعادة اختبار"))</f>
        <v/>
      </c>
      <c r="M822" s="3"/>
      <c r="N822" s="3"/>
    </row>
    <row r="823" spans="1:14" x14ac:dyDescent="0.2">
      <c r="A823" s="3" t="str">
        <f>IFERROR(VLOOKUP(B823,'جدول الجلسات التدريبية'!A:B,2,FALSE),"")</f>
        <v/>
      </c>
      <c r="B823" s="3"/>
      <c r="C823" s="3" t="str">
        <f>IFERROR(VLOOKUP(A823,'الخطة التدريبية المعتمدة'!A:C,3,FALSE),"")</f>
        <v/>
      </c>
      <c r="D823" s="3" t="str">
        <f>IFERROR(VLOOKUP(B823,'جدول الجلسات التدريبية'!A:D,4,FALSE),"")</f>
        <v/>
      </c>
      <c r="E823" s="3"/>
      <c r="F823" s="3" t="str">
        <f>IFERROR(VLOOKUP(E823,'سجل الموظفين والكفاءة'!B:C,2,FALSE),"")</f>
        <v/>
      </c>
      <c r="G823" s="3">
        <f>IFERROR(VLOOKUP(A823,'الخطة التدريبية المعتمدة'!A:J,10,FALSE),0)</f>
        <v>0</v>
      </c>
      <c r="H823" s="3"/>
      <c r="I823" s="3"/>
      <c r="J823" s="3"/>
      <c r="K823" s="7" t="str">
        <f>IF(OR(I823="",J823="",I823=0),"",(J823-I823)/I823)</f>
        <v/>
      </c>
      <c r="L823" s="3" t="str">
        <f>IF(J823="","",IF(J823/10&gt;='الإعدادات والمستهدفات'!B5,"ناجح ومستوفى","ضعيف - يلزم إعادة اختبار"))</f>
        <v/>
      </c>
      <c r="M823" s="3"/>
      <c r="N823" s="3"/>
    </row>
    <row r="824" spans="1:14" x14ac:dyDescent="0.2">
      <c r="A824" s="3" t="str">
        <f>IFERROR(VLOOKUP(B824,'جدول الجلسات التدريبية'!A:B,2,FALSE),"")</f>
        <v/>
      </c>
      <c r="B824" s="3"/>
      <c r="C824" s="3" t="str">
        <f>IFERROR(VLOOKUP(A824,'الخطة التدريبية المعتمدة'!A:C,3,FALSE),"")</f>
        <v/>
      </c>
      <c r="D824" s="3" t="str">
        <f>IFERROR(VLOOKUP(B824,'جدول الجلسات التدريبية'!A:D,4,FALSE),"")</f>
        <v/>
      </c>
      <c r="E824" s="3"/>
      <c r="F824" s="3" t="str">
        <f>IFERROR(VLOOKUP(E824,'سجل الموظفين والكفاءة'!B:C,2,FALSE),"")</f>
        <v/>
      </c>
      <c r="G824" s="3">
        <f>IFERROR(VLOOKUP(A824,'الخطة التدريبية المعتمدة'!A:J,10,FALSE),0)</f>
        <v>0</v>
      </c>
      <c r="H824" s="3"/>
      <c r="I824" s="3"/>
      <c r="J824" s="3"/>
      <c r="K824" s="7" t="str">
        <f>IF(OR(I824="",J824="",I824=0),"",(J824-I824)/I824)</f>
        <v/>
      </c>
      <c r="L824" s="3" t="str">
        <f>IF(J824="","",IF(J824/10&gt;='الإعدادات والمستهدفات'!B5,"ناجح ومستوفى","ضعيف - يلزم إعادة اختبار"))</f>
        <v/>
      </c>
      <c r="M824" s="3"/>
      <c r="N824" s="3"/>
    </row>
    <row r="825" spans="1:14" x14ac:dyDescent="0.2">
      <c r="A825" s="3" t="str">
        <f>IFERROR(VLOOKUP(B825,'جدول الجلسات التدريبية'!A:B,2,FALSE),"")</f>
        <v/>
      </c>
      <c r="B825" s="3"/>
      <c r="C825" s="3" t="str">
        <f>IFERROR(VLOOKUP(A825,'الخطة التدريبية المعتمدة'!A:C,3,FALSE),"")</f>
        <v/>
      </c>
      <c r="D825" s="3" t="str">
        <f>IFERROR(VLOOKUP(B825,'جدول الجلسات التدريبية'!A:D,4,FALSE),"")</f>
        <v/>
      </c>
      <c r="E825" s="3"/>
      <c r="F825" s="3" t="str">
        <f>IFERROR(VLOOKUP(E825,'سجل الموظفين والكفاءة'!B:C,2,FALSE),"")</f>
        <v/>
      </c>
      <c r="G825" s="3">
        <f>IFERROR(VLOOKUP(A825,'الخطة التدريبية المعتمدة'!A:J,10,FALSE),0)</f>
        <v>0</v>
      </c>
      <c r="H825" s="3"/>
      <c r="I825" s="3"/>
      <c r="J825" s="3"/>
      <c r="K825" s="7" t="str">
        <f>IF(OR(I825="",J825="",I825=0),"",(J825-I825)/I825)</f>
        <v/>
      </c>
      <c r="L825" s="3" t="str">
        <f>IF(J825="","",IF(J825/10&gt;='الإعدادات والمستهدفات'!B5,"ناجح ومستوفى","ضعيف - يلزم إعادة اختبار"))</f>
        <v/>
      </c>
      <c r="M825" s="3"/>
      <c r="N825" s="3"/>
    </row>
    <row r="826" spans="1:14" x14ac:dyDescent="0.2">
      <c r="A826" s="3" t="str">
        <f>IFERROR(VLOOKUP(B826,'جدول الجلسات التدريبية'!A:B,2,FALSE),"")</f>
        <v/>
      </c>
      <c r="B826" s="3"/>
      <c r="C826" s="3" t="str">
        <f>IFERROR(VLOOKUP(A826,'الخطة التدريبية المعتمدة'!A:C,3,FALSE),"")</f>
        <v/>
      </c>
      <c r="D826" s="3" t="str">
        <f>IFERROR(VLOOKUP(B826,'جدول الجلسات التدريبية'!A:D,4,FALSE),"")</f>
        <v/>
      </c>
      <c r="E826" s="3"/>
      <c r="F826" s="3" t="str">
        <f>IFERROR(VLOOKUP(E826,'سجل الموظفين والكفاءة'!B:C,2,FALSE),"")</f>
        <v/>
      </c>
      <c r="G826" s="3">
        <f>IFERROR(VLOOKUP(A826,'الخطة التدريبية المعتمدة'!A:J,10,FALSE),0)</f>
        <v>0</v>
      </c>
      <c r="H826" s="3"/>
      <c r="I826" s="3"/>
      <c r="J826" s="3"/>
      <c r="K826" s="7" t="str">
        <f>IF(OR(I826="",J826="",I826=0),"",(J826-I826)/I826)</f>
        <v/>
      </c>
      <c r="L826" s="3" t="str">
        <f>IF(J826="","",IF(J826/10&gt;='الإعدادات والمستهدفات'!B5,"ناجح ومستوفى","ضعيف - يلزم إعادة اختبار"))</f>
        <v/>
      </c>
      <c r="M826" s="3"/>
      <c r="N826" s="3"/>
    </row>
    <row r="827" spans="1:14" x14ac:dyDescent="0.2">
      <c r="A827" s="3" t="str">
        <f>IFERROR(VLOOKUP(B827,'جدول الجلسات التدريبية'!A:B,2,FALSE),"")</f>
        <v/>
      </c>
      <c r="B827" s="3"/>
      <c r="C827" s="3" t="str">
        <f>IFERROR(VLOOKUP(A827,'الخطة التدريبية المعتمدة'!A:C,3,FALSE),"")</f>
        <v/>
      </c>
      <c r="D827" s="3" t="str">
        <f>IFERROR(VLOOKUP(B827,'جدول الجلسات التدريبية'!A:D,4,FALSE),"")</f>
        <v/>
      </c>
      <c r="E827" s="3"/>
      <c r="F827" s="3" t="str">
        <f>IFERROR(VLOOKUP(E827,'سجل الموظفين والكفاءة'!B:C,2,FALSE),"")</f>
        <v/>
      </c>
      <c r="G827" s="3">
        <f>IFERROR(VLOOKUP(A827,'الخطة التدريبية المعتمدة'!A:J,10,FALSE),0)</f>
        <v>0</v>
      </c>
      <c r="H827" s="3"/>
      <c r="I827" s="3"/>
      <c r="J827" s="3"/>
      <c r="K827" s="7" t="str">
        <f>IF(OR(I827="",J827="",I827=0),"",(J827-I827)/I827)</f>
        <v/>
      </c>
      <c r="L827" s="3" t="str">
        <f>IF(J827="","",IF(J827/10&gt;='الإعدادات والمستهدفات'!B5,"ناجح ومستوفى","ضعيف - يلزم إعادة اختبار"))</f>
        <v/>
      </c>
      <c r="M827" s="3"/>
      <c r="N827" s="3"/>
    </row>
    <row r="828" spans="1:14" x14ac:dyDescent="0.2">
      <c r="A828" s="3" t="str">
        <f>IFERROR(VLOOKUP(B828,'جدول الجلسات التدريبية'!A:B,2,FALSE),"")</f>
        <v/>
      </c>
      <c r="B828" s="3"/>
      <c r="C828" s="3" t="str">
        <f>IFERROR(VLOOKUP(A828,'الخطة التدريبية المعتمدة'!A:C,3,FALSE),"")</f>
        <v/>
      </c>
      <c r="D828" s="3" t="str">
        <f>IFERROR(VLOOKUP(B828,'جدول الجلسات التدريبية'!A:D,4,FALSE),"")</f>
        <v/>
      </c>
      <c r="E828" s="3"/>
      <c r="F828" s="3" t="str">
        <f>IFERROR(VLOOKUP(E828,'سجل الموظفين والكفاءة'!B:C,2,FALSE),"")</f>
        <v/>
      </c>
      <c r="G828" s="3">
        <f>IFERROR(VLOOKUP(A828,'الخطة التدريبية المعتمدة'!A:J,10,FALSE),0)</f>
        <v>0</v>
      </c>
      <c r="H828" s="3"/>
      <c r="I828" s="3"/>
      <c r="J828" s="3"/>
      <c r="K828" s="7" t="str">
        <f>IF(OR(I828="",J828="",I828=0),"",(J828-I828)/I828)</f>
        <v/>
      </c>
      <c r="L828" s="3" t="str">
        <f>IF(J828="","",IF(J828/10&gt;='الإعدادات والمستهدفات'!B5,"ناجح ومستوفى","ضعيف - يلزم إعادة اختبار"))</f>
        <v/>
      </c>
      <c r="M828" s="3"/>
      <c r="N828" s="3"/>
    </row>
    <row r="829" spans="1:14" x14ac:dyDescent="0.2">
      <c r="A829" s="3" t="str">
        <f>IFERROR(VLOOKUP(B829,'جدول الجلسات التدريبية'!A:B,2,FALSE),"")</f>
        <v/>
      </c>
      <c r="B829" s="3"/>
      <c r="C829" s="3" t="str">
        <f>IFERROR(VLOOKUP(A829,'الخطة التدريبية المعتمدة'!A:C,3,FALSE),"")</f>
        <v/>
      </c>
      <c r="D829" s="3" t="str">
        <f>IFERROR(VLOOKUP(B829,'جدول الجلسات التدريبية'!A:D,4,FALSE),"")</f>
        <v/>
      </c>
      <c r="E829" s="3"/>
      <c r="F829" s="3" t="str">
        <f>IFERROR(VLOOKUP(E829,'سجل الموظفين والكفاءة'!B:C,2,FALSE),"")</f>
        <v/>
      </c>
      <c r="G829" s="3">
        <f>IFERROR(VLOOKUP(A829,'الخطة التدريبية المعتمدة'!A:J,10,FALSE),0)</f>
        <v>0</v>
      </c>
      <c r="H829" s="3"/>
      <c r="I829" s="3"/>
      <c r="J829" s="3"/>
      <c r="K829" s="7" t="str">
        <f>IF(OR(I829="",J829="",I829=0),"",(J829-I829)/I829)</f>
        <v/>
      </c>
      <c r="L829" s="3" t="str">
        <f>IF(J829="","",IF(J829/10&gt;='الإعدادات والمستهدفات'!B5,"ناجح ومستوفى","ضعيف - يلزم إعادة اختبار"))</f>
        <v/>
      </c>
      <c r="M829" s="3"/>
      <c r="N829" s="3"/>
    </row>
    <row r="830" spans="1:14" x14ac:dyDescent="0.2">
      <c r="A830" s="3" t="str">
        <f>IFERROR(VLOOKUP(B830,'جدول الجلسات التدريبية'!A:B,2,FALSE),"")</f>
        <v/>
      </c>
      <c r="B830" s="3"/>
      <c r="C830" s="3" t="str">
        <f>IFERROR(VLOOKUP(A830,'الخطة التدريبية المعتمدة'!A:C,3,FALSE),"")</f>
        <v/>
      </c>
      <c r="D830" s="3" t="str">
        <f>IFERROR(VLOOKUP(B830,'جدول الجلسات التدريبية'!A:D,4,FALSE),"")</f>
        <v/>
      </c>
      <c r="E830" s="3"/>
      <c r="F830" s="3" t="str">
        <f>IFERROR(VLOOKUP(E830,'سجل الموظفين والكفاءة'!B:C,2,FALSE),"")</f>
        <v/>
      </c>
      <c r="G830" s="3">
        <f>IFERROR(VLOOKUP(A830,'الخطة التدريبية المعتمدة'!A:J,10,FALSE),0)</f>
        <v>0</v>
      </c>
      <c r="H830" s="3"/>
      <c r="I830" s="3"/>
      <c r="J830" s="3"/>
      <c r="K830" s="7" t="str">
        <f>IF(OR(I830="",J830="",I830=0),"",(J830-I830)/I830)</f>
        <v/>
      </c>
      <c r="L830" s="3" t="str">
        <f>IF(J830="","",IF(J830/10&gt;='الإعدادات والمستهدفات'!B5,"ناجح ومستوفى","ضعيف - يلزم إعادة اختبار"))</f>
        <v/>
      </c>
      <c r="M830" s="3"/>
      <c r="N830" s="3"/>
    </row>
    <row r="831" spans="1:14" x14ac:dyDescent="0.2">
      <c r="A831" s="3" t="str">
        <f>IFERROR(VLOOKUP(B831,'جدول الجلسات التدريبية'!A:B,2,FALSE),"")</f>
        <v/>
      </c>
      <c r="B831" s="3"/>
      <c r="C831" s="3" t="str">
        <f>IFERROR(VLOOKUP(A831,'الخطة التدريبية المعتمدة'!A:C,3,FALSE),"")</f>
        <v/>
      </c>
      <c r="D831" s="3" t="str">
        <f>IFERROR(VLOOKUP(B831,'جدول الجلسات التدريبية'!A:D,4,FALSE),"")</f>
        <v/>
      </c>
      <c r="E831" s="3"/>
      <c r="F831" s="3" t="str">
        <f>IFERROR(VLOOKUP(E831,'سجل الموظفين والكفاءة'!B:C,2,FALSE),"")</f>
        <v/>
      </c>
      <c r="G831" s="3">
        <f>IFERROR(VLOOKUP(A831,'الخطة التدريبية المعتمدة'!A:J,10,FALSE),0)</f>
        <v>0</v>
      </c>
      <c r="H831" s="3"/>
      <c r="I831" s="3"/>
      <c r="J831" s="3"/>
      <c r="K831" s="7" t="str">
        <f>IF(OR(I831="",J831="",I831=0),"",(J831-I831)/I831)</f>
        <v/>
      </c>
      <c r="L831" s="3" t="str">
        <f>IF(J831="","",IF(J831/10&gt;='الإعدادات والمستهدفات'!B5,"ناجح ومستوفى","ضعيف - يلزم إعادة اختبار"))</f>
        <v/>
      </c>
      <c r="M831" s="3"/>
      <c r="N831" s="3"/>
    </row>
    <row r="832" spans="1:14" x14ac:dyDescent="0.2">
      <c r="A832" s="3" t="str">
        <f>IFERROR(VLOOKUP(B832,'جدول الجلسات التدريبية'!A:B,2,FALSE),"")</f>
        <v/>
      </c>
      <c r="B832" s="3"/>
      <c r="C832" s="3" t="str">
        <f>IFERROR(VLOOKUP(A832,'الخطة التدريبية المعتمدة'!A:C,3,FALSE),"")</f>
        <v/>
      </c>
      <c r="D832" s="3" t="str">
        <f>IFERROR(VLOOKUP(B832,'جدول الجلسات التدريبية'!A:D,4,FALSE),"")</f>
        <v/>
      </c>
      <c r="E832" s="3"/>
      <c r="F832" s="3" t="str">
        <f>IFERROR(VLOOKUP(E832,'سجل الموظفين والكفاءة'!B:C,2,FALSE),"")</f>
        <v/>
      </c>
      <c r="G832" s="3">
        <f>IFERROR(VLOOKUP(A832,'الخطة التدريبية المعتمدة'!A:J,10,FALSE),0)</f>
        <v>0</v>
      </c>
      <c r="H832" s="3"/>
      <c r="I832" s="3"/>
      <c r="J832" s="3"/>
      <c r="K832" s="7" t="str">
        <f>IF(OR(I832="",J832="",I832=0),"",(J832-I832)/I832)</f>
        <v/>
      </c>
      <c r="L832" s="3" t="str">
        <f>IF(J832="","",IF(J832/10&gt;='الإعدادات والمستهدفات'!B5,"ناجح ومستوفى","ضعيف - يلزم إعادة اختبار"))</f>
        <v/>
      </c>
      <c r="M832" s="3"/>
      <c r="N832" s="3"/>
    </row>
    <row r="833" spans="1:14" x14ac:dyDescent="0.2">
      <c r="A833" s="3" t="str">
        <f>IFERROR(VLOOKUP(B833,'جدول الجلسات التدريبية'!A:B,2,FALSE),"")</f>
        <v/>
      </c>
      <c r="B833" s="3"/>
      <c r="C833" s="3" t="str">
        <f>IFERROR(VLOOKUP(A833,'الخطة التدريبية المعتمدة'!A:C,3,FALSE),"")</f>
        <v/>
      </c>
      <c r="D833" s="3" t="str">
        <f>IFERROR(VLOOKUP(B833,'جدول الجلسات التدريبية'!A:D,4,FALSE),"")</f>
        <v/>
      </c>
      <c r="E833" s="3"/>
      <c r="F833" s="3" t="str">
        <f>IFERROR(VLOOKUP(E833,'سجل الموظفين والكفاءة'!B:C,2,FALSE),"")</f>
        <v/>
      </c>
      <c r="G833" s="3">
        <f>IFERROR(VLOOKUP(A833,'الخطة التدريبية المعتمدة'!A:J,10,FALSE),0)</f>
        <v>0</v>
      </c>
      <c r="H833" s="3"/>
      <c r="I833" s="3"/>
      <c r="J833" s="3"/>
      <c r="K833" s="7" t="str">
        <f>IF(OR(I833="",J833="",I833=0),"",(J833-I833)/I833)</f>
        <v/>
      </c>
      <c r="L833" s="3" t="str">
        <f>IF(J833="","",IF(J833/10&gt;='الإعدادات والمستهدفات'!B5,"ناجح ومستوفى","ضعيف - يلزم إعادة اختبار"))</f>
        <v/>
      </c>
      <c r="M833" s="3"/>
      <c r="N833" s="3"/>
    </row>
    <row r="834" spans="1:14" x14ac:dyDescent="0.2">
      <c r="A834" s="3" t="str">
        <f>IFERROR(VLOOKUP(B834,'جدول الجلسات التدريبية'!A:B,2,FALSE),"")</f>
        <v/>
      </c>
      <c r="B834" s="3"/>
      <c r="C834" s="3" t="str">
        <f>IFERROR(VLOOKUP(A834,'الخطة التدريبية المعتمدة'!A:C,3,FALSE),"")</f>
        <v/>
      </c>
      <c r="D834" s="3" t="str">
        <f>IFERROR(VLOOKUP(B834,'جدول الجلسات التدريبية'!A:D,4,FALSE),"")</f>
        <v/>
      </c>
      <c r="E834" s="3"/>
      <c r="F834" s="3" t="str">
        <f>IFERROR(VLOOKUP(E834,'سجل الموظفين والكفاءة'!B:C,2,FALSE),"")</f>
        <v/>
      </c>
      <c r="G834" s="3">
        <f>IFERROR(VLOOKUP(A834,'الخطة التدريبية المعتمدة'!A:J,10,FALSE),0)</f>
        <v>0</v>
      </c>
      <c r="H834" s="3"/>
      <c r="I834" s="3"/>
      <c r="J834" s="3"/>
      <c r="K834" s="7" t="str">
        <f>IF(OR(I834="",J834="",I834=0),"",(J834-I834)/I834)</f>
        <v/>
      </c>
      <c r="L834" s="3" t="str">
        <f>IF(J834="","",IF(J834/10&gt;='الإعدادات والمستهدفات'!B5,"ناجح ومستوفى","ضعيف - يلزم إعادة اختبار"))</f>
        <v/>
      </c>
      <c r="M834" s="3"/>
      <c r="N834" s="3"/>
    </row>
    <row r="835" spans="1:14" x14ac:dyDescent="0.2">
      <c r="A835" s="3" t="str">
        <f>IFERROR(VLOOKUP(B835,'جدول الجلسات التدريبية'!A:B,2,FALSE),"")</f>
        <v/>
      </c>
      <c r="B835" s="3"/>
      <c r="C835" s="3" t="str">
        <f>IFERROR(VLOOKUP(A835,'الخطة التدريبية المعتمدة'!A:C,3,FALSE),"")</f>
        <v/>
      </c>
      <c r="D835" s="3" t="str">
        <f>IFERROR(VLOOKUP(B835,'جدول الجلسات التدريبية'!A:D,4,FALSE),"")</f>
        <v/>
      </c>
      <c r="E835" s="3"/>
      <c r="F835" s="3" t="str">
        <f>IFERROR(VLOOKUP(E835,'سجل الموظفين والكفاءة'!B:C,2,FALSE),"")</f>
        <v/>
      </c>
      <c r="G835" s="3">
        <f>IFERROR(VLOOKUP(A835,'الخطة التدريبية المعتمدة'!A:J,10,FALSE),0)</f>
        <v>0</v>
      </c>
      <c r="H835" s="3"/>
      <c r="I835" s="3"/>
      <c r="J835" s="3"/>
      <c r="K835" s="7" t="str">
        <f>IF(OR(I835="",J835="",I835=0),"",(J835-I835)/I835)</f>
        <v/>
      </c>
      <c r="L835" s="3" t="str">
        <f>IF(J835="","",IF(J835/10&gt;='الإعدادات والمستهدفات'!B5,"ناجح ومستوفى","ضعيف - يلزم إعادة اختبار"))</f>
        <v/>
      </c>
      <c r="M835" s="3"/>
      <c r="N835" s="3"/>
    </row>
    <row r="836" spans="1:14" x14ac:dyDescent="0.2">
      <c r="A836" s="3" t="str">
        <f>IFERROR(VLOOKUP(B836,'جدول الجلسات التدريبية'!A:B,2,FALSE),"")</f>
        <v/>
      </c>
      <c r="B836" s="3"/>
      <c r="C836" s="3" t="str">
        <f>IFERROR(VLOOKUP(A836,'الخطة التدريبية المعتمدة'!A:C,3,FALSE),"")</f>
        <v/>
      </c>
      <c r="D836" s="3" t="str">
        <f>IFERROR(VLOOKUP(B836,'جدول الجلسات التدريبية'!A:D,4,FALSE),"")</f>
        <v/>
      </c>
      <c r="E836" s="3"/>
      <c r="F836" s="3" t="str">
        <f>IFERROR(VLOOKUP(E836,'سجل الموظفين والكفاءة'!B:C,2,FALSE),"")</f>
        <v/>
      </c>
      <c r="G836" s="3">
        <f>IFERROR(VLOOKUP(A836,'الخطة التدريبية المعتمدة'!A:J,10,FALSE),0)</f>
        <v>0</v>
      </c>
      <c r="H836" s="3"/>
      <c r="I836" s="3"/>
      <c r="J836" s="3"/>
      <c r="K836" s="7" t="str">
        <f>IF(OR(I836="",J836="",I836=0),"",(J836-I836)/I836)</f>
        <v/>
      </c>
      <c r="L836" s="3" t="str">
        <f>IF(J836="","",IF(J836/10&gt;='الإعدادات والمستهدفات'!B5,"ناجح ومستوفى","ضعيف - يلزم إعادة اختبار"))</f>
        <v/>
      </c>
      <c r="M836" s="3"/>
      <c r="N836" s="3"/>
    </row>
    <row r="837" spans="1:14" x14ac:dyDescent="0.2">
      <c r="A837" s="3" t="str">
        <f>IFERROR(VLOOKUP(B837,'جدول الجلسات التدريبية'!A:B,2,FALSE),"")</f>
        <v/>
      </c>
      <c r="B837" s="3"/>
      <c r="C837" s="3" t="str">
        <f>IFERROR(VLOOKUP(A837,'الخطة التدريبية المعتمدة'!A:C,3,FALSE),"")</f>
        <v/>
      </c>
      <c r="D837" s="3" t="str">
        <f>IFERROR(VLOOKUP(B837,'جدول الجلسات التدريبية'!A:D,4,FALSE),"")</f>
        <v/>
      </c>
      <c r="E837" s="3"/>
      <c r="F837" s="3" t="str">
        <f>IFERROR(VLOOKUP(E837,'سجل الموظفين والكفاءة'!B:C,2,FALSE),"")</f>
        <v/>
      </c>
      <c r="G837" s="3">
        <f>IFERROR(VLOOKUP(A837,'الخطة التدريبية المعتمدة'!A:J,10,FALSE),0)</f>
        <v>0</v>
      </c>
      <c r="H837" s="3"/>
      <c r="I837" s="3"/>
      <c r="J837" s="3"/>
      <c r="K837" s="7" t="str">
        <f>IF(OR(I837="",J837="",I837=0),"",(J837-I837)/I837)</f>
        <v/>
      </c>
      <c r="L837" s="3" t="str">
        <f>IF(J837="","",IF(J837/10&gt;='الإعدادات والمستهدفات'!B5,"ناجح ومستوفى","ضعيف - يلزم إعادة اختبار"))</f>
        <v/>
      </c>
      <c r="M837" s="3"/>
      <c r="N837" s="3"/>
    </row>
    <row r="838" spans="1:14" x14ac:dyDescent="0.2">
      <c r="A838" s="3" t="str">
        <f>IFERROR(VLOOKUP(B838,'جدول الجلسات التدريبية'!A:B,2,FALSE),"")</f>
        <v/>
      </c>
      <c r="B838" s="3"/>
      <c r="C838" s="3" t="str">
        <f>IFERROR(VLOOKUP(A838,'الخطة التدريبية المعتمدة'!A:C,3,FALSE),"")</f>
        <v/>
      </c>
      <c r="D838" s="3" t="str">
        <f>IFERROR(VLOOKUP(B838,'جدول الجلسات التدريبية'!A:D,4,FALSE),"")</f>
        <v/>
      </c>
      <c r="E838" s="3"/>
      <c r="F838" s="3" t="str">
        <f>IFERROR(VLOOKUP(E838,'سجل الموظفين والكفاءة'!B:C,2,FALSE),"")</f>
        <v/>
      </c>
      <c r="G838" s="3">
        <f>IFERROR(VLOOKUP(A838,'الخطة التدريبية المعتمدة'!A:J,10,FALSE),0)</f>
        <v>0</v>
      </c>
      <c r="H838" s="3"/>
      <c r="I838" s="3"/>
      <c r="J838" s="3"/>
      <c r="K838" s="7" t="str">
        <f>IF(OR(I838="",J838="",I838=0),"",(J838-I838)/I838)</f>
        <v/>
      </c>
      <c r="L838" s="3" t="str">
        <f>IF(J838="","",IF(J838/10&gt;='الإعدادات والمستهدفات'!B5,"ناجح ومستوفى","ضعيف - يلزم إعادة اختبار"))</f>
        <v/>
      </c>
      <c r="M838" s="3"/>
      <c r="N838" s="3"/>
    </row>
    <row r="839" spans="1:14" x14ac:dyDescent="0.2">
      <c r="A839" s="3" t="str">
        <f>IFERROR(VLOOKUP(B839,'جدول الجلسات التدريبية'!A:B,2,FALSE),"")</f>
        <v/>
      </c>
      <c r="B839" s="3"/>
      <c r="C839" s="3" t="str">
        <f>IFERROR(VLOOKUP(A839,'الخطة التدريبية المعتمدة'!A:C,3,FALSE),"")</f>
        <v/>
      </c>
      <c r="D839" s="3" t="str">
        <f>IFERROR(VLOOKUP(B839,'جدول الجلسات التدريبية'!A:D,4,FALSE),"")</f>
        <v/>
      </c>
      <c r="E839" s="3"/>
      <c r="F839" s="3" t="str">
        <f>IFERROR(VLOOKUP(E839,'سجل الموظفين والكفاءة'!B:C,2,FALSE),"")</f>
        <v/>
      </c>
      <c r="G839" s="3">
        <f>IFERROR(VLOOKUP(A839,'الخطة التدريبية المعتمدة'!A:J,10,FALSE),0)</f>
        <v>0</v>
      </c>
      <c r="H839" s="3"/>
      <c r="I839" s="3"/>
      <c r="J839" s="3"/>
      <c r="K839" s="7" t="str">
        <f>IF(OR(I839="",J839="",I839=0),"",(J839-I839)/I839)</f>
        <v/>
      </c>
      <c r="L839" s="3" t="str">
        <f>IF(J839="","",IF(J839/10&gt;='الإعدادات والمستهدفات'!B5,"ناجح ومستوفى","ضعيف - يلزم إعادة اختبار"))</f>
        <v/>
      </c>
      <c r="M839" s="3"/>
      <c r="N839" s="3"/>
    </row>
    <row r="840" spans="1:14" x14ac:dyDescent="0.2">
      <c r="A840" s="3" t="str">
        <f>IFERROR(VLOOKUP(B840,'جدول الجلسات التدريبية'!A:B,2,FALSE),"")</f>
        <v/>
      </c>
      <c r="B840" s="3"/>
      <c r="C840" s="3" t="str">
        <f>IFERROR(VLOOKUP(A840,'الخطة التدريبية المعتمدة'!A:C,3,FALSE),"")</f>
        <v/>
      </c>
      <c r="D840" s="3" t="str">
        <f>IFERROR(VLOOKUP(B840,'جدول الجلسات التدريبية'!A:D,4,FALSE),"")</f>
        <v/>
      </c>
      <c r="E840" s="3"/>
      <c r="F840" s="3" t="str">
        <f>IFERROR(VLOOKUP(E840,'سجل الموظفين والكفاءة'!B:C,2,FALSE),"")</f>
        <v/>
      </c>
      <c r="G840" s="3">
        <f>IFERROR(VLOOKUP(A840,'الخطة التدريبية المعتمدة'!A:J,10,FALSE),0)</f>
        <v>0</v>
      </c>
      <c r="H840" s="3"/>
      <c r="I840" s="3"/>
      <c r="J840" s="3"/>
      <c r="K840" s="7" t="str">
        <f>IF(OR(I840="",J840="",I840=0),"",(J840-I840)/I840)</f>
        <v/>
      </c>
      <c r="L840" s="3" t="str">
        <f>IF(J840="","",IF(J840/10&gt;='الإعدادات والمستهدفات'!B5,"ناجح ومستوفى","ضعيف - يلزم إعادة اختبار"))</f>
        <v/>
      </c>
      <c r="M840" s="3"/>
      <c r="N840" s="3"/>
    </row>
    <row r="841" spans="1:14" x14ac:dyDescent="0.2">
      <c r="A841" s="3" t="str">
        <f>IFERROR(VLOOKUP(B841,'جدول الجلسات التدريبية'!A:B,2,FALSE),"")</f>
        <v/>
      </c>
      <c r="B841" s="3"/>
      <c r="C841" s="3" t="str">
        <f>IFERROR(VLOOKUP(A841,'الخطة التدريبية المعتمدة'!A:C,3,FALSE),"")</f>
        <v/>
      </c>
      <c r="D841" s="3" t="str">
        <f>IFERROR(VLOOKUP(B841,'جدول الجلسات التدريبية'!A:D,4,FALSE),"")</f>
        <v/>
      </c>
      <c r="E841" s="3"/>
      <c r="F841" s="3" t="str">
        <f>IFERROR(VLOOKUP(E841,'سجل الموظفين والكفاءة'!B:C,2,FALSE),"")</f>
        <v/>
      </c>
      <c r="G841" s="3">
        <f>IFERROR(VLOOKUP(A841,'الخطة التدريبية المعتمدة'!A:J,10,FALSE),0)</f>
        <v>0</v>
      </c>
      <c r="H841" s="3"/>
      <c r="I841" s="3"/>
      <c r="J841" s="3"/>
      <c r="K841" s="7" t="str">
        <f>IF(OR(I841="",J841="",I841=0),"",(J841-I841)/I841)</f>
        <v/>
      </c>
      <c r="L841" s="3" t="str">
        <f>IF(J841="","",IF(J841/10&gt;='الإعدادات والمستهدفات'!B5,"ناجح ومستوفى","ضعيف - يلزم إعادة اختبار"))</f>
        <v/>
      </c>
      <c r="M841" s="3"/>
      <c r="N841" s="3"/>
    </row>
    <row r="842" spans="1:14" x14ac:dyDescent="0.2">
      <c r="A842" s="3" t="str">
        <f>IFERROR(VLOOKUP(B842,'جدول الجلسات التدريبية'!A:B,2,FALSE),"")</f>
        <v/>
      </c>
      <c r="B842" s="3"/>
      <c r="C842" s="3" t="str">
        <f>IFERROR(VLOOKUP(A842,'الخطة التدريبية المعتمدة'!A:C,3,FALSE),"")</f>
        <v/>
      </c>
      <c r="D842" s="3" t="str">
        <f>IFERROR(VLOOKUP(B842,'جدول الجلسات التدريبية'!A:D,4,FALSE),"")</f>
        <v/>
      </c>
      <c r="E842" s="3"/>
      <c r="F842" s="3" t="str">
        <f>IFERROR(VLOOKUP(E842,'سجل الموظفين والكفاءة'!B:C,2,FALSE),"")</f>
        <v/>
      </c>
      <c r="G842" s="3">
        <f>IFERROR(VLOOKUP(A842,'الخطة التدريبية المعتمدة'!A:J,10,FALSE),0)</f>
        <v>0</v>
      </c>
      <c r="H842" s="3"/>
      <c r="I842" s="3"/>
      <c r="J842" s="3"/>
      <c r="K842" s="7" t="str">
        <f>IF(OR(I842="",J842="",I842=0),"",(J842-I842)/I842)</f>
        <v/>
      </c>
      <c r="L842" s="3" t="str">
        <f>IF(J842="","",IF(J842/10&gt;='الإعدادات والمستهدفات'!B5,"ناجح ومستوفى","ضعيف - يلزم إعادة اختبار"))</f>
        <v/>
      </c>
      <c r="M842" s="3"/>
      <c r="N842" s="3"/>
    </row>
    <row r="843" spans="1:14" x14ac:dyDescent="0.2">
      <c r="A843" s="3" t="str">
        <f>IFERROR(VLOOKUP(B843,'جدول الجلسات التدريبية'!A:B,2,FALSE),"")</f>
        <v/>
      </c>
      <c r="B843" s="3"/>
      <c r="C843" s="3" t="str">
        <f>IFERROR(VLOOKUP(A843,'الخطة التدريبية المعتمدة'!A:C,3,FALSE),"")</f>
        <v/>
      </c>
      <c r="D843" s="3" t="str">
        <f>IFERROR(VLOOKUP(B843,'جدول الجلسات التدريبية'!A:D,4,FALSE),"")</f>
        <v/>
      </c>
      <c r="E843" s="3"/>
      <c r="F843" s="3" t="str">
        <f>IFERROR(VLOOKUP(E843,'سجل الموظفين والكفاءة'!B:C,2,FALSE),"")</f>
        <v/>
      </c>
      <c r="G843" s="3">
        <f>IFERROR(VLOOKUP(A843,'الخطة التدريبية المعتمدة'!A:J,10,FALSE),0)</f>
        <v>0</v>
      </c>
      <c r="H843" s="3"/>
      <c r="I843" s="3"/>
      <c r="J843" s="3"/>
      <c r="K843" s="7" t="str">
        <f>IF(OR(I843="",J843="",I843=0),"",(J843-I843)/I843)</f>
        <v/>
      </c>
      <c r="L843" s="3" t="str">
        <f>IF(J843="","",IF(J843/10&gt;='الإعدادات والمستهدفات'!B5,"ناجح ومستوفى","ضعيف - يلزم إعادة اختبار"))</f>
        <v/>
      </c>
      <c r="M843" s="3"/>
      <c r="N843" s="3"/>
    </row>
    <row r="844" spans="1:14" x14ac:dyDescent="0.2">
      <c r="A844" s="3" t="str">
        <f>IFERROR(VLOOKUP(B844,'جدول الجلسات التدريبية'!A:B,2,FALSE),"")</f>
        <v/>
      </c>
      <c r="B844" s="3"/>
      <c r="C844" s="3" t="str">
        <f>IFERROR(VLOOKUP(A844,'الخطة التدريبية المعتمدة'!A:C,3,FALSE),"")</f>
        <v/>
      </c>
      <c r="D844" s="3" t="str">
        <f>IFERROR(VLOOKUP(B844,'جدول الجلسات التدريبية'!A:D,4,FALSE),"")</f>
        <v/>
      </c>
      <c r="E844" s="3"/>
      <c r="F844" s="3" t="str">
        <f>IFERROR(VLOOKUP(E844,'سجل الموظفين والكفاءة'!B:C,2,FALSE),"")</f>
        <v/>
      </c>
      <c r="G844" s="3">
        <f>IFERROR(VLOOKUP(A844,'الخطة التدريبية المعتمدة'!A:J,10,FALSE),0)</f>
        <v>0</v>
      </c>
      <c r="H844" s="3"/>
      <c r="I844" s="3"/>
      <c r="J844" s="3"/>
      <c r="K844" s="7" t="str">
        <f>IF(OR(I844="",J844="",I844=0),"",(J844-I844)/I844)</f>
        <v/>
      </c>
      <c r="L844" s="3" t="str">
        <f>IF(J844="","",IF(J844/10&gt;='الإعدادات والمستهدفات'!B5,"ناجح ومستوفى","ضعيف - يلزم إعادة اختبار"))</f>
        <v/>
      </c>
      <c r="M844" s="3"/>
      <c r="N844" s="3"/>
    </row>
    <row r="845" spans="1:14" x14ac:dyDescent="0.2">
      <c r="A845" s="3" t="str">
        <f>IFERROR(VLOOKUP(B845,'جدول الجلسات التدريبية'!A:B,2,FALSE),"")</f>
        <v/>
      </c>
      <c r="B845" s="3"/>
      <c r="C845" s="3" t="str">
        <f>IFERROR(VLOOKUP(A845,'الخطة التدريبية المعتمدة'!A:C,3,FALSE),"")</f>
        <v/>
      </c>
      <c r="D845" s="3" t="str">
        <f>IFERROR(VLOOKUP(B845,'جدول الجلسات التدريبية'!A:D,4,FALSE),"")</f>
        <v/>
      </c>
      <c r="E845" s="3"/>
      <c r="F845" s="3" t="str">
        <f>IFERROR(VLOOKUP(E845,'سجل الموظفين والكفاءة'!B:C,2,FALSE),"")</f>
        <v/>
      </c>
      <c r="G845" s="3">
        <f>IFERROR(VLOOKUP(A845,'الخطة التدريبية المعتمدة'!A:J,10,FALSE),0)</f>
        <v>0</v>
      </c>
      <c r="H845" s="3"/>
      <c r="I845" s="3"/>
      <c r="J845" s="3"/>
      <c r="K845" s="7" t="str">
        <f>IF(OR(I845="",J845="",I845=0),"",(J845-I845)/I845)</f>
        <v/>
      </c>
      <c r="L845" s="3" t="str">
        <f>IF(J845="","",IF(J845/10&gt;='الإعدادات والمستهدفات'!B5,"ناجح ومستوفى","ضعيف - يلزم إعادة اختبار"))</f>
        <v/>
      </c>
      <c r="M845" s="3"/>
      <c r="N845" s="3"/>
    </row>
    <row r="846" spans="1:14" x14ac:dyDescent="0.2">
      <c r="A846" s="3" t="str">
        <f>IFERROR(VLOOKUP(B846,'جدول الجلسات التدريبية'!A:B,2,FALSE),"")</f>
        <v/>
      </c>
      <c r="B846" s="3"/>
      <c r="C846" s="3" t="str">
        <f>IFERROR(VLOOKUP(A846,'الخطة التدريبية المعتمدة'!A:C,3,FALSE),"")</f>
        <v/>
      </c>
      <c r="D846" s="3" t="str">
        <f>IFERROR(VLOOKUP(B846,'جدول الجلسات التدريبية'!A:D,4,FALSE),"")</f>
        <v/>
      </c>
      <c r="E846" s="3"/>
      <c r="F846" s="3" t="str">
        <f>IFERROR(VLOOKUP(E846,'سجل الموظفين والكفاءة'!B:C,2,FALSE),"")</f>
        <v/>
      </c>
      <c r="G846" s="3">
        <f>IFERROR(VLOOKUP(A846,'الخطة التدريبية المعتمدة'!A:J,10,FALSE),0)</f>
        <v>0</v>
      </c>
      <c r="H846" s="3"/>
      <c r="I846" s="3"/>
      <c r="J846" s="3"/>
      <c r="K846" s="7" t="str">
        <f>IF(OR(I846="",J846="",I846=0),"",(J846-I846)/I846)</f>
        <v/>
      </c>
      <c r="L846" s="3" t="str">
        <f>IF(J846="","",IF(J846/10&gt;='الإعدادات والمستهدفات'!B5,"ناجح ومستوفى","ضعيف - يلزم إعادة اختبار"))</f>
        <v/>
      </c>
      <c r="M846" s="3"/>
      <c r="N846" s="3"/>
    </row>
    <row r="847" spans="1:14" x14ac:dyDescent="0.2">
      <c r="A847" s="3" t="str">
        <f>IFERROR(VLOOKUP(B847,'جدول الجلسات التدريبية'!A:B,2,FALSE),"")</f>
        <v/>
      </c>
      <c r="B847" s="3"/>
      <c r="C847" s="3" t="str">
        <f>IFERROR(VLOOKUP(A847,'الخطة التدريبية المعتمدة'!A:C,3,FALSE),"")</f>
        <v/>
      </c>
      <c r="D847" s="3" t="str">
        <f>IFERROR(VLOOKUP(B847,'جدول الجلسات التدريبية'!A:D,4,FALSE),"")</f>
        <v/>
      </c>
      <c r="E847" s="3"/>
      <c r="F847" s="3" t="str">
        <f>IFERROR(VLOOKUP(E847,'سجل الموظفين والكفاءة'!B:C,2,FALSE),"")</f>
        <v/>
      </c>
      <c r="G847" s="3">
        <f>IFERROR(VLOOKUP(A847,'الخطة التدريبية المعتمدة'!A:J,10,FALSE),0)</f>
        <v>0</v>
      </c>
      <c r="H847" s="3"/>
      <c r="I847" s="3"/>
      <c r="J847" s="3"/>
      <c r="K847" s="7" t="str">
        <f>IF(OR(I847="",J847="",I847=0),"",(J847-I847)/I847)</f>
        <v/>
      </c>
      <c r="L847" s="3" t="str">
        <f>IF(J847="","",IF(J847/10&gt;='الإعدادات والمستهدفات'!B5,"ناجح ومستوفى","ضعيف - يلزم إعادة اختبار"))</f>
        <v/>
      </c>
      <c r="M847" s="3"/>
      <c r="N847" s="3"/>
    </row>
    <row r="848" spans="1:14" x14ac:dyDescent="0.2">
      <c r="A848" s="3" t="str">
        <f>IFERROR(VLOOKUP(B848,'جدول الجلسات التدريبية'!A:B,2,FALSE),"")</f>
        <v/>
      </c>
      <c r="B848" s="3"/>
      <c r="C848" s="3" t="str">
        <f>IFERROR(VLOOKUP(A848,'الخطة التدريبية المعتمدة'!A:C,3,FALSE),"")</f>
        <v/>
      </c>
      <c r="D848" s="3" t="str">
        <f>IFERROR(VLOOKUP(B848,'جدول الجلسات التدريبية'!A:D,4,FALSE),"")</f>
        <v/>
      </c>
      <c r="E848" s="3"/>
      <c r="F848" s="3" t="str">
        <f>IFERROR(VLOOKUP(E848,'سجل الموظفين والكفاءة'!B:C,2,FALSE),"")</f>
        <v/>
      </c>
      <c r="G848" s="3">
        <f>IFERROR(VLOOKUP(A848,'الخطة التدريبية المعتمدة'!A:J,10,FALSE),0)</f>
        <v>0</v>
      </c>
      <c r="H848" s="3"/>
      <c r="I848" s="3"/>
      <c r="J848" s="3"/>
      <c r="K848" s="7" t="str">
        <f>IF(OR(I848="",J848="",I848=0),"",(J848-I848)/I848)</f>
        <v/>
      </c>
      <c r="L848" s="3" t="str">
        <f>IF(J848="","",IF(J848/10&gt;='الإعدادات والمستهدفات'!B5,"ناجح ومستوفى","ضعيف - يلزم إعادة اختبار"))</f>
        <v/>
      </c>
      <c r="M848" s="3"/>
      <c r="N848" s="3"/>
    </row>
    <row r="849" spans="1:14" x14ac:dyDescent="0.2">
      <c r="A849" s="3" t="str">
        <f>IFERROR(VLOOKUP(B849,'جدول الجلسات التدريبية'!A:B,2,FALSE),"")</f>
        <v/>
      </c>
      <c r="B849" s="3"/>
      <c r="C849" s="3" t="str">
        <f>IFERROR(VLOOKUP(A849,'الخطة التدريبية المعتمدة'!A:C,3,FALSE),"")</f>
        <v/>
      </c>
      <c r="D849" s="3" t="str">
        <f>IFERROR(VLOOKUP(B849,'جدول الجلسات التدريبية'!A:D,4,FALSE),"")</f>
        <v/>
      </c>
      <c r="E849" s="3"/>
      <c r="F849" s="3" t="str">
        <f>IFERROR(VLOOKUP(E849,'سجل الموظفين والكفاءة'!B:C,2,FALSE),"")</f>
        <v/>
      </c>
      <c r="G849" s="3">
        <f>IFERROR(VLOOKUP(A849,'الخطة التدريبية المعتمدة'!A:J,10,FALSE),0)</f>
        <v>0</v>
      </c>
      <c r="H849" s="3"/>
      <c r="I849" s="3"/>
      <c r="J849" s="3"/>
      <c r="K849" s="7" t="str">
        <f>IF(OR(I849="",J849="",I849=0),"",(J849-I849)/I849)</f>
        <v/>
      </c>
      <c r="L849" s="3" t="str">
        <f>IF(J849="","",IF(J849/10&gt;='الإعدادات والمستهدفات'!B5,"ناجح ومستوفى","ضعيف - يلزم إعادة اختبار"))</f>
        <v/>
      </c>
      <c r="M849" s="3"/>
      <c r="N849" s="3"/>
    </row>
    <row r="850" spans="1:14" x14ac:dyDescent="0.2">
      <c r="A850" s="3" t="str">
        <f>IFERROR(VLOOKUP(B850,'جدول الجلسات التدريبية'!A:B,2,FALSE),"")</f>
        <v/>
      </c>
      <c r="B850" s="3"/>
      <c r="C850" s="3" t="str">
        <f>IFERROR(VLOOKUP(A850,'الخطة التدريبية المعتمدة'!A:C,3,FALSE),"")</f>
        <v/>
      </c>
      <c r="D850" s="3" t="str">
        <f>IFERROR(VLOOKUP(B850,'جدول الجلسات التدريبية'!A:D,4,FALSE),"")</f>
        <v/>
      </c>
      <c r="E850" s="3"/>
      <c r="F850" s="3" t="str">
        <f>IFERROR(VLOOKUP(E850,'سجل الموظفين والكفاءة'!B:C,2,FALSE),"")</f>
        <v/>
      </c>
      <c r="G850" s="3">
        <f>IFERROR(VLOOKUP(A850,'الخطة التدريبية المعتمدة'!A:J,10,FALSE),0)</f>
        <v>0</v>
      </c>
      <c r="H850" s="3"/>
      <c r="I850" s="3"/>
      <c r="J850" s="3"/>
      <c r="K850" s="7" t="str">
        <f>IF(OR(I850="",J850="",I850=0),"",(J850-I850)/I850)</f>
        <v/>
      </c>
      <c r="L850" s="3" t="str">
        <f>IF(J850="","",IF(J850/10&gt;='الإعدادات والمستهدفات'!B5,"ناجح ومستوفى","ضعيف - يلزم إعادة اختبار"))</f>
        <v/>
      </c>
      <c r="M850" s="3"/>
      <c r="N850" s="3"/>
    </row>
    <row r="851" spans="1:14" x14ac:dyDescent="0.2">
      <c r="A851" s="3" t="str">
        <f>IFERROR(VLOOKUP(B851,'جدول الجلسات التدريبية'!A:B,2,FALSE),"")</f>
        <v/>
      </c>
      <c r="B851" s="3"/>
      <c r="C851" s="3" t="str">
        <f>IFERROR(VLOOKUP(A851,'الخطة التدريبية المعتمدة'!A:C,3,FALSE),"")</f>
        <v/>
      </c>
      <c r="D851" s="3" t="str">
        <f>IFERROR(VLOOKUP(B851,'جدول الجلسات التدريبية'!A:D,4,FALSE),"")</f>
        <v/>
      </c>
      <c r="E851" s="3"/>
      <c r="F851" s="3" t="str">
        <f>IFERROR(VLOOKUP(E851,'سجل الموظفين والكفاءة'!B:C,2,FALSE),"")</f>
        <v/>
      </c>
      <c r="G851" s="3">
        <f>IFERROR(VLOOKUP(A851,'الخطة التدريبية المعتمدة'!A:J,10,FALSE),0)</f>
        <v>0</v>
      </c>
      <c r="H851" s="3"/>
      <c r="I851" s="3"/>
      <c r="J851" s="3"/>
      <c r="K851" s="7" t="str">
        <f>IF(OR(I851="",J851="",I851=0),"",(J851-I851)/I851)</f>
        <v/>
      </c>
      <c r="L851" s="3" t="str">
        <f>IF(J851="","",IF(J851/10&gt;='الإعدادات والمستهدفات'!B5,"ناجح ومستوفى","ضعيف - يلزم إعادة اختبار"))</f>
        <v/>
      </c>
      <c r="M851" s="3"/>
      <c r="N851" s="3"/>
    </row>
    <row r="852" spans="1:14" x14ac:dyDescent="0.2">
      <c r="A852" s="3" t="str">
        <f>IFERROR(VLOOKUP(B852,'جدول الجلسات التدريبية'!A:B,2,FALSE),"")</f>
        <v/>
      </c>
      <c r="B852" s="3"/>
      <c r="C852" s="3" t="str">
        <f>IFERROR(VLOOKUP(A852,'الخطة التدريبية المعتمدة'!A:C,3,FALSE),"")</f>
        <v/>
      </c>
      <c r="D852" s="3" t="str">
        <f>IFERROR(VLOOKUP(B852,'جدول الجلسات التدريبية'!A:D,4,FALSE),"")</f>
        <v/>
      </c>
      <c r="E852" s="3"/>
      <c r="F852" s="3" t="str">
        <f>IFERROR(VLOOKUP(E852,'سجل الموظفين والكفاءة'!B:C,2,FALSE),"")</f>
        <v/>
      </c>
      <c r="G852" s="3">
        <f>IFERROR(VLOOKUP(A852,'الخطة التدريبية المعتمدة'!A:J,10,FALSE),0)</f>
        <v>0</v>
      </c>
      <c r="H852" s="3"/>
      <c r="I852" s="3"/>
      <c r="J852" s="3"/>
      <c r="K852" s="7" t="str">
        <f>IF(OR(I852="",J852="",I852=0),"",(J852-I852)/I852)</f>
        <v/>
      </c>
      <c r="L852" s="3" t="str">
        <f>IF(J852="","",IF(J852/10&gt;='الإعدادات والمستهدفات'!B5,"ناجح ومستوفى","ضعيف - يلزم إعادة اختبار"))</f>
        <v/>
      </c>
      <c r="M852" s="3"/>
      <c r="N852" s="3"/>
    </row>
    <row r="853" spans="1:14" x14ac:dyDescent="0.2">
      <c r="A853" s="3" t="str">
        <f>IFERROR(VLOOKUP(B853,'جدول الجلسات التدريبية'!A:B,2,FALSE),"")</f>
        <v/>
      </c>
      <c r="B853" s="3"/>
      <c r="C853" s="3" t="str">
        <f>IFERROR(VLOOKUP(A853,'الخطة التدريبية المعتمدة'!A:C,3,FALSE),"")</f>
        <v/>
      </c>
      <c r="D853" s="3" t="str">
        <f>IFERROR(VLOOKUP(B853,'جدول الجلسات التدريبية'!A:D,4,FALSE),"")</f>
        <v/>
      </c>
      <c r="E853" s="3"/>
      <c r="F853" s="3" t="str">
        <f>IFERROR(VLOOKUP(E853,'سجل الموظفين والكفاءة'!B:C,2,FALSE),"")</f>
        <v/>
      </c>
      <c r="G853" s="3">
        <f>IFERROR(VLOOKUP(A853,'الخطة التدريبية المعتمدة'!A:J,10,FALSE),0)</f>
        <v>0</v>
      </c>
      <c r="H853" s="3"/>
      <c r="I853" s="3"/>
      <c r="J853" s="3"/>
      <c r="K853" s="7" t="str">
        <f>IF(OR(I853="",J853="",I853=0),"",(J853-I853)/I853)</f>
        <v/>
      </c>
      <c r="L853" s="3" t="str">
        <f>IF(J853="","",IF(J853/10&gt;='الإعدادات والمستهدفات'!B5,"ناجح ومستوفى","ضعيف - يلزم إعادة اختبار"))</f>
        <v/>
      </c>
      <c r="M853" s="3"/>
      <c r="N853" s="3"/>
    </row>
    <row r="854" spans="1:14" x14ac:dyDescent="0.2">
      <c r="A854" s="3" t="str">
        <f>IFERROR(VLOOKUP(B854,'جدول الجلسات التدريبية'!A:B,2,FALSE),"")</f>
        <v/>
      </c>
      <c r="B854" s="3"/>
      <c r="C854" s="3" t="str">
        <f>IFERROR(VLOOKUP(A854,'الخطة التدريبية المعتمدة'!A:C,3,FALSE),"")</f>
        <v/>
      </c>
      <c r="D854" s="3" t="str">
        <f>IFERROR(VLOOKUP(B854,'جدول الجلسات التدريبية'!A:D,4,FALSE),"")</f>
        <v/>
      </c>
      <c r="E854" s="3"/>
      <c r="F854" s="3" t="str">
        <f>IFERROR(VLOOKUP(E854,'سجل الموظفين والكفاءة'!B:C,2,FALSE),"")</f>
        <v/>
      </c>
      <c r="G854" s="3">
        <f>IFERROR(VLOOKUP(A854,'الخطة التدريبية المعتمدة'!A:J,10,FALSE),0)</f>
        <v>0</v>
      </c>
      <c r="H854" s="3"/>
      <c r="I854" s="3"/>
      <c r="J854" s="3"/>
      <c r="K854" s="7" t="str">
        <f>IF(OR(I854="",J854="",I854=0),"",(J854-I854)/I854)</f>
        <v/>
      </c>
      <c r="L854" s="3" t="str">
        <f>IF(J854="","",IF(J854/10&gt;='الإعدادات والمستهدفات'!B5,"ناجح ومستوفى","ضعيف - يلزم إعادة اختبار"))</f>
        <v/>
      </c>
      <c r="M854" s="3"/>
      <c r="N854" s="3"/>
    </row>
    <row r="855" spans="1:14" x14ac:dyDescent="0.2">
      <c r="A855" s="3" t="str">
        <f>IFERROR(VLOOKUP(B855,'جدول الجلسات التدريبية'!A:B,2,FALSE),"")</f>
        <v/>
      </c>
      <c r="B855" s="3"/>
      <c r="C855" s="3" t="str">
        <f>IFERROR(VLOOKUP(A855,'الخطة التدريبية المعتمدة'!A:C,3,FALSE),"")</f>
        <v/>
      </c>
      <c r="D855" s="3" t="str">
        <f>IFERROR(VLOOKUP(B855,'جدول الجلسات التدريبية'!A:D,4,FALSE),"")</f>
        <v/>
      </c>
      <c r="E855" s="3"/>
      <c r="F855" s="3" t="str">
        <f>IFERROR(VLOOKUP(E855,'سجل الموظفين والكفاءة'!B:C,2,FALSE),"")</f>
        <v/>
      </c>
      <c r="G855" s="3">
        <f>IFERROR(VLOOKUP(A855,'الخطة التدريبية المعتمدة'!A:J,10,FALSE),0)</f>
        <v>0</v>
      </c>
      <c r="H855" s="3"/>
      <c r="I855" s="3"/>
      <c r="J855" s="3"/>
      <c r="K855" s="7" t="str">
        <f>IF(OR(I855="",J855="",I855=0),"",(J855-I855)/I855)</f>
        <v/>
      </c>
      <c r="L855" s="3" t="str">
        <f>IF(J855="","",IF(J855/10&gt;='الإعدادات والمستهدفات'!B5,"ناجح ومستوفى","ضعيف - يلزم إعادة اختبار"))</f>
        <v/>
      </c>
      <c r="M855" s="3"/>
      <c r="N855" s="3"/>
    </row>
    <row r="856" spans="1:14" x14ac:dyDescent="0.2">
      <c r="A856" s="3" t="str">
        <f>IFERROR(VLOOKUP(B856,'جدول الجلسات التدريبية'!A:B,2,FALSE),"")</f>
        <v/>
      </c>
      <c r="B856" s="3"/>
      <c r="C856" s="3" t="str">
        <f>IFERROR(VLOOKUP(A856,'الخطة التدريبية المعتمدة'!A:C,3,FALSE),"")</f>
        <v/>
      </c>
      <c r="D856" s="3" t="str">
        <f>IFERROR(VLOOKUP(B856,'جدول الجلسات التدريبية'!A:D,4,FALSE),"")</f>
        <v/>
      </c>
      <c r="E856" s="3"/>
      <c r="F856" s="3" t="str">
        <f>IFERROR(VLOOKUP(E856,'سجل الموظفين والكفاءة'!B:C,2,FALSE),"")</f>
        <v/>
      </c>
      <c r="G856" s="3">
        <f>IFERROR(VLOOKUP(A856,'الخطة التدريبية المعتمدة'!A:J,10,FALSE),0)</f>
        <v>0</v>
      </c>
      <c r="H856" s="3"/>
      <c r="I856" s="3"/>
      <c r="J856" s="3"/>
      <c r="K856" s="7" t="str">
        <f>IF(OR(I856="",J856="",I856=0),"",(J856-I856)/I856)</f>
        <v/>
      </c>
      <c r="L856" s="3" t="str">
        <f>IF(J856="","",IF(J856/10&gt;='الإعدادات والمستهدفات'!B5,"ناجح ومستوفى","ضعيف - يلزم إعادة اختبار"))</f>
        <v/>
      </c>
      <c r="M856" s="3"/>
      <c r="N856" s="3"/>
    </row>
    <row r="857" spans="1:14" x14ac:dyDescent="0.2">
      <c r="A857" s="3" t="str">
        <f>IFERROR(VLOOKUP(B857,'جدول الجلسات التدريبية'!A:B,2,FALSE),"")</f>
        <v/>
      </c>
      <c r="B857" s="3"/>
      <c r="C857" s="3" t="str">
        <f>IFERROR(VLOOKUP(A857,'الخطة التدريبية المعتمدة'!A:C,3,FALSE),"")</f>
        <v/>
      </c>
      <c r="D857" s="3" t="str">
        <f>IFERROR(VLOOKUP(B857,'جدول الجلسات التدريبية'!A:D,4,FALSE),"")</f>
        <v/>
      </c>
      <c r="E857" s="3"/>
      <c r="F857" s="3" t="str">
        <f>IFERROR(VLOOKUP(E857,'سجل الموظفين والكفاءة'!B:C,2,FALSE),"")</f>
        <v/>
      </c>
      <c r="G857" s="3">
        <f>IFERROR(VLOOKUP(A857,'الخطة التدريبية المعتمدة'!A:J,10,FALSE),0)</f>
        <v>0</v>
      </c>
      <c r="H857" s="3"/>
      <c r="I857" s="3"/>
      <c r="J857" s="3"/>
      <c r="K857" s="7" t="str">
        <f>IF(OR(I857="",J857="",I857=0),"",(J857-I857)/I857)</f>
        <v/>
      </c>
      <c r="L857" s="3" t="str">
        <f>IF(J857="","",IF(J857/10&gt;='الإعدادات والمستهدفات'!B5,"ناجح ومستوفى","ضعيف - يلزم إعادة اختبار"))</f>
        <v/>
      </c>
      <c r="M857" s="3"/>
      <c r="N857" s="3"/>
    </row>
    <row r="858" spans="1:14" x14ac:dyDescent="0.2">
      <c r="A858" s="3" t="str">
        <f>IFERROR(VLOOKUP(B858,'جدول الجلسات التدريبية'!A:B,2,FALSE),"")</f>
        <v/>
      </c>
      <c r="B858" s="3"/>
      <c r="C858" s="3" t="str">
        <f>IFERROR(VLOOKUP(A858,'الخطة التدريبية المعتمدة'!A:C,3,FALSE),"")</f>
        <v/>
      </c>
      <c r="D858" s="3" t="str">
        <f>IFERROR(VLOOKUP(B858,'جدول الجلسات التدريبية'!A:D,4,FALSE),"")</f>
        <v/>
      </c>
      <c r="E858" s="3"/>
      <c r="F858" s="3" t="str">
        <f>IFERROR(VLOOKUP(E858,'سجل الموظفين والكفاءة'!B:C,2,FALSE),"")</f>
        <v/>
      </c>
      <c r="G858" s="3">
        <f>IFERROR(VLOOKUP(A858,'الخطة التدريبية المعتمدة'!A:J,10,FALSE),0)</f>
        <v>0</v>
      </c>
      <c r="H858" s="3"/>
      <c r="I858" s="3"/>
      <c r="J858" s="3"/>
      <c r="K858" s="7" t="str">
        <f>IF(OR(I858="",J858="",I858=0),"",(J858-I858)/I858)</f>
        <v/>
      </c>
      <c r="L858" s="3" t="str">
        <f>IF(J858="","",IF(J858/10&gt;='الإعدادات والمستهدفات'!B5,"ناجح ومستوفى","ضعيف - يلزم إعادة اختبار"))</f>
        <v/>
      </c>
      <c r="M858" s="3"/>
      <c r="N858" s="3"/>
    </row>
    <row r="859" spans="1:14" x14ac:dyDescent="0.2">
      <c r="A859" s="3" t="str">
        <f>IFERROR(VLOOKUP(B859,'جدول الجلسات التدريبية'!A:B,2,FALSE),"")</f>
        <v/>
      </c>
      <c r="B859" s="3"/>
      <c r="C859" s="3" t="str">
        <f>IFERROR(VLOOKUP(A859,'الخطة التدريبية المعتمدة'!A:C,3,FALSE),"")</f>
        <v/>
      </c>
      <c r="D859" s="3" t="str">
        <f>IFERROR(VLOOKUP(B859,'جدول الجلسات التدريبية'!A:D,4,FALSE),"")</f>
        <v/>
      </c>
      <c r="E859" s="3"/>
      <c r="F859" s="3" t="str">
        <f>IFERROR(VLOOKUP(E859,'سجل الموظفين والكفاءة'!B:C,2,FALSE),"")</f>
        <v/>
      </c>
      <c r="G859" s="3">
        <f>IFERROR(VLOOKUP(A859,'الخطة التدريبية المعتمدة'!A:J,10,FALSE),0)</f>
        <v>0</v>
      </c>
      <c r="H859" s="3"/>
      <c r="I859" s="3"/>
      <c r="J859" s="3"/>
      <c r="K859" s="7" t="str">
        <f>IF(OR(I859="",J859="",I859=0),"",(J859-I859)/I859)</f>
        <v/>
      </c>
      <c r="L859" s="3" t="str">
        <f>IF(J859="","",IF(J859/10&gt;='الإعدادات والمستهدفات'!B5,"ناجح ومستوفى","ضعيف - يلزم إعادة اختبار"))</f>
        <v/>
      </c>
      <c r="M859" s="3"/>
      <c r="N859" s="3"/>
    </row>
    <row r="860" spans="1:14" x14ac:dyDescent="0.2">
      <c r="A860" s="3" t="str">
        <f>IFERROR(VLOOKUP(B860,'جدول الجلسات التدريبية'!A:B,2,FALSE),"")</f>
        <v/>
      </c>
      <c r="B860" s="3"/>
      <c r="C860" s="3" t="str">
        <f>IFERROR(VLOOKUP(A860,'الخطة التدريبية المعتمدة'!A:C,3,FALSE),"")</f>
        <v/>
      </c>
      <c r="D860" s="3" t="str">
        <f>IFERROR(VLOOKUP(B860,'جدول الجلسات التدريبية'!A:D,4,FALSE),"")</f>
        <v/>
      </c>
      <c r="E860" s="3"/>
      <c r="F860" s="3" t="str">
        <f>IFERROR(VLOOKUP(E860,'سجل الموظفين والكفاءة'!B:C,2,FALSE),"")</f>
        <v/>
      </c>
      <c r="G860" s="3">
        <f>IFERROR(VLOOKUP(A860,'الخطة التدريبية المعتمدة'!A:J,10,FALSE),0)</f>
        <v>0</v>
      </c>
      <c r="H860" s="3"/>
      <c r="I860" s="3"/>
      <c r="J860" s="3"/>
      <c r="K860" s="7" t="str">
        <f>IF(OR(I860="",J860="",I860=0),"",(J860-I860)/I860)</f>
        <v/>
      </c>
      <c r="L860" s="3" t="str">
        <f>IF(J860="","",IF(J860/10&gt;='الإعدادات والمستهدفات'!B5,"ناجح ومستوفى","ضعيف - يلزم إعادة اختبار"))</f>
        <v/>
      </c>
      <c r="M860" s="3"/>
      <c r="N860" s="3"/>
    </row>
    <row r="861" spans="1:14" x14ac:dyDescent="0.2">
      <c r="A861" s="3" t="str">
        <f>IFERROR(VLOOKUP(B861,'جدول الجلسات التدريبية'!A:B,2,FALSE),"")</f>
        <v/>
      </c>
      <c r="B861" s="3"/>
      <c r="C861" s="3" t="str">
        <f>IFERROR(VLOOKUP(A861,'الخطة التدريبية المعتمدة'!A:C,3,FALSE),"")</f>
        <v/>
      </c>
      <c r="D861" s="3" t="str">
        <f>IFERROR(VLOOKUP(B861,'جدول الجلسات التدريبية'!A:D,4,FALSE),"")</f>
        <v/>
      </c>
      <c r="E861" s="3"/>
      <c r="F861" s="3" t="str">
        <f>IFERROR(VLOOKUP(E861,'سجل الموظفين والكفاءة'!B:C,2,FALSE),"")</f>
        <v/>
      </c>
      <c r="G861" s="3">
        <f>IFERROR(VLOOKUP(A861,'الخطة التدريبية المعتمدة'!A:J,10,FALSE),0)</f>
        <v>0</v>
      </c>
      <c r="H861" s="3"/>
      <c r="I861" s="3"/>
      <c r="J861" s="3"/>
      <c r="K861" s="7" t="str">
        <f>IF(OR(I861="",J861="",I861=0),"",(J861-I861)/I861)</f>
        <v/>
      </c>
      <c r="L861" s="3" t="str">
        <f>IF(J861="","",IF(J861/10&gt;='الإعدادات والمستهدفات'!B5,"ناجح ومستوفى","ضعيف - يلزم إعادة اختبار"))</f>
        <v/>
      </c>
      <c r="M861" s="3"/>
      <c r="N861" s="3"/>
    </row>
    <row r="862" spans="1:14" x14ac:dyDescent="0.2">
      <c r="A862" s="3" t="str">
        <f>IFERROR(VLOOKUP(B862,'جدول الجلسات التدريبية'!A:B,2,FALSE),"")</f>
        <v/>
      </c>
      <c r="B862" s="3"/>
      <c r="C862" s="3" t="str">
        <f>IFERROR(VLOOKUP(A862,'الخطة التدريبية المعتمدة'!A:C,3,FALSE),"")</f>
        <v/>
      </c>
      <c r="D862" s="3" t="str">
        <f>IFERROR(VLOOKUP(B862,'جدول الجلسات التدريبية'!A:D,4,FALSE),"")</f>
        <v/>
      </c>
      <c r="E862" s="3"/>
      <c r="F862" s="3" t="str">
        <f>IFERROR(VLOOKUP(E862,'سجل الموظفين والكفاءة'!B:C,2,FALSE),"")</f>
        <v/>
      </c>
      <c r="G862" s="3">
        <f>IFERROR(VLOOKUP(A862,'الخطة التدريبية المعتمدة'!A:J,10,FALSE),0)</f>
        <v>0</v>
      </c>
      <c r="H862" s="3"/>
      <c r="I862" s="3"/>
      <c r="J862" s="3"/>
      <c r="K862" s="7" t="str">
        <f>IF(OR(I862="",J862="",I862=0),"",(J862-I862)/I862)</f>
        <v/>
      </c>
      <c r="L862" s="3" t="str">
        <f>IF(J862="","",IF(J862/10&gt;='الإعدادات والمستهدفات'!B5,"ناجح ومستوفى","ضعيف - يلزم إعادة اختبار"))</f>
        <v/>
      </c>
      <c r="M862" s="3"/>
      <c r="N862" s="3"/>
    </row>
    <row r="863" spans="1:14" x14ac:dyDescent="0.2">
      <c r="A863" s="3" t="str">
        <f>IFERROR(VLOOKUP(B863,'جدول الجلسات التدريبية'!A:B,2,FALSE),"")</f>
        <v/>
      </c>
      <c r="B863" s="3"/>
      <c r="C863" s="3" t="str">
        <f>IFERROR(VLOOKUP(A863,'الخطة التدريبية المعتمدة'!A:C,3,FALSE),"")</f>
        <v/>
      </c>
      <c r="D863" s="3" t="str">
        <f>IFERROR(VLOOKUP(B863,'جدول الجلسات التدريبية'!A:D,4,FALSE),"")</f>
        <v/>
      </c>
      <c r="E863" s="3"/>
      <c r="F863" s="3" t="str">
        <f>IFERROR(VLOOKUP(E863,'سجل الموظفين والكفاءة'!B:C,2,FALSE),"")</f>
        <v/>
      </c>
      <c r="G863" s="3">
        <f>IFERROR(VLOOKUP(A863,'الخطة التدريبية المعتمدة'!A:J,10,FALSE),0)</f>
        <v>0</v>
      </c>
      <c r="H863" s="3"/>
      <c r="I863" s="3"/>
      <c r="J863" s="3"/>
      <c r="K863" s="7" t="str">
        <f>IF(OR(I863="",J863="",I863=0),"",(J863-I863)/I863)</f>
        <v/>
      </c>
      <c r="L863" s="3" t="str">
        <f>IF(J863="","",IF(J863/10&gt;='الإعدادات والمستهدفات'!B5,"ناجح ومستوفى","ضعيف - يلزم إعادة اختبار"))</f>
        <v/>
      </c>
      <c r="M863" s="3"/>
      <c r="N863" s="3"/>
    </row>
    <row r="864" spans="1:14" x14ac:dyDescent="0.2">
      <c r="A864" s="3" t="str">
        <f>IFERROR(VLOOKUP(B864,'جدول الجلسات التدريبية'!A:B,2,FALSE),"")</f>
        <v/>
      </c>
      <c r="B864" s="3"/>
      <c r="C864" s="3" t="str">
        <f>IFERROR(VLOOKUP(A864,'الخطة التدريبية المعتمدة'!A:C,3,FALSE),"")</f>
        <v/>
      </c>
      <c r="D864" s="3" t="str">
        <f>IFERROR(VLOOKUP(B864,'جدول الجلسات التدريبية'!A:D,4,FALSE),"")</f>
        <v/>
      </c>
      <c r="E864" s="3"/>
      <c r="F864" s="3" t="str">
        <f>IFERROR(VLOOKUP(E864,'سجل الموظفين والكفاءة'!B:C,2,FALSE),"")</f>
        <v/>
      </c>
      <c r="G864" s="3">
        <f>IFERROR(VLOOKUP(A864,'الخطة التدريبية المعتمدة'!A:J,10,FALSE),0)</f>
        <v>0</v>
      </c>
      <c r="H864" s="3"/>
      <c r="I864" s="3"/>
      <c r="J864" s="3"/>
      <c r="K864" s="7" t="str">
        <f>IF(OR(I864="",J864="",I864=0),"",(J864-I864)/I864)</f>
        <v/>
      </c>
      <c r="L864" s="3" t="str">
        <f>IF(J864="","",IF(J864/10&gt;='الإعدادات والمستهدفات'!B5,"ناجح ومستوفى","ضعيف - يلزم إعادة اختبار"))</f>
        <v/>
      </c>
      <c r="M864" s="3"/>
      <c r="N864" s="3"/>
    </row>
    <row r="865" spans="1:14" x14ac:dyDescent="0.2">
      <c r="A865" s="3" t="str">
        <f>IFERROR(VLOOKUP(B865,'جدول الجلسات التدريبية'!A:B,2,FALSE),"")</f>
        <v/>
      </c>
      <c r="B865" s="3"/>
      <c r="C865" s="3" t="str">
        <f>IFERROR(VLOOKUP(A865,'الخطة التدريبية المعتمدة'!A:C,3,FALSE),"")</f>
        <v/>
      </c>
      <c r="D865" s="3" t="str">
        <f>IFERROR(VLOOKUP(B865,'جدول الجلسات التدريبية'!A:D,4,FALSE),"")</f>
        <v/>
      </c>
      <c r="E865" s="3"/>
      <c r="F865" s="3" t="str">
        <f>IFERROR(VLOOKUP(E865,'سجل الموظفين والكفاءة'!B:C,2,FALSE),"")</f>
        <v/>
      </c>
      <c r="G865" s="3">
        <f>IFERROR(VLOOKUP(A865,'الخطة التدريبية المعتمدة'!A:J,10,FALSE),0)</f>
        <v>0</v>
      </c>
      <c r="H865" s="3"/>
      <c r="I865" s="3"/>
      <c r="J865" s="3"/>
      <c r="K865" s="7" t="str">
        <f>IF(OR(I865="",J865="",I865=0),"",(J865-I865)/I865)</f>
        <v/>
      </c>
      <c r="L865" s="3" t="str">
        <f>IF(J865="","",IF(J865/10&gt;='الإعدادات والمستهدفات'!B5,"ناجح ومستوفى","ضعيف - يلزم إعادة اختبار"))</f>
        <v/>
      </c>
      <c r="M865" s="3"/>
      <c r="N865" s="3"/>
    </row>
    <row r="866" spans="1:14" x14ac:dyDescent="0.2">
      <c r="A866" s="3" t="str">
        <f>IFERROR(VLOOKUP(B866,'جدول الجلسات التدريبية'!A:B,2,FALSE),"")</f>
        <v/>
      </c>
      <c r="B866" s="3"/>
      <c r="C866" s="3" t="str">
        <f>IFERROR(VLOOKUP(A866,'الخطة التدريبية المعتمدة'!A:C,3,FALSE),"")</f>
        <v/>
      </c>
      <c r="D866" s="3" t="str">
        <f>IFERROR(VLOOKUP(B866,'جدول الجلسات التدريبية'!A:D,4,FALSE),"")</f>
        <v/>
      </c>
      <c r="E866" s="3"/>
      <c r="F866" s="3" t="str">
        <f>IFERROR(VLOOKUP(E866,'سجل الموظفين والكفاءة'!B:C,2,FALSE),"")</f>
        <v/>
      </c>
      <c r="G866" s="3">
        <f>IFERROR(VLOOKUP(A866,'الخطة التدريبية المعتمدة'!A:J,10,FALSE),0)</f>
        <v>0</v>
      </c>
      <c r="H866" s="3"/>
      <c r="I866" s="3"/>
      <c r="J866" s="3"/>
      <c r="K866" s="7" t="str">
        <f>IF(OR(I866="",J866="",I866=0),"",(J866-I866)/I866)</f>
        <v/>
      </c>
      <c r="L866" s="3" t="str">
        <f>IF(J866="","",IF(J866/10&gt;='الإعدادات والمستهدفات'!B5,"ناجح ومستوفى","ضعيف - يلزم إعادة اختبار"))</f>
        <v/>
      </c>
      <c r="M866" s="3"/>
      <c r="N866" s="3"/>
    </row>
    <row r="867" spans="1:14" x14ac:dyDescent="0.2">
      <c r="A867" s="3" t="str">
        <f>IFERROR(VLOOKUP(B867,'جدول الجلسات التدريبية'!A:B,2,FALSE),"")</f>
        <v/>
      </c>
      <c r="B867" s="3"/>
      <c r="C867" s="3" t="str">
        <f>IFERROR(VLOOKUP(A867,'الخطة التدريبية المعتمدة'!A:C,3,FALSE),"")</f>
        <v/>
      </c>
      <c r="D867" s="3" t="str">
        <f>IFERROR(VLOOKUP(B867,'جدول الجلسات التدريبية'!A:D,4,FALSE),"")</f>
        <v/>
      </c>
      <c r="E867" s="3"/>
      <c r="F867" s="3" t="str">
        <f>IFERROR(VLOOKUP(E867,'سجل الموظفين والكفاءة'!B:C,2,FALSE),"")</f>
        <v/>
      </c>
      <c r="G867" s="3">
        <f>IFERROR(VLOOKUP(A867,'الخطة التدريبية المعتمدة'!A:J,10,FALSE),0)</f>
        <v>0</v>
      </c>
      <c r="H867" s="3"/>
      <c r="I867" s="3"/>
      <c r="J867" s="3"/>
      <c r="K867" s="7" t="str">
        <f>IF(OR(I867="",J867="",I867=0),"",(J867-I867)/I867)</f>
        <v/>
      </c>
      <c r="L867" s="3" t="str">
        <f>IF(J867="","",IF(J867/10&gt;='الإعدادات والمستهدفات'!B5,"ناجح ومستوفى","ضعيف - يلزم إعادة اختبار"))</f>
        <v/>
      </c>
      <c r="M867" s="3"/>
      <c r="N867" s="3"/>
    </row>
    <row r="868" spans="1:14" x14ac:dyDescent="0.2">
      <c r="A868" s="3" t="str">
        <f>IFERROR(VLOOKUP(B868,'جدول الجلسات التدريبية'!A:B,2,FALSE),"")</f>
        <v/>
      </c>
      <c r="B868" s="3"/>
      <c r="C868" s="3" t="str">
        <f>IFERROR(VLOOKUP(A868,'الخطة التدريبية المعتمدة'!A:C,3,FALSE),"")</f>
        <v/>
      </c>
      <c r="D868" s="3" t="str">
        <f>IFERROR(VLOOKUP(B868,'جدول الجلسات التدريبية'!A:D,4,FALSE),"")</f>
        <v/>
      </c>
      <c r="E868" s="3"/>
      <c r="F868" s="3" t="str">
        <f>IFERROR(VLOOKUP(E868,'سجل الموظفين والكفاءة'!B:C,2,FALSE),"")</f>
        <v/>
      </c>
      <c r="G868" s="3">
        <f>IFERROR(VLOOKUP(A868,'الخطة التدريبية المعتمدة'!A:J,10,FALSE),0)</f>
        <v>0</v>
      </c>
      <c r="H868" s="3"/>
      <c r="I868" s="3"/>
      <c r="J868" s="3"/>
      <c r="K868" s="7" t="str">
        <f>IF(OR(I868="",J868="",I868=0),"",(J868-I868)/I868)</f>
        <v/>
      </c>
      <c r="L868" s="3" t="str">
        <f>IF(J868="","",IF(J868/10&gt;='الإعدادات والمستهدفات'!B5,"ناجح ومستوفى","ضعيف - يلزم إعادة اختبار"))</f>
        <v/>
      </c>
      <c r="M868" s="3"/>
      <c r="N868" s="3"/>
    </row>
    <row r="869" spans="1:14" x14ac:dyDescent="0.2">
      <c r="A869" s="3" t="str">
        <f>IFERROR(VLOOKUP(B869,'جدول الجلسات التدريبية'!A:B,2,FALSE),"")</f>
        <v/>
      </c>
      <c r="B869" s="3"/>
      <c r="C869" s="3" t="str">
        <f>IFERROR(VLOOKUP(A869,'الخطة التدريبية المعتمدة'!A:C,3,FALSE),"")</f>
        <v/>
      </c>
      <c r="D869" s="3" t="str">
        <f>IFERROR(VLOOKUP(B869,'جدول الجلسات التدريبية'!A:D,4,FALSE),"")</f>
        <v/>
      </c>
      <c r="E869" s="3"/>
      <c r="F869" s="3" t="str">
        <f>IFERROR(VLOOKUP(E869,'سجل الموظفين والكفاءة'!B:C,2,FALSE),"")</f>
        <v/>
      </c>
      <c r="G869" s="3">
        <f>IFERROR(VLOOKUP(A869,'الخطة التدريبية المعتمدة'!A:J,10,FALSE),0)</f>
        <v>0</v>
      </c>
      <c r="H869" s="3"/>
      <c r="I869" s="3"/>
      <c r="J869" s="3"/>
      <c r="K869" s="7" t="str">
        <f>IF(OR(I869="",J869="",I869=0),"",(J869-I869)/I869)</f>
        <v/>
      </c>
      <c r="L869" s="3" t="str">
        <f>IF(J869="","",IF(J869/10&gt;='الإعدادات والمستهدفات'!B5,"ناجح ومستوفى","ضعيف - يلزم إعادة اختبار"))</f>
        <v/>
      </c>
      <c r="M869" s="3"/>
      <c r="N869" s="3"/>
    </row>
    <row r="870" spans="1:14" x14ac:dyDescent="0.2">
      <c r="A870" s="3" t="str">
        <f>IFERROR(VLOOKUP(B870,'جدول الجلسات التدريبية'!A:B,2,FALSE),"")</f>
        <v/>
      </c>
      <c r="B870" s="3"/>
      <c r="C870" s="3" t="str">
        <f>IFERROR(VLOOKUP(A870,'الخطة التدريبية المعتمدة'!A:C,3,FALSE),"")</f>
        <v/>
      </c>
      <c r="D870" s="3" t="str">
        <f>IFERROR(VLOOKUP(B870,'جدول الجلسات التدريبية'!A:D,4,FALSE),"")</f>
        <v/>
      </c>
      <c r="E870" s="3"/>
      <c r="F870" s="3" t="str">
        <f>IFERROR(VLOOKUP(E870,'سجل الموظفين والكفاءة'!B:C,2,FALSE),"")</f>
        <v/>
      </c>
      <c r="G870" s="3">
        <f>IFERROR(VLOOKUP(A870,'الخطة التدريبية المعتمدة'!A:J,10,FALSE),0)</f>
        <v>0</v>
      </c>
      <c r="H870" s="3"/>
      <c r="I870" s="3"/>
      <c r="J870" s="3"/>
      <c r="K870" s="7" t="str">
        <f>IF(OR(I870="",J870="",I870=0),"",(J870-I870)/I870)</f>
        <v/>
      </c>
      <c r="L870" s="3" t="str">
        <f>IF(J870="","",IF(J870/10&gt;='الإعدادات والمستهدفات'!B5,"ناجح ومستوفى","ضعيف - يلزم إعادة اختبار"))</f>
        <v/>
      </c>
      <c r="M870" s="3"/>
      <c r="N870" s="3"/>
    </row>
    <row r="871" spans="1:14" x14ac:dyDescent="0.2">
      <c r="A871" s="3" t="str">
        <f>IFERROR(VLOOKUP(B871,'جدول الجلسات التدريبية'!A:B,2,FALSE),"")</f>
        <v/>
      </c>
      <c r="B871" s="3"/>
      <c r="C871" s="3" t="str">
        <f>IFERROR(VLOOKUP(A871,'الخطة التدريبية المعتمدة'!A:C,3,FALSE),"")</f>
        <v/>
      </c>
      <c r="D871" s="3" t="str">
        <f>IFERROR(VLOOKUP(B871,'جدول الجلسات التدريبية'!A:D,4,FALSE),"")</f>
        <v/>
      </c>
      <c r="E871" s="3"/>
      <c r="F871" s="3" t="str">
        <f>IFERROR(VLOOKUP(E871,'سجل الموظفين والكفاءة'!B:C,2,FALSE),"")</f>
        <v/>
      </c>
      <c r="G871" s="3">
        <f>IFERROR(VLOOKUP(A871,'الخطة التدريبية المعتمدة'!A:J,10,FALSE),0)</f>
        <v>0</v>
      </c>
      <c r="H871" s="3"/>
      <c r="I871" s="3"/>
      <c r="J871" s="3"/>
      <c r="K871" s="7" t="str">
        <f>IF(OR(I871="",J871="",I871=0),"",(J871-I871)/I871)</f>
        <v/>
      </c>
      <c r="L871" s="3" t="str">
        <f>IF(J871="","",IF(J871/10&gt;='الإعدادات والمستهدفات'!B5,"ناجح ومستوفى","ضعيف - يلزم إعادة اختبار"))</f>
        <v/>
      </c>
      <c r="M871" s="3"/>
      <c r="N871" s="3"/>
    </row>
    <row r="872" spans="1:14" x14ac:dyDescent="0.2">
      <c r="A872" s="3" t="str">
        <f>IFERROR(VLOOKUP(B872,'جدول الجلسات التدريبية'!A:B,2,FALSE),"")</f>
        <v/>
      </c>
      <c r="B872" s="3"/>
      <c r="C872" s="3" t="str">
        <f>IFERROR(VLOOKUP(A872,'الخطة التدريبية المعتمدة'!A:C,3,FALSE),"")</f>
        <v/>
      </c>
      <c r="D872" s="3" t="str">
        <f>IFERROR(VLOOKUP(B872,'جدول الجلسات التدريبية'!A:D,4,FALSE),"")</f>
        <v/>
      </c>
      <c r="E872" s="3"/>
      <c r="F872" s="3" t="str">
        <f>IFERROR(VLOOKUP(E872,'سجل الموظفين والكفاءة'!B:C,2,FALSE),"")</f>
        <v/>
      </c>
      <c r="G872" s="3">
        <f>IFERROR(VLOOKUP(A872,'الخطة التدريبية المعتمدة'!A:J,10,FALSE),0)</f>
        <v>0</v>
      </c>
      <c r="H872" s="3"/>
      <c r="I872" s="3"/>
      <c r="J872" s="3"/>
      <c r="K872" s="7" t="str">
        <f>IF(OR(I872="",J872="",I872=0),"",(J872-I872)/I872)</f>
        <v/>
      </c>
      <c r="L872" s="3" t="str">
        <f>IF(J872="","",IF(J872/10&gt;='الإعدادات والمستهدفات'!B5,"ناجح ومستوفى","ضعيف - يلزم إعادة اختبار"))</f>
        <v/>
      </c>
      <c r="M872" s="3"/>
      <c r="N872" s="3"/>
    </row>
    <row r="873" spans="1:14" x14ac:dyDescent="0.2">
      <c r="A873" s="3" t="str">
        <f>IFERROR(VLOOKUP(B873,'جدول الجلسات التدريبية'!A:B,2,FALSE),"")</f>
        <v/>
      </c>
      <c r="B873" s="3"/>
      <c r="C873" s="3" t="str">
        <f>IFERROR(VLOOKUP(A873,'الخطة التدريبية المعتمدة'!A:C,3,FALSE),"")</f>
        <v/>
      </c>
      <c r="D873" s="3" t="str">
        <f>IFERROR(VLOOKUP(B873,'جدول الجلسات التدريبية'!A:D,4,FALSE),"")</f>
        <v/>
      </c>
      <c r="E873" s="3"/>
      <c r="F873" s="3" t="str">
        <f>IFERROR(VLOOKUP(E873,'سجل الموظفين والكفاءة'!B:C,2,FALSE),"")</f>
        <v/>
      </c>
      <c r="G873" s="3">
        <f>IFERROR(VLOOKUP(A873,'الخطة التدريبية المعتمدة'!A:J,10,FALSE),0)</f>
        <v>0</v>
      </c>
      <c r="H873" s="3"/>
      <c r="I873" s="3"/>
      <c r="J873" s="3"/>
      <c r="K873" s="7" t="str">
        <f>IF(OR(I873="",J873="",I873=0),"",(J873-I873)/I873)</f>
        <v/>
      </c>
      <c r="L873" s="3" t="str">
        <f>IF(J873="","",IF(J873/10&gt;='الإعدادات والمستهدفات'!B5,"ناجح ومستوفى","ضعيف - يلزم إعادة اختبار"))</f>
        <v/>
      </c>
      <c r="M873" s="3"/>
      <c r="N873" s="3"/>
    </row>
    <row r="874" spans="1:14" x14ac:dyDescent="0.2">
      <c r="A874" s="3" t="str">
        <f>IFERROR(VLOOKUP(B874,'جدول الجلسات التدريبية'!A:B,2,FALSE),"")</f>
        <v/>
      </c>
      <c r="B874" s="3"/>
      <c r="C874" s="3" t="str">
        <f>IFERROR(VLOOKUP(A874,'الخطة التدريبية المعتمدة'!A:C,3,FALSE),"")</f>
        <v/>
      </c>
      <c r="D874" s="3" t="str">
        <f>IFERROR(VLOOKUP(B874,'جدول الجلسات التدريبية'!A:D,4,FALSE),"")</f>
        <v/>
      </c>
      <c r="E874" s="3"/>
      <c r="F874" s="3" t="str">
        <f>IFERROR(VLOOKUP(E874,'سجل الموظفين والكفاءة'!B:C,2,FALSE),"")</f>
        <v/>
      </c>
      <c r="G874" s="3">
        <f>IFERROR(VLOOKUP(A874,'الخطة التدريبية المعتمدة'!A:J,10,FALSE),0)</f>
        <v>0</v>
      </c>
      <c r="H874" s="3"/>
      <c r="I874" s="3"/>
      <c r="J874" s="3"/>
      <c r="K874" s="7" t="str">
        <f>IF(OR(I874="",J874="",I874=0),"",(J874-I874)/I874)</f>
        <v/>
      </c>
      <c r="L874" s="3" t="str">
        <f>IF(J874="","",IF(J874/10&gt;='الإعدادات والمستهدفات'!B5,"ناجح ومستوفى","ضعيف - يلزم إعادة اختبار"))</f>
        <v/>
      </c>
      <c r="M874" s="3"/>
      <c r="N874" s="3"/>
    </row>
    <row r="875" spans="1:14" x14ac:dyDescent="0.2">
      <c r="A875" s="3" t="str">
        <f>IFERROR(VLOOKUP(B875,'جدول الجلسات التدريبية'!A:B,2,FALSE),"")</f>
        <v/>
      </c>
      <c r="B875" s="3"/>
      <c r="C875" s="3" t="str">
        <f>IFERROR(VLOOKUP(A875,'الخطة التدريبية المعتمدة'!A:C,3,FALSE),"")</f>
        <v/>
      </c>
      <c r="D875" s="3" t="str">
        <f>IFERROR(VLOOKUP(B875,'جدول الجلسات التدريبية'!A:D,4,FALSE),"")</f>
        <v/>
      </c>
      <c r="E875" s="3"/>
      <c r="F875" s="3" t="str">
        <f>IFERROR(VLOOKUP(E875,'سجل الموظفين والكفاءة'!B:C,2,FALSE),"")</f>
        <v/>
      </c>
      <c r="G875" s="3">
        <f>IFERROR(VLOOKUP(A875,'الخطة التدريبية المعتمدة'!A:J,10,FALSE),0)</f>
        <v>0</v>
      </c>
      <c r="H875" s="3"/>
      <c r="I875" s="3"/>
      <c r="J875" s="3"/>
      <c r="K875" s="7" t="str">
        <f>IF(OR(I875="",J875="",I875=0),"",(J875-I875)/I875)</f>
        <v/>
      </c>
      <c r="L875" s="3" t="str">
        <f>IF(J875="","",IF(J875/10&gt;='الإعدادات والمستهدفات'!B5,"ناجح ومستوفى","ضعيف - يلزم إعادة اختبار"))</f>
        <v/>
      </c>
      <c r="M875" s="3"/>
      <c r="N875" s="3"/>
    </row>
    <row r="876" spans="1:14" x14ac:dyDescent="0.2">
      <c r="A876" s="3" t="str">
        <f>IFERROR(VLOOKUP(B876,'جدول الجلسات التدريبية'!A:B,2,FALSE),"")</f>
        <v/>
      </c>
      <c r="B876" s="3"/>
      <c r="C876" s="3" t="str">
        <f>IFERROR(VLOOKUP(A876,'الخطة التدريبية المعتمدة'!A:C,3,FALSE),"")</f>
        <v/>
      </c>
      <c r="D876" s="3" t="str">
        <f>IFERROR(VLOOKUP(B876,'جدول الجلسات التدريبية'!A:D,4,FALSE),"")</f>
        <v/>
      </c>
      <c r="E876" s="3"/>
      <c r="F876" s="3" t="str">
        <f>IFERROR(VLOOKUP(E876,'سجل الموظفين والكفاءة'!B:C,2,FALSE),"")</f>
        <v/>
      </c>
      <c r="G876" s="3">
        <f>IFERROR(VLOOKUP(A876,'الخطة التدريبية المعتمدة'!A:J,10,FALSE),0)</f>
        <v>0</v>
      </c>
      <c r="H876" s="3"/>
      <c r="I876" s="3"/>
      <c r="J876" s="3"/>
      <c r="K876" s="7" t="str">
        <f>IF(OR(I876="",J876="",I876=0),"",(J876-I876)/I876)</f>
        <v/>
      </c>
      <c r="L876" s="3" t="str">
        <f>IF(J876="","",IF(J876/10&gt;='الإعدادات والمستهدفات'!B5,"ناجح ومستوفى","ضعيف - يلزم إعادة اختبار"))</f>
        <v/>
      </c>
      <c r="M876" s="3"/>
      <c r="N876" s="3"/>
    </row>
    <row r="877" spans="1:14" x14ac:dyDescent="0.2">
      <c r="A877" s="3" t="str">
        <f>IFERROR(VLOOKUP(B877,'جدول الجلسات التدريبية'!A:B,2,FALSE),"")</f>
        <v/>
      </c>
      <c r="B877" s="3"/>
      <c r="C877" s="3" t="str">
        <f>IFERROR(VLOOKUP(A877,'الخطة التدريبية المعتمدة'!A:C,3,FALSE),"")</f>
        <v/>
      </c>
      <c r="D877" s="3" t="str">
        <f>IFERROR(VLOOKUP(B877,'جدول الجلسات التدريبية'!A:D,4,FALSE),"")</f>
        <v/>
      </c>
      <c r="E877" s="3"/>
      <c r="F877" s="3" t="str">
        <f>IFERROR(VLOOKUP(E877,'سجل الموظفين والكفاءة'!B:C,2,FALSE),"")</f>
        <v/>
      </c>
      <c r="G877" s="3">
        <f>IFERROR(VLOOKUP(A877,'الخطة التدريبية المعتمدة'!A:J,10,FALSE),0)</f>
        <v>0</v>
      </c>
      <c r="H877" s="3"/>
      <c r="I877" s="3"/>
      <c r="J877" s="3"/>
      <c r="K877" s="7" t="str">
        <f>IF(OR(I877="",J877="",I877=0),"",(J877-I877)/I877)</f>
        <v/>
      </c>
      <c r="L877" s="3" t="str">
        <f>IF(J877="","",IF(J877/10&gt;='الإعدادات والمستهدفات'!B5,"ناجح ومستوفى","ضعيف - يلزم إعادة اختبار"))</f>
        <v/>
      </c>
      <c r="M877" s="3"/>
      <c r="N877" s="3"/>
    </row>
    <row r="878" spans="1:14" x14ac:dyDescent="0.2">
      <c r="A878" s="3" t="str">
        <f>IFERROR(VLOOKUP(B878,'جدول الجلسات التدريبية'!A:B,2,FALSE),"")</f>
        <v/>
      </c>
      <c r="B878" s="3"/>
      <c r="C878" s="3" t="str">
        <f>IFERROR(VLOOKUP(A878,'الخطة التدريبية المعتمدة'!A:C,3,FALSE),"")</f>
        <v/>
      </c>
      <c r="D878" s="3" t="str">
        <f>IFERROR(VLOOKUP(B878,'جدول الجلسات التدريبية'!A:D,4,FALSE),"")</f>
        <v/>
      </c>
      <c r="E878" s="3"/>
      <c r="F878" s="3" t="str">
        <f>IFERROR(VLOOKUP(E878,'سجل الموظفين والكفاءة'!B:C,2,FALSE),"")</f>
        <v/>
      </c>
      <c r="G878" s="3">
        <f>IFERROR(VLOOKUP(A878,'الخطة التدريبية المعتمدة'!A:J,10,FALSE),0)</f>
        <v>0</v>
      </c>
      <c r="H878" s="3"/>
      <c r="I878" s="3"/>
      <c r="J878" s="3"/>
      <c r="K878" s="7" t="str">
        <f>IF(OR(I878="",J878="",I878=0),"",(J878-I878)/I878)</f>
        <v/>
      </c>
      <c r="L878" s="3" t="str">
        <f>IF(J878="","",IF(J878/10&gt;='الإعدادات والمستهدفات'!B5,"ناجح ومستوفى","ضعيف - يلزم إعادة اختبار"))</f>
        <v/>
      </c>
      <c r="M878" s="3"/>
      <c r="N878" s="3"/>
    </row>
    <row r="879" spans="1:14" x14ac:dyDescent="0.2">
      <c r="A879" s="3" t="str">
        <f>IFERROR(VLOOKUP(B879,'جدول الجلسات التدريبية'!A:B,2,FALSE),"")</f>
        <v/>
      </c>
      <c r="B879" s="3"/>
      <c r="C879" s="3" t="str">
        <f>IFERROR(VLOOKUP(A879,'الخطة التدريبية المعتمدة'!A:C,3,FALSE),"")</f>
        <v/>
      </c>
      <c r="D879" s="3" t="str">
        <f>IFERROR(VLOOKUP(B879,'جدول الجلسات التدريبية'!A:D,4,FALSE),"")</f>
        <v/>
      </c>
      <c r="E879" s="3"/>
      <c r="F879" s="3" t="str">
        <f>IFERROR(VLOOKUP(E879,'سجل الموظفين والكفاءة'!B:C,2,FALSE),"")</f>
        <v/>
      </c>
      <c r="G879" s="3">
        <f>IFERROR(VLOOKUP(A879,'الخطة التدريبية المعتمدة'!A:J,10,FALSE),0)</f>
        <v>0</v>
      </c>
      <c r="H879" s="3"/>
      <c r="I879" s="3"/>
      <c r="J879" s="3"/>
      <c r="K879" s="7" t="str">
        <f>IF(OR(I879="",J879="",I879=0),"",(J879-I879)/I879)</f>
        <v/>
      </c>
      <c r="L879" s="3" t="str">
        <f>IF(J879="","",IF(J879/10&gt;='الإعدادات والمستهدفات'!B5,"ناجح ومستوفى","ضعيف - يلزم إعادة اختبار"))</f>
        <v/>
      </c>
      <c r="M879" s="3"/>
      <c r="N879" s="3"/>
    </row>
    <row r="880" spans="1:14" x14ac:dyDescent="0.2">
      <c r="A880" s="3" t="str">
        <f>IFERROR(VLOOKUP(B880,'جدول الجلسات التدريبية'!A:B,2,FALSE),"")</f>
        <v/>
      </c>
      <c r="B880" s="3"/>
      <c r="C880" s="3" t="str">
        <f>IFERROR(VLOOKUP(A880,'الخطة التدريبية المعتمدة'!A:C,3,FALSE),"")</f>
        <v/>
      </c>
      <c r="D880" s="3" t="str">
        <f>IFERROR(VLOOKUP(B880,'جدول الجلسات التدريبية'!A:D,4,FALSE),"")</f>
        <v/>
      </c>
      <c r="E880" s="3"/>
      <c r="F880" s="3" t="str">
        <f>IFERROR(VLOOKUP(E880,'سجل الموظفين والكفاءة'!B:C,2,FALSE),"")</f>
        <v/>
      </c>
      <c r="G880" s="3">
        <f>IFERROR(VLOOKUP(A880,'الخطة التدريبية المعتمدة'!A:J,10,FALSE),0)</f>
        <v>0</v>
      </c>
      <c r="H880" s="3"/>
      <c r="I880" s="3"/>
      <c r="J880" s="3"/>
      <c r="K880" s="7" t="str">
        <f>IF(OR(I880="",J880="",I880=0),"",(J880-I880)/I880)</f>
        <v/>
      </c>
      <c r="L880" s="3" t="str">
        <f>IF(J880="","",IF(J880/10&gt;='الإعدادات والمستهدفات'!B5,"ناجح ومستوفى","ضعيف - يلزم إعادة اختبار"))</f>
        <v/>
      </c>
      <c r="M880" s="3"/>
      <c r="N880" s="3"/>
    </row>
    <row r="881" spans="1:14" x14ac:dyDescent="0.2">
      <c r="A881" s="3" t="str">
        <f>IFERROR(VLOOKUP(B881,'جدول الجلسات التدريبية'!A:B,2,FALSE),"")</f>
        <v/>
      </c>
      <c r="B881" s="3"/>
      <c r="C881" s="3" t="str">
        <f>IFERROR(VLOOKUP(A881,'الخطة التدريبية المعتمدة'!A:C,3,FALSE),"")</f>
        <v/>
      </c>
      <c r="D881" s="3" t="str">
        <f>IFERROR(VLOOKUP(B881,'جدول الجلسات التدريبية'!A:D,4,FALSE),"")</f>
        <v/>
      </c>
      <c r="E881" s="3"/>
      <c r="F881" s="3" t="str">
        <f>IFERROR(VLOOKUP(E881,'سجل الموظفين والكفاءة'!B:C,2,FALSE),"")</f>
        <v/>
      </c>
      <c r="G881" s="3">
        <f>IFERROR(VLOOKUP(A881,'الخطة التدريبية المعتمدة'!A:J,10,FALSE),0)</f>
        <v>0</v>
      </c>
      <c r="H881" s="3"/>
      <c r="I881" s="3"/>
      <c r="J881" s="3"/>
      <c r="K881" s="7" t="str">
        <f>IF(OR(I881="",J881="",I881=0),"",(J881-I881)/I881)</f>
        <v/>
      </c>
      <c r="L881" s="3" t="str">
        <f>IF(J881="","",IF(J881/10&gt;='الإعدادات والمستهدفات'!B5,"ناجح ومستوفى","ضعيف - يلزم إعادة اختبار"))</f>
        <v/>
      </c>
      <c r="M881" s="3"/>
      <c r="N881" s="3"/>
    </row>
    <row r="882" spans="1:14" x14ac:dyDescent="0.2">
      <c r="A882" s="3" t="str">
        <f>IFERROR(VLOOKUP(B882,'جدول الجلسات التدريبية'!A:B,2,FALSE),"")</f>
        <v/>
      </c>
      <c r="B882" s="3"/>
      <c r="C882" s="3" t="str">
        <f>IFERROR(VLOOKUP(A882,'الخطة التدريبية المعتمدة'!A:C,3,FALSE),"")</f>
        <v/>
      </c>
      <c r="D882" s="3" t="str">
        <f>IFERROR(VLOOKUP(B882,'جدول الجلسات التدريبية'!A:D,4,FALSE),"")</f>
        <v/>
      </c>
      <c r="E882" s="3"/>
      <c r="F882" s="3" t="str">
        <f>IFERROR(VLOOKUP(E882,'سجل الموظفين والكفاءة'!B:C,2,FALSE),"")</f>
        <v/>
      </c>
      <c r="G882" s="3">
        <f>IFERROR(VLOOKUP(A882,'الخطة التدريبية المعتمدة'!A:J,10,FALSE),0)</f>
        <v>0</v>
      </c>
      <c r="H882" s="3"/>
      <c r="I882" s="3"/>
      <c r="J882" s="3"/>
      <c r="K882" s="7" t="str">
        <f>IF(OR(I882="",J882="",I882=0),"",(J882-I882)/I882)</f>
        <v/>
      </c>
      <c r="L882" s="3" t="str">
        <f>IF(J882="","",IF(J882/10&gt;='الإعدادات والمستهدفات'!B5,"ناجح ومستوفى","ضعيف - يلزم إعادة اختبار"))</f>
        <v/>
      </c>
      <c r="M882" s="3"/>
      <c r="N882" s="3"/>
    </row>
    <row r="883" spans="1:14" x14ac:dyDescent="0.2">
      <c r="A883" s="3" t="str">
        <f>IFERROR(VLOOKUP(B883,'جدول الجلسات التدريبية'!A:B,2,FALSE),"")</f>
        <v/>
      </c>
      <c r="B883" s="3"/>
      <c r="C883" s="3" t="str">
        <f>IFERROR(VLOOKUP(A883,'الخطة التدريبية المعتمدة'!A:C,3,FALSE),"")</f>
        <v/>
      </c>
      <c r="D883" s="3" t="str">
        <f>IFERROR(VLOOKUP(B883,'جدول الجلسات التدريبية'!A:D,4,FALSE),"")</f>
        <v/>
      </c>
      <c r="E883" s="3"/>
      <c r="F883" s="3" t="str">
        <f>IFERROR(VLOOKUP(E883,'سجل الموظفين والكفاءة'!B:C,2,FALSE),"")</f>
        <v/>
      </c>
      <c r="G883" s="3">
        <f>IFERROR(VLOOKUP(A883,'الخطة التدريبية المعتمدة'!A:J,10,FALSE),0)</f>
        <v>0</v>
      </c>
      <c r="H883" s="3"/>
      <c r="I883" s="3"/>
      <c r="J883" s="3"/>
      <c r="K883" s="7" t="str">
        <f>IF(OR(I883="",J883="",I883=0),"",(J883-I883)/I883)</f>
        <v/>
      </c>
      <c r="L883" s="3" t="str">
        <f>IF(J883="","",IF(J883/10&gt;='الإعدادات والمستهدفات'!B5,"ناجح ومستوفى","ضعيف - يلزم إعادة اختبار"))</f>
        <v/>
      </c>
      <c r="M883" s="3"/>
      <c r="N883" s="3"/>
    </row>
    <row r="884" spans="1:14" x14ac:dyDescent="0.2">
      <c r="A884" s="3" t="str">
        <f>IFERROR(VLOOKUP(B884,'جدول الجلسات التدريبية'!A:B,2,FALSE),"")</f>
        <v/>
      </c>
      <c r="B884" s="3"/>
      <c r="C884" s="3" t="str">
        <f>IFERROR(VLOOKUP(A884,'الخطة التدريبية المعتمدة'!A:C,3,FALSE),"")</f>
        <v/>
      </c>
      <c r="D884" s="3" t="str">
        <f>IFERROR(VLOOKUP(B884,'جدول الجلسات التدريبية'!A:D,4,FALSE),"")</f>
        <v/>
      </c>
      <c r="E884" s="3"/>
      <c r="F884" s="3" t="str">
        <f>IFERROR(VLOOKUP(E884,'سجل الموظفين والكفاءة'!B:C,2,FALSE),"")</f>
        <v/>
      </c>
      <c r="G884" s="3">
        <f>IFERROR(VLOOKUP(A884,'الخطة التدريبية المعتمدة'!A:J,10,FALSE),0)</f>
        <v>0</v>
      </c>
      <c r="H884" s="3"/>
      <c r="I884" s="3"/>
      <c r="J884" s="3"/>
      <c r="K884" s="7" t="str">
        <f>IF(OR(I884="",J884="",I884=0),"",(J884-I884)/I884)</f>
        <v/>
      </c>
      <c r="L884" s="3" t="str">
        <f>IF(J884="","",IF(J884/10&gt;='الإعدادات والمستهدفات'!B5,"ناجح ومستوفى","ضعيف - يلزم إعادة اختبار"))</f>
        <v/>
      </c>
      <c r="M884" s="3"/>
      <c r="N884" s="3"/>
    </row>
    <row r="885" spans="1:14" x14ac:dyDescent="0.2">
      <c r="A885" s="3" t="str">
        <f>IFERROR(VLOOKUP(B885,'جدول الجلسات التدريبية'!A:B,2,FALSE),"")</f>
        <v/>
      </c>
      <c r="B885" s="3"/>
      <c r="C885" s="3" t="str">
        <f>IFERROR(VLOOKUP(A885,'الخطة التدريبية المعتمدة'!A:C,3,FALSE),"")</f>
        <v/>
      </c>
      <c r="D885" s="3" t="str">
        <f>IFERROR(VLOOKUP(B885,'جدول الجلسات التدريبية'!A:D,4,FALSE),"")</f>
        <v/>
      </c>
      <c r="E885" s="3"/>
      <c r="F885" s="3" t="str">
        <f>IFERROR(VLOOKUP(E885,'سجل الموظفين والكفاءة'!B:C,2,FALSE),"")</f>
        <v/>
      </c>
      <c r="G885" s="3">
        <f>IFERROR(VLOOKUP(A885,'الخطة التدريبية المعتمدة'!A:J,10,FALSE),0)</f>
        <v>0</v>
      </c>
      <c r="H885" s="3"/>
      <c r="I885" s="3"/>
      <c r="J885" s="3"/>
      <c r="K885" s="7" t="str">
        <f>IF(OR(I885="",J885="",I885=0),"",(J885-I885)/I885)</f>
        <v/>
      </c>
      <c r="L885" s="3" t="str">
        <f>IF(J885="","",IF(J885/10&gt;='الإعدادات والمستهدفات'!B5,"ناجح ومستوفى","ضعيف - يلزم إعادة اختبار"))</f>
        <v/>
      </c>
      <c r="M885" s="3"/>
      <c r="N885" s="3"/>
    </row>
    <row r="886" spans="1:14" x14ac:dyDescent="0.2">
      <c r="A886" s="3" t="str">
        <f>IFERROR(VLOOKUP(B886,'جدول الجلسات التدريبية'!A:B,2,FALSE),"")</f>
        <v/>
      </c>
      <c r="B886" s="3"/>
      <c r="C886" s="3" t="str">
        <f>IFERROR(VLOOKUP(A886,'الخطة التدريبية المعتمدة'!A:C,3,FALSE),"")</f>
        <v/>
      </c>
      <c r="D886" s="3" t="str">
        <f>IFERROR(VLOOKUP(B886,'جدول الجلسات التدريبية'!A:D,4,FALSE),"")</f>
        <v/>
      </c>
      <c r="E886" s="3"/>
      <c r="F886" s="3" t="str">
        <f>IFERROR(VLOOKUP(E886,'سجل الموظفين والكفاءة'!B:C,2,FALSE),"")</f>
        <v/>
      </c>
      <c r="G886" s="3">
        <f>IFERROR(VLOOKUP(A886,'الخطة التدريبية المعتمدة'!A:J,10,FALSE),0)</f>
        <v>0</v>
      </c>
      <c r="H886" s="3"/>
      <c r="I886" s="3"/>
      <c r="J886" s="3"/>
      <c r="K886" s="7" t="str">
        <f>IF(OR(I886="",J886="",I886=0),"",(J886-I886)/I886)</f>
        <v/>
      </c>
      <c r="L886" s="3" t="str">
        <f>IF(J886="","",IF(J886/10&gt;='الإعدادات والمستهدفات'!B5,"ناجح ومستوفى","ضعيف - يلزم إعادة اختبار"))</f>
        <v/>
      </c>
      <c r="M886" s="3"/>
      <c r="N886" s="3"/>
    </row>
    <row r="887" spans="1:14" x14ac:dyDescent="0.2">
      <c r="A887" s="3" t="str">
        <f>IFERROR(VLOOKUP(B887,'جدول الجلسات التدريبية'!A:B,2,FALSE),"")</f>
        <v/>
      </c>
      <c r="B887" s="3"/>
      <c r="C887" s="3" t="str">
        <f>IFERROR(VLOOKUP(A887,'الخطة التدريبية المعتمدة'!A:C,3,FALSE),"")</f>
        <v/>
      </c>
      <c r="D887" s="3" t="str">
        <f>IFERROR(VLOOKUP(B887,'جدول الجلسات التدريبية'!A:D,4,FALSE),"")</f>
        <v/>
      </c>
      <c r="E887" s="3"/>
      <c r="F887" s="3" t="str">
        <f>IFERROR(VLOOKUP(E887,'سجل الموظفين والكفاءة'!B:C,2,FALSE),"")</f>
        <v/>
      </c>
      <c r="G887" s="3">
        <f>IFERROR(VLOOKUP(A887,'الخطة التدريبية المعتمدة'!A:J,10,FALSE),0)</f>
        <v>0</v>
      </c>
      <c r="H887" s="3"/>
      <c r="I887" s="3"/>
      <c r="J887" s="3"/>
      <c r="K887" s="7" t="str">
        <f>IF(OR(I887="",J887="",I887=0),"",(J887-I887)/I887)</f>
        <v/>
      </c>
      <c r="L887" s="3" t="str">
        <f>IF(J887="","",IF(J887/10&gt;='الإعدادات والمستهدفات'!B5,"ناجح ومستوفى","ضعيف - يلزم إعادة اختبار"))</f>
        <v/>
      </c>
      <c r="M887" s="3"/>
      <c r="N887" s="3"/>
    </row>
    <row r="888" spans="1:14" x14ac:dyDescent="0.2">
      <c r="A888" s="3" t="str">
        <f>IFERROR(VLOOKUP(B888,'جدول الجلسات التدريبية'!A:B,2,FALSE),"")</f>
        <v/>
      </c>
      <c r="B888" s="3"/>
      <c r="C888" s="3" t="str">
        <f>IFERROR(VLOOKUP(A888,'الخطة التدريبية المعتمدة'!A:C,3,FALSE),"")</f>
        <v/>
      </c>
      <c r="D888" s="3" t="str">
        <f>IFERROR(VLOOKUP(B888,'جدول الجلسات التدريبية'!A:D,4,FALSE),"")</f>
        <v/>
      </c>
      <c r="E888" s="3"/>
      <c r="F888" s="3" t="str">
        <f>IFERROR(VLOOKUP(E888,'سجل الموظفين والكفاءة'!B:C,2,FALSE),"")</f>
        <v/>
      </c>
      <c r="G888" s="3">
        <f>IFERROR(VLOOKUP(A888,'الخطة التدريبية المعتمدة'!A:J,10,FALSE),0)</f>
        <v>0</v>
      </c>
      <c r="H888" s="3"/>
      <c r="I888" s="3"/>
      <c r="J888" s="3"/>
      <c r="K888" s="7" t="str">
        <f>IF(OR(I888="",J888="",I888=0),"",(J888-I888)/I888)</f>
        <v/>
      </c>
      <c r="L888" s="3" t="str">
        <f>IF(J888="","",IF(J888/10&gt;='الإعدادات والمستهدفات'!B5,"ناجح ومستوفى","ضعيف - يلزم إعادة اختبار"))</f>
        <v/>
      </c>
      <c r="M888" s="3"/>
      <c r="N888" s="3"/>
    </row>
    <row r="889" spans="1:14" x14ac:dyDescent="0.2">
      <c r="A889" s="3" t="str">
        <f>IFERROR(VLOOKUP(B889,'جدول الجلسات التدريبية'!A:B,2,FALSE),"")</f>
        <v/>
      </c>
      <c r="B889" s="3"/>
      <c r="C889" s="3" t="str">
        <f>IFERROR(VLOOKUP(A889,'الخطة التدريبية المعتمدة'!A:C,3,FALSE),"")</f>
        <v/>
      </c>
      <c r="D889" s="3" t="str">
        <f>IFERROR(VLOOKUP(B889,'جدول الجلسات التدريبية'!A:D,4,FALSE),"")</f>
        <v/>
      </c>
      <c r="E889" s="3"/>
      <c r="F889" s="3" t="str">
        <f>IFERROR(VLOOKUP(E889,'سجل الموظفين والكفاءة'!B:C,2,FALSE),"")</f>
        <v/>
      </c>
      <c r="G889" s="3">
        <f>IFERROR(VLOOKUP(A889,'الخطة التدريبية المعتمدة'!A:J,10,FALSE),0)</f>
        <v>0</v>
      </c>
      <c r="H889" s="3"/>
      <c r="I889" s="3"/>
      <c r="J889" s="3"/>
      <c r="K889" s="7" t="str">
        <f>IF(OR(I889="",J889="",I889=0),"",(J889-I889)/I889)</f>
        <v/>
      </c>
      <c r="L889" s="3" t="str">
        <f>IF(J889="","",IF(J889/10&gt;='الإعدادات والمستهدفات'!B5,"ناجح ومستوفى","ضعيف - يلزم إعادة اختبار"))</f>
        <v/>
      </c>
      <c r="M889" s="3"/>
      <c r="N889" s="3"/>
    </row>
    <row r="890" spans="1:14" x14ac:dyDescent="0.2">
      <c r="A890" s="3" t="str">
        <f>IFERROR(VLOOKUP(B890,'جدول الجلسات التدريبية'!A:B,2,FALSE),"")</f>
        <v/>
      </c>
      <c r="B890" s="3"/>
      <c r="C890" s="3" t="str">
        <f>IFERROR(VLOOKUP(A890,'الخطة التدريبية المعتمدة'!A:C,3,FALSE),"")</f>
        <v/>
      </c>
      <c r="D890" s="3" t="str">
        <f>IFERROR(VLOOKUP(B890,'جدول الجلسات التدريبية'!A:D,4,FALSE),"")</f>
        <v/>
      </c>
      <c r="E890" s="3"/>
      <c r="F890" s="3" t="str">
        <f>IFERROR(VLOOKUP(E890,'سجل الموظفين والكفاءة'!B:C,2,FALSE),"")</f>
        <v/>
      </c>
      <c r="G890" s="3">
        <f>IFERROR(VLOOKUP(A890,'الخطة التدريبية المعتمدة'!A:J,10,FALSE),0)</f>
        <v>0</v>
      </c>
      <c r="H890" s="3"/>
      <c r="I890" s="3"/>
      <c r="J890" s="3"/>
      <c r="K890" s="7" t="str">
        <f>IF(OR(I890="",J890="",I890=0),"",(J890-I890)/I890)</f>
        <v/>
      </c>
      <c r="L890" s="3" t="str">
        <f>IF(J890="","",IF(J890/10&gt;='الإعدادات والمستهدفات'!B5,"ناجح ومستوفى","ضعيف - يلزم إعادة اختبار"))</f>
        <v/>
      </c>
      <c r="M890" s="3"/>
      <c r="N890" s="3"/>
    </row>
    <row r="891" spans="1:14" x14ac:dyDescent="0.2">
      <c r="A891" s="3" t="str">
        <f>IFERROR(VLOOKUP(B891,'جدول الجلسات التدريبية'!A:B,2,FALSE),"")</f>
        <v/>
      </c>
      <c r="B891" s="3"/>
      <c r="C891" s="3" t="str">
        <f>IFERROR(VLOOKUP(A891,'الخطة التدريبية المعتمدة'!A:C,3,FALSE),"")</f>
        <v/>
      </c>
      <c r="D891" s="3" t="str">
        <f>IFERROR(VLOOKUP(B891,'جدول الجلسات التدريبية'!A:D,4,FALSE),"")</f>
        <v/>
      </c>
      <c r="E891" s="3"/>
      <c r="F891" s="3" t="str">
        <f>IFERROR(VLOOKUP(E891,'سجل الموظفين والكفاءة'!B:C,2,FALSE),"")</f>
        <v/>
      </c>
      <c r="G891" s="3">
        <f>IFERROR(VLOOKUP(A891,'الخطة التدريبية المعتمدة'!A:J,10,FALSE),0)</f>
        <v>0</v>
      </c>
      <c r="H891" s="3"/>
      <c r="I891" s="3"/>
      <c r="J891" s="3"/>
      <c r="K891" s="7" t="str">
        <f>IF(OR(I891="",J891="",I891=0),"",(J891-I891)/I891)</f>
        <v/>
      </c>
      <c r="L891" s="3" t="str">
        <f>IF(J891="","",IF(J891/10&gt;='الإعدادات والمستهدفات'!B5,"ناجح ومستوفى","ضعيف - يلزم إعادة اختبار"))</f>
        <v/>
      </c>
      <c r="M891" s="3"/>
      <c r="N891" s="3"/>
    </row>
    <row r="892" spans="1:14" x14ac:dyDescent="0.2">
      <c r="A892" s="3" t="str">
        <f>IFERROR(VLOOKUP(B892,'جدول الجلسات التدريبية'!A:B,2,FALSE),"")</f>
        <v/>
      </c>
      <c r="B892" s="3"/>
      <c r="C892" s="3" t="str">
        <f>IFERROR(VLOOKUP(A892,'الخطة التدريبية المعتمدة'!A:C,3,FALSE),"")</f>
        <v/>
      </c>
      <c r="D892" s="3" t="str">
        <f>IFERROR(VLOOKUP(B892,'جدول الجلسات التدريبية'!A:D,4,FALSE),"")</f>
        <v/>
      </c>
      <c r="E892" s="3"/>
      <c r="F892" s="3" t="str">
        <f>IFERROR(VLOOKUP(E892,'سجل الموظفين والكفاءة'!B:C,2,FALSE),"")</f>
        <v/>
      </c>
      <c r="G892" s="3">
        <f>IFERROR(VLOOKUP(A892,'الخطة التدريبية المعتمدة'!A:J,10,FALSE),0)</f>
        <v>0</v>
      </c>
      <c r="H892" s="3"/>
      <c r="I892" s="3"/>
      <c r="J892" s="3"/>
      <c r="K892" s="7" t="str">
        <f>IF(OR(I892="",J892="",I892=0),"",(J892-I892)/I892)</f>
        <v/>
      </c>
      <c r="L892" s="3" t="str">
        <f>IF(J892="","",IF(J892/10&gt;='الإعدادات والمستهدفات'!B5,"ناجح ومستوفى","ضعيف - يلزم إعادة اختبار"))</f>
        <v/>
      </c>
      <c r="M892" s="3"/>
      <c r="N892" s="3"/>
    </row>
    <row r="893" spans="1:14" x14ac:dyDescent="0.2">
      <c r="A893" s="3" t="str">
        <f>IFERROR(VLOOKUP(B893,'جدول الجلسات التدريبية'!A:B,2,FALSE),"")</f>
        <v/>
      </c>
      <c r="B893" s="3"/>
      <c r="C893" s="3" t="str">
        <f>IFERROR(VLOOKUP(A893,'الخطة التدريبية المعتمدة'!A:C,3,FALSE),"")</f>
        <v/>
      </c>
      <c r="D893" s="3" t="str">
        <f>IFERROR(VLOOKUP(B893,'جدول الجلسات التدريبية'!A:D,4,FALSE),"")</f>
        <v/>
      </c>
      <c r="E893" s="3"/>
      <c r="F893" s="3" t="str">
        <f>IFERROR(VLOOKUP(E893,'سجل الموظفين والكفاءة'!B:C,2,FALSE),"")</f>
        <v/>
      </c>
      <c r="G893" s="3">
        <f>IFERROR(VLOOKUP(A893,'الخطة التدريبية المعتمدة'!A:J,10,FALSE),0)</f>
        <v>0</v>
      </c>
      <c r="H893" s="3"/>
      <c r="I893" s="3"/>
      <c r="J893" s="3"/>
      <c r="K893" s="7" t="str">
        <f>IF(OR(I893="",J893="",I893=0),"",(J893-I893)/I893)</f>
        <v/>
      </c>
      <c r="L893" s="3" t="str">
        <f>IF(J893="","",IF(J893/10&gt;='الإعدادات والمستهدفات'!B5,"ناجح ومستوفى","ضعيف - يلزم إعادة اختبار"))</f>
        <v/>
      </c>
      <c r="M893" s="3"/>
      <c r="N893" s="3"/>
    </row>
    <row r="894" spans="1:14" x14ac:dyDescent="0.2">
      <c r="A894" s="3" t="str">
        <f>IFERROR(VLOOKUP(B894,'جدول الجلسات التدريبية'!A:B,2,FALSE),"")</f>
        <v/>
      </c>
      <c r="B894" s="3"/>
      <c r="C894" s="3" t="str">
        <f>IFERROR(VLOOKUP(A894,'الخطة التدريبية المعتمدة'!A:C,3,FALSE),"")</f>
        <v/>
      </c>
      <c r="D894" s="3" t="str">
        <f>IFERROR(VLOOKUP(B894,'جدول الجلسات التدريبية'!A:D,4,FALSE),"")</f>
        <v/>
      </c>
      <c r="E894" s="3"/>
      <c r="F894" s="3" t="str">
        <f>IFERROR(VLOOKUP(E894,'سجل الموظفين والكفاءة'!B:C,2,FALSE),"")</f>
        <v/>
      </c>
      <c r="G894" s="3">
        <f>IFERROR(VLOOKUP(A894,'الخطة التدريبية المعتمدة'!A:J,10,FALSE),0)</f>
        <v>0</v>
      </c>
      <c r="H894" s="3"/>
      <c r="I894" s="3"/>
      <c r="J894" s="3"/>
      <c r="K894" s="7" t="str">
        <f>IF(OR(I894="",J894="",I894=0),"",(J894-I894)/I894)</f>
        <v/>
      </c>
      <c r="L894" s="3" t="str">
        <f>IF(J894="","",IF(J894/10&gt;='الإعدادات والمستهدفات'!B5,"ناجح ومستوفى","ضعيف - يلزم إعادة اختبار"))</f>
        <v/>
      </c>
      <c r="M894" s="3"/>
      <c r="N894" s="3"/>
    </row>
    <row r="895" spans="1:14" x14ac:dyDescent="0.2">
      <c r="A895" s="3" t="str">
        <f>IFERROR(VLOOKUP(B895,'جدول الجلسات التدريبية'!A:B,2,FALSE),"")</f>
        <v/>
      </c>
      <c r="B895" s="3"/>
      <c r="C895" s="3" t="str">
        <f>IFERROR(VLOOKUP(A895,'الخطة التدريبية المعتمدة'!A:C,3,FALSE),"")</f>
        <v/>
      </c>
      <c r="D895" s="3" t="str">
        <f>IFERROR(VLOOKUP(B895,'جدول الجلسات التدريبية'!A:D,4,FALSE),"")</f>
        <v/>
      </c>
      <c r="E895" s="3"/>
      <c r="F895" s="3" t="str">
        <f>IFERROR(VLOOKUP(E895,'سجل الموظفين والكفاءة'!B:C,2,FALSE),"")</f>
        <v/>
      </c>
      <c r="G895" s="3">
        <f>IFERROR(VLOOKUP(A895,'الخطة التدريبية المعتمدة'!A:J,10,FALSE),0)</f>
        <v>0</v>
      </c>
      <c r="H895" s="3"/>
      <c r="I895" s="3"/>
      <c r="J895" s="3"/>
      <c r="K895" s="7" t="str">
        <f>IF(OR(I895="",J895="",I895=0),"",(J895-I895)/I895)</f>
        <v/>
      </c>
      <c r="L895" s="3" t="str">
        <f>IF(J895="","",IF(J895/10&gt;='الإعدادات والمستهدفات'!B5,"ناجح ومستوفى","ضعيف - يلزم إعادة اختبار"))</f>
        <v/>
      </c>
      <c r="M895" s="3"/>
      <c r="N895" s="3"/>
    </row>
    <row r="896" spans="1:14" x14ac:dyDescent="0.2">
      <c r="A896" s="3" t="str">
        <f>IFERROR(VLOOKUP(B896,'جدول الجلسات التدريبية'!A:B,2,FALSE),"")</f>
        <v/>
      </c>
      <c r="B896" s="3"/>
      <c r="C896" s="3" t="str">
        <f>IFERROR(VLOOKUP(A896,'الخطة التدريبية المعتمدة'!A:C,3,FALSE),"")</f>
        <v/>
      </c>
      <c r="D896" s="3" t="str">
        <f>IFERROR(VLOOKUP(B896,'جدول الجلسات التدريبية'!A:D,4,FALSE),"")</f>
        <v/>
      </c>
      <c r="E896" s="3"/>
      <c r="F896" s="3" t="str">
        <f>IFERROR(VLOOKUP(E896,'سجل الموظفين والكفاءة'!B:C,2,FALSE),"")</f>
        <v/>
      </c>
      <c r="G896" s="3">
        <f>IFERROR(VLOOKUP(A896,'الخطة التدريبية المعتمدة'!A:J,10,FALSE),0)</f>
        <v>0</v>
      </c>
      <c r="H896" s="3"/>
      <c r="I896" s="3"/>
      <c r="J896" s="3"/>
      <c r="K896" s="7" t="str">
        <f>IF(OR(I896="",J896="",I896=0),"",(J896-I896)/I896)</f>
        <v/>
      </c>
      <c r="L896" s="3" t="str">
        <f>IF(J896="","",IF(J896/10&gt;='الإعدادات والمستهدفات'!B5,"ناجح ومستوفى","ضعيف - يلزم إعادة اختبار"))</f>
        <v/>
      </c>
      <c r="M896" s="3"/>
      <c r="N896" s="3"/>
    </row>
    <row r="897" spans="1:14" x14ac:dyDescent="0.2">
      <c r="A897" s="3" t="str">
        <f>IFERROR(VLOOKUP(B897,'جدول الجلسات التدريبية'!A:B,2,FALSE),"")</f>
        <v/>
      </c>
      <c r="B897" s="3"/>
      <c r="C897" s="3" t="str">
        <f>IFERROR(VLOOKUP(A897,'الخطة التدريبية المعتمدة'!A:C,3,FALSE),"")</f>
        <v/>
      </c>
      <c r="D897" s="3" t="str">
        <f>IFERROR(VLOOKUP(B897,'جدول الجلسات التدريبية'!A:D,4,FALSE),"")</f>
        <v/>
      </c>
      <c r="E897" s="3"/>
      <c r="F897" s="3" t="str">
        <f>IFERROR(VLOOKUP(E897,'سجل الموظفين والكفاءة'!B:C,2,FALSE),"")</f>
        <v/>
      </c>
      <c r="G897" s="3">
        <f>IFERROR(VLOOKUP(A897,'الخطة التدريبية المعتمدة'!A:J,10,FALSE),0)</f>
        <v>0</v>
      </c>
      <c r="H897" s="3"/>
      <c r="I897" s="3"/>
      <c r="J897" s="3"/>
      <c r="K897" s="7" t="str">
        <f>IF(OR(I897="",J897="",I897=0),"",(J897-I897)/I897)</f>
        <v/>
      </c>
      <c r="L897" s="3" t="str">
        <f>IF(J897="","",IF(J897/10&gt;='الإعدادات والمستهدفات'!B5,"ناجح ومستوفى","ضعيف - يلزم إعادة اختبار"))</f>
        <v/>
      </c>
      <c r="M897" s="3"/>
      <c r="N897" s="3"/>
    </row>
    <row r="898" spans="1:14" x14ac:dyDescent="0.2">
      <c r="A898" s="3" t="str">
        <f>IFERROR(VLOOKUP(B898,'جدول الجلسات التدريبية'!A:B,2,FALSE),"")</f>
        <v/>
      </c>
      <c r="B898" s="3"/>
      <c r="C898" s="3" t="str">
        <f>IFERROR(VLOOKUP(A898,'الخطة التدريبية المعتمدة'!A:C,3,FALSE),"")</f>
        <v/>
      </c>
      <c r="D898" s="3" t="str">
        <f>IFERROR(VLOOKUP(B898,'جدول الجلسات التدريبية'!A:D,4,FALSE),"")</f>
        <v/>
      </c>
      <c r="E898" s="3"/>
      <c r="F898" s="3" t="str">
        <f>IFERROR(VLOOKUP(E898,'سجل الموظفين والكفاءة'!B:C,2,FALSE),"")</f>
        <v/>
      </c>
      <c r="G898" s="3">
        <f>IFERROR(VLOOKUP(A898,'الخطة التدريبية المعتمدة'!A:J,10,FALSE),0)</f>
        <v>0</v>
      </c>
      <c r="H898" s="3"/>
      <c r="I898" s="3"/>
      <c r="J898" s="3"/>
      <c r="K898" s="7" t="str">
        <f>IF(OR(I898="",J898="",I898=0),"",(J898-I898)/I898)</f>
        <v/>
      </c>
      <c r="L898" s="3" t="str">
        <f>IF(J898="","",IF(J898/10&gt;='الإعدادات والمستهدفات'!B5,"ناجح ومستوفى","ضعيف - يلزم إعادة اختبار"))</f>
        <v/>
      </c>
      <c r="M898" s="3"/>
      <c r="N898" s="3"/>
    </row>
    <row r="899" spans="1:14" x14ac:dyDescent="0.2">
      <c r="A899" s="3" t="str">
        <f>IFERROR(VLOOKUP(B899,'جدول الجلسات التدريبية'!A:B,2,FALSE),"")</f>
        <v/>
      </c>
      <c r="B899" s="3"/>
      <c r="C899" s="3" t="str">
        <f>IFERROR(VLOOKUP(A899,'الخطة التدريبية المعتمدة'!A:C,3,FALSE),"")</f>
        <v/>
      </c>
      <c r="D899" s="3" t="str">
        <f>IFERROR(VLOOKUP(B899,'جدول الجلسات التدريبية'!A:D,4,FALSE),"")</f>
        <v/>
      </c>
      <c r="E899" s="3"/>
      <c r="F899" s="3" t="str">
        <f>IFERROR(VLOOKUP(E899,'سجل الموظفين والكفاءة'!B:C,2,FALSE),"")</f>
        <v/>
      </c>
      <c r="G899" s="3">
        <f>IFERROR(VLOOKUP(A899,'الخطة التدريبية المعتمدة'!A:J,10,FALSE),0)</f>
        <v>0</v>
      </c>
      <c r="H899" s="3"/>
      <c r="I899" s="3"/>
      <c r="J899" s="3"/>
      <c r="K899" s="7" t="str">
        <f>IF(OR(I899="",J899="",I899=0),"",(J899-I899)/I899)</f>
        <v/>
      </c>
      <c r="L899" s="3" t="str">
        <f>IF(J899="","",IF(J899/10&gt;='الإعدادات والمستهدفات'!B5,"ناجح ومستوفى","ضعيف - يلزم إعادة اختبار"))</f>
        <v/>
      </c>
      <c r="M899" s="3"/>
      <c r="N899" s="3"/>
    </row>
    <row r="900" spans="1:14" x14ac:dyDescent="0.2">
      <c r="A900" s="3" t="str">
        <f>IFERROR(VLOOKUP(B900,'جدول الجلسات التدريبية'!A:B,2,FALSE),"")</f>
        <v/>
      </c>
      <c r="B900" s="3"/>
      <c r="C900" s="3" t="str">
        <f>IFERROR(VLOOKUP(A900,'الخطة التدريبية المعتمدة'!A:C,3,FALSE),"")</f>
        <v/>
      </c>
      <c r="D900" s="3" t="str">
        <f>IFERROR(VLOOKUP(B900,'جدول الجلسات التدريبية'!A:D,4,FALSE),"")</f>
        <v/>
      </c>
      <c r="E900" s="3"/>
      <c r="F900" s="3" t="str">
        <f>IFERROR(VLOOKUP(E900,'سجل الموظفين والكفاءة'!B:C,2,FALSE),"")</f>
        <v/>
      </c>
      <c r="G900" s="3">
        <f>IFERROR(VLOOKUP(A900,'الخطة التدريبية المعتمدة'!A:J,10,FALSE),0)</f>
        <v>0</v>
      </c>
      <c r="H900" s="3"/>
      <c r="I900" s="3"/>
      <c r="J900" s="3"/>
      <c r="K900" s="7" t="str">
        <f>IF(OR(I900="",J900="",I900=0),"",(J900-I900)/I900)</f>
        <v/>
      </c>
      <c r="L900" s="3" t="str">
        <f>IF(J900="","",IF(J900/10&gt;='الإعدادات والمستهدفات'!B5,"ناجح ومستوفى","ضعيف - يلزم إعادة اختبار"))</f>
        <v/>
      </c>
      <c r="M900" s="3"/>
      <c r="N900" s="3"/>
    </row>
    <row r="901" spans="1:14" x14ac:dyDescent="0.2">
      <c r="A901" s="3" t="str">
        <f>IFERROR(VLOOKUP(B901,'جدول الجلسات التدريبية'!A:B,2,FALSE),"")</f>
        <v/>
      </c>
      <c r="B901" s="3"/>
      <c r="C901" s="3" t="str">
        <f>IFERROR(VLOOKUP(A901,'الخطة التدريبية المعتمدة'!A:C,3,FALSE),"")</f>
        <v/>
      </c>
      <c r="D901" s="3" t="str">
        <f>IFERROR(VLOOKUP(B901,'جدول الجلسات التدريبية'!A:D,4,FALSE),"")</f>
        <v/>
      </c>
      <c r="E901" s="3"/>
      <c r="F901" s="3" t="str">
        <f>IFERROR(VLOOKUP(E901,'سجل الموظفين والكفاءة'!B:C,2,FALSE),"")</f>
        <v/>
      </c>
      <c r="G901" s="3">
        <f>IFERROR(VLOOKUP(A901,'الخطة التدريبية المعتمدة'!A:J,10,FALSE),0)</f>
        <v>0</v>
      </c>
      <c r="H901" s="3"/>
      <c r="I901" s="3"/>
      <c r="J901" s="3"/>
      <c r="K901" s="7" t="str">
        <f>IF(OR(I901="",J901="",I901=0),"",(J901-I901)/I901)</f>
        <v/>
      </c>
      <c r="L901" s="3" t="str">
        <f>IF(J901="","",IF(J901/10&gt;='الإعدادات والمستهدفات'!B5,"ناجح ومستوفى","ضعيف - يلزم إعادة اختبار"))</f>
        <v/>
      </c>
      <c r="M901" s="3"/>
      <c r="N901" s="3"/>
    </row>
    <row r="902" spans="1:14" x14ac:dyDescent="0.2">
      <c r="A902" s="3" t="str">
        <f>IFERROR(VLOOKUP(B902,'جدول الجلسات التدريبية'!A:B,2,FALSE),"")</f>
        <v/>
      </c>
      <c r="B902" s="3"/>
      <c r="C902" s="3" t="str">
        <f>IFERROR(VLOOKUP(A902,'الخطة التدريبية المعتمدة'!A:C,3,FALSE),"")</f>
        <v/>
      </c>
      <c r="D902" s="3" t="str">
        <f>IFERROR(VLOOKUP(B902,'جدول الجلسات التدريبية'!A:D,4,FALSE),"")</f>
        <v/>
      </c>
      <c r="E902" s="3"/>
      <c r="F902" s="3" t="str">
        <f>IFERROR(VLOOKUP(E902,'سجل الموظفين والكفاءة'!B:C,2,FALSE),"")</f>
        <v/>
      </c>
      <c r="G902" s="3">
        <f>IFERROR(VLOOKUP(A902,'الخطة التدريبية المعتمدة'!A:J,10,FALSE),0)</f>
        <v>0</v>
      </c>
      <c r="H902" s="3"/>
      <c r="I902" s="3"/>
      <c r="J902" s="3"/>
      <c r="K902" s="7" t="str">
        <f>IF(OR(I902="",J902="",I902=0),"",(J902-I902)/I902)</f>
        <v/>
      </c>
      <c r="L902" s="3" t="str">
        <f>IF(J902="","",IF(J902/10&gt;='الإعدادات والمستهدفات'!B5,"ناجح ومستوفى","ضعيف - يلزم إعادة اختبار"))</f>
        <v/>
      </c>
      <c r="M902" s="3"/>
      <c r="N902" s="3"/>
    </row>
    <row r="903" spans="1:14" x14ac:dyDescent="0.2">
      <c r="A903" s="3" t="str">
        <f>IFERROR(VLOOKUP(B903,'جدول الجلسات التدريبية'!A:B,2,FALSE),"")</f>
        <v/>
      </c>
      <c r="B903" s="3"/>
      <c r="C903" s="3" t="str">
        <f>IFERROR(VLOOKUP(A903,'الخطة التدريبية المعتمدة'!A:C,3,FALSE),"")</f>
        <v/>
      </c>
      <c r="D903" s="3" t="str">
        <f>IFERROR(VLOOKUP(B903,'جدول الجلسات التدريبية'!A:D,4,FALSE),"")</f>
        <v/>
      </c>
      <c r="E903" s="3"/>
      <c r="F903" s="3" t="str">
        <f>IFERROR(VLOOKUP(E903,'سجل الموظفين والكفاءة'!B:C,2,FALSE),"")</f>
        <v/>
      </c>
      <c r="G903" s="3">
        <f>IFERROR(VLOOKUP(A903,'الخطة التدريبية المعتمدة'!A:J,10,FALSE),0)</f>
        <v>0</v>
      </c>
      <c r="H903" s="3"/>
      <c r="I903" s="3"/>
      <c r="J903" s="3"/>
      <c r="K903" s="7" t="str">
        <f>IF(OR(I903="",J903="",I903=0),"",(J903-I903)/I903)</f>
        <v/>
      </c>
      <c r="L903" s="3" t="str">
        <f>IF(J903="","",IF(J903/10&gt;='الإعدادات والمستهدفات'!B5,"ناجح ومستوفى","ضعيف - يلزم إعادة اختبار"))</f>
        <v/>
      </c>
      <c r="M903" s="3"/>
      <c r="N903" s="3"/>
    </row>
    <row r="904" spans="1:14" x14ac:dyDescent="0.2">
      <c r="A904" s="3" t="str">
        <f>IFERROR(VLOOKUP(B904,'جدول الجلسات التدريبية'!A:B,2,FALSE),"")</f>
        <v/>
      </c>
      <c r="B904" s="3"/>
      <c r="C904" s="3" t="str">
        <f>IFERROR(VLOOKUP(A904,'الخطة التدريبية المعتمدة'!A:C,3,FALSE),"")</f>
        <v/>
      </c>
      <c r="D904" s="3" t="str">
        <f>IFERROR(VLOOKUP(B904,'جدول الجلسات التدريبية'!A:D,4,FALSE),"")</f>
        <v/>
      </c>
      <c r="E904" s="3"/>
      <c r="F904" s="3" t="str">
        <f>IFERROR(VLOOKUP(E904,'سجل الموظفين والكفاءة'!B:C,2,FALSE),"")</f>
        <v/>
      </c>
      <c r="G904" s="3">
        <f>IFERROR(VLOOKUP(A904,'الخطة التدريبية المعتمدة'!A:J,10,FALSE),0)</f>
        <v>0</v>
      </c>
      <c r="H904" s="3"/>
      <c r="I904" s="3"/>
      <c r="J904" s="3"/>
      <c r="K904" s="7" t="str">
        <f>IF(OR(I904="",J904="",I904=0),"",(J904-I904)/I904)</f>
        <v/>
      </c>
      <c r="L904" s="3" t="str">
        <f>IF(J904="","",IF(J904/10&gt;='الإعدادات والمستهدفات'!B5,"ناجح ومستوفى","ضعيف - يلزم إعادة اختبار"))</f>
        <v/>
      </c>
      <c r="M904" s="3"/>
      <c r="N904" s="3"/>
    </row>
    <row r="905" spans="1:14" x14ac:dyDescent="0.2">
      <c r="A905" s="3" t="str">
        <f>IFERROR(VLOOKUP(B905,'جدول الجلسات التدريبية'!A:B,2,FALSE),"")</f>
        <v/>
      </c>
      <c r="B905" s="3"/>
      <c r="C905" s="3" t="str">
        <f>IFERROR(VLOOKUP(A905,'الخطة التدريبية المعتمدة'!A:C,3,FALSE),"")</f>
        <v/>
      </c>
      <c r="D905" s="3" t="str">
        <f>IFERROR(VLOOKUP(B905,'جدول الجلسات التدريبية'!A:D,4,FALSE),"")</f>
        <v/>
      </c>
      <c r="E905" s="3"/>
      <c r="F905" s="3" t="str">
        <f>IFERROR(VLOOKUP(E905,'سجل الموظفين والكفاءة'!B:C,2,FALSE),"")</f>
        <v/>
      </c>
      <c r="G905" s="3">
        <f>IFERROR(VLOOKUP(A905,'الخطة التدريبية المعتمدة'!A:J,10,FALSE),0)</f>
        <v>0</v>
      </c>
      <c r="H905" s="3"/>
      <c r="I905" s="3"/>
      <c r="J905" s="3"/>
      <c r="K905" s="7" t="str">
        <f>IF(OR(I905="",J905="",I905=0),"",(J905-I905)/I905)</f>
        <v/>
      </c>
      <c r="L905" s="3" t="str">
        <f>IF(J905="","",IF(J905/10&gt;='الإعدادات والمستهدفات'!B5,"ناجح ومستوفى","ضعيف - يلزم إعادة اختبار"))</f>
        <v/>
      </c>
      <c r="M905" s="3"/>
      <c r="N905" s="3"/>
    </row>
    <row r="906" spans="1:14" x14ac:dyDescent="0.2">
      <c r="A906" s="3" t="str">
        <f>IFERROR(VLOOKUP(B906,'جدول الجلسات التدريبية'!A:B,2,FALSE),"")</f>
        <v/>
      </c>
      <c r="B906" s="3"/>
      <c r="C906" s="3" t="str">
        <f>IFERROR(VLOOKUP(A906,'الخطة التدريبية المعتمدة'!A:C,3,FALSE),"")</f>
        <v/>
      </c>
      <c r="D906" s="3" t="str">
        <f>IFERROR(VLOOKUP(B906,'جدول الجلسات التدريبية'!A:D,4,FALSE),"")</f>
        <v/>
      </c>
      <c r="E906" s="3"/>
      <c r="F906" s="3" t="str">
        <f>IFERROR(VLOOKUP(E906,'سجل الموظفين والكفاءة'!B:C,2,FALSE),"")</f>
        <v/>
      </c>
      <c r="G906" s="3">
        <f>IFERROR(VLOOKUP(A906,'الخطة التدريبية المعتمدة'!A:J,10,FALSE),0)</f>
        <v>0</v>
      </c>
      <c r="H906" s="3"/>
      <c r="I906" s="3"/>
      <c r="J906" s="3"/>
      <c r="K906" s="7" t="str">
        <f>IF(OR(I906="",J906="",I906=0),"",(J906-I906)/I906)</f>
        <v/>
      </c>
      <c r="L906" s="3" t="str">
        <f>IF(J906="","",IF(J906/10&gt;='الإعدادات والمستهدفات'!B5,"ناجح ومستوفى","ضعيف - يلزم إعادة اختبار"))</f>
        <v/>
      </c>
      <c r="M906" s="3"/>
      <c r="N906" s="3"/>
    </row>
    <row r="907" spans="1:14" x14ac:dyDescent="0.2">
      <c r="A907" s="3" t="str">
        <f>IFERROR(VLOOKUP(B907,'جدول الجلسات التدريبية'!A:B,2,FALSE),"")</f>
        <v/>
      </c>
      <c r="B907" s="3"/>
      <c r="C907" s="3" t="str">
        <f>IFERROR(VLOOKUP(A907,'الخطة التدريبية المعتمدة'!A:C,3,FALSE),"")</f>
        <v/>
      </c>
      <c r="D907" s="3" t="str">
        <f>IFERROR(VLOOKUP(B907,'جدول الجلسات التدريبية'!A:D,4,FALSE),"")</f>
        <v/>
      </c>
      <c r="E907" s="3"/>
      <c r="F907" s="3" t="str">
        <f>IFERROR(VLOOKUP(E907,'سجل الموظفين والكفاءة'!B:C,2,FALSE),"")</f>
        <v/>
      </c>
      <c r="G907" s="3">
        <f>IFERROR(VLOOKUP(A907,'الخطة التدريبية المعتمدة'!A:J,10,FALSE),0)</f>
        <v>0</v>
      </c>
      <c r="H907" s="3"/>
      <c r="I907" s="3"/>
      <c r="J907" s="3"/>
      <c r="K907" s="7" t="str">
        <f>IF(OR(I907="",J907="",I907=0),"",(J907-I907)/I907)</f>
        <v/>
      </c>
      <c r="L907" s="3" t="str">
        <f>IF(J907="","",IF(J907/10&gt;='الإعدادات والمستهدفات'!B5,"ناجح ومستوفى","ضعيف - يلزم إعادة اختبار"))</f>
        <v/>
      </c>
      <c r="M907" s="3"/>
      <c r="N907" s="3"/>
    </row>
    <row r="908" spans="1:14" x14ac:dyDescent="0.2">
      <c r="A908" s="3" t="str">
        <f>IFERROR(VLOOKUP(B908,'جدول الجلسات التدريبية'!A:B,2,FALSE),"")</f>
        <v/>
      </c>
      <c r="B908" s="3"/>
      <c r="C908" s="3" t="str">
        <f>IFERROR(VLOOKUP(A908,'الخطة التدريبية المعتمدة'!A:C,3,FALSE),"")</f>
        <v/>
      </c>
      <c r="D908" s="3" t="str">
        <f>IFERROR(VLOOKUP(B908,'جدول الجلسات التدريبية'!A:D,4,FALSE),"")</f>
        <v/>
      </c>
      <c r="E908" s="3"/>
      <c r="F908" s="3" t="str">
        <f>IFERROR(VLOOKUP(E908,'سجل الموظفين والكفاءة'!B:C,2,FALSE),"")</f>
        <v/>
      </c>
      <c r="G908" s="3">
        <f>IFERROR(VLOOKUP(A908,'الخطة التدريبية المعتمدة'!A:J,10,FALSE),0)</f>
        <v>0</v>
      </c>
      <c r="H908" s="3"/>
      <c r="I908" s="3"/>
      <c r="J908" s="3"/>
      <c r="K908" s="7" t="str">
        <f>IF(OR(I908="",J908="",I908=0),"",(J908-I908)/I908)</f>
        <v/>
      </c>
      <c r="L908" s="3" t="str">
        <f>IF(J908="","",IF(J908/10&gt;='الإعدادات والمستهدفات'!B5,"ناجح ومستوفى","ضعيف - يلزم إعادة اختبار"))</f>
        <v/>
      </c>
      <c r="M908" s="3"/>
      <c r="N908" s="3"/>
    </row>
    <row r="909" spans="1:14" x14ac:dyDescent="0.2">
      <c r="A909" s="3" t="str">
        <f>IFERROR(VLOOKUP(B909,'جدول الجلسات التدريبية'!A:B,2,FALSE),"")</f>
        <v/>
      </c>
      <c r="B909" s="3"/>
      <c r="C909" s="3" t="str">
        <f>IFERROR(VLOOKUP(A909,'الخطة التدريبية المعتمدة'!A:C,3,FALSE),"")</f>
        <v/>
      </c>
      <c r="D909" s="3" t="str">
        <f>IFERROR(VLOOKUP(B909,'جدول الجلسات التدريبية'!A:D,4,FALSE),"")</f>
        <v/>
      </c>
      <c r="E909" s="3"/>
      <c r="F909" s="3" t="str">
        <f>IFERROR(VLOOKUP(E909,'سجل الموظفين والكفاءة'!B:C,2,FALSE),"")</f>
        <v/>
      </c>
      <c r="G909" s="3">
        <f>IFERROR(VLOOKUP(A909,'الخطة التدريبية المعتمدة'!A:J,10,FALSE),0)</f>
        <v>0</v>
      </c>
      <c r="H909" s="3"/>
      <c r="I909" s="3"/>
      <c r="J909" s="3"/>
      <c r="K909" s="7" t="str">
        <f>IF(OR(I909="",J909="",I909=0),"",(J909-I909)/I909)</f>
        <v/>
      </c>
      <c r="L909" s="3" t="str">
        <f>IF(J909="","",IF(J909/10&gt;='الإعدادات والمستهدفات'!B5,"ناجح ومستوفى","ضعيف - يلزم إعادة اختبار"))</f>
        <v/>
      </c>
      <c r="M909" s="3"/>
      <c r="N909" s="3"/>
    </row>
    <row r="910" spans="1:14" x14ac:dyDescent="0.2">
      <c r="A910" s="3" t="str">
        <f>IFERROR(VLOOKUP(B910,'جدول الجلسات التدريبية'!A:B,2,FALSE),"")</f>
        <v/>
      </c>
      <c r="B910" s="3"/>
      <c r="C910" s="3" t="str">
        <f>IFERROR(VLOOKUP(A910,'الخطة التدريبية المعتمدة'!A:C,3,FALSE),"")</f>
        <v/>
      </c>
      <c r="D910" s="3" t="str">
        <f>IFERROR(VLOOKUP(B910,'جدول الجلسات التدريبية'!A:D,4,FALSE),"")</f>
        <v/>
      </c>
      <c r="E910" s="3"/>
      <c r="F910" s="3" t="str">
        <f>IFERROR(VLOOKUP(E910,'سجل الموظفين والكفاءة'!B:C,2,FALSE),"")</f>
        <v/>
      </c>
      <c r="G910" s="3">
        <f>IFERROR(VLOOKUP(A910,'الخطة التدريبية المعتمدة'!A:J,10,FALSE),0)</f>
        <v>0</v>
      </c>
      <c r="H910" s="3"/>
      <c r="I910" s="3"/>
      <c r="J910" s="3"/>
      <c r="K910" s="7" t="str">
        <f>IF(OR(I910="",J910="",I910=0),"",(J910-I910)/I910)</f>
        <v/>
      </c>
      <c r="L910" s="3" t="str">
        <f>IF(J910="","",IF(J910/10&gt;='الإعدادات والمستهدفات'!B5,"ناجح ومستوفى","ضعيف - يلزم إعادة اختبار"))</f>
        <v/>
      </c>
      <c r="M910" s="3"/>
      <c r="N910" s="3"/>
    </row>
    <row r="911" spans="1:14" x14ac:dyDescent="0.2">
      <c r="A911" s="3" t="str">
        <f>IFERROR(VLOOKUP(B911,'جدول الجلسات التدريبية'!A:B,2,FALSE),"")</f>
        <v/>
      </c>
      <c r="B911" s="3"/>
      <c r="C911" s="3" t="str">
        <f>IFERROR(VLOOKUP(A911,'الخطة التدريبية المعتمدة'!A:C,3,FALSE),"")</f>
        <v/>
      </c>
      <c r="D911" s="3" t="str">
        <f>IFERROR(VLOOKUP(B911,'جدول الجلسات التدريبية'!A:D,4,FALSE),"")</f>
        <v/>
      </c>
      <c r="E911" s="3"/>
      <c r="F911" s="3" t="str">
        <f>IFERROR(VLOOKUP(E911,'سجل الموظفين والكفاءة'!B:C,2,FALSE),"")</f>
        <v/>
      </c>
      <c r="G911" s="3">
        <f>IFERROR(VLOOKUP(A911,'الخطة التدريبية المعتمدة'!A:J,10,FALSE),0)</f>
        <v>0</v>
      </c>
      <c r="H911" s="3"/>
      <c r="I911" s="3"/>
      <c r="J911" s="3"/>
      <c r="K911" s="7" t="str">
        <f>IF(OR(I911="",J911="",I911=0),"",(J911-I911)/I911)</f>
        <v/>
      </c>
      <c r="L911" s="3" t="str">
        <f>IF(J911="","",IF(J911/10&gt;='الإعدادات والمستهدفات'!B5,"ناجح ومستوفى","ضعيف - يلزم إعادة اختبار"))</f>
        <v/>
      </c>
      <c r="M911" s="3"/>
      <c r="N911" s="3"/>
    </row>
    <row r="912" spans="1:14" x14ac:dyDescent="0.2">
      <c r="A912" s="3" t="str">
        <f>IFERROR(VLOOKUP(B912,'جدول الجلسات التدريبية'!A:B,2,FALSE),"")</f>
        <v/>
      </c>
      <c r="B912" s="3"/>
      <c r="C912" s="3" t="str">
        <f>IFERROR(VLOOKUP(A912,'الخطة التدريبية المعتمدة'!A:C,3,FALSE),"")</f>
        <v/>
      </c>
      <c r="D912" s="3" t="str">
        <f>IFERROR(VLOOKUP(B912,'جدول الجلسات التدريبية'!A:D,4,FALSE),"")</f>
        <v/>
      </c>
      <c r="E912" s="3"/>
      <c r="F912" s="3" t="str">
        <f>IFERROR(VLOOKUP(E912,'سجل الموظفين والكفاءة'!B:C,2,FALSE),"")</f>
        <v/>
      </c>
      <c r="G912" s="3">
        <f>IFERROR(VLOOKUP(A912,'الخطة التدريبية المعتمدة'!A:J,10,FALSE),0)</f>
        <v>0</v>
      </c>
      <c r="H912" s="3"/>
      <c r="I912" s="3"/>
      <c r="J912" s="3"/>
      <c r="K912" s="7" t="str">
        <f>IF(OR(I912="",J912="",I912=0),"",(J912-I912)/I912)</f>
        <v/>
      </c>
      <c r="L912" s="3" t="str">
        <f>IF(J912="","",IF(J912/10&gt;='الإعدادات والمستهدفات'!B5,"ناجح ومستوفى","ضعيف - يلزم إعادة اختبار"))</f>
        <v/>
      </c>
      <c r="M912" s="3"/>
      <c r="N912" s="3"/>
    </row>
    <row r="913" spans="1:14" x14ac:dyDescent="0.2">
      <c r="A913" s="3" t="str">
        <f>IFERROR(VLOOKUP(B913,'جدول الجلسات التدريبية'!A:B,2,FALSE),"")</f>
        <v/>
      </c>
      <c r="B913" s="3"/>
      <c r="C913" s="3" t="str">
        <f>IFERROR(VLOOKUP(A913,'الخطة التدريبية المعتمدة'!A:C,3,FALSE),"")</f>
        <v/>
      </c>
      <c r="D913" s="3" t="str">
        <f>IFERROR(VLOOKUP(B913,'جدول الجلسات التدريبية'!A:D,4,FALSE),"")</f>
        <v/>
      </c>
      <c r="E913" s="3"/>
      <c r="F913" s="3" t="str">
        <f>IFERROR(VLOOKUP(E913,'سجل الموظفين والكفاءة'!B:C,2,FALSE),"")</f>
        <v/>
      </c>
      <c r="G913" s="3">
        <f>IFERROR(VLOOKUP(A913,'الخطة التدريبية المعتمدة'!A:J,10,FALSE),0)</f>
        <v>0</v>
      </c>
      <c r="H913" s="3"/>
      <c r="I913" s="3"/>
      <c r="J913" s="3"/>
      <c r="K913" s="7" t="str">
        <f>IF(OR(I913="",J913="",I913=0),"",(J913-I913)/I913)</f>
        <v/>
      </c>
      <c r="L913" s="3" t="str">
        <f>IF(J913="","",IF(J913/10&gt;='الإعدادات والمستهدفات'!B5,"ناجح ومستوفى","ضعيف - يلزم إعادة اختبار"))</f>
        <v/>
      </c>
      <c r="M913" s="3"/>
      <c r="N913" s="3"/>
    </row>
    <row r="914" spans="1:14" x14ac:dyDescent="0.2">
      <c r="A914" s="3" t="str">
        <f>IFERROR(VLOOKUP(B914,'جدول الجلسات التدريبية'!A:B,2,FALSE),"")</f>
        <v/>
      </c>
      <c r="B914" s="3"/>
      <c r="C914" s="3" t="str">
        <f>IFERROR(VLOOKUP(A914,'الخطة التدريبية المعتمدة'!A:C,3,FALSE),"")</f>
        <v/>
      </c>
      <c r="D914" s="3" t="str">
        <f>IFERROR(VLOOKUP(B914,'جدول الجلسات التدريبية'!A:D,4,FALSE),"")</f>
        <v/>
      </c>
      <c r="E914" s="3"/>
      <c r="F914" s="3" t="str">
        <f>IFERROR(VLOOKUP(E914,'سجل الموظفين والكفاءة'!B:C,2,FALSE),"")</f>
        <v/>
      </c>
      <c r="G914" s="3">
        <f>IFERROR(VLOOKUP(A914,'الخطة التدريبية المعتمدة'!A:J,10,FALSE),0)</f>
        <v>0</v>
      </c>
      <c r="H914" s="3"/>
      <c r="I914" s="3"/>
      <c r="J914" s="3"/>
      <c r="K914" s="7" t="str">
        <f>IF(OR(I914="",J914="",I914=0),"",(J914-I914)/I914)</f>
        <v/>
      </c>
      <c r="L914" s="3" t="str">
        <f>IF(J914="","",IF(J914/10&gt;='الإعدادات والمستهدفات'!B5,"ناجح ومستوفى","ضعيف - يلزم إعادة اختبار"))</f>
        <v/>
      </c>
      <c r="M914" s="3"/>
      <c r="N914" s="3"/>
    </row>
    <row r="915" spans="1:14" x14ac:dyDescent="0.2">
      <c r="A915" s="3" t="str">
        <f>IFERROR(VLOOKUP(B915,'جدول الجلسات التدريبية'!A:B,2,FALSE),"")</f>
        <v/>
      </c>
      <c r="B915" s="3"/>
      <c r="C915" s="3" t="str">
        <f>IFERROR(VLOOKUP(A915,'الخطة التدريبية المعتمدة'!A:C,3,FALSE),"")</f>
        <v/>
      </c>
      <c r="D915" s="3" t="str">
        <f>IFERROR(VLOOKUP(B915,'جدول الجلسات التدريبية'!A:D,4,FALSE),"")</f>
        <v/>
      </c>
      <c r="E915" s="3"/>
      <c r="F915" s="3" t="str">
        <f>IFERROR(VLOOKUP(E915,'سجل الموظفين والكفاءة'!B:C,2,FALSE),"")</f>
        <v/>
      </c>
      <c r="G915" s="3">
        <f>IFERROR(VLOOKUP(A915,'الخطة التدريبية المعتمدة'!A:J,10,FALSE),0)</f>
        <v>0</v>
      </c>
      <c r="H915" s="3"/>
      <c r="I915" s="3"/>
      <c r="J915" s="3"/>
      <c r="K915" s="7" t="str">
        <f>IF(OR(I915="",J915="",I915=0),"",(J915-I915)/I915)</f>
        <v/>
      </c>
      <c r="L915" s="3" t="str">
        <f>IF(J915="","",IF(J915/10&gt;='الإعدادات والمستهدفات'!B5,"ناجح ومستوفى","ضعيف - يلزم إعادة اختبار"))</f>
        <v/>
      </c>
      <c r="M915" s="3"/>
      <c r="N915" s="3"/>
    </row>
    <row r="916" spans="1:14" x14ac:dyDescent="0.2">
      <c r="A916" s="3" t="str">
        <f>IFERROR(VLOOKUP(B916,'جدول الجلسات التدريبية'!A:B,2,FALSE),"")</f>
        <v/>
      </c>
      <c r="B916" s="3"/>
      <c r="C916" s="3" t="str">
        <f>IFERROR(VLOOKUP(A916,'الخطة التدريبية المعتمدة'!A:C,3,FALSE),"")</f>
        <v/>
      </c>
      <c r="D916" s="3" t="str">
        <f>IFERROR(VLOOKUP(B916,'جدول الجلسات التدريبية'!A:D,4,FALSE),"")</f>
        <v/>
      </c>
      <c r="E916" s="3"/>
      <c r="F916" s="3" t="str">
        <f>IFERROR(VLOOKUP(E916,'سجل الموظفين والكفاءة'!B:C,2,FALSE),"")</f>
        <v/>
      </c>
      <c r="G916" s="3">
        <f>IFERROR(VLOOKUP(A916,'الخطة التدريبية المعتمدة'!A:J,10,FALSE),0)</f>
        <v>0</v>
      </c>
      <c r="H916" s="3"/>
      <c r="I916" s="3"/>
      <c r="J916" s="3"/>
      <c r="K916" s="7" t="str">
        <f>IF(OR(I916="",J916="",I916=0),"",(J916-I916)/I916)</f>
        <v/>
      </c>
      <c r="L916" s="3" t="str">
        <f>IF(J916="","",IF(J916/10&gt;='الإعدادات والمستهدفات'!B5,"ناجح ومستوفى","ضعيف - يلزم إعادة اختبار"))</f>
        <v/>
      </c>
      <c r="M916" s="3"/>
      <c r="N916" s="3"/>
    </row>
    <row r="917" spans="1:14" x14ac:dyDescent="0.2">
      <c r="A917" s="3" t="str">
        <f>IFERROR(VLOOKUP(B917,'جدول الجلسات التدريبية'!A:B,2,FALSE),"")</f>
        <v/>
      </c>
      <c r="B917" s="3"/>
      <c r="C917" s="3" t="str">
        <f>IFERROR(VLOOKUP(A917,'الخطة التدريبية المعتمدة'!A:C,3,FALSE),"")</f>
        <v/>
      </c>
      <c r="D917" s="3" t="str">
        <f>IFERROR(VLOOKUP(B917,'جدول الجلسات التدريبية'!A:D,4,FALSE),"")</f>
        <v/>
      </c>
      <c r="E917" s="3"/>
      <c r="F917" s="3" t="str">
        <f>IFERROR(VLOOKUP(E917,'سجل الموظفين والكفاءة'!B:C,2,FALSE),"")</f>
        <v/>
      </c>
      <c r="G917" s="3">
        <f>IFERROR(VLOOKUP(A917,'الخطة التدريبية المعتمدة'!A:J,10,FALSE),0)</f>
        <v>0</v>
      </c>
      <c r="H917" s="3"/>
      <c r="I917" s="3"/>
      <c r="J917" s="3"/>
      <c r="K917" s="7" t="str">
        <f>IF(OR(I917="",J917="",I917=0),"",(J917-I917)/I917)</f>
        <v/>
      </c>
      <c r="L917" s="3" t="str">
        <f>IF(J917="","",IF(J917/10&gt;='الإعدادات والمستهدفات'!B5,"ناجح ومستوفى","ضعيف - يلزم إعادة اختبار"))</f>
        <v/>
      </c>
      <c r="M917" s="3"/>
      <c r="N917" s="3"/>
    </row>
    <row r="918" spans="1:14" x14ac:dyDescent="0.2">
      <c r="A918" s="3" t="str">
        <f>IFERROR(VLOOKUP(B918,'جدول الجلسات التدريبية'!A:B,2,FALSE),"")</f>
        <v/>
      </c>
      <c r="B918" s="3"/>
      <c r="C918" s="3" t="str">
        <f>IFERROR(VLOOKUP(A918,'الخطة التدريبية المعتمدة'!A:C,3,FALSE),"")</f>
        <v/>
      </c>
      <c r="D918" s="3" t="str">
        <f>IFERROR(VLOOKUP(B918,'جدول الجلسات التدريبية'!A:D,4,FALSE),"")</f>
        <v/>
      </c>
      <c r="E918" s="3"/>
      <c r="F918" s="3" t="str">
        <f>IFERROR(VLOOKUP(E918,'سجل الموظفين والكفاءة'!B:C,2,FALSE),"")</f>
        <v/>
      </c>
      <c r="G918" s="3">
        <f>IFERROR(VLOOKUP(A918,'الخطة التدريبية المعتمدة'!A:J,10,FALSE),0)</f>
        <v>0</v>
      </c>
      <c r="H918" s="3"/>
      <c r="I918" s="3"/>
      <c r="J918" s="3"/>
      <c r="K918" s="7" t="str">
        <f>IF(OR(I918="",J918="",I918=0),"",(J918-I918)/I918)</f>
        <v/>
      </c>
      <c r="L918" s="3" t="str">
        <f>IF(J918="","",IF(J918/10&gt;='الإعدادات والمستهدفات'!B5,"ناجح ومستوفى","ضعيف - يلزم إعادة اختبار"))</f>
        <v/>
      </c>
      <c r="M918" s="3"/>
      <c r="N918" s="3"/>
    </row>
    <row r="919" spans="1:14" x14ac:dyDescent="0.2">
      <c r="A919" s="3" t="str">
        <f>IFERROR(VLOOKUP(B919,'جدول الجلسات التدريبية'!A:B,2,FALSE),"")</f>
        <v/>
      </c>
      <c r="B919" s="3"/>
      <c r="C919" s="3" t="str">
        <f>IFERROR(VLOOKUP(A919,'الخطة التدريبية المعتمدة'!A:C,3,FALSE),"")</f>
        <v/>
      </c>
      <c r="D919" s="3" t="str">
        <f>IFERROR(VLOOKUP(B919,'جدول الجلسات التدريبية'!A:D,4,FALSE),"")</f>
        <v/>
      </c>
      <c r="E919" s="3"/>
      <c r="F919" s="3" t="str">
        <f>IFERROR(VLOOKUP(E919,'سجل الموظفين والكفاءة'!B:C,2,FALSE),"")</f>
        <v/>
      </c>
      <c r="G919" s="3">
        <f>IFERROR(VLOOKUP(A919,'الخطة التدريبية المعتمدة'!A:J,10,FALSE),0)</f>
        <v>0</v>
      </c>
      <c r="H919" s="3"/>
      <c r="I919" s="3"/>
      <c r="J919" s="3"/>
      <c r="K919" s="7" t="str">
        <f>IF(OR(I919="",J919="",I919=0),"",(J919-I919)/I919)</f>
        <v/>
      </c>
      <c r="L919" s="3" t="str">
        <f>IF(J919="","",IF(J919/10&gt;='الإعدادات والمستهدفات'!B5,"ناجح ومستوفى","ضعيف - يلزم إعادة اختبار"))</f>
        <v/>
      </c>
      <c r="M919" s="3"/>
      <c r="N919" s="3"/>
    </row>
    <row r="920" spans="1:14" x14ac:dyDescent="0.2">
      <c r="A920" s="3" t="str">
        <f>IFERROR(VLOOKUP(B920,'جدول الجلسات التدريبية'!A:B,2,FALSE),"")</f>
        <v/>
      </c>
      <c r="B920" s="3"/>
      <c r="C920" s="3" t="str">
        <f>IFERROR(VLOOKUP(A920,'الخطة التدريبية المعتمدة'!A:C,3,FALSE),"")</f>
        <v/>
      </c>
      <c r="D920" s="3" t="str">
        <f>IFERROR(VLOOKUP(B920,'جدول الجلسات التدريبية'!A:D,4,FALSE),"")</f>
        <v/>
      </c>
      <c r="E920" s="3"/>
      <c r="F920" s="3" t="str">
        <f>IFERROR(VLOOKUP(E920,'سجل الموظفين والكفاءة'!B:C,2,FALSE),"")</f>
        <v/>
      </c>
      <c r="G920" s="3">
        <f>IFERROR(VLOOKUP(A920,'الخطة التدريبية المعتمدة'!A:J,10,FALSE),0)</f>
        <v>0</v>
      </c>
      <c r="H920" s="3"/>
      <c r="I920" s="3"/>
      <c r="J920" s="3"/>
      <c r="K920" s="7" t="str">
        <f>IF(OR(I920="",J920="",I920=0),"",(J920-I920)/I920)</f>
        <v/>
      </c>
      <c r="L920" s="3" t="str">
        <f>IF(J920="","",IF(J920/10&gt;='الإعدادات والمستهدفات'!B5,"ناجح ومستوفى","ضعيف - يلزم إعادة اختبار"))</f>
        <v/>
      </c>
      <c r="M920" s="3"/>
      <c r="N920" s="3"/>
    </row>
    <row r="921" spans="1:14" x14ac:dyDescent="0.2">
      <c r="A921" s="3" t="str">
        <f>IFERROR(VLOOKUP(B921,'جدول الجلسات التدريبية'!A:B,2,FALSE),"")</f>
        <v/>
      </c>
      <c r="B921" s="3"/>
      <c r="C921" s="3" t="str">
        <f>IFERROR(VLOOKUP(A921,'الخطة التدريبية المعتمدة'!A:C,3,FALSE),"")</f>
        <v/>
      </c>
      <c r="D921" s="3" t="str">
        <f>IFERROR(VLOOKUP(B921,'جدول الجلسات التدريبية'!A:D,4,FALSE),"")</f>
        <v/>
      </c>
      <c r="E921" s="3"/>
      <c r="F921" s="3" t="str">
        <f>IFERROR(VLOOKUP(E921,'سجل الموظفين والكفاءة'!B:C,2,FALSE),"")</f>
        <v/>
      </c>
      <c r="G921" s="3">
        <f>IFERROR(VLOOKUP(A921,'الخطة التدريبية المعتمدة'!A:J,10,FALSE),0)</f>
        <v>0</v>
      </c>
      <c r="H921" s="3"/>
      <c r="I921" s="3"/>
      <c r="J921" s="3"/>
      <c r="K921" s="7" t="str">
        <f>IF(OR(I921="",J921="",I921=0),"",(J921-I921)/I921)</f>
        <v/>
      </c>
      <c r="L921" s="3" t="str">
        <f>IF(J921="","",IF(J921/10&gt;='الإعدادات والمستهدفات'!B5,"ناجح ومستوفى","ضعيف - يلزم إعادة اختبار"))</f>
        <v/>
      </c>
      <c r="M921" s="3"/>
      <c r="N921" s="3"/>
    </row>
    <row r="922" spans="1:14" x14ac:dyDescent="0.2">
      <c r="A922" s="3" t="str">
        <f>IFERROR(VLOOKUP(B922,'جدول الجلسات التدريبية'!A:B,2,FALSE),"")</f>
        <v/>
      </c>
      <c r="B922" s="3"/>
      <c r="C922" s="3" t="str">
        <f>IFERROR(VLOOKUP(A922,'الخطة التدريبية المعتمدة'!A:C,3,FALSE),"")</f>
        <v/>
      </c>
      <c r="D922" s="3" t="str">
        <f>IFERROR(VLOOKUP(B922,'جدول الجلسات التدريبية'!A:D,4,FALSE),"")</f>
        <v/>
      </c>
      <c r="E922" s="3"/>
      <c r="F922" s="3" t="str">
        <f>IFERROR(VLOOKUP(E922,'سجل الموظفين والكفاءة'!B:C,2,FALSE),"")</f>
        <v/>
      </c>
      <c r="G922" s="3">
        <f>IFERROR(VLOOKUP(A922,'الخطة التدريبية المعتمدة'!A:J,10,FALSE),0)</f>
        <v>0</v>
      </c>
      <c r="H922" s="3"/>
      <c r="I922" s="3"/>
      <c r="J922" s="3"/>
      <c r="K922" s="7" t="str">
        <f>IF(OR(I922="",J922="",I922=0),"",(J922-I922)/I922)</f>
        <v/>
      </c>
      <c r="L922" s="3" t="str">
        <f>IF(J922="","",IF(J922/10&gt;='الإعدادات والمستهدفات'!B5,"ناجح ومستوفى","ضعيف - يلزم إعادة اختبار"))</f>
        <v/>
      </c>
      <c r="M922" s="3"/>
      <c r="N922" s="3"/>
    </row>
    <row r="923" spans="1:14" x14ac:dyDescent="0.2">
      <c r="A923" s="3" t="str">
        <f>IFERROR(VLOOKUP(B923,'جدول الجلسات التدريبية'!A:B,2,FALSE),"")</f>
        <v/>
      </c>
      <c r="B923" s="3"/>
      <c r="C923" s="3" t="str">
        <f>IFERROR(VLOOKUP(A923,'الخطة التدريبية المعتمدة'!A:C,3,FALSE),"")</f>
        <v/>
      </c>
      <c r="D923" s="3" t="str">
        <f>IFERROR(VLOOKUP(B923,'جدول الجلسات التدريبية'!A:D,4,FALSE),"")</f>
        <v/>
      </c>
      <c r="E923" s="3"/>
      <c r="F923" s="3" t="str">
        <f>IFERROR(VLOOKUP(E923,'سجل الموظفين والكفاءة'!B:C,2,FALSE),"")</f>
        <v/>
      </c>
      <c r="G923" s="3">
        <f>IFERROR(VLOOKUP(A923,'الخطة التدريبية المعتمدة'!A:J,10,FALSE),0)</f>
        <v>0</v>
      </c>
      <c r="H923" s="3"/>
      <c r="I923" s="3"/>
      <c r="J923" s="3"/>
      <c r="K923" s="7" t="str">
        <f>IF(OR(I923="",J923="",I923=0),"",(J923-I923)/I923)</f>
        <v/>
      </c>
      <c r="L923" s="3" t="str">
        <f>IF(J923="","",IF(J923/10&gt;='الإعدادات والمستهدفات'!B5,"ناجح ومستوفى","ضعيف - يلزم إعادة اختبار"))</f>
        <v/>
      </c>
      <c r="M923" s="3"/>
      <c r="N923" s="3"/>
    </row>
    <row r="924" spans="1:14" x14ac:dyDescent="0.2">
      <c r="A924" s="3" t="str">
        <f>IFERROR(VLOOKUP(B924,'جدول الجلسات التدريبية'!A:B,2,FALSE),"")</f>
        <v/>
      </c>
      <c r="B924" s="3"/>
      <c r="C924" s="3" t="str">
        <f>IFERROR(VLOOKUP(A924,'الخطة التدريبية المعتمدة'!A:C,3,FALSE),"")</f>
        <v/>
      </c>
      <c r="D924" s="3" t="str">
        <f>IFERROR(VLOOKUP(B924,'جدول الجلسات التدريبية'!A:D,4,FALSE),"")</f>
        <v/>
      </c>
      <c r="E924" s="3"/>
      <c r="F924" s="3" t="str">
        <f>IFERROR(VLOOKUP(E924,'سجل الموظفين والكفاءة'!B:C,2,FALSE),"")</f>
        <v/>
      </c>
      <c r="G924" s="3">
        <f>IFERROR(VLOOKUP(A924,'الخطة التدريبية المعتمدة'!A:J,10,FALSE),0)</f>
        <v>0</v>
      </c>
      <c r="H924" s="3"/>
      <c r="I924" s="3"/>
      <c r="J924" s="3"/>
      <c r="K924" s="7" t="str">
        <f>IF(OR(I924="",J924="",I924=0),"",(J924-I924)/I924)</f>
        <v/>
      </c>
      <c r="L924" s="3" t="str">
        <f>IF(J924="","",IF(J924/10&gt;='الإعدادات والمستهدفات'!B5,"ناجح ومستوفى","ضعيف - يلزم إعادة اختبار"))</f>
        <v/>
      </c>
      <c r="M924" s="3"/>
      <c r="N924" s="3"/>
    </row>
    <row r="925" spans="1:14" x14ac:dyDescent="0.2">
      <c r="A925" s="3" t="str">
        <f>IFERROR(VLOOKUP(B925,'جدول الجلسات التدريبية'!A:B,2,FALSE),"")</f>
        <v/>
      </c>
      <c r="B925" s="3"/>
      <c r="C925" s="3" t="str">
        <f>IFERROR(VLOOKUP(A925,'الخطة التدريبية المعتمدة'!A:C,3,FALSE),"")</f>
        <v/>
      </c>
      <c r="D925" s="3" t="str">
        <f>IFERROR(VLOOKUP(B925,'جدول الجلسات التدريبية'!A:D,4,FALSE),"")</f>
        <v/>
      </c>
      <c r="E925" s="3"/>
      <c r="F925" s="3" t="str">
        <f>IFERROR(VLOOKUP(E925,'سجل الموظفين والكفاءة'!B:C,2,FALSE),"")</f>
        <v/>
      </c>
      <c r="G925" s="3">
        <f>IFERROR(VLOOKUP(A925,'الخطة التدريبية المعتمدة'!A:J,10,FALSE),0)</f>
        <v>0</v>
      </c>
      <c r="H925" s="3"/>
      <c r="I925" s="3"/>
      <c r="J925" s="3"/>
      <c r="K925" s="7" t="str">
        <f>IF(OR(I925="",J925="",I925=0),"",(J925-I925)/I925)</f>
        <v/>
      </c>
      <c r="L925" s="3" t="str">
        <f>IF(J925="","",IF(J925/10&gt;='الإعدادات والمستهدفات'!B5,"ناجح ومستوفى","ضعيف - يلزم إعادة اختبار"))</f>
        <v/>
      </c>
      <c r="M925" s="3"/>
      <c r="N925" s="3"/>
    </row>
    <row r="926" spans="1:14" x14ac:dyDescent="0.2">
      <c r="A926" s="3" t="str">
        <f>IFERROR(VLOOKUP(B926,'جدول الجلسات التدريبية'!A:B,2,FALSE),"")</f>
        <v/>
      </c>
      <c r="B926" s="3"/>
      <c r="C926" s="3" t="str">
        <f>IFERROR(VLOOKUP(A926,'الخطة التدريبية المعتمدة'!A:C,3,FALSE),"")</f>
        <v/>
      </c>
      <c r="D926" s="3" t="str">
        <f>IFERROR(VLOOKUP(B926,'جدول الجلسات التدريبية'!A:D,4,FALSE),"")</f>
        <v/>
      </c>
      <c r="E926" s="3"/>
      <c r="F926" s="3" t="str">
        <f>IFERROR(VLOOKUP(E926,'سجل الموظفين والكفاءة'!B:C,2,FALSE),"")</f>
        <v/>
      </c>
      <c r="G926" s="3">
        <f>IFERROR(VLOOKUP(A926,'الخطة التدريبية المعتمدة'!A:J,10,FALSE),0)</f>
        <v>0</v>
      </c>
      <c r="H926" s="3"/>
      <c r="I926" s="3"/>
      <c r="J926" s="3"/>
      <c r="K926" s="7" t="str">
        <f>IF(OR(I926="",J926="",I926=0),"",(J926-I926)/I926)</f>
        <v/>
      </c>
      <c r="L926" s="3" t="str">
        <f>IF(J926="","",IF(J926/10&gt;='الإعدادات والمستهدفات'!B5,"ناجح ومستوفى","ضعيف - يلزم إعادة اختبار"))</f>
        <v/>
      </c>
      <c r="M926" s="3"/>
      <c r="N926" s="3"/>
    </row>
    <row r="927" spans="1:14" x14ac:dyDescent="0.2">
      <c r="A927" s="3" t="str">
        <f>IFERROR(VLOOKUP(B927,'جدول الجلسات التدريبية'!A:B,2,FALSE),"")</f>
        <v/>
      </c>
      <c r="B927" s="3"/>
      <c r="C927" s="3" t="str">
        <f>IFERROR(VLOOKUP(A927,'الخطة التدريبية المعتمدة'!A:C,3,FALSE),"")</f>
        <v/>
      </c>
      <c r="D927" s="3" t="str">
        <f>IFERROR(VLOOKUP(B927,'جدول الجلسات التدريبية'!A:D,4,FALSE),"")</f>
        <v/>
      </c>
      <c r="E927" s="3"/>
      <c r="F927" s="3" t="str">
        <f>IFERROR(VLOOKUP(E927,'سجل الموظفين والكفاءة'!B:C,2,FALSE),"")</f>
        <v/>
      </c>
      <c r="G927" s="3">
        <f>IFERROR(VLOOKUP(A927,'الخطة التدريبية المعتمدة'!A:J,10,FALSE),0)</f>
        <v>0</v>
      </c>
      <c r="H927" s="3"/>
      <c r="I927" s="3"/>
      <c r="J927" s="3"/>
      <c r="K927" s="7" t="str">
        <f>IF(OR(I927="",J927="",I927=0),"",(J927-I927)/I927)</f>
        <v/>
      </c>
      <c r="L927" s="3" t="str">
        <f>IF(J927="","",IF(J927/10&gt;='الإعدادات والمستهدفات'!B5,"ناجح ومستوفى","ضعيف - يلزم إعادة اختبار"))</f>
        <v/>
      </c>
      <c r="M927" s="3"/>
      <c r="N927" s="3"/>
    </row>
    <row r="928" spans="1:14" x14ac:dyDescent="0.2">
      <c r="A928" s="3" t="str">
        <f>IFERROR(VLOOKUP(B928,'جدول الجلسات التدريبية'!A:B,2,FALSE),"")</f>
        <v/>
      </c>
      <c r="B928" s="3"/>
      <c r="C928" s="3" t="str">
        <f>IFERROR(VLOOKUP(A928,'الخطة التدريبية المعتمدة'!A:C,3,FALSE),"")</f>
        <v/>
      </c>
      <c r="D928" s="3" t="str">
        <f>IFERROR(VLOOKUP(B928,'جدول الجلسات التدريبية'!A:D,4,FALSE),"")</f>
        <v/>
      </c>
      <c r="E928" s="3"/>
      <c r="F928" s="3" t="str">
        <f>IFERROR(VLOOKUP(E928,'سجل الموظفين والكفاءة'!B:C,2,FALSE),"")</f>
        <v/>
      </c>
      <c r="G928" s="3">
        <f>IFERROR(VLOOKUP(A928,'الخطة التدريبية المعتمدة'!A:J,10,FALSE),0)</f>
        <v>0</v>
      </c>
      <c r="H928" s="3"/>
      <c r="I928" s="3"/>
      <c r="J928" s="3"/>
      <c r="K928" s="7" t="str">
        <f>IF(OR(I928="",J928="",I928=0),"",(J928-I928)/I928)</f>
        <v/>
      </c>
      <c r="L928" s="3" t="str">
        <f>IF(J928="","",IF(J928/10&gt;='الإعدادات والمستهدفات'!B5,"ناجح ومستوفى","ضعيف - يلزم إعادة اختبار"))</f>
        <v/>
      </c>
      <c r="M928" s="3"/>
      <c r="N928" s="3"/>
    </row>
    <row r="929" spans="1:14" x14ac:dyDescent="0.2">
      <c r="A929" s="3" t="str">
        <f>IFERROR(VLOOKUP(B929,'جدول الجلسات التدريبية'!A:B,2,FALSE),"")</f>
        <v/>
      </c>
      <c r="B929" s="3"/>
      <c r="C929" s="3" t="str">
        <f>IFERROR(VLOOKUP(A929,'الخطة التدريبية المعتمدة'!A:C,3,FALSE),"")</f>
        <v/>
      </c>
      <c r="D929" s="3" t="str">
        <f>IFERROR(VLOOKUP(B929,'جدول الجلسات التدريبية'!A:D,4,FALSE),"")</f>
        <v/>
      </c>
      <c r="E929" s="3"/>
      <c r="F929" s="3" t="str">
        <f>IFERROR(VLOOKUP(E929,'سجل الموظفين والكفاءة'!B:C,2,FALSE),"")</f>
        <v/>
      </c>
      <c r="G929" s="3">
        <f>IFERROR(VLOOKUP(A929,'الخطة التدريبية المعتمدة'!A:J,10,FALSE),0)</f>
        <v>0</v>
      </c>
      <c r="H929" s="3"/>
      <c r="I929" s="3"/>
      <c r="J929" s="3"/>
      <c r="K929" s="7" t="str">
        <f>IF(OR(I929="",J929="",I929=0),"",(J929-I929)/I929)</f>
        <v/>
      </c>
      <c r="L929" s="3" t="str">
        <f>IF(J929="","",IF(J929/10&gt;='الإعدادات والمستهدفات'!B5,"ناجح ومستوفى","ضعيف - يلزم إعادة اختبار"))</f>
        <v/>
      </c>
      <c r="M929" s="3"/>
      <c r="N929" s="3"/>
    </row>
    <row r="930" spans="1:14" x14ac:dyDescent="0.2">
      <c r="A930" s="3" t="str">
        <f>IFERROR(VLOOKUP(B930,'جدول الجلسات التدريبية'!A:B,2,FALSE),"")</f>
        <v/>
      </c>
      <c r="B930" s="3"/>
      <c r="C930" s="3" t="str">
        <f>IFERROR(VLOOKUP(A930,'الخطة التدريبية المعتمدة'!A:C,3,FALSE),"")</f>
        <v/>
      </c>
      <c r="D930" s="3" t="str">
        <f>IFERROR(VLOOKUP(B930,'جدول الجلسات التدريبية'!A:D,4,FALSE),"")</f>
        <v/>
      </c>
      <c r="E930" s="3"/>
      <c r="F930" s="3" t="str">
        <f>IFERROR(VLOOKUP(E930,'سجل الموظفين والكفاءة'!B:C,2,FALSE),"")</f>
        <v/>
      </c>
      <c r="G930" s="3">
        <f>IFERROR(VLOOKUP(A930,'الخطة التدريبية المعتمدة'!A:J,10,FALSE),0)</f>
        <v>0</v>
      </c>
      <c r="H930" s="3"/>
      <c r="I930" s="3"/>
      <c r="J930" s="3"/>
      <c r="K930" s="7" t="str">
        <f>IF(OR(I930="",J930="",I930=0),"",(J930-I930)/I930)</f>
        <v/>
      </c>
      <c r="L930" s="3" t="str">
        <f>IF(J930="","",IF(J930/10&gt;='الإعدادات والمستهدفات'!B5,"ناجح ومستوفى","ضعيف - يلزم إعادة اختبار"))</f>
        <v/>
      </c>
      <c r="M930" s="3"/>
      <c r="N930" s="3"/>
    </row>
    <row r="931" spans="1:14" x14ac:dyDescent="0.2">
      <c r="A931" s="3" t="str">
        <f>IFERROR(VLOOKUP(B931,'جدول الجلسات التدريبية'!A:B,2,FALSE),"")</f>
        <v/>
      </c>
      <c r="B931" s="3"/>
      <c r="C931" s="3" t="str">
        <f>IFERROR(VLOOKUP(A931,'الخطة التدريبية المعتمدة'!A:C,3,FALSE),"")</f>
        <v/>
      </c>
      <c r="D931" s="3" t="str">
        <f>IFERROR(VLOOKUP(B931,'جدول الجلسات التدريبية'!A:D,4,FALSE),"")</f>
        <v/>
      </c>
      <c r="E931" s="3"/>
      <c r="F931" s="3" t="str">
        <f>IFERROR(VLOOKUP(E931,'سجل الموظفين والكفاءة'!B:C,2,FALSE),"")</f>
        <v/>
      </c>
      <c r="G931" s="3">
        <f>IFERROR(VLOOKUP(A931,'الخطة التدريبية المعتمدة'!A:J,10,FALSE),0)</f>
        <v>0</v>
      </c>
      <c r="H931" s="3"/>
      <c r="I931" s="3"/>
      <c r="J931" s="3"/>
      <c r="K931" s="7" t="str">
        <f>IF(OR(I931="",J931="",I931=0),"",(J931-I931)/I931)</f>
        <v/>
      </c>
      <c r="L931" s="3" t="str">
        <f>IF(J931="","",IF(J931/10&gt;='الإعدادات والمستهدفات'!B5,"ناجح ومستوفى","ضعيف - يلزم إعادة اختبار"))</f>
        <v/>
      </c>
      <c r="M931" s="3"/>
      <c r="N931" s="3"/>
    </row>
    <row r="932" spans="1:14" x14ac:dyDescent="0.2">
      <c r="A932" s="3" t="str">
        <f>IFERROR(VLOOKUP(B932,'جدول الجلسات التدريبية'!A:B,2,FALSE),"")</f>
        <v/>
      </c>
      <c r="B932" s="3"/>
      <c r="C932" s="3" t="str">
        <f>IFERROR(VLOOKUP(A932,'الخطة التدريبية المعتمدة'!A:C,3,FALSE),"")</f>
        <v/>
      </c>
      <c r="D932" s="3" t="str">
        <f>IFERROR(VLOOKUP(B932,'جدول الجلسات التدريبية'!A:D,4,FALSE),"")</f>
        <v/>
      </c>
      <c r="E932" s="3"/>
      <c r="F932" s="3" t="str">
        <f>IFERROR(VLOOKUP(E932,'سجل الموظفين والكفاءة'!B:C,2,FALSE),"")</f>
        <v/>
      </c>
      <c r="G932" s="3">
        <f>IFERROR(VLOOKUP(A932,'الخطة التدريبية المعتمدة'!A:J,10,FALSE),0)</f>
        <v>0</v>
      </c>
      <c r="H932" s="3"/>
      <c r="I932" s="3"/>
      <c r="J932" s="3"/>
      <c r="K932" s="7" t="str">
        <f>IF(OR(I932="",J932="",I932=0),"",(J932-I932)/I932)</f>
        <v/>
      </c>
      <c r="L932" s="3" t="str">
        <f>IF(J932="","",IF(J932/10&gt;='الإعدادات والمستهدفات'!B5,"ناجح ومستوفى","ضعيف - يلزم إعادة اختبار"))</f>
        <v/>
      </c>
      <c r="M932" s="3"/>
      <c r="N932" s="3"/>
    </row>
    <row r="933" spans="1:14" x14ac:dyDescent="0.2">
      <c r="A933" s="3" t="str">
        <f>IFERROR(VLOOKUP(B933,'جدول الجلسات التدريبية'!A:B,2,FALSE),"")</f>
        <v/>
      </c>
      <c r="B933" s="3"/>
      <c r="C933" s="3" t="str">
        <f>IFERROR(VLOOKUP(A933,'الخطة التدريبية المعتمدة'!A:C,3,FALSE),"")</f>
        <v/>
      </c>
      <c r="D933" s="3" t="str">
        <f>IFERROR(VLOOKUP(B933,'جدول الجلسات التدريبية'!A:D,4,FALSE),"")</f>
        <v/>
      </c>
      <c r="E933" s="3"/>
      <c r="F933" s="3" t="str">
        <f>IFERROR(VLOOKUP(E933,'سجل الموظفين والكفاءة'!B:C,2,FALSE),"")</f>
        <v/>
      </c>
      <c r="G933" s="3">
        <f>IFERROR(VLOOKUP(A933,'الخطة التدريبية المعتمدة'!A:J,10,FALSE),0)</f>
        <v>0</v>
      </c>
      <c r="H933" s="3"/>
      <c r="I933" s="3"/>
      <c r="J933" s="3"/>
      <c r="K933" s="7" t="str">
        <f>IF(OR(I933="",J933="",I933=0),"",(J933-I933)/I933)</f>
        <v/>
      </c>
      <c r="L933" s="3" t="str">
        <f>IF(J933="","",IF(J933/10&gt;='الإعدادات والمستهدفات'!B5,"ناجح ومستوفى","ضعيف - يلزم إعادة اختبار"))</f>
        <v/>
      </c>
      <c r="M933" s="3"/>
      <c r="N933" s="3"/>
    </row>
    <row r="934" spans="1:14" x14ac:dyDescent="0.2">
      <c r="A934" s="3" t="str">
        <f>IFERROR(VLOOKUP(B934,'جدول الجلسات التدريبية'!A:B,2,FALSE),"")</f>
        <v/>
      </c>
      <c r="B934" s="3"/>
      <c r="C934" s="3" t="str">
        <f>IFERROR(VLOOKUP(A934,'الخطة التدريبية المعتمدة'!A:C,3,FALSE),"")</f>
        <v/>
      </c>
      <c r="D934" s="3" t="str">
        <f>IFERROR(VLOOKUP(B934,'جدول الجلسات التدريبية'!A:D,4,FALSE),"")</f>
        <v/>
      </c>
      <c r="E934" s="3"/>
      <c r="F934" s="3" t="str">
        <f>IFERROR(VLOOKUP(E934,'سجل الموظفين والكفاءة'!B:C,2,FALSE),"")</f>
        <v/>
      </c>
      <c r="G934" s="3">
        <f>IFERROR(VLOOKUP(A934,'الخطة التدريبية المعتمدة'!A:J,10,FALSE),0)</f>
        <v>0</v>
      </c>
      <c r="H934" s="3"/>
      <c r="I934" s="3"/>
      <c r="J934" s="3"/>
      <c r="K934" s="7" t="str">
        <f>IF(OR(I934="",J934="",I934=0),"",(J934-I934)/I934)</f>
        <v/>
      </c>
      <c r="L934" s="3" t="str">
        <f>IF(J934="","",IF(J934/10&gt;='الإعدادات والمستهدفات'!B5,"ناجح ومستوفى","ضعيف - يلزم إعادة اختبار"))</f>
        <v/>
      </c>
      <c r="M934" s="3"/>
      <c r="N934" s="3"/>
    </row>
    <row r="935" spans="1:14" x14ac:dyDescent="0.2">
      <c r="A935" s="3" t="str">
        <f>IFERROR(VLOOKUP(B935,'جدول الجلسات التدريبية'!A:B,2,FALSE),"")</f>
        <v/>
      </c>
      <c r="B935" s="3"/>
      <c r="C935" s="3" t="str">
        <f>IFERROR(VLOOKUP(A935,'الخطة التدريبية المعتمدة'!A:C,3,FALSE),"")</f>
        <v/>
      </c>
      <c r="D935" s="3" t="str">
        <f>IFERROR(VLOOKUP(B935,'جدول الجلسات التدريبية'!A:D,4,FALSE),"")</f>
        <v/>
      </c>
      <c r="E935" s="3"/>
      <c r="F935" s="3" t="str">
        <f>IFERROR(VLOOKUP(E935,'سجل الموظفين والكفاءة'!B:C,2,FALSE),"")</f>
        <v/>
      </c>
      <c r="G935" s="3">
        <f>IFERROR(VLOOKUP(A935,'الخطة التدريبية المعتمدة'!A:J,10,FALSE),0)</f>
        <v>0</v>
      </c>
      <c r="H935" s="3"/>
      <c r="I935" s="3"/>
      <c r="J935" s="3"/>
      <c r="K935" s="7" t="str">
        <f>IF(OR(I935="",J935="",I935=0),"",(J935-I935)/I935)</f>
        <v/>
      </c>
      <c r="L935" s="3" t="str">
        <f>IF(J935="","",IF(J935/10&gt;='الإعدادات والمستهدفات'!B5,"ناجح ومستوفى","ضعيف - يلزم إعادة اختبار"))</f>
        <v/>
      </c>
      <c r="M935" s="3"/>
      <c r="N935" s="3"/>
    </row>
    <row r="936" spans="1:14" x14ac:dyDescent="0.2">
      <c r="A936" s="3" t="str">
        <f>IFERROR(VLOOKUP(B936,'جدول الجلسات التدريبية'!A:B,2,FALSE),"")</f>
        <v/>
      </c>
      <c r="B936" s="3"/>
      <c r="C936" s="3" t="str">
        <f>IFERROR(VLOOKUP(A936,'الخطة التدريبية المعتمدة'!A:C,3,FALSE),"")</f>
        <v/>
      </c>
      <c r="D936" s="3" t="str">
        <f>IFERROR(VLOOKUP(B936,'جدول الجلسات التدريبية'!A:D,4,FALSE),"")</f>
        <v/>
      </c>
      <c r="E936" s="3"/>
      <c r="F936" s="3" t="str">
        <f>IFERROR(VLOOKUP(E936,'سجل الموظفين والكفاءة'!B:C,2,FALSE),"")</f>
        <v/>
      </c>
      <c r="G936" s="3">
        <f>IFERROR(VLOOKUP(A936,'الخطة التدريبية المعتمدة'!A:J,10,FALSE),0)</f>
        <v>0</v>
      </c>
      <c r="H936" s="3"/>
      <c r="I936" s="3"/>
      <c r="J936" s="3"/>
      <c r="K936" s="7" t="str">
        <f>IF(OR(I936="",J936="",I936=0),"",(J936-I936)/I936)</f>
        <v/>
      </c>
      <c r="L936" s="3" t="str">
        <f>IF(J936="","",IF(J936/10&gt;='الإعدادات والمستهدفات'!B5,"ناجح ومستوفى","ضعيف - يلزم إعادة اختبار"))</f>
        <v/>
      </c>
      <c r="M936" s="3"/>
      <c r="N936" s="3"/>
    </row>
    <row r="937" spans="1:14" x14ac:dyDescent="0.2">
      <c r="A937" s="3" t="str">
        <f>IFERROR(VLOOKUP(B937,'جدول الجلسات التدريبية'!A:B,2,FALSE),"")</f>
        <v/>
      </c>
      <c r="B937" s="3"/>
      <c r="C937" s="3" t="str">
        <f>IFERROR(VLOOKUP(A937,'الخطة التدريبية المعتمدة'!A:C,3,FALSE),"")</f>
        <v/>
      </c>
      <c r="D937" s="3" t="str">
        <f>IFERROR(VLOOKUP(B937,'جدول الجلسات التدريبية'!A:D,4,FALSE),"")</f>
        <v/>
      </c>
      <c r="E937" s="3"/>
      <c r="F937" s="3" t="str">
        <f>IFERROR(VLOOKUP(E937,'سجل الموظفين والكفاءة'!B:C,2,FALSE),"")</f>
        <v/>
      </c>
      <c r="G937" s="3">
        <f>IFERROR(VLOOKUP(A937,'الخطة التدريبية المعتمدة'!A:J,10,FALSE),0)</f>
        <v>0</v>
      </c>
      <c r="H937" s="3"/>
      <c r="I937" s="3"/>
      <c r="J937" s="3"/>
      <c r="K937" s="7" t="str">
        <f>IF(OR(I937="",J937="",I937=0),"",(J937-I937)/I937)</f>
        <v/>
      </c>
      <c r="L937" s="3" t="str">
        <f>IF(J937="","",IF(J937/10&gt;='الإعدادات والمستهدفات'!B5,"ناجح ومستوفى","ضعيف - يلزم إعادة اختبار"))</f>
        <v/>
      </c>
      <c r="M937" s="3"/>
      <c r="N937" s="3"/>
    </row>
    <row r="938" spans="1:14" x14ac:dyDescent="0.2">
      <c r="A938" s="3" t="str">
        <f>IFERROR(VLOOKUP(B938,'جدول الجلسات التدريبية'!A:B,2,FALSE),"")</f>
        <v/>
      </c>
      <c r="B938" s="3"/>
      <c r="C938" s="3" t="str">
        <f>IFERROR(VLOOKUP(A938,'الخطة التدريبية المعتمدة'!A:C,3,FALSE),"")</f>
        <v/>
      </c>
      <c r="D938" s="3" t="str">
        <f>IFERROR(VLOOKUP(B938,'جدول الجلسات التدريبية'!A:D,4,FALSE),"")</f>
        <v/>
      </c>
      <c r="E938" s="3"/>
      <c r="F938" s="3" t="str">
        <f>IFERROR(VLOOKUP(E938,'سجل الموظفين والكفاءة'!B:C,2,FALSE),"")</f>
        <v/>
      </c>
      <c r="G938" s="3">
        <f>IFERROR(VLOOKUP(A938,'الخطة التدريبية المعتمدة'!A:J,10,FALSE),0)</f>
        <v>0</v>
      </c>
      <c r="H938" s="3"/>
      <c r="I938" s="3"/>
      <c r="J938" s="3"/>
      <c r="K938" s="7" t="str">
        <f>IF(OR(I938="",J938="",I938=0),"",(J938-I938)/I938)</f>
        <v/>
      </c>
      <c r="L938" s="3" t="str">
        <f>IF(J938="","",IF(J938/10&gt;='الإعدادات والمستهدفات'!B5,"ناجح ومستوفى","ضعيف - يلزم إعادة اختبار"))</f>
        <v/>
      </c>
      <c r="M938" s="3"/>
      <c r="N938" s="3"/>
    </row>
    <row r="939" spans="1:14" x14ac:dyDescent="0.2">
      <c r="A939" s="3" t="str">
        <f>IFERROR(VLOOKUP(B939,'جدول الجلسات التدريبية'!A:B,2,FALSE),"")</f>
        <v/>
      </c>
      <c r="B939" s="3"/>
      <c r="C939" s="3" t="str">
        <f>IFERROR(VLOOKUP(A939,'الخطة التدريبية المعتمدة'!A:C,3,FALSE),"")</f>
        <v/>
      </c>
      <c r="D939" s="3" t="str">
        <f>IFERROR(VLOOKUP(B939,'جدول الجلسات التدريبية'!A:D,4,FALSE),"")</f>
        <v/>
      </c>
      <c r="E939" s="3"/>
      <c r="F939" s="3" t="str">
        <f>IFERROR(VLOOKUP(E939,'سجل الموظفين والكفاءة'!B:C,2,FALSE),"")</f>
        <v/>
      </c>
      <c r="G939" s="3">
        <f>IFERROR(VLOOKUP(A939,'الخطة التدريبية المعتمدة'!A:J,10,FALSE),0)</f>
        <v>0</v>
      </c>
      <c r="H939" s="3"/>
      <c r="I939" s="3"/>
      <c r="J939" s="3"/>
      <c r="K939" s="7" t="str">
        <f>IF(OR(I939="",J939="",I939=0),"",(J939-I939)/I939)</f>
        <v/>
      </c>
      <c r="L939" s="3" t="str">
        <f>IF(J939="","",IF(J939/10&gt;='الإعدادات والمستهدفات'!B5,"ناجح ومستوفى","ضعيف - يلزم إعادة اختبار"))</f>
        <v/>
      </c>
      <c r="M939" s="3"/>
      <c r="N939" s="3"/>
    </row>
    <row r="940" spans="1:14" x14ac:dyDescent="0.2">
      <c r="A940" s="3" t="str">
        <f>IFERROR(VLOOKUP(B940,'جدول الجلسات التدريبية'!A:B,2,FALSE),"")</f>
        <v/>
      </c>
      <c r="B940" s="3"/>
      <c r="C940" s="3" t="str">
        <f>IFERROR(VLOOKUP(A940,'الخطة التدريبية المعتمدة'!A:C,3,FALSE),"")</f>
        <v/>
      </c>
      <c r="D940" s="3" t="str">
        <f>IFERROR(VLOOKUP(B940,'جدول الجلسات التدريبية'!A:D,4,FALSE),"")</f>
        <v/>
      </c>
      <c r="E940" s="3"/>
      <c r="F940" s="3" t="str">
        <f>IFERROR(VLOOKUP(E940,'سجل الموظفين والكفاءة'!B:C,2,FALSE),"")</f>
        <v/>
      </c>
      <c r="G940" s="3">
        <f>IFERROR(VLOOKUP(A940,'الخطة التدريبية المعتمدة'!A:J,10,FALSE),0)</f>
        <v>0</v>
      </c>
      <c r="H940" s="3"/>
      <c r="I940" s="3"/>
      <c r="J940" s="3"/>
      <c r="K940" s="7" t="str">
        <f>IF(OR(I940="",J940="",I940=0),"",(J940-I940)/I940)</f>
        <v/>
      </c>
      <c r="L940" s="3" t="str">
        <f>IF(J940="","",IF(J940/10&gt;='الإعدادات والمستهدفات'!B5,"ناجح ومستوفى","ضعيف - يلزم إعادة اختبار"))</f>
        <v/>
      </c>
      <c r="M940" s="3"/>
      <c r="N940" s="3"/>
    </row>
    <row r="941" spans="1:14" x14ac:dyDescent="0.2">
      <c r="A941" s="3" t="str">
        <f>IFERROR(VLOOKUP(B941,'جدول الجلسات التدريبية'!A:B,2,FALSE),"")</f>
        <v/>
      </c>
      <c r="B941" s="3"/>
      <c r="C941" s="3" t="str">
        <f>IFERROR(VLOOKUP(A941,'الخطة التدريبية المعتمدة'!A:C,3,FALSE),"")</f>
        <v/>
      </c>
      <c r="D941" s="3" t="str">
        <f>IFERROR(VLOOKUP(B941,'جدول الجلسات التدريبية'!A:D,4,FALSE),"")</f>
        <v/>
      </c>
      <c r="E941" s="3"/>
      <c r="F941" s="3" t="str">
        <f>IFERROR(VLOOKUP(E941,'سجل الموظفين والكفاءة'!B:C,2,FALSE),"")</f>
        <v/>
      </c>
      <c r="G941" s="3">
        <f>IFERROR(VLOOKUP(A941,'الخطة التدريبية المعتمدة'!A:J,10,FALSE),0)</f>
        <v>0</v>
      </c>
      <c r="H941" s="3"/>
      <c r="I941" s="3"/>
      <c r="J941" s="3"/>
      <c r="K941" s="7" t="str">
        <f>IF(OR(I941="",J941="",I941=0),"",(J941-I941)/I941)</f>
        <v/>
      </c>
      <c r="L941" s="3" t="str">
        <f>IF(J941="","",IF(J941/10&gt;='الإعدادات والمستهدفات'!B5,"ناجح ومستوفى","ضعيف - يلزم إعادة اختبار"))</f>
        <v/>
      </c>
      <c r="M941" s="3"/>
      <c r="N941" s="3"/>
    </row>
    <row r="942" spans="1:14" x14ac:dyDescent="0.2">
      <c r="A942" s="3" t="str">
        <f>IFERROR(VLOOKUP(B942,'جدول الجلسات التدريبية'!A:B,2,FALSE),"")</f>
        <v/>
      </c>
      <c r="B942" s="3"/>
      <c r="C942" s="3" t="str">
        <f>IFERROR(VLOOKUP(A942,'الخطة التدريبية المعتمدة'!A:C,3,FALSE),"")</f>
        <v/>
      </c>
      <c r="D942" s="3" t="str">
        <f>IFERROR(VLOOKUP(B942,'جدول الجلسات التدريبية'!A:D,4,FALSE),"")</f>
        <v/>
      </c>
      <c r="E942" s="3"/>
      <c r="F942" s="3" t="str">
        <f>IFERROR(VLOOKUP(E942,'سجل الموظفين والكفاءة'!B:C,2,FALSE),"")</f>
        <v/>
      </c>
      <c r="G942" s="3">
        <f>IFERROR(VLOOKUP(A942,'الخطة التدريبية المعتمدة'!A:J,10,FALSE),0)</f>
        <v>0</v>
      </c>
      <c r="H942" s="3"/>
      <c r="I942" s="3"/>
      <c r="J942" s="3"/>
      <c r="K942" s="7" t="str">
        <f>IF(OR(I942="",J942="",I942=0),"",(J942-I942)/I942)</f>
        <v/>
      </c>
      <c r="L942" s="3" t="str">
        <f>IF(J942="","",IF(J942/10&gt;='الإعدادات والمستهدفات'!B5,"ناجح ومستوفى","ضعيف - يلزم إعادة اختبار"))</f>
        <v/>
      </c>
      <c r="M942" s="3"/>
      <c r="N942" s="3"/>
    </row>
    <row r="943" spans="1:14" x14ac:dyDescent="0.2">
      <c r="A943" s="3" t="str">
        <f>IFERROR(VLOOKUP(B943,'جدول الجلسات التدريبية'!A:B,2,FALSE),"")</f>
        <v/>
      </c>
      <c r="B943" s="3"/>
      <c r="C943" s="3" t="str">
        <f>IFERROR(VLOOKUP(A943,'الخطة التدريبية المعتمدة'!A:C,3,FALSE),"")</f>
        <v/>
      </c>
      <c r="D943" s="3" t="str">
        <f>IFERROR(VLOOKUP(B943,'جدول الجلسات التدريبية'!A:D,4,FALSE),"")</f>
        <v/>
      </c>
      <c r="E943" s="3"/>
      <c r="F943" s="3" t="str">
        <f>IFERROR(VLOOKUP(E943,'سجل الموظفين والكفاءة'!B:C,2,FALSE),"")</f>
        <v/>
      </c>
      <c r="G943" s="3">
        <f>IFERROR(VLOOKUP(A943,'الخطة التدريبية المعتمدة'!A:J,10,FALSE),0)</f>
        <v>0</v>
      </c>
      <c r="H943" s="3"/>
      <c r="I943" s="3"/>
      <c r="J943" s="3"/>
      <c r="K943" s="7" t="str">
        <f>IF(OR(I943="",J943="",I943=0),"",(J943-I943)/I943)</f>
        <v/>
      </c>
      <c r="L943" s="3" t="str">
        <f>IF(J943="","",IF(J943/10&gt;='الإعدادات والمستهدفات'!B5,"ناجح ومستوفى","ضعيف - يلزم إعادة اختبار"))</f>
        <v/>
      </c>
      <c r="M943" s="3"/>
      <c r="N943" s="3"/>
    </row>
    <row r="944" spans="1:14" x14ac:dyDescent="0.2">
      <c r="A944" s="3" t="str">
        <f>IFERROR(VLOOKUP(B944,'جدول الجلسات التدريبية'!A:B,2,FALSE),"")</f>
        <v/>
      </c>
      <c r="B944" s="3"/>
      <c r="C944" s="3" t="str">
        <f>IFERROR(VLOOKUP(A944,'الخطة التدريبية المعتمدة'!A:C,3,FALSE),"")</f>
        <v/>
      </c>
      <c r="D944" s="3" t="str">
        <f>IFERROR(VLOOKUP(B944,'جدول الجلسات التدريبية'!A:D,4,FALSE),"")</f>
        <v/>
      </c>
      <c r="E944" s="3"/>
      <c r="F944" s="3" t="str">
        <f>IFERROR(VLOOKUP(E944,'سجل الموظفين والكفاءة'!B:C,2,FALSE),"")</f>
        <v/>
      </c>
      <c r="G944" s="3">
        <f>IFERROR(VLOOKUP(A944,'الخطة التدريبية المعتمدة'!A:J,10,FALSE),0)</f>
        <v>0</v>
      </c>
      <c r="H944" s="3"/>
      <c r="I944" s="3"/>
      <c r="J944" s="3"/>
      <c r="K944" s="7" t="str">
        <f>IF(OR(I944="",J944="",I944=0),"",(J944-I944)/I944)</f>
        <v/>
      </c>
      <c r="L944" s="3" t="str">
        <f>IF(J944="","",IF(J944/10&gt;='الإعدادات والمستهدفات'!B5,"ناجح ومستوفى","ضعيف - يلزم إعادة اختبار"))</f>
        <v/>
      </c>
      <c r="M944" s="3"/>
      <c r="N944" s="3"/>
    </row>
    <row r="945" spans="1:14" x14ac:dyDescent="0.2">
      <c r="A945" s="3" t="str">
        <f>IFERROR(VLOOKUP(B945,'جدول الجلسات التدريبية'!A:B,2,FALSE),"")</f>
        <v/>
      </c>
      <c r="B945" s="3"/>
      <c r="C945" s="3" t="str">
        <f>IFERROR(VLOOKUP(A945,'الخطة التدريبية المعتمدة'!A:C,3,FALSE),"")</f>
        <v/>
      </c>
      <c r="D945" s="3" t="str">
        <f>IFERROR(VLOOKUP(B945,'جدول الجلسات التدريبية'!A:D,4,FALSE),"")</f>
        <v/>
      </c>
      <c r="E945" s="3"/>
      <c r="F945" s="3" t="str">
        <f>IFERROR(VLOOKUP(E945,'سجل الموظفين والكفاءة'!B:C,2,FALSE),"")</f>
        <v/>
      </c>
      <c r="G945" s="3">
        <f>IFERROR(VLOOKUP(A945,'الخطة التدريبية المعتمدة'!A:J,10,FALSE),0)</f>
        <v>0</v>
      </c>
      <c r="H945" s="3"/>
      <c r="I945" s="3"/>
      <c r="J945" s="3"/>
      <c r="K945" s="7" t="str">
        <f>IF(OR(I945="",J945="",I945=0),"",(J945-I945)/I945)</f>
        <v/>
      </c>
      <c r="L945" s="3" t="str">
        <f>IF(J945="","",IF(J945/10&gt;='الإعدادات والمستهدفات'!B5,"ناجح ومستوفى","ضعيف - يلزم إعادة اختبار"))</f>
        <v/>
      </c>
      <c r="M945" s="3"/>
      <c r="N945" s="3"/>
    </row>
    <row r="946" spans="1:14" x14ac:dyDescent="0.2">
      <c r="A946" s="3" t="str">
        <f>IFERROR(VLOOKUP(B946,'جدول الجلسات التدريبية'!A:B,2,FALSE),"")</f>
        <v/>
      </c>
      <c r="B946" s="3"/>
      <c r="C946" s="3" t="str">
        <f>IFERROR(VLOOKUP(A946,'الخطة التدريبية المعتمدة'!A:C,3,FALSE),"")</f>
        <v/>
      </c>
      <c r="D946" s="3" t="str">
        <f>IFERROR(VLOOKUP(B946,'جدول الجلسات التدريبية'!A:D,4,FALSE),"")</f>
        <v/>
      </c>
      <c r="E946" s="3"/>
      <c r="F946" s="3" t="str">
        <f>IFERROR(VLOOKUP(E946,'سجل الموظفين والكفاءة'!B:C,2,FALSE),"")</f>
        <v/>
      </c>
      <c r="G946" s="3">
        <f>IFERROR(VLOOKUP(A946,'الخطة التدريبية المعتمدة'!A:J,10,FALSE),0)</f>
        <v>0</v>
      </c>
      <c r="H946" s="3"/>
      <c r="I946" s="3"/>
      <c r="J946" s="3"/>
      <c r="K946" s="7" t="str">
        <f>IF(OR(I946="",J946="",I946=0),"",(J946-I946)/I946)</f>
        <v/>
      </c>
      <c r="L946" s="3" t="str">
        <f>IF(J946="","",IF(J946/10&gt;='الإعدادات والمستهدفات'!B5,"ناجح ومستوفى","ضعيف - يلزم إعادة اختبار"))</f>
        <v/>
      </c>
      <c r="M946" s="3"/>
      <c r="N946" s="3"/>
    </row>
    <row r="947" spans="1:14" x14ac:dyDescent="0.2">
      <c r="A947" s="3" t="str">
        <f>IFERROR(VLOOKUP(B947,'جدول الجلسات التدريبية'!A:B,2,FALSE),"")</f>
        <v/>
      </c>
      <c r="B947" s="3"/>
      <c r="C947" s="3" t="str">
        <f>IFERROR(VLOOKUP(A947,'الخطة التدريبية المعتمدة'!A:C,3,FALSE),"")</f>
        <v/>
      </c>
      <c r="D947" s="3" t="str">
        <f>IFERROR(VLOOKUP(B947,'جدول الجلسات التدريبية'!A:D,4,FALSE),"")</f>
        <v/>
      </c>
      <c r="E947" s="3"/>
      <c r="F947" s="3" t="str">
        <f>IFERROR(VLOOKUP(E947,'سجل الموظفين والكفاءة'!B:C,2,FALSE),"")</f>
        <v/>
      </c>
      <c r="G947" s="3">
        <f>IFERROR(VLOOKUP(A947,'الخطة التدريبية المعتمدة'!A:J,10,FALSE),0)</f>
        <v>0</v>
      </c>
      <c r="H947" s="3"/>
      <c r="I947" s="3"/>
      <c r="J947" s="3"/>
      <c r="K947" s="7" t="str">
        <f>IF(OR(I947="",J947="",I947=0),"",(J947-I947)/I947)</f>
        <v/>
      </c>
      <c r="L947" s="3" t="str">
        <f>IF(J947="","",IF(J947/10&gt;='الإعدادات والمستهدفات'!B5,"ناجح ومستوفى","ضعيف - يلزم إعادة اختبار"))</f>
        <v/>
      </c>
      <c r="M947" s="3"/>
      <c r="N947" s="3"/>
    </row>
    <row r="948" spans="1:14" x14ac:dyDescent="0.2">
      <c r="A948" s="3" t="str">
        <f>IFERROR(VLOOKUP(B948,'جدول الجلسات التدريبية'!A:B,2,FALSE),"")</f>
        <v/>
      </c>
      <c r="B948" s="3"/>
      <c r="C948" s="3" t="str">
        <f>IFERROR(VLOOKUP(A948,'الخطة التدريبية المعتمدة'!A:C,3,FALSE),"")</f>
        <v/>
      </c>
      <c r="D948" s="3" t="str">
        <f>IFERROR(VLOOKUP(B948,'جدول الجلسات التدريبية'!A:D,4,FALSE),"")</f>
        <v/>
      </c>
      <c r="E948" s="3"/>
      <c r="F948" s="3" t="str">
        <f>IFERROR(VLOOKUP(E948,'سجل الموظفين والكفاءة'!B:C,2,FALSE),"")</f>
        <v/>
      </c>
      <c r="G948" s="3">
        <f>IFERROR(VLOOKUP(A948,'الخطة التدريبية المعتمدة'!A:J,10,FALSE),0)</f>
        <v>0</v>
      </c>
      <c r="H948" s="3"/>
      <c r="I948" s="3"/>
      <c r="J948" s="3"/>
      <c r="K948" s="7" t="str">
        <f>IF(OR(I948="",J948="",I948=0),"",(J948-I948)/I948)</f>
        <v/>
      </c>
      <c r="L948" s="3" t="str">
        <f>IF(J948="","",IF(J948/10&gt;='الإعدادات والمستهدفات'!B5,"ناجح ومستوفى","ضعيف - يلزم إعادة اختبار"))</f>
        <v/>
      </c>
      <c r="M948" s="3"/>
      <c r="N948" s="3"/>
    </row>
    <row r="949" spans="1:14" x14ac:dyDescent="0.2">
      <c r="A949" s="3" t="str">
        <f>IFERROR(VLOOKUP(B949,'جدول الجلسات التدريبية'!A:B,2,FALSE),"")</f>
        <v/>
      </c>
      <c r="B949" s="3"/>
      <c r="C949" s="3" t="str">
        <f>IFERROR(VLOOKUP(A949,'الخطة التدريبية المعتمدة'!A:C,3,FALSE),"")</f>
        <v/>
      </c>
      <c r="D949" s="3" t="str">
        <f>IFERROR(VLOOKUP(B949,'جدول الجلسات التدريبية'!A:D,4,FALSE),"")</f>
        <v/>
      </c>
      <c r="E949" s="3"/>
      <c r="F949" s="3" t="str">
        <f>IFERROR(VLOOKUP(E949,'سجل الموظفين والكفاءة'!B:C,2,FALSE),"")</f>
        <v/>
      </c>
      <c r="G949" s="3">
        <f>IFERROR(VLOOKUP(A949,'الخطة التدريبية المعتمدة'!A:J,10,FALSE),0)</f>
        <v>0</v>
      </c>
      <c r="H949" s="3"/>
      <c r="I949" s="3"/>
      <c r="J949" s="3"/>
      <c r="K949" s="7" t="str">
        <f>IF(OR(I949="",J949="",I949=0),"",(J949-I949)/I949)</f>
        <v/>
      </c>
      <c r="L949" s="3" t="str">
        <f>IF(J949="","",IF(J949/10&gt;='الإعدادات والمستهدفات'!B5,"ناجح ومستوفى","ضعيف - يلزم إعادة اختبار"))</f>
        <v/>
      </c>
      <c r="M949" s="3"/>
      <c r="N949" s="3"/>
    </row>
    <row r="950" spans="1:14" x14ac:dyDescent="0.2">
      <c r="A950" s="3" t="str">
        <f>IFERROR(VLOOKUP(B950,'جدول الجلسات التدريبية'!A:B,2,FALSE),"")</f>
        <v/>
      </c>
      <c r="B950" s="3"/>
      <c r="C950" s="3" t="str">
        <f>IFERROR(VLOOKUP(A950,'الخطة التدريبية المعتمدة'!A:C,3,FALSE),"")</f>
        <v/>
      </c>
      <c r="D950" s="3" t="str">
        <f>IFERROR(VLOOKUP(B950,'جدول الجلسات التدريبية'!A:D,4,FALSE),"")</f>
        <v/>
      </c>
      <c r="E950" s="3"/>
      <c r="F950" s="3" t="str">
        <f>IFERROR(VLOOKUP(E950,'سجل الموظفين والكفاءة'!B:C,2,FALSE),"")</f>
        <v/>
      </c>
      <c r="G950" s="3">
        <f>IFERROR(VLOOKUP(A950,'الخطة التدريبية المعتمدة'!A:J,10,FALSE),0)</f>
        <v>0</v>
      </c>
      <c r="H950" s="3"/>
      <c r="I950" s="3"/>
      <c r="J950" s="3"/>
      <c r="K950" s="7" t="str">
        <f>IF(OR(I950="",J950="",I950=0),"",(J950-I950)/I950)</f>
        <v/>
      </c>
      <c r="L950" s="3" t="str">
        <f>IF(J950="","",IF(J950/10&gt;='الإعدادات والمستهدفات'!B5,"ناجح ومستوفى","ضعيف - يلزم إعادة اختبار"))</f>
        <v/>
      </c>
      <c r="M950" s="3"/>
      <c r="N950" s="3"/>
    </row>
    <row r="951" spans="1:14" x14ac:dyDescent="0.2">
      <c r="A951" s="3" t="str">
        <f>IFERROR(VLOOKUP(B951,'جدول الجلسات التدريبية'!A:B,2,FALSE),"")</f>
        <v/>
      </c>
      <c r="B951" s="3"/>
      <c r="C951" s="3" t="str">
        <f>IFERROR(VLOOKUP(A951,'الخطة التدريبية المعتمدة'!A:C,3,FALSE),"")</f>
        <v/>
      </c>
      <c r="D951" s="3" t="str">
        <f>IFERROR(VLOOKUP(B951,'جدول الجلسات التدريبية'!A:D,4,FALSE),"")</f>
        <v/>
      </c>
      <c r="E951" s="3"/>
      <c r="F951" s="3" t="str">
        <f>IFERROR(VLOOKUP(E951,'سجل الموظفين والكفاءة'!B:C,2,FALSE),"")</f>
        <v/>
      </c>
      <c r="G951" s="3">
        <f>IFERROR(VLOOKUP(A951,'الخطة التدريبية المعتمدة'!A:J,10,FALSE),0)</f>
        <v>0</v>
      </c>
      <c r="H951" s="3"/>
      <c r="I951" s="3"/>
      <c r="J951" s="3"/>
      <c r="K951" s="7" t="str">
        <f>IF(OR(I951="",J951="",I951=0),"",(J951-I951)/I951)</f>
        <v/>
      </c>
      <c r="L951" s="3" t="str">
        <f>IF(J951="","",IF(J951/10&gt;='الإعدادات والمستهدفات'!B5,"ناجح ومستوفى","ضعيف - يلزم إعادة اختبار"))</f>
        <v/>
      </c>
      <c r="M951" s="3"/>
      <c r="N951" s="3"/>
    </row>
    <row r="952" spans="1:14" x14ac:dyDescent="0.2">
      <c r="A952" s="3" t="str">
        <f>IFERROR(VLOOKUP(B952,'جدول الجلسات التدريبية'!A:B,2,FALSE),"")</f>
        <v/>
      </c>
      <c r="B952" s="3"/>
      <c r="C952" s="3" t="str">
        <f>IFERROR(VLOOKUP(A952,'الخطة التدريبية المعتمدة'!A:C,3,FALSE),"")</f>
        <v/>
      </c>
      <c r="D952" s="3" t="str">
        <f>IFERROR(VLOOKUP(B952,'جدول الجلسات التدريبية'!A:D,4,FALSE),"")</f>
        <v/>
      </c>
      <c r="E952" s="3"/>
      <c r="F952" s="3" t="str">
        <f>IFERROR(VLOOKUP(E952,'سجل الموظفين والكفاءة'!B:C,2,FALSE),"")</f>
        <v/>
      </c>
      <c r="G952" s="3">
        <f>IFERROR(VLOOKUP(A952,'الخطة التدريبية المعتمدة'!A:J,10,FALSE),0)</f>
        <v>0</v>
      </c>
      <c r="H952" s="3"/>
      <c r="I952" s="3"/>
      <c r="J952" s="3"/>
      <c r="K952" s="7" t="str">
        <f>IF(OR(I952="",J952="",I952=0),"",(J952-I952)/I952)</f>
        <v/>
      </c>
      <c r="L952" s="3" t="str">
        <f>IF(J952="","",IF(J952/10&gt;='الإعدادات والمستهدفات'!B5,"ناجح ومستوفى","ضعيف - يلزم إعادة اختبار"))</f>
        <v/>
      </c>
      <c r="M952" s="3"/>
      <c r="N952" s="3"/>
    </row>
    <row r="953" spans="1:14" x14ac:dyDescent="0.2">
      <c r="A953" s="3" t="str">
        <f>IFERROR(VLOOKUP(B953,'جدول الجلسات التدريبية'!A:B,2,FALSE),"")</f>
        <v/>
      </c>
      <c r="B953" s="3"/>
      <c r="C953" s="3" t="str">
        <f>IFERROR(VLOOKUP(A953,'الخطة التدريبية المعتمدة'!A:C,3,FALSE),"")</f>
        <v/>
      </c>
      <c r="D953" s="3" t="str">
        <f>IFERROR(VLOOKUP(B953,'جدول الجلسات التدريبية'!A:D,4,FALSE),"")</f>
        <v/>
      </c>
      <c r="E953" s="3"/>
      <c r="F953" s="3" t="str">
        <f>IFERROR(VLOOKUP(E953,'سجل الموظفين والكفاءة'!B:C,2,FALSE),"")</f>
        <v/>
      </c>
      <c r="G953" s="3">
        <f>IFERROR(VLOOKUP(A953,'الخطة التدريبية المعتمدة'!A:J,10,FALSE),0)</f>
        <v>0</v>
      </c>
      <c r="H953" s="3"/>
      <c r="I953" s="3"/>
      <c r="J953" s="3"/>
      <c r="K953" s="7" t="str">
        <f>IF(OR(I953="",J953="",I953=0),"",(J953-I953)/I953)</f>
        <v/>
      </c>
      <c r="L953" s="3" t="str">
        <f>IF(J953="","",IF(J953/10&gt;='الإعدادات والمستهدفات'!B5,"ناجح ومستوفى","ضعيف - يلزم إعادة اختبار"))</f>
        <v/>
      </c>
      <c r="M953" s="3"/>
      <c r="N953" s="3"/>
    </row>
    <row r="954" spans="1:14" x14ac:dyDescent="0.2">
      <c r="A954" s="3" t="str">
        <f>IFERROR(VLOOKUP(B954,'جدول الجلسات التدريبية'!A:B,2,FALSE),"")</f>
        <v/>
      </c>
      <c r="B954" s="3"/>
      <c r="C954" s="3" t="str">
        <f>IFERROR(VLOOKUP(A954,'الخطة التدريبية المعتمدة'!A:C,3,FALSE),"")</f>
        <v/>
      </c>
      <c r="D954" s="3" t="str">
        <f>IFERROR(VLOOKUP(B954,'جدول الجلسات التدريبية'!A:D,4,FALSE),"")</f>
        <v/>
      </c>
      <c r="E954" s="3"/>
      <c r="F954" s="3" t="str">
        <f>IFERROR(VLOOKUP(E954,'سجل الموظفين والكفاءة'!B:C,2,FALSE),"")</f>
        <v/>
      </c>
      <c r="G954" s="3">
        <f>IFERROR(VLOOKUP(A954,'الخطة التدريبية المعتمدة'!A:J,10,FALSE),0)</f>
        <v>0</v>
      </c>
      <c r="H954" s="3"/>
      <c r="I954" s="3"/>
      <c r="J954" s="3"/>
      <c r="K954" s="7" t="str">
        <f>IF(OR(I954="",J954="",I954=0),"",(J954-I954)/I954)</f>
        <v/>
      </c>
      <c r="L954" s="3" t="str">
        <f>IF(J954="","",IF(J954/10&gt;='الإعدادات والمستهدفات'!B5,"ناجح ومستوفى","ضعيف - يلزم إعادة اختبار"))</f>
        <v/>
      </c>
      <c r="M954" s="3"/>
      <c r="N954" s="3"/>
    </row>
    <row r="955" spans="1:14" x14ac:dyDescent="0.2">
      <c r="A955" s="3" t="str">
        <f>IFERROR(VLOOKUP(B955,'جدول الجلسات التدريبية'!A:B,2,FALSE),"")</f>
        <v/>
      </c>
      <c r="B955" s="3"/>
      <c r="C955" s="3" t="str">
        <f>IFERROR(VLOOKUP(A955,'الخطة التدريبية المعتمدة'!A:C,3,FALSE),"")</f>
        <v/>
      </c>
      <c r="D955" s="3" t="str">
        <f>IFERROR(VLOOKUP(B955,'جدول الجلسات التدريبية'!A:D,4,FALSE),"")</f>
        <v/>
      </c>
      <c r="E955" s="3"/>
      <c r="F955" s="3" t="str">
        <f>IFERROR(VLOOKUP(E955,'سجل الموظفين والكفاءة'!B:C,2,FALSE),"")</f>
        <v/>
      </c>
      <c r="G955" s="3">
        <f>IFERROR(VLOOKUP(A955,'الخطة التدريبية المعتمدة'!A:J,10,FALSE),0)</f>
        <v>0</v>
      </c>
      <c r="H955" s="3"/>
      <c r="I955" s="3"/>
      <c r="J955" s="3"/>
      <c r="K955" s="7" t="str">
        <f>IF(OR(I955="",J955="",I955=0),"",(J955-I955)/I955)</f>
        <v/>
      </c>
      <c r="L955" s="3" t="str">
        <f>IF(J955="","",IF(J955/10&gt;='الإعدادات والمستهدفات'!B5,"ناجح ومستوفى","ضعيف - يلزم إعادة اختبار"))</f>
        <v/>
      </c>
      <c r="M955" s="3"/>
      <c r="N955" s="3"/>
    </row>
    <row r="956" spans="1:14" x14ac:dyDescent="0.2">
      <c r="A956" s="3" t="str">
        <f>IFERROR(VLOOKUP(B956,'جدول الجلسات التدريبية'!A:B,2,FALSE),"")</f>
        <v/>
      </c>
      <c r="B956" s="3"/>
      <c r="C956" s="3" t="str">
        <f>IFERROR(VLOOKUP(A956,'الخطة التدريبية المعتمدة'!A:C,3,FALSE),"")</f>
        <v/>
      </c>
      <c r="D956" s="3" t="str">
        <f>IFERROR(VLOOKUP(B956,'جدول الجلسات التدريبية'!A:D,4,FALSE),"")</f>
        <v/>
      </c>
      <c r="E956" s="3"/>
      <c r="F956" s="3" t="str">
        <f>IFERROR(VLOOKUP(E956,'سجل الموظفين والكفاءة'!B:C,2,FALSE),"")</f>
        <v/>
      </c>
      <c r="G956" s="3">
        <f>IFERROR(VLOOKUP(A956,'الخطة التدريبية المعتمدة'!A:J,10,FALSE),0)</f>
        <v>0</v>
      </c>
      <c r="H956" s="3"/>
      <c r="I956" s="3"/>
      <c r="J956" s="3"/>
      <c r="K956" s="7" t="str">
        <f>IF(OR(I956="",J956="",I956=0),"",(J956-I956)/I956)</f>
        <v/>
      </c>
      <c r="L956" s="3" t="str">
        <f>IF(J956="","",IF(J956/10&gt;='الإعدادات والمستهدفات'!B5,"ناجح ومستوفى","ضعيف - يلزم إعادة اختبار"))</f>
        <v/>
      </c>
      <c r="M956" s="3"/>
      <c r="N956" s="3"/>
    </row>
    <row r="957" spans="1:14" x14ac:dyDescent="0.2">
      <c r="A957" s="3" t="str">
        <f>IFERROR(VLOOKUP(B957,'جدول الجلسات التدريبية'!A:B,2,FALSE),"")</f>
        <v/>
      </c>
      <c r="B957" s="3"/>
      <c r="C957" s="3" t="str">
        <f>IFERROR(VLOOKUP(A957,'الخطة التدريبية المعتمدة'!A:C,3,FALSE),"")</f>
        <v/>
      </c>
      <c r="D957" s="3" t="str">
        <f>IFERROR(VLOOKUP(B957,'جدول الجلسات التدريبية'!A:D,4,FALSE),"")</f>
        <v/>
      </c>
      <c r="E957" s="3"/>
      <c r="F957" s="3" t="str">
        <f>IFERROR(VLOOKUP(E957,'سجل الموظفين والكفاءة'!B:C,2,FALSE),"")</f>
        <v/>
      </c>
      <c r="G957" s="3">
        <f>IFERROR(VLOOKUP(A957,'الخطة التدريبية المعتمدة'!A:J,10,FALSE),0)</f>
        <v>0</v>
      </c>
      <c r="H957" s="3"/>
      <c r="I957" s="3"/>
      <c r="J957" s="3"/>
      <c r="K957" s="7" t="str">
        <f>IF(OR(I957="",J957="",I957=0),"",(J957-I957)/I957)</f>
        <v/>
      </c>
      <c r="L957" s="3" t="str">
        <f>IF(J957="","",IF(J957/10&gt;='الإعدادات والمستهدفات'!B5,"ناجح ومستوفى","ضعيف - يلزم إعادة اختبار"))</f>
        <v/>
      </c>
      <c r="M957" s="3"/>
      <c r="N957" s="3"/>
    </row>
    <row r="958" spans="1:14" x14ac:dyDescent="0.2">
      <c r="A958" s="3" t="str">
        <f>IFERROR(VLOOKUP(B958,'جدول الجلسات التدريبية'!A:B,2,FALSE),"")</f>
        <v/>
      </c>
      <c r="B958" s="3"/>
      <c r="C958" s="3" t="str">
        <f>IFERROR(VLOOKUP(A958,'الخطة التدريبية المعتمدة'!A:C,3,FALSE),"")</f>
        <v/>
      </c>
      <c r="D958" s="3" t="str">
        <f>IFERROR(VLOOKUP(B958,'جدول الجلسات التدريبية'!A:D,4,FALSE),"")</f>
        <v/>
      </c>
      <c r="E958" s="3"/>
      <c r="F958" s="3" t="str">
        <f>IFERROR(VLOOKUP(E958,'سجل الموظفين والكفاءة'!B:C,2,FALSE),"")</f>
        <v/>
      </c>
      <c r="G958" s="3">
        <f>IFERROR(VLOOKUP(A958,'الخطة التدريبية المعتمدة'!A:J,10,FALSE),0)</f>
        <v>0</v>
      </c>
      <c r="H958" s="3"/>
      <c r="I958" s="3"/>
      <c r="J958" s="3"/>
      <c r="K958" s="7" t="str">
        <f>IF(OR(I958="",J958="",I958=0),"",(J958-I958)/I958)</f>
        <v/>
      </c>
      <c r="L958" s="3" t="str">
        <f>IF(J958="","",IF(J958/10&gt;='الإعدادات والمستهدفات'!B5,"ناجح ومستوفى","ضعيف - يلزم إعادة اختبار"))</f>
        <v/>
      </c>
      <c r="M958" s="3"/>
      <c r="N958" s="3"/>
    </row>
    <row r="959" spans="1:14" x14ac:dyDescent="0.2">
      <c r="A959" s="3" t="str">
        <f>IFERROR(VLOOKUP(B959,'جدول الجلسات التدريبية'!A:B,2,FALSE),"")</f>
        <v/>
      </c>
      <c r="B959" s="3"/>
      <c r="C959" s="3" t="str">
        <f>IFERROR(VLOOKUP(A959,'الخطة التدريبية المعتمدة'!A:C,3,FALSE),"")</f>
        <v/>
      </c>
      <c r="D959" s="3" t="str">
        <f>IFERROR(VLOOKUP(B959,'جدول الجلسات التدريبية'!A:D,4,FALSE),"")</f>
        <v/>
      </c>
      <c r="E959" s="3"/>
      <c r="F959" s="3" t="str">
        <f>IFERROR(VLOOKUP(E959,'سجل الموظفين والكفاءة'!B:C,2,FALSE),"")</f>
        <v/>
      </c>
      <c r="G959" s="3">
        <f>IFERROR(VLOOKUP(A959,'الخطة التدريبية المعتمدة'!A:J,10,FALSE),0)</f>
        <v>0</v>
      </c>
      <c r="H959" s="3"/>
      <c r="I959" s="3"/>
      <c r="J959" s="3"/>
      <c r="K959" s="7" t="str">
        <f>IF(OR(I959="",J959="",I959=0),"",(J959-I959)/I959)</f>
        <v/>
      </c>
      <c r="L959" s="3" t="str">
        <f>IF(J959="","",IF(J959/10&gt;='الإعدادات والمستهدفات'!B5,"ناجح ومستوفى","ضعيف - يلزم إعادة اختبار"))</f>
        <v/>
      </c>
      <c r="M959" s="3"/>
      <c r="N959" s="3"/>
    </row>
    <row r="960" spans="1:14" x14ac:dyDescent="0.2">
      <c r="A960" s="3" t="str">
        <f>IFERROR(VLOOKUP(B960,'جدول الجلسات التدريبية'!A:B,2,FALSE),"")</f>
        <v/>
      </c>
      <c r="B960" s="3"/>
      <c r="C960" s="3" t="str">
        <f>IFERROR(VLOOKUP(A960,'الخطة التدريبية المعتمدة'!A:C,3,FALSE),"")</f>
        <v/>
      </c>
      <c r="D960" s="3" t="str">
        <f>IFERROR(VLOOKUP(B960,'جدول الجلسات التدريبية'!A:D,4,FALSE),"")</f>
        <v/>
      </c>
      <c r="E960" s="3"/>
      <c r="F960" s="3" t="str">
        <f>IFERROR(VLOOKUP(E960,'سجل الموظفين والكفاءة'!B:C,2,FALSE),"")</f>
        <v/>
      </c>
      <c r="G960" s="3">
        <f>IFERROR(VLOOKUP(A960,'الخطة التدريبية المعتمدة'!A:J,10,FALSE),0)</f>
        <v>0</v>
      </c>
      <c r="H960" s="3"/>
      <c r="I960" s="3"/>
      <c r="J960" s="3"/>
      <c r="K960" s="7" t="str">
        <f>IF(OR(I960="",J960="",I960=0),"",(J960-I960)/I960)</f>
        <v/>
      </c>
      <c r="L960" s="3" t="str">
        <f>IF(J960="","",IF(J960/10&gt;='الإعدادات والمستهدفات'!B5,"ناجح ومستوفى","ضعيف - يلزم إعادة اختبار"))</f>
        <v/>
      </c>
      <c r="M960" s="3"/>
      <c r="N960" s="3"/>
    </row>
    <row r="961" spans="1:14" x14ac:dyDescent="0.2">
      <c r="A961" s="3" t="str">
        <f>IFERROR(VLOOKUP(B961,'جدول الجلسات التدريبية'!A:B,2,FALSE),"")</f>
        <v/>
      </c>
      <c r="B961" s="3"/>
      <c r="C961" s="3" t="str">
        <f>IFERROR(VLOOKUP(A961,'الخطة التدريبية المعتمدة'!A:C,3,FALSE),"")</f>
        <v/>
      </c>
      <c r="D961" s="3" t="str">
        <f>IFERROR(VLOOKUP(B961,'جدول الجلسات التدريبية'!A:D,4,FALSE),"")</f>
        <v/>
      </c>
      <c r="E961" s="3"/>
      <c r="F961" s="3" t="str">
        <f>IFERROR(VLOOKUP(E961,'سجل الموظفين والكفاءة'!B:C,2,FALSE),"")</f>
        <v/>
      </c>
      <c r="G961" s="3">
        <f>IFERROR(VLOOKUP(A961,'الخطة التدريبية المعتمدة'!A:J,10,FALSE),0)</f>
        <v>0</v>
      </c>
      <c r="H961" s="3"/>
      <c r="I961" s="3"/>
      <c r="J961" s="3"/>
      <c r="K961" s="7" t="str">
        <f>IF(OR(I961="",J961="",I961=0),"",(J961-I961)/I961)</f>
        <v/>
      </c>
      <c r="L961" s="3" t="str">
        <f>IF(J961="","",IF(J961/10&gt;='الإعدادات والمستهدفات'!B5,"ناجح ومستوفى","ضعيف - يلزم إعادة اختبار"))</f>
        <v/>
      </c>
      <c r="M961" s="3"/>
      <c r="N961" s="3"/>
    </row>
    <row r="962" spans="1:14" x14ac:dyDescent="0.2">
      <c r="A962" s="3" t="str">
        <f>IFERROR(VLOOKUP(B962,'جدول الجلسات التدريبية'!A:B,2,FALSE),"")</f>
        <v/>
      </c>
      <c r="B962" s="3"/>
      <c r="C962" s="3" t="str">
        <f>IFERROR(VLOOKUP(A962,'الخطة التدريبية المعتمدة'!A:C,3,FALSE),"")</f>
        <v/>
      </c>
      <c r="D962" s="3" t="str">
        <f>IFERROR(VLOOKUP(B962,'جدول الجلسات التدريبية'!A:D,4,FALSE),"")</f>
        <v/>
      </c>
      <c r="E962" s="3"/>
      <c r="F962" s="3" t="str">
        <f>IFERROR(VLOOKUP(E962,'سجل الموظفين والكفاءة'!B:C,2,FALSE),"")</f>
        <v/>
      </c>
      <c r="G962" s="3">
        <f>IFERROR(VLOOKUP(A962,'الخطة التدريبية المعتمدة'!A:J,10,FALSE),0)</f>
        <v>0</v>
      </c>
      <c r="H962" s="3"/>
      <c r="I962" s="3"/>
      <c r="J962" s="3"/>
      <c r="K962" s="7" t="str">
        <f>IF(OR(I962="",J962="",I962=0),"",(J962-I962)/I962)</f>
        <v/>
      </c>
      <c r="L962" s="3" t="str">
        <f>IF(J962="","",IF(J962/10&gt;='الإعدادات والمستهدفات'!B5,"ناجح ومستوفى","ضعيف - يلزم إعادة اختبار"))</f>
        <v/>
      </c>
      <c r="M962" s="3"/>
      <c r="N962" s="3"/>
    </row>
    <row r="963" spans="1:14" x14ac:dyDescent="0.2">
      <c r="A963" s="3" t="str">
        <f>IFERROR(VLOOKUP(B963,'جدول الجلسات التدريبية'!A:B,2,FALSE),"")</f>
        <v/>
      </c>
      <c r="B963" s="3"/>
      <c r="C963" s="3" t="str">
        <f>IFERROR(VLOOKUP(A963,'الخطة التدريبية المعتمدة'!A:C,3,FALSE),"")</f>
        <v/>
      </c>
      <c r="D963" s="3" t="str">
        <f>IFERROR(VLOOKUP(B963,'جدول الجلسات التدريبية'!A:D,4,FALSE),"")</f>
        <v/>
      </c>
      <c r="E963" s="3"/>
      <c r="F963" s="3" t="str">
        <f>IFERROR(VLOOKUP(E963,'سجل الموظفين والكفاءة'!B:C,2,FALSE),"")</f>
        <v/>
      </c>
      <c r="G963" s="3">
        <f>IFERROR(VLOOKUP(A963,'الخطة التدريبية المعتمدة'!A:J,10,FALSE),0)</f>
        <v>0</v>
      </c>
      <c r="H963" s="3"/>
      <c r="I963" s="3"/>
      <c r="J963" s="3"/>
      <c r="K963" s="7" t="str">
        <f>IF(OR(I963="",J963="",I963=0),"",(J963-I963)/I963)</f>
        <v/>
      </c>
      <c r="L963" s="3" t="str">
        <f>IF(J963="","",IF(J963/10&gt;='الإعدادات والمستهدفات'!B5,"ناجح ومستوفى","ضعيف - يلزم إعادة اختبار"))</f>
        <v/>
      </c>
      <c r="M963" s="3"/>
      <c r="N963" s="3"/>
    </row>
    <row r="964" spans="1:14" x14ac:dyDescent="0.2">
      <c r="A964" s="3" t="str">
        <f>IFERROR(VLOOKUP(B964,'جدول الجلسات التدريبية'!A:B,2,FALSE),"")</f>
        <v/>
      </c>
      <c r="B964" s="3"/>
      <c r="C964" s="3" t="str">
        <f>IFERROR(VLOOKUP(A964,'الخطة التدريبية المعتمدة'!A:C,3,FALSE),"")</f>
        <v/>
      </c>
      <c r="D964" s="3" t="str">
        <f>IFERROR(VLOOKUP(B964,'جدول الجلسات التدريبية'!A:D,4,FALSE),"")</f>
        <v/>
      </c>
      <c r="E964" s="3"/>
      <c r="F964" s="3" t="str">
        <f>IFERROR(VLOOKUP(E964,'سجل الموظفين والكفاءة'!B:C,2,FALSE),"")</f>
        <v/>
      </c>
      <c r="G964" s="3">
        <f>IFERROR(VLOOKUP(A964,'الخطة التدريبية المعتمدة'!A:J,10,FALSE),0)</f>
        <v>0</v>
      </c>
      <c r="H964" s="3"/>
      <c r="I964" s="3"/>
      <c r="J964" s="3"/>
      <c r="K964" s="7" t="str">
        <f>IF(OR(I964="",J964="",I964=0),"",(J964-I964)/I964)</f>
        <v/>
      </c>
      <c r="L964" s="3" t="str">
        <f>IF(J964="","",IF(J964/10&gt;='الإعدادات والمستهدفات'!B5,"ناجح ومستوفى","ضعيف - يلزم إعادة اختبار"))</f>
        <v/>
      </c>
      <c r="M964" s="3"/>
      <c r="N964" s="3"/>
    </row>
    <row r="965" spans="1:14" x14ac:dyDescent="0.2">
      <c r="A965" s="3" t="str">
        <f>IFERROR(VLOOKUP(B965,'جدول الجلسات التدريبية'!A:B,2,FALSE),"")</f>
        <v/>
      </c>
      <c r="B965" s="3"/>
      <c r="C965" s="3" t="str">
        <f>IFERROR(VLOOKUP(A965,'الخطة التدريبية المعتمدة'!A:C,3,FALSE),"")</f>
        <v/>
      </c>
      <c r="D965" s="3" t="str">
        <f>IFERROR(VLOOKUP(B965,'جدول الجلسات التدريبية'!A:D,4,FALSE),"")</f>
        <v/>
      </c>
      <c r="E965" s="3"/>
      <c r="F965" s="3" t="str">
        <f>IFERROR(VLOOKUP(E965,'سجل الموظفين والكفاءة'!B:C,2,FALSE),"")</f>
        <v/>
      </c>
      <c r="G965" s="3">
        <f>IFERROR(VLOOKUP(A965,'الخطة التدريبية المعتمدة'!A:J,10,FALSE),0)</f>
        <v>0</v>
      </c>
      <c r="H965" s="3"/>
      <c r="I965" s="3"/>
      <c r="J965" s="3"/>
      <c r="K965" s="7" t="str">
        <f>IF(OR(I965="",J965="",I965=0),"",(J965-I965)/I965)</f>
        <v/>
      </c>
      <c r="L965" s="3" t="str">
        <f>IF(J965="","",IF(J965/10&gt;='الإعدادات والمستهدفات'!B5,"ناجح ومستوفى","ضعيف - يلزم إعادة اختبار"))</f>
        <v/>
      </c>
      <c r="M965" s="3"/>
      <c r="N965" s="3"/>
    </row>
    <row r="966" spans="1:14" x14ac:dyDescent="0.2">
      <c r="A966" s="3" t="str">
        <f>IFERROR(VLOOKUP(B966,'جدول الجلسات التدريبية'!A:B,2,FALSE),"")</f>
        <v/>
      </c>
      <c r="B966" s="3"/>
      <c r="C966" s="3" t="str">
        <f>IFERROR(VLOOKUP(A966,'الخطة التدريبية المعتمدة'!A:C,3,FALSE),"")</f>
        <v/>
      </c>
      <c r="D966" s="3" t="str">
        <f>IFERROR(VLOOKUP(B966,'جدول الجلسات التدريبية'!A:D,4,FALSE),"")</f>
        <v/>
      </c>
      <c r="E966" s="3"/>
      <c r="F966" s="3" t="str">
        <f>IFERROR(VLOOKUP(E966,'سجل الموظفين والكفاءة'!B:C,2,FALSE),"")</f>
        <v/>
      </c>
      <c r="G966" s="3">
        <f>IFERROR(VLOOKUP(A966,'الخطة التدريبية المعتمدة'!A:J,10,FALSE),0)</f>
        <v>0</v>
      </c>
      <c r="H966" s="3"/>
      <c r="I966" s="3"/>
      <c r="J966" s="3"/>
      <c r="K966" s="7" t="str">
        <f>IF(OR(I966="",J966="",I966=0),"",(J966-I966)/I966)</f>
        <v/>
      </c>
      <c r="L966" s="3" t="str">
        <f>IF(J966="","",IF(J966/10&gt;='الإعدادات والمستهدفات'!B5,"ناجح ومستوفى","ضعيف - يلزم إعادة اختبار"))</f>
        <v/>
      </c>
      <c r="M966" s="3"/>
      <c r="N966" s="3"/>
    </row>
    <row r="967" spans="1:14" x14ac:dyDescent="0.2">
      <c r="A967" s="3" t="str">
        <f>IFERROR(VLOOKUP(B967,'جدول الجلسات التدريبية'!A:B,2,FALSE),"")</f>
        <v/>
      </c>
      <c r="B967" s="3"/>
      <c r="C967" s="3" t="str">
        <f>IFERROR(VLOOKUP(A967,'الخطة التدريبية المعتمدة'!A:C,3,FALSE),"")</f>
        <v/>
      </c>
      <c r="D967" s="3" t="str">
        <f>IFERROR(VLOOKUP(B967,'جدول الجلسات التدريبية'!A:D,4,FALSE),"")</f>
        <v/>
      </c>
      <c r="E967" s="3"/>
      <c r="F967" s="3" t="str">
        <f>IFERROR(VLOOKUP(E967,'سجل الموظفين والكفاءة'!B:C,2,FALSE),"")</f>
        <v/>
      </c>
      <c r="G967" s="3">
        <f>IFERROR(VLOOKUP(A967,'الخطة التدريبية المعتمدة'!A:J,10,FALSE),0)</f>
        <v>0</v>
      </c>
      <c r="H967" s="3"/>
      <c r="I967" s="3"/>
      <c r="J967" s="3"/>
      <c r="K967" s="7" t="str">
        <f>IF(OR(I967="",J967="",I967=0),"",(J967-I967)/I967)</f>
        <v/>
      </c>
      <c r="L967" s="3" t="str">
        <f>IF(J967="","",IF(J967/10&gt;='الإعدادات والمستهدفات'!B5,"ناجح ومستوفى","ضعيف - يلزم إعادة اختبار"))</f>
        <v/>
      </c>
      <c r="M967" s="3"/>
      <c r="N967" s="3"/>
    </row>
    <row r="968" spans="1:14" x14ac:dyDescent="0.2">
      <c r="A968" s="3" t="str">
        <f>IFERROR(VLOOKUP(B968,'جدول الجلسات التدريبية'!A:B,2,FALSE),"")</f>
        <v/>
      </c>
      <c r="B968" s="3"/>
      <c r="C968" s="3" t="str">
        <f>IFERROR(VLOOKUP(A968,'الخطة التدريبية المعتمدة'!A:C,3,FALSE),"")</f>
        <v/>
      </c>
      <c r="D968" s="3" t="str">
        <f>IFERROR(VLOOKUP(B968,'جدول الجلسات التدريبية'!A:D,4,FALSE),"")</f>
        <v/>
      </c>
      <c r="E968" s="3"/>
      <c r="F968" s="3" t="str">
        <f>IFERROR(VLOOKUP(E968,'سجل الموظفين والكفاءة'!B:C,2,FALSE),"")</f>
        <v/>
      </c>
      <c r="G968" s="3">
        <f>IFERROR(VLOOKUP(A968,'الخطة التدريبية المعتمدة'!A:J,10,FALSE),0)</f>
        <v>0</v>
      </c>
      <c r="H968" s="3"/>
      <c r="I968" s="3"/>
      <c r="J968" s="3"/>
      <c r="K968" s="7" t="str">
        <f>IF(OR(I968="",J968="",I968=0),"",(J968-I968)/I968)</f>
        <v/>
      </c>
      <c r="L968" s="3" t="str">
        <f>IF(J968="","",IF(J968/10&gt;='الإعدادات والمستهدفات'!B5,"ناجح ومستوفى","ضعيف - يلزم إعادة اختبار"))</f>
        <v/>
      </c>
      <c r="M968" s="3"/>
      <c r="N968" s="3"/>
    </row>
    <row r="969" spans="1:14" x14ac:dyDescent="0.2">
      <c r="A969" s="3" t="str">
        <f>IFERROR(VLOOKUP(B969,'جدول الجلسات التدريبية'!A:B,2,FALSE),"")</f>
        <v/>
      </c>
      <c r="B969" s="3"/>
      <c r="C969" s="3" t="str">
        <f>IFERROR(VLOOKUP(A969,'الخطة التدريبية المعتمدة'!A:C,3,FALSE),"")</f>
        <v/>
      </c>
      <c r="D969" s="3" t="str">
        <f>IFERROR(VLOOKUP(B969,'جدول الجلسات التدريبية'!A:D,4,FALSE),"")</f>
        <v/>
      </c>
      <c r="E969" s="3"/>
      <c r="F969" s="3" t="str">
        <f>IFERROR(VLOOKUP(E969,'سجل الموظفين والكفاءة'!B:C,2,FALSE),"")</f>
        <v/>
      </c>
      <c r="G969" s="3">
        <f>IFERROR(VLOOKUP(A969,'الخطة التدريبية المعتمدة'!A:J,10,FALSE),0)</f>
        <v>0</v>
      </c>
      <c r="H969" s="3"/>
      <c r="I969" s="3"/>
      <c r="J969" s="3"/>
      <c r="K969" s="7" t="str">
        <f>IF(OR(I969="",J969="",I969=0),"",(J969-I969)/I969)</f>
        <v/>
      </c>
      <c r="L969" s="3" t="str">
        <f>IF(J969="","",IF(J969/10&gt;='الإعدادات والمستهدفات'!B5,"ناجح ومستوفى","ضعيف - يلزم إعادة اختبار"))</f>
        <v/>
      </c>
      <c r="M969" s="3"/>
      <c r="N969" s="3"/>
    </row>
    <row r="970" spans="1:14" x14ac:dyDescent="0.2">
      <c r="A970" s="3" t="str">
        <f>IFERROR(VLOOKUP(B970,'جدول الجلسات التدريبية'!A:B,2,FALSE),"")</f>
        <v/>
      </c>
      <c r="B970" s="3"/>
      <c r="C970" s="3" t="str">
        <f>IFERROR(VLOOKUP(A970,'الخطة التدريبية المعتمدة'!A:C,3,FALSE),"")</f>
        <v/>
      </c>
      <c r="D970" s="3" t="str">
        <f>IFERROR(VLOOKUP(B970,'جدول الجلسات التدريبية'!A:D,4,FALSE),"")</f>
        <v/>
      </c>
      <c r="E970" s="3"/>
      <c r="F970" s="3" t="str">
        <f>IFERROR(VLOOKUP(E970,'سجل الموظفين والكفاءة'!B:C,2,FALSE),"")</f>
        <v/>
      </c>
      <c r="G970" s="3">
        <f>IFERROR(VLOOKUP(A970,'الخطة التدريبية المعتمدة'!A:J,10,FALSE),0)</f>
        <v>0</v>
      </c>
      <c r="H970" s="3"/>
      <c r="I970" s="3"/>
      <c r="J970" s="3"/>
      <c r="K970" s="7" t="str">
        <f>IF(OR(I970="",J970="",I970=0),"",(J970-I970)/I970)</f>
        <v/>
      </c>
      <c r="L970" s="3" t="str">
        <f>IF(J970="","",IF(J970/10&gt;='الإعدادات والمستهدفات'!B5,"ناجح ومستوفى","ضعيف - يلزم إعادة اختبار"))</f>
        <v/>
      </c>
      <c r="M970" s="3"/>
      <c r="N970" s="3"/>
    </row>
    <row r="971" spans="1:14" x14ac:dyDescent="0.2">
      <c r="A971" s="3" t="str">
        <f>IFERROR(VLOOKUP(B971,'جدول الجلسات التدريبية'!A:B,2,FALSE),"")</f>
        <v/>
      </c>
      <c r="B971" s="3"/>
      <c r="C971" s="3" t="str">
        <f>IFERROR(VLOOKUP(A971,'الخطة التدريبية المعتمدة'!A:C,3,FALSE),"")</f>
        <v/>
      </c>
      <c r="D971" s="3" t="str">
        <f>IFERROR(VLOOKUP(B971,'جدول الجلسات التدريبية'!A:D,4,FALSE),"")</f>
        <v/>
      </c>
      <c r="E971" s="3"/>
      <c r="F971" s="3" t="str">
        <f>IFERROR(VLOOKUP(E971,'سجل الموظفين والكفاءة'!B:C,2,FALSE),"")</f>
        <v/>
      </c>
      <c r="G971" s="3">
        <f>IFERROR(VLOOKUP(A971,'الخطة التدريبية المعتمدة'!A:J,10,FALSE),0)</f>
        <v>0</v>
      </c>
      <c r="H971" s="3"/>
      <c r="I971" s="3"/>
      <c r="J971" s="3"/>
      <c r="K971" s="7" t="str">
        <f>IF(OR(I971="",J971="",I971=0),"",(J971-I971)/I971)</f>
        <v/>
      </c>
      <c r="L971" s="3" t="str">
        <f>IF(J971="","",IF(J971/10&gt;='الإعدادات والمستهدفات'!B5,"ناجح ومستوفى","ضعيف - يلزم إعادة اختبار"))</f>
        <v/>
      </c>
      <c r="M971" s="3"/>
      <c r="N971" s="3"/>
    </row>
    <row r="972" spans="1:14" x14ac:dyDescent="0.2">
      <c r="A972" s="3" t="str">
        <f>IFERROR(VLOOKUP(B972,'جدول الجلسات التدريبية'!A:B,2,FALSE),"")</f>
        <v/>
      </c>
      <c r="B972" s="3"/>
      <c r="C972" s="3" t="str">
        <f>IFERROR(VLOOKUP(A972,'الخطة التدريبية المعتمدة'!A:C,3,FALSE),"")</f>
        <v/>
      </c>
      <c r="D972" s="3" t="str">
        <f>IFERROR(VLOOKUP(B972,'جدول الجلسات التدريبية'!A:D,4,FALSE),"")</f>
        <v/>
      </c>
      <c r="E972" s="3"/>
      <c r="F972" s="3" t="str">
        <f>IFERROR(VLOOKUP(E972,'سجل الموظفين والكفاءة'!B:C,2,FALSE),"")</f>
        <v/>
      </c>
      <c r="G972" s="3">
        <f>IFERROR(VLOOKUP(A972,'الخطة التدريبية المعتمدة'!A:J,10,FALSE),0)</f>
        <v>0</v>
      </c>
      <c r="H972" s="3"/>
      <c r="I972" s="3"/>
      <c r="J972" s="3"/>
      <c r="K972" s="7" t="str">
        <f>IF(OR(I972="",J972="",I972=0),"",(J972-I972)/I972)</f>
        <v/>
      </c>
      <c r="L972" s="3" t="str">
        <f>IF(J972="","",IF(J972/10&gt;='الإعدادات والمستهدفات'!B5,"ناجح ومستوفى","ضعيف - يلزم إعادة اختبار"))</f>
        <v/>
      </c>
      <c r="M972" s="3"/>
      <c r="N972" s="3"/>
    </row>
    <row r="973" spans="1:14" x14ac:dyDescent="0.2">
      <c r="A973" s="3" t="str">
        <f>IFERROR(VLOOKUP(B973,'جدول الجلسات التدريبية'!A:B,2,FALSE),"")</f>
        <v/>
      </c>
      <c r="B973" s="3"/>
      <c r="C973" s="3" t="str">
        <f>IFERROR(VLOOKUP(A973,'الخطة التدريبية المعتمدة'!A:C,3,FALSE),"")</f>
        <v/>
      </c>
      <c r="D973" s="3" t="str">
        <f>IFERROR(VLOOKUP(B973,'جدول الجلسات التدريبية'!A:D,4,FALSE),"")</f>
        <v/>
      </c>
      <c r="E973" s="3"/>
      <c r="F973" s="3" t="str">
        <f>IFERROR(VLOOKUP(E973,'سجل الموظفين والكفاءة'!B:C,2,FALSE),"")</f>
        <v/>
      </c>
      <c r="G973" s="3">
        <f>IFERROR(VLOOKUP(A973,'الخطة التدريبية المعتمدة'!A:J,10,FALSE),0)</f>
        <v>0</v>
      </c>
      <c r="H973" s="3"/>
      <c r="I973" s="3"/>
      <c r="J973" s="3"/>
      <c r="K973" s="7" t="str">
        <f>IF(OR(I973="",J973="",I973=0),"",(J973-I973)/I973)</f>
        <v/>
      </c>
      <c r="L973" s="3" t="str">
        <f>IF(J973="","",IF(J973/10&gt;='الإعدادات والمستهدفات'!B5,"ناجح ومستوفى","ضعيف - يلزم إعادة اختبار"))</f>
        <v/>
      </c>
      <c r="M973" s="3"/>
      <c r="N973" s="3"/>
    </row>
    <row r="974" spans="1:14" x14ac:dyDescent="0.2">
      <c r="A974" s="3" t="str">
        <f>IFERROR(VLOOKUP(B974,'جدول الجلسات التدريبية'!A:B,2,FALSE),"")</f>
        <v/>
      </c>
      <c r="B974" s="3"/>
      <c r="C974" s="3" t="str">
        <f>IFERROR(VLOOKUP(A974,'الخطة التدريبية المعتمدة'!A:C,3,FALSE),"")</f>
        <v/>
      </c>
      <c r="D974" s="3" t="str">
        <f>IFERROR(VLOOKUP(B974,'جدول الجلسات التدريبية'!A:D,4,FALSE),"")</f>
        <v/>
      </c>
      <c r="E974" s="3"/>
      <c r="F974" s="3" t="str">
        <f>IFERROR(VLOOKUP(E974,'سجل الموظفين والكفاءة'!B:C,2,FALSE),"")</f>
        <v/>
      </c>
      <c r="G974" s="3">
        <f>IFERROR(VLOOKUP(A974,'الخطة التدريبية المعتمدة'!A:J,10,FALSE),0)</f>
        <v>0</v>
      </c>
      <c r="H974" s="3"/>
      <c r="I974" s="3"/>
      <c r="J974" s="3"/>
      <c r="K974" s="7" t="str">
        <f>IF(OR(I974="",J974="",I974=0),"",(J974-I974)/I974)</f>
        <v/>
      </c>
      <c r="L974" s="3" t="str">
        <f>IF(J974="","",IF(J974/10&gt;='الإعدادات والمستهدفات'!B5,"ناجح ومستوفى","ضعيف - يلزم إعادة اختبار"))</f>
        <v/>
      </c>
      <c r="M974" s="3"/>
      <c r="N974" s="3"/>
    </row>
    <row r="975" spans="1:14" x14ac:dyDescent="0.2">
      <c r="A975" s="3" t="str">
        <f>IFERROR(VLOOKUP(B975,'جدول الجلسات التدريبية'!A:B,2,FALSE),"")</f>
        <v/>
      </c>
      <c r="B975" s="3"/>
      <c r="C975" s="3" t="str">
        <f>IFERROR(VLOOKUP(A975,'الخطة التدريبية المعتمدة'!A:C,3,FALSE),"")</f>
        <v/>
      </c>
      <c r="D975" s="3" t="str">
        <f>IFERROR(VLOOKUP(B975,'جدول الجلسات التدريبية'!A:D,4,FALSE),"")</f>
        <v/>
      </c>
      <c r="E975" s="3"/>
      <c r="F975" s="3" t="str">
        <f>IFERROR(VLOOKUP(E975,'سجل الموظفين والكفاءة'!B:C,2,FALSE),"")</f>
        <v/>
      </c>
      <c r="G975" s="3">
        <f>IFERROR(VLOOKUP(A975,'الخطة التدريبية المعتمدة'!A:J,10,FALSE),0)</f>
        <v>0</v>
      </c>
      <c r="H975" s="3"/>
      <c r="I975" s="3"/>
      <c r="J975" s="3"/>
      <c r="K975" s="7" t="str">
        <f>IF(OR(I975="",J975="",I975=0),"",(J975-I975)/I975)</f>
        <v/>
      </c>
      <c r="L975" s="3" t="str">
        <f>IF(J975="","",IF(J975/10&gt;='الإعدادات والمستهدفات'!B5,"ناجح ومستوفى","ضعيف - يلزم إعادة اختبار"))</f>
        <v/>
      </c>
      <c r="M975" s="3"/>
      <c r="N975" s="3"/>
    </row>
    <row r="976" spans="1:14" x14ac:dyDescent="0.2">
      <c r="A976" s="3" t="str">
        <f>IFERROR(VLOOKUP(B976,'جدول الجلسات التدريبية'!A:B,2,FALSE),"")</f>
        <v/>
      </c>
      <c r="B976" s="3"/>
      <c r="C976" s="3" t="str">
        <f>IFERROR(VLOOKUP(A976,'الخطة التدريبية المعتمدة'!A:C,3,FALSE),"")</f>
        <v/>
      </c>
      <c r="D976" s="3" t="str">
        <f>IFERROR(VLOOKUP(B976,'جدول الجلسات التدريبية'!A:D,4,FALSE),"")</f>
        <v/>
      </c>
      <c r="E976" s="3"/>
      <c r="F976" s="3" t="str">
        <f>IFERROR(VLOOKUP(E976,'سجل الموظفين والكفاءة'!B:C,2,FALSE),"")</f>
        <v/>
      </c>
      <c r="G976" s="3">
        <f>IFERROR(VLOOKUP(A976,'الخطة التدريبية المعتمدة'!A:J,10,FALSE),0)</f>
        <v>0</v>
      </c>
      <c r="H976" s="3"/>
      <c r="I976" s="3"/>
      <c r="J976" s="3"/>
      <c r="K976" s="7" t="str">
        <f>IF(OR(I976="",J976="",I976=0),"",(J976-I976)/I976)</f>
        <v/>
      </c>
      <c r="L976" s="3" t="str">
        <f>IF(J976="","",IF(J976/10&gt;='الإعدادات والمستهدفات'!B5,"ناجح ومستوفى","ضعيف - يلزم إعادة اختبار"))</f>
        <v/>
      </c>
      <c r="M976" s="3"/>
      <c r="N976" s="3"/>
    </row>
    <row r="977" spans="1:14" x14ac:dyDescent="0.2">
      <c r="A977" s="3" t="str">
        <f>IFERROR(VLOOKUP(B977,'جدول الجلسات التدريبية'!A:B,2,FALSE),"")</f>
        <v/>
      </c>
      <c r="B977" s="3"/>
      <c r="C977" s="3" t="str">
        <f>IFERROR(VLOOKUP(A977,'الخطة التدريبية المعتمدة'!A:C,3,FALSE),"")</f>
        <v/>
      </c>
      <c r="D977" s="3" t="str">
        <f>IFERROR(VLOOKUP(B977,'جدول الجلسات التدريبية'!A:D,4,FALSE),"")</f>
        <v/>
      </c>
      <c r="E977" s="3"/>
      <c r="F977" s="3" t="str">
        <f>IFERROR(VLOOKUP(E977,'سجل الموظفين والكفاءة'!B:C,2,FALSE),"")</f>
        <v/>
      </c>
      <c r="G977" s="3">
        <f>IFERROR(VLOOKUP(A977,'الخطة التدريبية المعتمدة'!A:J,10,FALSE),0)</f>
        <v>0</v>
      </c>
      <c r="H977" s="3"/>
      <c r="I977" s="3"/>
      <c r="J977" s="3"/>
      <c r="K977" s="7" t="str">
        <f>IF(OR(I977="",J977="",I977=0),"",(J977-I977)/I977)</f>
        <v/>
      </c>
      <c r="L977" s="3" t="str">
        <f>IF(J977="","",IF(J977/10&gt;='الإعدادات والمستهدفات'!B5,"ناجح ومستوفى","ضعيف - يلزم إعادة اختبار"))</f>
        <v/>
      </c>
      <c r="M977" s="3"/>
      <c r="N977" s="3"/>
    </row>
    <row r="978" spans="1:14" x14ac:dyDescent="0.2">
      <c r="A978" s="3" t="str">
        <f>IFERROR(VLOOKUP(B978,'جدول الجلسات التدريبية'!A:B,2,FALSE),"")</f>
        <v/>
      </c>
      <c r="B978" s="3"/>
      <c r="C978" s="3" t="str">
        <f>IFERROR(VLOOKUP(A978,'الخطة التدريبية المعتمدة'!A:C,3,FALSE),"")</f>
        <v/>
      </c>
      <c r="D978" s="3" t="str">
        <f>IFERROR(VLOOKUP(B978,'جدول الجلسات التدريبية'!A:D,4,FALSE),"")</f>
        <v/>
      </c>
      <c r="E978" s="3"/>
      <c r="F978" s="3" t="str">
        <f>IFERROR(VLOOKUP(E978,'سجل الموظفين والكفاءة'!B:C,2,FALSE),"")</f>
        <v/>
      </c>
      <c r="G978" s="3">
        <f>IFERROR(VLOOKUP(A978,'الخطة التدريبية المعتمدة'!A:J,10,FALSE),0)</f>
        <v>0</v>
      </c>
      <c r="H978" s="3"/>
      <c r="I978" s="3"/>
      <c r="J978" s="3"/>
      <c r="K978" s="7" t="str">
        <f>IF(OR(I978="",J978="",I978=0),"",(J978-I978)/I978)</f>
        <v/>
      </c>
      <c r="L978" s="3" t="str">
        <f>IF(J978="","",IF(J978/10&gt;='الإعدادات والمستهدفات'!B5,"ناجح ومستوفى","ضعيف - يلزم إعادة اختبار"))</f>
        <v/>
      </c>
      <c r="M978" s="3"/>
      <c r="N978" s="3"/>
    </row>
    <row r="979" spans="1:14" x14ac:dyDescent="0.2">
      <c r="A979" s="3" t="str">
        <f>IFERROR(VLOOKUP(B979,'جدول الجلسات التدريبية'!A:B,2,FALSE),"")</f>
        <v/>
      </c>
      <c r="B979" s="3"/>
      <c r="C979" s="3" t="str">
        <f>IFERROR(VLOOKUP(A979,'الخطة التدريبية المعتمدة'!A:C,3,FALSE),"")</f>
        <v/>
      </c>
      <c r="D979" s="3" t="str">
        <f>IFERROR(VLOOKUP(B979,'جدول الجلسات التدريبية'!A:D,4,FALSE),"")</f>
        <v/>
      </c>
      <c r="E979" s="3"/>
      <c r="F979" s="3" t="str">
        <f>IFERROR(VLOOKUP(E979,'سجل الموظفين والكفاءة'!B:C,2,FALSE),"")</f>
        <v/>
      </c>
      <c r="G979" s="3">
        <f>IFERROR(VLOOKUP(A979,'الخطة التدريبية المعتمدة'!A:J,10,FALSE),0)</f>
        <v>0</v>
      </c>
      <c r="H979" s="3"/>
      <c r="I979" s="3"/>
      <c r="J979" s="3"/>
      <c r="K979" s="7" t="str">
        <f>IF(OR(I979="",J979="",I979=0),"",(J979-I979)/I979)</f>
        <v/>
      </c>
      <c r="L979" s="3" t="str">
        <f>IF(J979="","",IF(J979/10&gt;='الإعدادات والمستهدفات'!B5,"ناجح ومستوفى","ضعيف - يلزم إعادة اختبار"))</f>
        <v/>
      </c>
      <c r="M979" s="3"/>
      <c r="N979" s="3"/>
    </row>
    <row r="980" spans="1:14" x14ac:dyDescent="0.2">
      <c r="A980" s="3" t="str">
        <f>IFERROR(VLOOKUP(B980,'جدول الجلسات التدريبية'!A:B,2,FALSE),"")</f>
        <v/>
      </c>
      <c r="B980" s="3"/>
      <c r="C980" s="3" t="str">
        <f>IFERROR(VLOOKUP(A980,'الخطة التدريبية المعتمدة'!A:C,3,FALSE),"")</f>
        <v/>
      </c>
      <c r="D980" s="3" t="str">
        <f>IFERROR(VLOOKUP(B980,'جدول الجلسات التدريبية'!A:D,4,FALSE),"")</f>
        <v/>
      </c>
      <c r="E980" s="3"/>
      <c r="F980" s="3" t="str">
        <f>IFERROR(VLOOKUP(E980,'سجل الموظفين والكفاءة'!B:C,2,FALSE),"")</f>
        <v/>
      </c>
      <c r="G980" s="3">
        <f>IFERROR(VLOOKUP(A980,'الخطة التدريبية المعتمدة'!A:J,10,FALSE),0)</f>
        <v>0</v>
      </c>
      <c r="H980" s="3"/>
      <c r="I980" s="3"/>
      <c r="J980" s="3"/>
      <c r="K980" s="7" t="str">
        <f>IF(OR(I980="",J980="",I980=0),"",(J980-I980)/I980)</f>
        <v/>
      </c>
      <c r="L980" s="3" t="str">
        <f>IF(J980="","",IF(J980/10&gt;='الإعدادات والمستهدفات'!B5,"ناجح ومستوفى","ضعيف - يلزم إعادة اختبار"))</f>
        <v/>
      </c>
      <c r="M980" s="3"/>
      <c r="N980" s="3"/>
    </row>
    <row r="981" spans="1:14" x14ac:dyDescent="0.2">
      <c r="A981" s="3" t="str">
        <f>IFERROR(VLOOKUP(B981,'جدول الجلسات التدريبية'!A:B,2,FALSE),"")</f>
        <v/>
      </c>
      <c r="B981" s="3"/>
      <c r="C981" s="3" t="str">
        <f>IFERROR(VLOOKUP(A981,'الخطة التدريبية المعتمدة'!A:C,3,FALSE),"")</f>
        <v/>
      </c>
      <c r="D981" s="3" t="str">
        <f>IFERROR(VLOOKUP(B981,'جدول الجلسات التدريبية'!A:D,4,FALSE),"")</f>
        <v/>
      </c>
      <c r="E981" s="3"/>
      <c r="F981" s="3" t="str">
        <f>IFERROR(VLOOKUP(E981,'سجل الموظفين والكفاءة'!B:C,2,FALSE),"")</f>
        <v/>
      </c>
      <c r="G981" s="3">
        <f>IFERROR(VLOOKUP(A981,'الخطة التدريبية المعتمدة'!A:J,10,FALSE),0)</f>
        <v>0</v>
      </c>
      <c r="H981" s="3"/>
      <c r="I981" s="3"/>
      <c r="J981" s="3"/>
      <c r="K981" s="7" t="str">
        <f>IF(OR(I981="",J981="",I981=0),"",(J981-I981)/I981)</f>
        <v/>
      </c>
      <c r="L981" s="3" t="str">
        <f>IF(J981="","",IF(J981/10&gt;='الإعدادات والمستهدفات'!B5,"ناجح ومستوفى","ضعيف - يلزم إعادة اختبار"))</f>
        <v/>
      </c>
      <c r="M981" s="3"/>
      <c r="N981" s="3"/>
    </row>
    <row r="982" spans="1:14" x14ac:dyDescent="0.2">
      <c r="A982" s="3" t="str">
        <f>IFERROR(VLOOKUP(B982,'جدول الجلسات التدريبية'!A:B,2,FALSE),"")</f>
        <v/>
      </c>
      <c r="B982" s="3"/>
      <c r="C982" s="3" t="str">
        <f>IFERROR(VLOOKUP(A982,'الخطة التدريبية المعتمدة'!A:C,3,FALSE),"")</f>
        <v/>
      </c>
      <c r="D982" s="3" t="str">
        <f>IFERROR(VLOOKUP(B982,'جدول الجلسات التدريبية'!A:D,4,FALSE),"")</f>
        <v/>
      </c>
      <c r="E982" s="3"/>
      <c r="F982" s="3" t="str">
        <f>IFERROR(VLOOKUP(E982,'سجل الموظفين والكفاءة'!B:C,2,FALSE),"")</f>
        <v/>
      </c>
      <c r="G982" s="3">
        <f>IFERROR(VLOOKUP(A982,'الخطة التدريبية المعتمدة'!A:J,10,FALSE),0)</f>
        <v>0</v>
      </c>
      <c r="H982" s="3"/>
      <c r="I982" s="3"/>
      <c r="J982" s="3"/>
      <c r="K982" s="7" t="str">
        <f>IF(OR(I982="",J982="",I982=0),"",(J982-I982)/I982)</f>
        <v/>
      </c>
      <c r="L982" s="3" t="str">
        <f>IF(J982="","",IF(J982/10&gt;='الإعدادات والمستهدفات'!B5,"ناجح ومستوفى","ضعيف - يلزم إعادة اختبار"))</f>
        <v/>
      </c>
      <c r="M982" s="3"/>
      <c r="N982" s="3"/>
    </row>
    <row r="983" spans="1:14" x14ac:dyDescent="0.2">
      <c r="A983" s="3" t="str">
        <f>IFERROR(VLOOKUP(B983,'جدول الجلسات التدريبية'!A:B,2,FALSE),"")</f>
        <v/>
      </c>
      <c r="B983" s="3"/>
      <c r="C983" s="3" t="str">
        <f>IFERROR(VLOOKUP(A983,'الخطة التدريبية المعتمدة'!A:C,3,FALSE),"")</f>
        <v/>
      </c>
      <c r="D983" s="3" t="str">
        <f>IFERROR(VLOOKUP(B983,'جدول الجلسات التدريبية'!A:D,4,FALSE),"")</f>
        <v/>
      </c>
      <c r="E983" s="3"/>
      <c r="F983" s="3" t="str">
        <f>IFERROR(VLOOKUP(E983,'سجل الموظفين والكفاءة'!B:C,2,FALSE),"")</f>
        <v/>
      </c>
      <c r="G983" s="3">
        <f>IFERROR(VLOOKUP(A983,'الخطة التدريبية المعتمدة'!A:J,10,FALSE),0)</f>
        <v>0</v>
      </c>
      <c r="H983" s="3"/>
      <c r="I983" s="3"/>
      <c r="J983" s="3"/>
      <c r="K983" s="7" t="str">
        <f>IF(OR(I983="",J983="",I983=0),"",(J983-I983)/I983)</f>
        <v/>
      </c>
      <c r="L983" s="3" t="str">
        <f>IF(J983="","",IF(J983/10&gt;='الإعدادات والمستهدفات'!B5,"ناجح ومستوفى","ضعيف - يلزم إعادة اختبار"))</f>
        <v/>
      </c>
      <c r="M983" s="3"/>
      <c r="N983" s="3"/>
    </row>
    <row r="984" spans="1:14" x14ac:dyDescent="0.2">
      <c r="A984" s="3" t="str">
        <f>IFERROR(VLOOKUP(B984,'جدول الجلسات التدريبية'!A:B,2,FALSE),"")</f>
        <v/>
      </c>
      <c r="B984" s="3"/>
      <c r="C984" s="3" t="str">
        <f>IFERROR(VLOOKUP(A984,'الخطة التدريبية المعتمدة'!A:C,3,FALSE),"")</f>
        <v/>
      </c>
      <c r="D984" s="3" t="str">
        <f>IFERROR(VLOOKUP(B984,'جدول الجلسات التدريبية'!A:D,4,FALSE),"")</f>
        <v/>
      </c>
      <c r="E984" s="3"/>
      <c r="F984" s="3" t="str">
        <f>IFERROR(VLOOKUP(E984,'سجل الموظفين والكفاءة'!B:C,2,FALSE),"")</f>
        <v/>
      </c>
      <c r="G984" s="3">
        <f>IFERROR(VLOOKUP(A984,'الخطة التدريبية المعتمدة'!A:J,10,FALSE),0)</f>
        <v>0</v>
      </c>
      <c r="H984" s="3"/>
      <c r="I984" s="3"/>
      <c r="J984" s="3"/>
      <c r="K984" s="7" t="str">
        <f>IF(OR(I984="",J984="",I984=0),"",(J984-I984)/I984)</f>
        <v/>
      </c>
      <c r="L984" s="3" t="str">
        <f>IF(J984="","",IF(J984/10&gt;='الإعدادات والمستهدفات'!B5,"ناجح ومستوفى","ضعيف - يلزم إعادة اختبار"))</f>
        <v/>
      </c>
      <c r="M984" s="3"/>
      <c r="N984" s="3"/>
    </row>
    <row r="985" spans="1:14" x14ac:dyDescent="0.2">
      <c r="A985" s="3" t="str">
        <f>IFERROR(VLOOKUP(B985,'جدول الجلسات التدريبية'!A:B,2,FALSE),"")</f>
        <v/>
      </c>
      <c r="B985" s="3"/>
      <c r="C985" s="3" t="str">
        <f>IFERROR(VLOOKUP(A985,'الخطة التدريبية المعتمدة'!A:C,3,FALSE),"")</f>
        <v/>
      </c>
      <c r="D985" s="3" t="str">
        <f>IFERROR(VLOOKUP(B985,'جدول الجلسات التدريبية'!A:D,4,FALSE),"")</f>
        <v/>
      </c>
      <c r="E985" s="3"/>
      <c r="F985" s="3" t="str">
        <f>IFERROR(VLOOKUP(E985,'سجل الموظفين والكفاءة'!B:C,2,FALSE),"")</f>
        <v/>
      </c>
      <c r="G985" s="3">
        <f>IFERROR(VLOOKUP(A985,'الخطة التدريبية المعتمدة'!A:J,10,FALSE),0)</f>
        <v>0</v>
      </c>
      <c r="H985" s="3"/>
      <c r="I985" s="3"/>
      <c r="J985" s="3"/>
      <c r="K985" s="7" t="str">
        <f>IF(OR(I985="",J985="",I985=0),"",(J985-I985)/I985)</f>
        <v/>
      </c>
      <c r="L985" s="3" t="str">
        <f>IF(J985="","",IF(J985/10&gt;='الإعدادات والمستهدفات'!B5,"ناجح ومستوفى","ضعيف - يلزم إعادة اختبار"))</f>
        <v/>
      </c>
      <c r="M985" s="3"/>
      <c r="N985" s="3"/>
    </row>
    <row r="986" spans="1:14" x14ac:dyDescent="0.2">
      <c r="A986" s="3" t="str">
        <f>IFERROR(VLOOKUP(B986,'جدول الجلسات التدريبية'!A:B,2,FALSE),"")</f>
        <v/>
      </c>
      <c r="B986" s="3"/>
      <c r="C986" s="3" t="str">
        <f>IFERROR(VLOOKUP(A986,'الخطة التدريبية المعتمدة'!A:C,3,FALSE),"")</f>
        <v/>
      </c>
      <c r="D986" s="3" t="str">
        <f>IFERROR(VLOOKUP(B986,'جدول الجلسات التدريبية'!A:D,4,FALSE),"")</f>
        <v/>
      </c>
      <c r="E986" s="3"/>
      <c r="F986" s="3" t="str">
        <f>IFERROR(VLOOKUP(E986,'سجل الموظفين والكفاءة'!B:C,2,FALSE),"")</f>
        <v/>
      </c>
      <c r="G986" s="3">
        <f>IFERROR(VLOOKUP(A986,'الخطة التدريبية المعتمدة'!A:J,10,FALSE),0)</f>
        <v>0</v>
      </c>
      <c r="H986" s="3"/>
      <c r="I986" s="3"/>
      <c r="J986" s="3"/>
      <c r="K986" s="7" t="str">
        <f>IF(OR(I986="",J986="",I986=0),"",(J986-I986)/I986)</f>
        <v/>
      </c>
      <c r="L986" s="3" t="str">
        <f>IF(J986="","",IF(J986/10&gt;='الإعدادات والمستهدفات'!B5,"ناجح ومستوفى","ضعيف - يلزم إعادة اختبار"))</f>
        <v/>
      </c>
      <c r="M986" s="3"/>
      <c r="N986" s="3"/>
    </row>
    <row r="987" spans="1:14" x14ac:dyDescent="0.2">
      <c r="A987" s="3" t="str">
        <f>IFERROR(VLOOKUP(B987,'جدول الجلسات التدريبية'!A:B,2,FALSE),"")</f>
        <v/>
      </c>
      <c r="B987" s="3"/>
      <c r="C987" s="3" t="str">
        <f>IFERROR(VLOOKUP(A987,'الخطة التدريبية المعتمدة'!A:C,3,FALSE),"")</f>
        <v/>
      </c>
      <c r="D987" s="3" t="str">
        <f>IFERROR(VLOOKUP(B987,'جدول الجلسات التدريبية'!A:D,4,FALSE),"")</f>
        <v/>
      </c>
      <c r="E987" s="3"/>
      <c r="F987" s="3" t="str">
        <f>IFERROR(VLOOKUP(E987,'سجل الموظفين والكفاءة'!B:C,2,FALSE),"")</f>
        <v/>
      </c>
      <c r="G987" s="3">
        <f>IFERROR(VLOOKUP(A987,'الخطة التدريبية المعتمدة'!A:J,10,FALSE),0)</f>
        <v>0</v>
      </c>
      <c r="H987" s="3"/>
      <c r="I987" s="3"/>
      <c r="J987" s="3"/>
      <c r="K987" s="7" t="str">
        <f>IF(OR(I987="",J987="",I987=0),"",(J987-I987)/I987)</f>
        <v/>
      </c>
      <c r="L987" s="3" t="str">
        <f>IF(J987="","",IF(J987/10&gt;='الإعدادات والمستهدفات'!B5,"ناجح ومستوفى","ضعيف - يلزم إعادة اختبار"))</f>
        <v/>
      </c>
      <c r="M987" s="3"/>
      <c r="N987" s="3"/>
    </row>
    <row r="988" spans="1:14" x14ac:dyDescent="0.2">
      <c r="A988" s="3" t="str">
        <f>IFERROR(VLOOKUP(B988,'جدول الجلسات التدريبية'!A:B,2,FALSE),"")</f>
        <v/>
      </c>
      <c r="B988" s="3"/>
      <c r="C988" s="3" t="str">
        <f>IFERROR(VLOOKUP(A988,'الخطة التدريبية المعتمدة'!A:C,3,FALSE),"")</f>
        <v/>
      </c>
      <c r="D988" s="3" t="str">
        <f>IFERROR(VLOOKUP(B988,'جدول الجلسات التدريبية'!A:D,4,FALSE),"")</f>
        <v/>
      </c>
      <c r="E988" s="3"/>
      <c r="F988" s="3" t="str">
        <f>IFERROR(VLOOKUP(E988,'سجل الموظفين والكفاءة'!B:C,2,FALSE),"")</f>
        <v/>
      </c>
      <c r="G988" s="3">
        <f>IFERROR(VLOOKUP(A988,'الخطة التدريبية المعتمدة'!A:J,10,FALSE),0)</f>
        <v>0</v>
      </c>
      <c r="H988" s="3"/>
      <c r="I988" s="3"/>
      <c r="J988" s="3"/>
      <c r="K988" s="7" t="str">
        <f>IF(OR(I988="",J988="",I988=0),"",(J988-I988)/I988)</f>
        <v/>
      </c>
      <c r="L988" s="3" t="str">
        <f>IF(J988="","",IF(J988/10&gt;='الإعدادات والمستهدفات'!B5,"ناجح ومستوفى","ضعيف - يلزم إعادة اختبار"))</f>
        <v/>
      </c>
      <c r="M988" s="3"/>
      <c r="N988" s="3"/>
    </row>
    <row r="989" spans="1:14" x14ac:dyDescent="0.2">
      <c r="A989" s="3" t="str">
        <f>IFERROR(VLOOKUP(B989,'جدول الجلسات التدريبية'!A:B,2,FALSE),"")</f>
        <v/>
      </c>
      <c r="B989" s="3"/>
      <c r="C989" s="3" t="str">
        <f>IFERROR(VLOOKUP(A989,'الخطة التدريبية المعتمدة'!A:C,3,FALSE),"")</f>
        <v/>
      </c>
      <c r="D989" s="3" t="str">
        <f>IFERROR(VLOOKUP(B989,'جدول الجلسات التدريبية'!A:D,4,FALSE),"")</f>
        <v/>
      </c>
      <c r="E989" s="3"/>
      <c r="F989" s="3" t="str">
        <f>IFERROR(VLOOKUP(E989,'سجل الموظفين والكفاءة'!B:C,2,FALSE),"")</f>
        <v/>
      </c>
      <c r="G989" s="3">
        <f>IFERROR(VLOOKUP(A989,'الخطة التدريبية المعتمدة'!A:J,10,FALSE),0)</f>
        <v>0</v>
      </c>
      <c r="H989" s="3"/>
      <c r="I989" s="3"/>
      <c r="J989" s="3"/>
      <c r="K989" s="7" t="str">
        <f>IF(OR(I989="",J989="",I989=0),"",(J989-I989)/I989)</f>
        <v/>
      </c>
      <c r="L989" s="3" t="str">
        <f>IF(J989="","",IF(J989/10&gt;='الإعدادات والمستهدفات'!B5,"ناجح ومستوفى","ضعيف - يلزم إعادة اختبار"))</f>
        <v/>
      </c>
      <c r="M989" s="3"/>
      <c r="N989" s="3"/>
    </row>
    <row r="990" spans="1:14" x14ac:dyDescent="0.2">
      <c r="A990" s="3" t="str">
        <f>IFERROR(VLOOKUP(B990,'جدول الجلسات التدريبية'!A:B,2,FALSE),"")</f>
        <v/>
      </c>
      <c r="B990" s="3"/>
      <c r="C990" s="3" t="str">
        <f>IFERROR(VLOOKUP(A990,'الخطة التدريبية المعتمدة'!A:C,3,FALSE),"")</f>
        <v/>
      </c>
      <c r="D990" s="3" t="str">
        <f>IFERROR(VLOOKUP(B990,'جدول الجلسات التدريبية'!A:D,4,FALSE),"")</f>
        <v/>
      </c>
      <c r="E990" s="3"/>
      <c r="F990" s="3" t="str">
        <f>IFERROR(VLOOKUP(E990,'سجل الموظفين والكفاءة'!B:C,2,FALSE),"")</f>
        <v/>
      </c>
      <c r="G990" s="3">
        <f>IFERROR(VLOOKUP(A990,'الخطة التدريبية المعتمدة'!A:J,10,FALSE),0)</f>
        <v>0</v>
      </c>
      <c r="H990" s="3"/>
      <c r="I990" s="3"/>
      <c r="J990" s="3"/>
      <c r="K990" s="7" t="str">
        <f>IF(OR(I990="",J990="",I990=0),"",(J990-I990)/I990)</f>
        <v/>
      </c>
      <c r="L990" s="3" t="str">
        <f>IF(J990="","",IF(J990/10&gt;='الإعدادات والمستهدفات'!B5,"ناجح ومستوفى","ضعيف - يلزم إعادة اختبار"))</f>
        <v/>
      </c>
      <c r="M990" s="3"/>
      <c r="N990" s="3"/>
    </row>
    <row r="991" spans="1:14" x14ac:dyDescent="0.2">
      <c r="A991" s="3" t="str">
        <f>IFERROR(VLOOKUP(B991,'جدول الجلسات التدريبية'!A:B,2,FALSE),"")</f>
        <v/>
      </c>
      <c r="B991" s="3"/>
      <c r="C991" s="3" t="str">
        <f>IFERROR(VLOOKUP(A991,'الخطة التدريبية المعتمدة'!A:C,3,FALSE),"")</f>
        <v/>
      </c>
      <c r="D991" s="3" t="str">
        <f>IFERROR(VLOOKUP(B991,'جدول الجلسات التدريبية'!A:D,4,FALSE),"")</f>
        <v/>
      </c>
      <c r="E991" s="3"/>
      <c r="F991" s="3" t="str">
        <f>IFERROR(VLOOKUP(E991,'سجل الموظفين والكفاءة'!B:C,2,FALSE),"")</f>
        <v/>
      </c>
      <c r="G991" s="3">
        <f>IFERROR(VLOOKUP(A991,'الخطة التدريبية المعتمدة'!A:J,10,FALSE),0)</f>
        <v>0</v>
      </c>
      <c r="H991" s="3"/>
      <c r="I991" s="3"/>
      <c r="J991" s="3"/>
      <c r="K991" s="7" t="str">
        <f>IF(OR(I991="",J991="",I991=0),"",(J991-I991)/I991)</f>
        <v/>
      </c>
      <c r="L991" s="3" t="str">
        <f>IF(J991="","",IF(J991/10&gt;='الإعدادات والمستهدفات'!B5,"ناجح ومستوفى","ضعيف - يلزم إعادة اختبار"))</f>
        <v/>
      </c>
      <c r="M991" s="3"/>
      <c r="N991" s="3"/>
    </row>
    <row r="992" spans="1:14" x14ac:dyDescent="0.2">
      <c r="A992" s="3" t="str">
        <f>IFERROR(VLOOKUP(B992,'جدول الجلسات التدريبية'!A:B,2,FALSE),"")</f>
        <v/>
      </c>
      <c r="B992" s="3"/>
      <c r="C992" s="3" t="str">
        <f>IFERROR(VLOOKUP(A992,'الخطة التدريبية المعتمدة'!A:C,3,FALSE),"")</f>
        <v/>
      </c>
      <c r="D992" s="3" t="str">
        <f>IFERROR(VLOOKUP(B992,'جدول الجلسات التدريبية'!A:D,4,FALSE),"")</f>
        <v/>
      </c>
      <c r="E992" s="3"/>
      <c r="F992" s="3" t="str">
        <f>IFERROR(VLOOKUP(E992,'سجل الموظفين والكفاءة'!B:C,2,FALSE),"")</f>
        <v/>
      </c>
      <c r="G992" s="3">
        <f>IFERROR(VLOOKUP(A992,'الخطة التدريبية المعتمدة'!A:J,10,FALSE),0)</f>
        <v>0</v>
      </c>
      <c r="H992" s="3"/>
      <c r="I992" s="3"/>
      <c r="J992" s="3"/>
      <c r="K992" s="7" t="str">
        <f>IF(OR(I992="",J992="",I992=0),"",(J992-I992)/I992)</f>
        <v/>
      </c>
      <c r="L992" s="3" t="str">
        <f>IF(J992="","",IF(J992/10&gt;='الإعدادات والمستهدفات'!B5,"ناجح ومستوفى","ضعيف - يلزم إعادة اختبار"))</f>
        <v/>
      </c>
      <c r="M992" s="3"/>
      <c r="N992" s="3"/>
    </row>
    <row r="993" spans="1:14" x14ac:dyDescent="0.2">
      <c r="A993" s="3" t="str">
        <f>IFERROR(VLOOKUP(B993,'جدول الجلسات التدريبية'!A:B,2,FALSE),"")</f>
        <v/>
      </c>
      <c r="B993" s="3"/>
      <c r="C993" s="3" t="str">
        <f>IFERROR(VLOOKUP(A993,'الخطة التدريبية المعتمدة'!A:C,3,FALSE),"")</f>
        <v/>
      </c>
      <c r="D993" s="3" t="str">
        <f>IFERROR(VLOOKUP(B993,'جدول الجلسات التدريبية'!A:D,4,FALSE),"")</f>
        <v/>
      </c>
      <c r="E993" s="3"/>
      <c r="F993" s="3" t="str">
        <f>IFERROR(VLOOKUP(E993,'سجل الموظفين والكفاءة'!B:C,2,FALSE),"")</f>
        <v/>
      </c>
      <c r="G993" s="3">
        <f>IFERROR(VLOOKUP(A993,'الخطة التدريبية المعتمدة'!A:J,10,FALSE),0)</f>
        <v>0</v>
      </c>
      <c r="H993" s="3"/>
      <c r="I993" s="3"/>
      <c r="J993" s="3"/>
      <c r="K993" s="7" t="str">
        <f>IF(OR(I993="",J993="",I993=0),"",(J993-I993)/I993)</f>
        <v/>
      </c>
      <c r="L993" s="3" t="str">
        <f>IF(J993="","",IF(J993/10&gt;='الإعدادات والمستهدفات'!B5,"ناجح ومستوفى","ضعيف - يلزم إعادة اختبار"))</f>
        <v/>
      </c>
      <c r="M993" s="3"/>
      <c r="N993" s="3"/>
    </row>
    <row r="994" spans="1:14" x14ac:dyDescent="0.2">
      <c r="A994" s="3" t="str">
        <f>IFERROR(VLOOKUP(B994,'جدول الجلسات التدريبية'!A:B,2,FALSE),"")</f>
        <v/>
      </c>
      <c r="B994" s="3"/>
      <c r="C994" s="3" t="str">
        <f>IFERROR(VLOOKUP(A994,'الخطة التدريبية المعتمدة'!A:C,3,FALSE),"")</f>
        <v/>
      </c>
      <c r="D994" s="3" t="str">
        <f>IFERROR(VLOOKUP(B994,'جدول الجلسات التدريبية'!A:D,4,FALSE),"")</f>
        <v/>
      </c>
      <c r="E994" s="3"/>
      <c r="F994" s="3" t="str">
        <f>IFERROR(VLOOKUP(E994,'سجل الموظفين والكفاءة'!B:C,2,FALSE),"")</f>
        <v/>
      </c>
      <c r="G994" s="3">
        <f>IFERROR(VLOOKUP(A994,'الخطة التدريبية المعتمدة'!A:J,10,FALSE),0)</f>
        <v>0</v>
      </c>
      <c r="H994" s="3"/>
      <c r="I994" s="3"/>
      <c r="J994" s="3"/>
      <c r="K994" s="7" t="str">
        <f>IF(OR(I994="",J994="",I994=0),"",(J994-I994)/I994)</f>
        <v/>
      </c>
      <c r="L994" s="3" t="str">
        <f>IF(J994="","",IF(J994/10&gt;='الإعدادات والمستهدفات'!B5,"ناجح ومستوفى","ضعيف - يلزم إعادة اختبار"))</f>
        <v/>
      </c>
      <c r="M994" s="3"/>
      <c r="N994" s="3"/>
    </row>
    <row r="995" spans="1:14" x14ac:dyDescent="0.2">
      <c r="A995" s="3" t="str">
        <f>IFERROR(VLOOKUP(B995,'جدول الجلسات التدريبية'!A:B,2,FALSE),"")</f>
        <v/>
      </c>
      <c r="B995" s="3"/>
      <c r="C995" s="3" t="str">
        <f>IFERROR(VLOOKUP(A995,'الخطة التدريبية المعتمدة'!A:C,3,FALSE),"")</f>
        <v/>
      </c>
      <c r="D995" s="3" t="str">
        <f>IFERROR(VLOOKUP(B995,'جدول الجلسات التدريبية'!A:D,4,FALSE),"")</f>
        <v/>
      </c>
      <c r="E995" s="3"/>
      <c r="F995" s="3" t="str">
        <f>IFERROR(VLOOKUP(E995,'سجل الموظفين والكفاءة'!B:C,2,FALSE),"")</f>
        <v/>
      </c>
      <c r="G995" s="3">
        <f>IFERROR(VLOOKUP(A995,'الخطة التدريبية المعتمدة'!A:J,10,FALSE),0)</f>
        <v>0</v>
      </c>
      <c r="H995" s="3"/>
      <c r="I995" s="3"/>
      <c r="J995" s="3"/>
      <c r="K995" s="7" t="str">
        <f>IF(OR(I995="",J995="",I995=0),"",(J995-I995)/I995)</f>
        <v/>
      </c>
      <c r="L995" s="3" t="str">
        <f>IF(J995="","",IF(J995/10&gt;='الإعدادات والمستهدفات'!B5,"ناجح ومستوفى","ضعيف - يلزم إعادة اختبار"))</f>
        <v/>
      </c>
      <c r="M995" s="3"/>
      <c r="N995" s="3"/>
    </row>
    <row r="996" spans="1:14" x14ac:dyDescent="0.2">
      <c r="A996" s="3" t="str">
        <f>IFERROR(VLOOKUP(B996,'جدول الجلسات التدريبية'!A:B,2,FALSE),"")</f>
        <v/>
      </c>
      <c r="B996" s="3"/>
      <c r="C996" s="3" t="str">
        <f>IFERROR(VLOOKUP(A996,'الخطة التدريبية المعتمدة'!A:C,3,FALSE),"")</f>
        <v/>
      </c>
      <c r="D996" s="3" t="str">
        <f>IFERROR(VLOOKUP(B996,'جدول الجلسات التدريبية'!A:D,4,FALSE),"")</f>
        <v/>
      </c>
      <c r="E996" s="3"/>
      <c r="F996" s="3" t="str">
        <f>IFERROR(VLOOKUP(E996,'سجل الموظفين والكفاءة'!B:C,2,FALSE),"")</f>
        <v/>
      </c>
      <c r="G996" s="3">
        <f>IFERROR(VLOOKUP(A996,'الخطة التدريبية المعتمدة'!A:J,10,FALSE),0)</f>
        <v>0</v>
      </c>
      <c r="H996" s="3"/>
      <c r="I996" s="3"/>
      <c r="J996" s="3"/>
      <c r="K996" s="7" t="str">
        <f>IF(OR(I996="",J996="",I996=0),"",(J996-I996)/I996)</f>
        <v/>
      </c>
      <c r="L996" s="3" t="str">
        <f>IF(J996="","",IF(J996/10&gt;='الإعدادات والمستهدفات'!B5,"ناجح ومستوفى","ضعيف - يلزم إعادة اختبار"))</f>
        <v/>
      </c>
      <c r="M996" s="3"/>
      <c r="N996" s="3"/>
    </row>
    <row r="997" spans="1:14" x14ac:dyDescent="0.2">
      <c r="A997" s="3" t="str">
        <f>IFERROR(VLOOKUP(B997,'جدول الجلسات التدريبية'!A:B,2,FALSE),"")</f>
        <v/>
      </c>
      <c r="B997" s="3"/>
      <c r="C997" s="3" t="str">
        <f>IFERROR(VLOOKUP(A997,'الخطة التدريبية المعتمدة'!A:C,3,FALSE),"")</f>
        <v/>
      </c>
      <c r="D997" s="3" t="str">
        <f>IFERROR(VLOOKUP(B997,'جدول الجلسات التدريبية'!A:D,4,FALSE),"")</f>
        <v/>
      </c>
      <c r="E997" s="3"/>
      <c r="F997" s="3" t="str">
        <f>IFERROR(VLOOKUP(E997,'سجل الموظفين والكفاءة'!B:C,2,FALSE),"")</f>
        <v/>
      </c>
      <c r="G997" s="3">
        <f>IFERROR(VLOOKUP(A997,'الخطة التدريبية المعتمدة'!A:J,10,FALSE),0)</f>
        <v>0</v>
      </c>
      <c r="H997" s="3"/>
      <c r="I997" s="3"/>
      <c r="J997" s="3"/>
      <c r="K997" s="7" t="str">
        <f>IF(OR(I997="",J997="",I997=0),"",(J997-I997)/I997)</f>
        <v/>
      </c>
      <c r="L997" s="3" t="str">
        <f>IF(J997="","",IF(J997/10&gt;='الإعدادات والمستهدفات'!B5,"ناجح ومستوفى","ضعيف - يلزم إعادة اختبار"))</f>
        <v/>
      </c>
      <c r="M997" s="3"/>
      <c r="N997" s="3"/>
    </row>
    <row r="998" spans="1:14" x14ac:dyDescent="0.2">
      <c r="A998" s="3" t="str">
        <f>IFERROR(VLOOKUP(B998,'جدول الجلسات التدريبية'!A:B,2,FALSE),"")</f>
        <v/>
      </c>
      <c r="B998" s="3"/>
      <c r="C998" s="3" t="str">
        <f>IFERROR(VLOOKUP(A998,'الخطة التدريبية المعتمدة'!A:C,3,FALSE),"")</f>
        <v/>
      </c>
      <c r="D998" s="3" t="str">
        <f>IFERROR(VLOOKUP(B998,'جدول الجلسات التدريبية'!A:D,4,FALSE),"")</f>
        <v/>
      </c>
      <c r="E998" s="3"/>
      <c r="F998" s="3" t="str">
        <f>IFERROR(VLOOKUP(E998,'سجل الموظفين والكفاءة'!B:C,2,FALSE),"")</f>
        <v/>
      </c>
      <c r="G998" s="3">
        <f>IFERROR(VLOOKUP(A998,'الخطة التدريبية المعتمدة'!A:J,10,FALSE),0)</f>
        <v>0</v>
      </c>
      <c r="H998" s="3"/>
      <c r="I998" s="3"/>
      <c r="J998" s="3"/>
      <c r="K998" s="7" t="str">
        <f>IF(OR(I998="",J998="",I998=0),"",(J998-I998)/I998)</f>
        <v/>
      </c>
      <c r="L998" s="3" t="str">
        <f>IF(J998="","",IF(J998/10&gt;='الإعدادات والمستهدفات'!B5,"ناجح ومستوفى","ضعيف - يلزم إعادة اختبار"))</f>
        <v/>
      </c>
      <c r="M998" s="3"/>
      <c r="N998" s="3"/>
    </row>
    <row r="999" spans="1:14" x14ac:dyDescent="0.2">
      <c r="A999" s="3" t="str">
        <f>IFERROR(VLOOKUP(B999,'جدول الجلسات التدريبية'!A:B,2,FALSE),"")</f>
        <v/>
      </c>
      <c r="B999" s="3"/>
      <c r="C999" s="3" t="str">
        <f>IFERROR(VLOOKUP(A999,'الخطة التدريبية المعتمدة'!A:C,3,FALSE),"")</f>
        <v/>
      </c>
      <c r="D999" s="3" t="str">
        <f>IFERROR(VLOOKUP(B999,'جدول الجلسات التدريبية'!A:D,4,FALSE),"")</f>
        <v/>
      </c>
      <c r="E999" s="3"/>
      <c r="F999" s="3" t="str">
        <f>IFERROR(VLOOKUP(E999,'سجل الموظفين والكفاءة'!B:C,2,FALSE),"")</f>
        <v/>
      </c>
      <c r="G999" s="3">
        <f>IFERROR(VLOOKUP(A999,'الخطة التدريبية المعتمدة'!A:J,10,FALSE),0)</f>
        <v>0</v>
      </c>
      <c r="H999" s="3"/>
      <c r="I999" s="3"/>
      <c r="J999" s="3"/>
      <c r="K999" s="7" t="str">
        <f>IF(OR(I999="",J999="",I999=0),"",(J999-I999)/I999)</f>
        <v/>
      </c>
      <c r="L999" s="3" t="str">
        <f>IF(J999="","",IF(J999/10&gt;='الإعدادات والمستهدفات'!B5,"ناجح ومستوفى","ضعيف - يلزم إعادة اختبار"))</f>
        <v/>
      </c>
      <c r="M999" s="3"/>
      <c r="N999" s="3"/>
    </row>
    <row r="1000" spans="1:14" x14ac:dyDescent="0.2">
      <c r="A1000" s="3" t="str">
        <f>IFERROR(VLOOKUP(B1000,'جدول الجلسات التدريبية'!A:B,2,FALSE),"")</f>
        <v/>
      </c>
      <c r="B1000" s="3"/>
      <c r="C1000" s="3" t="str">
        <f>IFERROR(VLOOKUP(A1000,'الخطة التدريبية المعتمدة'!A:C,3,FALSE),"")</f>
        <v/>
      </c>
      <c r="D1000" s="3" t="str">
        <f>IFERROR(VLOOKUP(B1000,'جدول الجلسات التدريبية'!A:D,4,FALSE),"")</f>
        <v/>
      </c>
      <c r="E1000" s="3"/>
      <c r="F1000" s="3" t="str">
        <f>IFERROR(VLOOKUP(E1000,'سجل الموظفين والكفاءة'!B:C,2,FALSE),"")</f>
        <v/>
      </c>
      <c r="G1000" s="3">
        <f>IFERROR(VLOOKUP(A1000,'الخطة التدريبية المعتمدة'!A:J,10,FALSE),0)</f>
        <v>0</v>
      </c>
      <c r="H1000" s="3"/>
      <c r="I1000" s="3"/>
      <c r="J1000" s="3"/>
      <c r="K1000" s="7" t="str">
        <f>IF(OR(I1000="",J1000="",I1000=0),"",(J1000-I1000)/I1000)</f>
        <v/>
      </c>
      <c r="L1000" s="3" t="str">
        <f>IF(J1000="","",IF(J1000/10&gt;='الإعدادات والمستهدفات'!B5,"ناجح ومستوفى","ضعيف - يلزم إعادة اختبار"))</f>
        <v/>
      </c>
      <c r="M1000" s="3"/>
      <c r="N1000" s="3"/>
    </row>
    <row r="1001" spans="1:14" x14ac:dyDescent="0.2">
      <c r="A1001" s="3" t="str">
        <f>IFERROR(VLOOKUP(B1001,'جدول الجلسات التدريبية'!A:B,2,FALSE),"")</f>
        <v/>
      </c>
      <c r="B1001" s="3"/>
      <c r="C1001" s="3" t="str">
        <f>IFERROR(VLOOKUP(A1001,'الخطة التدريبية المعتمدة'!A:C,3,FALSE),"")</f>
        <v/>
      </c>
      <c r="D1001" s="3" t="str">
        <f>IFERROR(VLOOKUP(B1001,'جدول الجلسات التدريبية'!A:D,4,FALSE),"")</f>
        <v/>
      </c>
      <c r="E1001" s="3"/>
      <c r="F1001" s="3" t="str">
        <f>IFERROR(VLOOKUP(E1001,'سجل الموظفين والكفاءة'!B:C,2,FALSE),"")</f>
        <v/>
      </c>
      <c r="G1001" s="3">
        <f>IFERROR(VLOOKUP(A1001,'الخطة التدريبية المعتمدة'!A:J,10,FALSE),0)</f>
        <v>0</v>
      </c>
      <c r="H1001" s="3"/>
      <c r="I1001" s="3"/>
      <c r="J1001" s="3"/>
      <c r="K1001" s="7" t="str">
        <f>IF(OR(I1001="",J1001="",I1001=0),"",(J1001-I1001)/I1001)</f>
        <v/>
      </c>
      <c r="L1001" s="3" t="str">
        <f>IF(J1001="","",IF(J1001/10&gt;='الإعدادات والمستهدفات'!B5,"ناجح ومستوفى","ضعيف - يلزم إعادة اختبار"))</f>
        <v/>
      </c>
      <c r="M1001" s="3"/>
      <c r="N1001" s="3"/>
    </row>
    <row r="1002" spans="1:14" x14ac:dyDescent="0.2">
      <c r="A1002" s="3" t="str">
        <f>IFERROR(VLOOKUP(B1002,'جدول الجلسات التدريبية'!A:B,2,FALSE),"")</f>
        <v/>
      </c>
      <c r="B1002" s="3"/>
      <c r="C1002" s="3" t="str">
        <f>IFERROR(VLOOKUP(A1002,'الخطة التدريبية المعتمدة'!A:C,3,FALSE),"")</f>
        <v/>
      </c>
      <c r="D1002" s="3" t="str">
        <f>IFERROR(VLOOKUP(B1002,'جدول الجلسات التدريبية'!A:D,4,FALSE),"")</f>
        <v/>
      </c>
      <c r="E1002" s="3"/>
      <c r="F1002" s="3" t="str">
        <f>IFERROR(VLOOKUP(E1002,'سجل الموظفين والكفاءة'!B:C,2,FALSE),"")</f>
        <v/>
      </c>
      <c r="G1002" s="3">
        <f>IFERROR(VLOOKUP(A1002,'الخطة التدريبية المعتمدة'!A:J,10,FALSE),0)</f>
        <v>0</v>
      </c>
      <c r="H1002" s="3"/>
      <c r="I1002" s="3"/>
      <c r="J1002" s="3"/>
      <c r="K1002" s="7" t="str">
        <f>IF(OR(I1002="",J1002="",I1002=0),"",(J1002-I1002)/I1002)</f>
        <v/>
      </c>
      <c r="L1002" s="3" t="str">
        <f>IF(J1002="","",IF(J1002/10&gt;='الإعدادات والمستهدفات'!B5,"ناجح ومستوفى","ضعيف - يلزم إعادة اختبار"))</f>
        <v/>
      </c>
      <c r="M1002" s="3"/>
      <c r="N1002" s="3"/>
    </row>
    <row r="1003" spans="1:14" x14ac:dyDescent="0.2">
      <c r="A1003" s="3" t="str">
        <f>IFERROR(VLOOKUP(B1003,'جدول الجلسات التدريبية'!A:B,2,FALSE),"")</f>
        <v/>
      </c>
      <c r="B1003" s="3"/>
      <c r="C1003" s="3" t="str">
        <f>IFERROR(VLOOKUP(A1003,'الخطة التدريبية المعتمدة'!A:C,3,FALSE),"")</f>
        <v/>
      </c>
      <c r="D1003" s="3" t="str">
        <f>IFERROR(VLOOKUP(B1003,'جدول الجلسات التدريبية'!A:D,4,FALSE),"")</f>
        <v/>
      </c>
      <c r="E1003" s="3"/>
      <c r="F1003" s="3" t="str">
        <f>IFERROR(VLOOKUP(E1003,'سجل الموظفين والكفاءة'!B:C,2,FALSE),"")</f>
        <v/>
      </c>
      <c r="G1003" s="3">
        <f>IFERROR(VLOOKUP(A1003,'الخطة التدريبية المعتمدة'!A:J,10,FALSE),0)</f>
        <v>0</v>
      </c>
      <c r="H1003" s="3"/>
      <c r="I1003" s="3"/>
      <c r="J1003" s="3"/>
      <c r="K1003" s="7" t="str">
        <f>IF(OR(I1003="",J1003="",I1003=0),"",(J1003-I1003)/I1003)</f>
        <v/>
      </c>
      <c r="L1003" s="3" t="str">
        <f>IF(J1003="","",IF(J1003/10&gt;='الإعدادات والمستهدفات'!B5,"ناجح ومستوفى","ضعيف - يلزم إعادة اختبار"))</f>
        <v/>
      </c>
      <c r="M1003" s="3"/>
      <c r="N1003" s="3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2C35-C2A1-4E60-B34E-F33435615490}">
  <dimension ref="A1:K203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2.42578125" style="1" bestFit="1" customWidth="1"/>
    <col min="2" max="2" width="13.28515625" style="1" bestFit="1" customWidth="1"/>
    <col min="3" max="3" width="19.28515625" style="1" bestFit="1" customWidth="1"/>
    <col min="4" max="4" width="13.7109375" style="1" bestFit="1" customWidth="1"/>
    <col min="5" max="5" width="14.140625" style="1" bestFit="1" customWidth="1"/>
    <col min="6" max="6" width="15.5703125" style="1" bestFit="1" customWidth="1"/>
    <col min="7" max="7" width="14.140625" style="1" bestFit="1" customWidth="1"/>
    <col min="8" max="8" width="17.7109375" style="1" bestFit="1" customWidth="1"/>
    <col min="9" max="9" width="16.140625" style="1" bestFit="1" customWidth="1"/>
    <col min="10" max="10" width="12.85546875" style="1" bestFit="1" customWidth="1"/>
    <col min="11" max="11" width="15.140625" style="1" bestFit="1" customWidth="1"/>
    <col min="12" max="16384" width="9.140625" style="1"/>
  </cols>
  <sheetData>
    <row r="1" spans="1:11" x14ac:dyDescent="0.2">
      <c r="A1" s="2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">
      <c r="A3" s="4" t="s">
        <v>411</v>
      </c>
      <c r="B3" s="4" t="s">
        <v>247</v>
      </c>
      <c r="C3" s="4" t="s">
        <v>412</v>
      </c>
      <c r="D3" s="4" t="s">
        <v>413</v>
      </c>
      <c r="E3" s="4" t="s">
        <v>414</v>
      </c>
      <c r="F3" s="4" t="s">
        <v>415</v>
      </c>
      <c r="G3" s="4" t="s">
        <v>416</v>
      </c>
      <c r="H3" s="4" t="s">
        <v>417</v>
      </c>
      <c r="I3" s="4" t="s">
        <v>418</v>
      </c>
      <c r="J3" s="4" t="s">
        <v>419</v>
      </c>
      <c r="K3" s="4" t="s">
        <v>420</v>
      </c>
    </row>
    <row r="4" spans="1:11" ht="25.5" x14ac:dyDescent="0.2">
      <c r="A4" s="3" t="s">
        <v>421</v>
      </c>
      <c r="B4" s="3" t="s">
        <v>377</v>
      </c>
      <c r="C4" s="3" t="str">
        <f>IFERROR(VLOOKUP(B4,'الخطة التدريبية المعتمدة'!A:C,3,FALSE),"")</f>
        <v>البرنامج التعريفي الشامل للموظفين الجدد (WFM.05)</v>
      </c>
      <c r="D4" s="5">
        <v>46037</v>
      </c>
      <c r="E4" s="3" t="s">
        <v>422</v>
      </c>
      <c r="F4" s="3" t="s">
        <v>244</v>
      </c>
      <c r="G4" s="3">
        <v>25</v>
      </c>
      <c r="H4" s="3" t="e">
        <f>IF(A4="","",COUNTIFS('[2]سجل الحضور والتنفيذ'!B:B,A4,'[2]سجل الحضور والتنفيذ'!H:H,"حاضر"))</f>
        <v>#VALUE!</v>
      </c>
      <c r="I4" s="7" t="e">
        <f>IF(OR(A4="",G4=0),"",H4/G4)</f>
        <v>#VALUE!</v>
      </c>
      <c r="J4" s="3" t="s">
        <v>423</v>
      </c>
      <c r="K4" s="3"/>
    </row>
    <row r="5" spans="1:11" ht="25.5" x14ac:dyDescent="0.2">
      <c r="A5" s="3" t="s">
        <v>424</v>
      </c>
      <c r="B5" s="3" t="s">
        <v>265</v>
      </c>
      <c r="C5" s="3" t="str">
        <f>IFERROR(VLOOKUP(B5,'الخطة التدريبية المعتمدة'!A:C,3,FALSE),"")</f>
        <v>تقييم وإدارة مخاطر الانتحار وإيذاء النفس وخطة الأمان</v>
      </c>
      <c r="D5" s="5">
        <v>46042</v>
      </c>
      <c r="E5" s="3" t="s">
        <v>425</v>
      </c>
      <c r="F5" s="3" t="s">
        <v>271</v>
      </c>
      <c r="G5" s="3">
        <v>20</v>
      </c>
      <c r="H5" s="3" t="e">
        <f>IF(A5="","",COUNTIFS('[2]سجل الحضور والتنفيذ'!B:B,A5,'[2]سجل الحضور والتنفيذ'!H:H,"حاضر"))</f>
        <v>#VALUE!</v>
      </c>
      <c r="I5" s="7" t="e">
        <f>IF(OR(A5="",G5=0),"",H5/G5)</f>
        <v>#VALUE!</v>
      </c>
      <c r="J5" s="3" t="s">
        <v>423</v>
      </c>
      <c r="K5" s="3"/>
    </row>
    <row r="6" spans="1:11" ht="38.25" x14ac:dyDescent="0.2">
      <c r="A6" s="3" t="s">
        <v>426</v>
      </c>
      <c r="B6" s="3" t="s">
        <v>275</v>
      </c>
      <c r="C6" s="3" t="str">
        <f>IFERROR(VLOOKUP(B6,'الخطة التدريبية المعتمدة'!A:C,3,FALSE),"")</f>
        <v>تقنيات خفض التصعيد والسيطرة الآمنة De-escalation</v>
      </c>
      <c r="D6" s="5">
        <v>46047</v>
      </c>
      <c r="E6" s="3" t="s">
        <v>427</v>
      </c>
      <c r="F6" s="3" t="s">
        <v>280</v>
      </c>
      <c r="G6" s="3">
        <v>25</v>
      </c>
      <c r="H6" s="3" t="e">
        <f>IF(A6="","",COUNTIFS('[2]سجل الحضور والتنفيذ'!B:B,A6,'[2]سجل الحضور والتنفيذ'!H:H,"حاضر"))</f>
        <v>#VALUE!</v>
      </c>
      <c r="I6" s="7" t="e">
        <f>IF(OR(A6="",G6=0),"",H6/G6)</f>
        <v>#VALUE!</v>
      </c>
      <c r="J6" s="3" t="s">
        <v>428</v>
      </c>
      <c r="K6" s="3"/>
    </row>
    <row r="7" spans="1:11" ht="25.5" x14ac:dyDescent="0.2">
      <c r="A7" s="3" t="s">
        <v>429</v>
      </c>
      <c r="B7" s="3" t="s">
        <v>282</v>
      </c>
      <c r="C7" s="3" t="str">
        <f>IFERROR(VLOOKUP(B7,'الخطة التدريبية المعتمدة'!A:C,3,FALSE),"")</f>
        <v>سياسات وضوابط التقييد الحركي والعزل الطبقي</v>
      </c>
      <c r="D7" s="5">
        <v>46063</v>
      </c>
      <c r="E7" s="3" t="s">
        <v>430</v>
      </c>
      <c r="F7" s="3" t="s">
        <v>221</v>
      </c>
      <c r="G7" s="3">
        <v>20</v>
      </c>
      <c r="H7" s="3" t="e">
        <f>IF(A7="","",COUNTIFS('[2]سجل الحضور والتنفيذ'!B:B,A7,'[2]سجل الحضور والتنفيذ'!H:H,"حاضر"))</f>
        <v>#VALUE!</v>
      </c>
      <c r="I7" s="7" t="e">
        <f>IF(OR(A7="",G7=0),"",H7/G7)</f>
        <v>#VALUE!</v>
      </c>
      <c r="J7" s="3" t="s">
        <v>428</v>
      </c>
      <c r="K7" s="3"/>
    </row>
    <row r="8" spans="1:11" x14ac:dyDescent="0.2">
      <c r="A8" s="3"/>
      <c r="B8" s="3"/>
      <c r="C8" s="3" t="str">
        <f>IFERROR(VLOOKUP(B8,'الخطة التدريبية المعتمدة'!A:C,3,FALSE),"")</f>
        <v/>
      </c>
      <c r="D8" s="3"/>
      <c r="E8" s="3"/>
      <c r="F8" s="3"/>
      <c r="G8" s="3"/>
      <c r="H8" s="3" t="str">
        <f>IF(A8="","",COUNTIFS('[2]سجل الحضور والتنفيذ'!B:B,A8,'[2]سجل الحضور والتنفيذ'!H:H,"حاضر"))</f>
        <v/>
      </c>
      <c r="I8" s="7" t="str">
        <f>IF(OR(A8="",G8=0),"",H8/G8)</f>
        <v/>
      </c>
      <c r="J8" s="3"/>
      <c r="K8" s="3"/>
    </row>
    <row r="9" spans="1:11" x14ac:dyDescent="0.2">
      <c r="A9" s="3"/>
      <c r="B9" s="3"/>
      <c r="C9" s="3" t="str">
        <f>IFERROR(VLOOKUP(B9,'الخطة التدريبية المعتمدة'!A:C,3,FALSE),"")</f>
        <v/>
      </c>
      <c r="D9" s="3"/>
      <c r="E9" s="3"/>
      <c r="F9" s="3"/>
      <c r="G9" s="3"/>
      <c r="H9" s="3" t="str">
        <f>IF(A9="","",COUNTIFS('[2]سجل الحضور والتنفيذ'!B:B,A9,'[2]سجل الحضور والتنفيذ'!H:H,"حاضر"))</f>
        <v/>
      </c>
      <c r="I9" s="7" t="str">
        <f>IF(OR(A9="",G9=0),"",H9/G9)</f>
        <v/>
      </c>
      <c r="J9" s="3"/>
      <c r="K9" s="3"/>
    </row>
    <row r="10" spans="1:11" x14ac:dyDescent="0.2">
      <c r="A10" s="3"/>
      <c r="B10" s="3"/>
      <c r="C10" s="3" t="str">
        <f>IFERROR(VLOOKUP(B10,'الخطة التدريبية المعتمدة'!A:C,3,FALSE),"")</f>
        <v/>
      </c>
      <c r="D10" s="3"/>
      <c r="E10" s="3"/>
      <c r="F10" s="3"/>
      <c r="G10" s="3"/>
      <c r="H10" s="3" t="str">
        <f>IF(A10="","",COUNTIFS('[2]سجل الحضور والتنفيذ'!B:B,A10,'[2]سجل الحضور والتنفيذ'!H:H,"حاضر"))</f>
        <v/>
      </c>
      <c r="I10" s="7" t="str">
        <f>IF(OR(A10="",G10=0),"",H10/G10)</f>
        <v/>
      </c>
      <c r="J10" s="3"/>
      <c r="K10" s="3"/>
    </row>
    <row r="11" spans="1:11" x14ac:dyDescent="0.2">
      <c r="A11" s="3"/>
      <c r="B11" s="3"/>
      <c r="C11" s="3" t="str">
        <f>IFERROR(VLOOKUP(B11,'الخطة التدريبية المعتمدة'!A:C,3,FALSE),"")</f>
        <v/>
      </c>
      <c r="D11" s="3"/>
      <c r="E11" s="3"/>
      <c r="F11" s="3"/>
      <c r="G11" s="3"/>
      <c r="H11" s="3" t="str">
        <f>IF(A11="","",COUNTIFS('[2]سجل الحضور والتنفيذ'!B:B,A11,'[2]سجل الحضور والتنفيذ'!H:H,"حاضر"))</f>
        <v/>
      </c>
      <c r="I11" s="7" t="str">
        <f>IF(OR(A11="",G11=0),"",H11/G11)</f>
        <v/>
      </c>
      <c r="J11" s="3"/>
      <c r="K11" s="3"/>
    </row>
    <row r="12" spans="1:11" x14ac:dyDescent="0.2">
      <c r="A12" s="3"/>
      <c r="B12" s="3"/>
      <c r="C12" s="3" t="str">
        <f>IFERROR(VLOOKUP(B12,'الخطة التدريبية المعتمدة'!A:C,3,FALSE),"")</f>
        <v/>
      </c>
      <c r="D12" s="3"/>
      <c r="E12" s="3"/>
      <c r="F12" s="3"/>
      <c r="G12" s="3"/>
      <c r="H12" s="3" t="str">
        <f>IF(A12="","",COUNTIFS('[2]سجل الحضور والتنفيذ'!B:B,A12,'[2]سجل الحضور والتنفيذ'!H:H,"حاضر"))</f>
        <v/>
      </c>
      <c r="I12" s="7" t="str">
        <f>IF(OR(A12="",G12=0),"",H12/G12)</f>
        <v/>
      </c>
      <c r="J12" s="3"/>
      <c r="K12" s="3"/>
    </row>
    <row r="13" spans="1:11" x14ac:dyDescent="0.2">
      <c r="A13" s="3"/>
      <c r="B13" s="3"/>
      <c r="C13" s="3" t="str">
        <f>IFERROR(VLOOKUP(B13,'الخطة التدريبية المعتمدة'!A:C,3,FALSE),"")</f>
        <v/>
      </c>
      <c r="D13" s="3"/>
      <c r="E13" s="3"/>
      <c r="F13" s="3"/>
      <c r="G13" s="3"/>
      <c r="H13" s="3" t="str">
        <f>IF(A13="","",COUNTIFS('[2]سجل الحضور والتنفيذ'!B:B,A13,'[2]سجل الحضور والتنفيذ'!H:H,"حاضر"))</f>
        <v/>
      </c>
      <c r="I13" s="7" t="str">
        <f>IF(OR(A13="",G13=0),"",H13/G13)</f>
        <v/>
      </c>
      <c r="J13" s="3"/>
      <c r="K13" s="3"/>
    </row>
    <row r="14" spans="1:11" x14ac:dyDescent="0.2">
      <c r="A14" s="3"/>
      <c r="B14" s="3"/>
      <c r="C14" s="3" t="str">
        <f>IFERROR(VLOOKUP(B14,'الخطة التدريبية المعتمدة'!A:C,3,FALSE),"")</f>
        <v/>
      </c>
      <c r="D14" s="3"/>
      <c r="E14" s="3"/>
      <c r="F14" s="3"/>
      <c r="G14" s="3"/>
      <c r="H14" s="3" t="str">
        <f>IF(A14="","",COUNTIFS('[2]سجل الحضور والتنفيذ'!B:B,A14,'[2]سجل الحضور والتنفيذ'!H:H,"حاضر"))</f>
        <v/>
      </c>
      <c r="I14" s="7" t="str">
        <f>IF(OR(A14="",G14=0),"",H14/G14)</f>
        <v/>
      </c>
      <c r="J14" s="3"/>
      <c r="K14" s="3"/>
    </row>
    <row r="15" spans="1:11" x14ac:dyDescent="0.2">
      <c r="A15" s="3"/>
      <c r="B15" s="3"/>
      <c r="C15" s="3" t="str">
        <f>IFERROR(VLOOKUP(B15,'الخطة التدريبية المعتمدة'!A:C,3,FALSE),"")</f>
        <v/>
      </c>
      <c r="D15" s="3"/>
      <c r="E15" s="3"/>
      <c r="F15" s="3"/>
      <c r="G15" s="3"/>
      <c r="H15" s="3" t="str">
        <f>IF(A15="","",COUNTIFS('[2]سجل الحضور والتنفيذ'!B:B,A15,'[2]سجل الحضور والتنفيذ'!H:H,"حاضر"))</f>
        <v/>
      </c>
      <c r="I15" s="7" t="str">
        <f>IF(OR(A15="",G15=0),"",H15/G15)</f>
        <v/>
      </c>
      <c r="J15" s="3"/>
      <c r="K15" s="3"/>
    </row>
    <row r="16" spans="1:11" x14ac:dyDescent="0.2">
      <c r="A16" s="3"/>
      <c r="B16" s="3"/>
      <c r="C16" s="3" t="str">
        <f>IFERROR(VLOOKUP(B16,'الخطة التدريبية المعتمدة'!A:C,3,FALSE),"")</f>
        <v/>
      </c>
      <c r="D16" s="3"/>
      <c r="E16" s="3"/>
      <c r="F16" s="3"/>
      <c r="G16" s="3"/>
      <c r="H16" s="3" t="str">
        <f>IF(A16="","",COUNTIFS('[2]سجل الحضور والتنفيذ'!B:B,A16,'[2]سجل الحضور والتنفيذ'!H:H,"حاضر"))</f>
        <v/>
      </c>
      <c r="I16" s="7" t="str">
        <f>IF(OR(A16="",G16=0),"",H16/G16)</f>
        <v/>
      </c>
      <c r="J16" s="3"/>
      <c r="K16" s="3"/>
    </row>
    <row r="17" spans="1:11" x14ac:dyDescent="0.2">
      <c r="A17" s="3"/>
      <c r="B17" s="3"/>
      <c r="C17" s="3" t="str">
        <f>IFERROR(VLOOKUP(B17,'الخطة التدريبية المعتمدة'!A:C,3,FALSE),"")</f>
        <v/>
      </c>
      <c r="D17" s="3"/>
      <c r="E17" s="3"/>
      <c r="F17" s="3"/>
      <c r="G17" s="3"/>
      <c r="H17" s="3" t="str">
        <f>IF(A17="","",COUNTIFS('[2]سجل الحضور والتنفيذ'!B:B,A17,'[2]سجل الحضور والتنفيذ'!H:H,"حاضر"))</f>
        <v/>
      </c>
      <c r="I17" s="7" t="str">
        <f>IF(OR(A17="",G17=0),"",H17/G17)</f>
        <v/>
      </c>
      <c r="J17" s="3"/>
      <c r="K17" s="3"/>
    </row>
    <row r="18" spans="1:11" x14ac:dyDescent="0.2">
      <c r="A18" s="3"/>
      <c r="B18" s="3"/>
      <c r="C18" s="3" t="str">
        <f>IFERROR(VLOOKUP(B18,'الخطة التدريبية المعتمدة'!A:C,3,FALSE),"")</f>
        <v/>
      </c>
      <c r="D18" s="3"/>
      <c r="E18" s="3"/>
      <c r="F18" s="3"/>
      <c r="G18" s="3"/>
      <c r="H18" s="3" t="str">
        <f>IF(A18="","",COUNTIFS('[2]سجل الحضور والتنفيذ'!B:B,A18,'[2]سجل الحضور والتنفيذ'!H:H,"حاضر"))</f>
        <v/>
      </c>
      <c r="I18" s="7" t="str">
        <f>IF(OR(A18="",G18=0),"",H18/G18)</f>
        <v/>
      </c>
      <c r="J18" s="3"/>
      <c r="K18" s="3"/>
    </row>
    <row r="19" spans="1:11" x14ac:dyDescent="0.2">
      <c r="A19" s="3"/>
      <c r="B19" s="3"/>
      <c r="C19" s="3" t="str">
        <f>IFERROR(VLOOKUP(B19,'الخطة التدريبية المعتمدة'!A:C,3,FALSE),"")</f>
        <v/>
      </c>
      <c r="D19" s="3"/>
      <c r="E19" s="3"/>
      <c r="F19" s="3"/>
      <c r="G19" s="3"/>
      <c r="H19" s="3" t="str">
        <f>IF(A19="","",COUNTIFS('[2]سجل الحضور والتنفيذ'!B:B,A19,'[2]سجل الحضور والتنفيذ'!H:H,"حاضر"))</f>
        <v/>
      </c>
      <c r="I19" s="7" t="str">
        <f>IF(OR(A19="",G19=0),"",H19/G19)</f>
        <v/>
      </c>
      <c r="J19" s="3"/>
      <c r="K19" s="3"/>
    </row>
    <row r="20" spans="1:11" x14ac:dyDescent="0.2">
      <c r="A20" s="3"/>
      <c r="B20" s="3"/>
      <c r="C20" s="3" t="str">
        <f>IFERROR(VLOOKUP(B20,'الخطة التدريبية المعتمدة'!A:C,3,FALSE),"")</f>
        <v/>
      </c>
      <c r="D20" s="3"/>
      <c r="E20" s="3"/>
      <c r="F20" s="3"/>
      <c r="G20" s="3"/>
      <c r="H20" s="3" t="str">
        <f>IF(A20="","",COUNTIFS('[2]سجل الحضور والتنفيذ'!B:B,A20,'[2]سجل الحضور والتنفيذ'!H:H,"حاضر"))</f>
        <v/>
      </c>
      <c r="I20" s="7" t="str">
        <f>IF(OR(A20="",G20=0),"",H20/G20)</f>
        <v/>
      </c>
      <c r="J20" s="3"/>
      <c r="K20" s="3"/>
    </row>
    <row r="21" spans="1:11" x14ac:dyDescent="0.2">
      <c r="A21" s="3"/>
      <c r="B21" s="3"/>
      <c r="C21" s="3" t="str">
        <f>IFERROR(VLOOKUP(B21,'الخطة التدريبية المعتمدة'!A:C,3,FALSE),"")</f>
        <v/>
      </c>
      <c r="D21" s="3"/>
      <c r="E21" s="3"/>
      <c r="F21" s="3"/>
      <c r="G21" s="3"/>
      <c r="H21" s="3" t="str">
        <f>IF(A21="","",COUNTIFS('[2]سجل الحضور والتنفيذ'!B:B,A21,'[2]سجل الحضور والتنفيذ'!H:H,"حاضر"))</f>
        <v/>
      </c>
      <c r="I21" s="7" t="str">
        <f>IF(OR(A21="",G21=0),"",H21/G21)</f>
        <v/>
      </c>
      <c r="J21" s="3"/>
      <c r="K21" s="3"/>
    </row>
    <row r="22" spans="1:11" x14ac:dyDescent="0.2">
      <c r="A22" s="3"/>
      <c r="B22" s="3"/>
      <c r="C22" s="3" t="str">
        <f>IFERROR(VLOOKUP(B22,'الخطة التدريبية المعتمدة'!A:C,3,FALSE),"")</f>
        <v/>
      </c>
      <c r="D22" s="3"/>
      <c r="E22" s="3"/>
      <c r="F22" s="3"/>
      <c r="G22" s="3"/>
      <c r="H22" s="3" t="str">
        <f>IF(A22="","",COUNTIFS('[2]سجل الحضور والتنفيذ'!B:B,A22,'[2]سجل الحضور والتنفيذ'!H:H,"حاضر"))</f>
        <v/>
      </c>
      <c r="I22" s="7" t="str">
        <f>IF(OR(A22="",G22=0),"",H22/G22)</f>
        <v/>
      </c>
      <c r="J22" s="3"/>
      <c r="K22" s="3"/>
    </row>
    <row r="23" spans="1:11" x14ac:dyDescent="0.2">
      <c r="A23" s="3"/>
      <c r="B23" s="3"/>
      <c r="C23" s="3" t="str">
        <f>IFERROR(VLOOKUP(B23,'الخطة التدريبية المعتمدة'!A:C,3,FALSE),"")</f>
        <v/>
      </c>
      <c r="D23" s="3"/>
      <c r="E23" s="3"/>
      <c r="F23" s="3"/>
      <c r="G23" s="3"/>
      <c r="H23" s="3" t="str">
        <f>IF(A23="","",COUNTIFS('[2]سجل الحضور والتنفيذ'!B:B,A23,'[2]سجل الحضور والتنفيذ'!H:H,"حاضر"))</f>
        <v/>
      </c>
      <c r="I23" s="7" t="str">
        <f>IF(OR(A23="",G23=0),"",H23/G23)</f>
        <v/>
      </c>
      <c r="J23" s="3"/>
      <c r="K23" s="3"/>
    </row>
    <row r="24" spans="1:11" x14ac:dyDescent="0.2">
      <c r="A24" s="3"/>
      <c r="B24" s="3"/>
      <c r="C24" s="3" t="str">
        <f>IFERROR(VLOOKUP(B24,'الخطة التدريبية المعتمدة'!A:C,3,FALSE),"")</f>
        <v/>
      </c>
      <c r="D24" s="3"/>
      <c r="E24" s="3"/>
      <c r="F24" s="3"/>
      <c r="G24" s="3"/>
      <c r="H24" s="3" t="str">
        <f>IF(A24="","",COUNTIFS('[2]سجل الحضور والتنفيذ'!B:B,A24,'[2]سجل الحضور والتنفيذ'!H:H,"حاضر"))</f>
        <v/>
      </c>
      <c r="I24" s="7" t="str">
        <f>IF(OR(A24="",G24=0),"",H24/G24)</f>
        <v/>
      </c>
      <c r="J24" s="3"/>
      <c r="K24" s="3"/>
    </row>
    <row r="25" spans="1:11" x14ac:dyDescent="0.2">
      <c r="A25" s="3"/>
      <c r="B25" s="3"/>
      <c r="C25" s="3" t="str">
        <f>IFERROR(VLOOKUP(B25,'الخطة التدريبية المعتمدة'!A:C,3,FALSE),"")</f>
        <v/>
      </c>
      <c r="D25" s="3"/>
      <c r="E25" s="3"/>
      <c r="F25" s="3"/>
      <c r="G25" s="3"/>
      <c r="H25" s="3" t="str">
        <f>IF(A25="","",COUNTIFS('[2]سجل الحضور والتنفيذ'!B:B,A25,'[2]سجل الحضور والتنفيذ'!H:H,"حاضر"))</f>
        <v/>
      </c>
      <c r="I25" s="7" t="str">
        <f>IF(OR(A25="",G25=0),"",H25/G25)</f>
        <v/>
      </c>
      <c r="J25" s="3"/>
      <c r="K25" s="3"/>
    </row>
    <row r="26" spans="1:11" x14ac:dyDescent="0.2">
      <c r="A26" s="3"/>
      <c r="B26" s="3"/>
      <c r="C26" s="3" t="str">
        <f>IFERROR(VLOOKUP(B26,'الخطة التدريبية المعتمدة'!A:C,3,FALSE),"")</f>
        <v/>
      </c>
      <c r="D26" s="3"/>
      <c r="E26" s="3"/>
      <c r="F26" s="3"/>
      <c r="G26" s="3"/>
      <c r="H26" s="3" t="str">
        <f>IF(A26="","",COUNTIFS('[2]سجل الحضور والتنفيذ'!B:B,A26,'[2]سجل الحضور والتنفيذ'!H:H,"حاضر"))</f>
        <v/>
      </c>
      <c r="I26" s="7" t="str">
        <f>IF(OR(A26="",G26=0),"",H26/G26)</f>
        <v/>
      </c>
      <c r="J26" s="3"/>
      <c r="K26" s="3"/>
    </row>
    <row r="27" spans="1:11" x14ac:dyDescent="0.2">
      <c r="A27" s="3"/>
      <c r="B27" s="3"/>
      <c r="C27" s="3" t="str">
        <f>IFERROR(VLOOKUP(B27,'الخطة التدريبية المعتمدة'!A:C,3,FALSE),"")</f>
        <v/>
      </c>
      <c r="D27" s="3"/>
      <c r="E27" s="3"/>
      <c r="F27" s="3"/>
      <c r="G27" s="3"/>
      <c r="H27" s="3" t="str">
        <f>IF(A27="","",COUNTIFS('[2]سجل الحضور والتنفيذ'!B:B,A27,'[2]سجل الحضور والتنفيذ'!H:H,"حاضر"))</f>
        <v/>
      </c>
      <c r="I27" s="7" t="str">
        <f>IF(OR(A27="",G27=0),"",H27/G27)</f>
        <v/>
      </c>
      <c r="J27" s="3"/>
      <c r="K27" s="3"/>
    </row>
    <row r="28" spans="1:11" x14ac:dyDescent="0.2">
      <c r="A28" s="3"/>
      <c r="B28" s="3"/>
      <c r="C28" s="3" t="str">
        <f>IFERROR(VLOOKUP(B28,'الخطة التدريبية المعتمدة'!A:C,3,FALSE),"")</f>
        <v/>
      </c>
      <c r="D28" s="3"/>
      <c r="E28" s="3"/>
      <c r="F28" s="3"/>
      <c r="G28" s="3"/>
      <c r="H28" s="3" t="str">
        <f>IF(A28="","",COUNTIFS('[2]سجل الحضور والتنفيذ'!B:B,A28,'[2]سجل الحضور والتنفيذ'!H:H,"حاضر"))</f>
        <v/>
      </c>
      <c r="I28" s="7" t="str">
        <f>IF(OR(A28="",G28=0),"",H28/G28)</f>
        <v/>
      </c>
      <c r="J28" s="3"/>
      <c r="K28" s="3"/>
    </row>
    <row r="29" spans="1:11" x14ac:dyDescent="0.2">
      <c r="A29" s="3"/>
      <c r="B29" s="3"/>
      <c r="C29" s="3" t="str">
        <f>IFERROR(VLOOKUP(B29,'الخطة التدريبية المعتمدة'!A:C,3,FALSE),"")</f>
        <v/>
      </c>
      <c r="D29" s="3"/>
      <c r="E29" s="3"/>
      <c r="F29" s="3"/>
      <c r="G29" s="3"/>
      <c r="H29" s="3" t="str">
        <f>IF(A29="","",COUNTIFS('[2]سجل الحضور والتنفيذ'!B:B,A29,'[2]سجل الحضور والتنفيذ'!H:H,"حاضر"))</f>
        <v/>
      </c>
      <c r="I29" s="7" t="str">
        <f>IF(OR(A29="",G29=0),"",H29/G29)</f>
        <v/>
      </c>
      <c r="J29" s="3"/>
      <c r="K29" s="3"/>
    </row>
    <row r="30" spans="1:11" x14ac:dyDescent="0.2">
      <c r="A30" s="3"/>
      <c r="B30" s="3"/>
      <c r="C30" s="3" t="str">
        <f>IFERROR(VLOOKUP(B30,'الخطة التدريبية المعتمدة'!A:C,3,FALSE),"")</f>
        <v/>
      </c>
      <c r="D30" s="3"/>
      <c r="E30" s="3"/>
      <c r="F30" s="3"/>
      <c r="G30" s="3"/>
      <c r="H30" s="3" t="str">
        <f>IF(A30="","",COUNTIFS('[2]سجل الحضور والتنفيذ'!B:B,A30,'[2]سجل الحضور والتنفيذ'!H:H,"حاضر"))</f>
        <v/>
      </c>
      <c r="I30" s="7" t="str">
        <f>IF(OR(A30="",G30=0),"",H30/G30)</f>
        <v/>
      </c>
      <c r="J30" s="3"/>
      <c r="K30" s="3"/>
    </row>
    <row r="31" spans="1:11" x14ac:dyDescent="0.2">
      <c r="A31" s="3"/>
      <c r="B31" s="3"/>
      <c r="C31" s="3" t="str">
        <f>IFERROR(VLOOKUP(B31,'الخطة التدريبية المعتمدة'!A:C,3,FALSE),"")</f>
        <v/>
      </c>
      <c r="D31" s="3"/>
      <c r="E31" s="3"/>
      <c r="F31" s="3"/>
      <c r="G31" s="3"/>
      <c r="H31" s="3" t="str">
        <f>IF(A31="","",COUNTIFS('[2]سجل الحضور والتنفيذ'!B:B,A31,'[2]سجل الحضور والتنفيذ'!H:H,"حاضر"))</f>
        <v/>
      </c>
      <c r="I31" s="7" t="str">
        <f>IF(OR(A31="",G31=0),"",H31/G31)</f>
        <v/>
      </c>
      <c r="J31" s="3"/>
      <c r="K31" s="3"/>
    </row>
    <row r="32" spans="1:11" x14ac:dyDescent="0.2">
      <c r="A32" s="3"/>
      <c r="B32" s="3"/>
      <c r="C32" s="3" t="str">
        <f>IFERROR(VLOOKUP(B32,'الخطة التدريبية المعتمدة'!A:C,3,FALSE),"")</f>
        <v/>
      </c>
      <c r="D32" s="3"/>
      <c r="E32" s="3"/>
      <c r="F32" s="3"/>
      <c r="G32" s="3"/>
      <c r="H32" s="3" t="str">
        <f>IF(A32="","",COUNTIFS('[2]سجل الحضور والتنفيذ'!B:B,A32,'[2]سجل الحضور والتنفيذ'!H:H,"حاضر"))</f>
        <v/>
      </c>
      <c r="I32" s="7" t="str">
        <f>IF(OR(A32="",G32=0),"",H32/G32)</f>
        <v/>
      </c>
      <c r="J32" s="3"/>
      <c r="K32" s="3"/>
    </row>
    <row r="33" spans="1:11" x14ac:dyDescent="0.2">
      <c r="A33" s="3"/>
      <c r="B33" s="3"/>
      <c r="C33" s="3" t="str">
        <f>IFERROR(VLOOKUP(B33,'الخطة التدريبية المعتمدة'!A:C,3,FALSE),"")</f>
        <v/>
      </c>
      <c r="D33" s="3"/>
      <c r="E33" s="3"/>
      <c r="F33" s="3"/>
      <c r="G33" s="3"/>
      <c r="H33" s="3" t="str">
        <f>IF(A33="","",COUNTIFS('[2]سجل الحضور والتنفيذ'!B:B,A33,'[2]سجل الحضور والتنفيذ'!H:H,"حاضر"))</f>
        <v/>
      </c>
      <c r="I33" s="7" t="str">
        <f>IF(OR(A33="",G33=0),"",H33/G33)</f>
        <v/>
      </c>
      <c r="J33" s="3"/>
      <c r="K33" s="3"/>
    </row>
    <row r="34" spans="1:11" x14ac:dyDescent="0.2">
      <c r="A34" s="3"/>
      <c r="B34" s="3"/>
      <c r="C34" s="3" t="str">
        <f>IFERROR(VLOOKUP(B34,'الخطة التدريبية المعتمدة'!A:C,3,FALSE),"")</f>
        <v/>
      </c>
      <c r="D34" s="3"/>
      <c r="E34" s="3"/>
      <c r="F34" s="3"/>
      <c r="G34" s="3"/>
      <c r="H34" s="3" t="str">
        <f>IF(A34="","",COUNTIFS('[2]سجل الحضور والتنفيذ'!B:B,A34,'[2]سجل الحضور والتنفيذ'!H:H,"حاضر"))</f>
        <v/>
      </c>
      <c r="I34" s="7" t="str">
        <f>IF(OR(A34="",G34=0),"",H34/G34)</f>
        <v/>
      </c>
      <c r="J34" s="3"/>
      <c r="K34" s="3"/>
    </row>
    <row r="35" spans="1:11" x14ac:dyDescent="0.2">
      <c r="A35" s="3"/>
      <c r="B35" s="3"/>
      <c r="C35" s="3" t="str">
        <f>IFERROR(VLOOKUP(B35,'الخطة التدريبية المعتمدة'!A:C,3,FALSE),"")</f>
        <v/>
      </c>
      <c r="D35" s="3"/>
      <c r="E35" s="3"/>
      <c r="F35" s="3"/>
      <c r="G35" s="3"/>
      <c r="H35" s="3" t="str">
        <f>IF(A35="","",COUNTIFS('[2]سجل الحضور والتنفيذ'!B:B,A35,'[2]سجل الحضور والتنفيذ'!H:H,"حاضر"))</f>
        <v/>
      </c>
      <c r="I35" s="7" t="str">
        <f>IF(OR(A35="",G35=0),"",H35/G35)</f>
        <v/>
      </c>
      <c r="J35" s="3"/>
      <c r="K35" s="3"/>
    </row>
    <row r="36" spans="1:11" x14ac:dyDescent="0.2">
      <c r="A36" s="3"/>
      <c r="B36" s="3"/>
      <c r="C36" s="3" t="str">
        <f>IFERROR(VLOOKUP(B36,'الخطة التدريبية المعتمدة'!A:C,3,FALSE),"")</f>
        <v/>
      </c>
      <c r="D36" s="3"/>
      <c r="E36" s="3"/>
      <c r="F36" s="3"/>
      <c r="G36" s="3"/>
      <c r="H36" s="3" t="str">
        <f>IF(A36="","",COUNTIFS('[2]سجل الحضور والتنفيذ'!B:B,A36,'[2]سجل الحضور والتنفيذ'!H:H,"حاضر"))</f>
        <v/>
      </c>
      <c r="I36" s="7" t="str">
        <f>IF(OR(A36="",G36=0),"",H36/G36)</f>
        <v/>
      </c>
      <c r="J36" s="3"/>
      <c r="K36" s="3"/>
    </row>
    <row r="37" spans="1:11" x14ac:dyDescent="0.2">
      <c r="A37" s="3"/>
      <c r="B37" s="3"/>
      <c r="C37" s="3" t="str">
        <f>IFERROR(VLOOKUP(B37,'الخطة التدريبية المعتمدة'!A:C,3,FALSE),"")</f>
        <v/>
      </c>
      <c r="D37" s="3"/>
      <c r="E37" s="3"/>
      <c r="F37" s="3"/>
      <c r="G37" s="3"/>
      <c r="H37" s="3" t="str">
        <f>IF(A37="","",COUNTIFS('[2]سجل الحضور والتنفيذ'!B:B,A37,'[2]سجل الحضور والتنفيذ'!H:H,"حاضر"))</f>
        <v/>
      </c>
      <c r="I37" s="7" t="str">
        <f>IF(OR(A37="",G37=0),"",H37/G37)</f>
        <v/>
      </c>
      <c r="J37" s="3"/>
      <c r="K37" s="3"/>
    </row>
    <row r="38" spans="1:11" x14ac:dyDescent="0.2">
      <c r="A38" s="3"/>
      <c r="B38" s="3"/>
      <c r="C38" s="3" t="str">
        <f>IFERROR(VLOOKUP(B38,'الخطة التدريبية المعتمدة'!A:C,3,FALSE),"")</f>
        <v/>
      </c>
      <c r="D38" s="3"/>
      <c r="E38" s="3"/>
      <c r="F38" s="3"/>
      <c r="G38" s="3"/>
      <c r="H38" s="3" t="str">
        <f>IF(A38="","",COUNTIFS('[2]سجل الحضور والتنفيذ'!B:B,A38,'[2]سجل الحضور والتنفيذ'!H:H,"حاضر"))</f>
        <v/>
      </c>
      <c r="I38" s="7" t="str">
        <f>IF(OR(A38="",G38=0),"",H38/G38)</f>
        <v/>
      </c>
      <c r="J38" s="3"/>
      <c r="K38" s="3"/>
    </row>
    <row r="39" spans="1:11" x14ac:dyDescent="0.2">
      <c r="A39" s="3"/>
      <c r="B39" s="3"/>
      <c r="C39" s="3" t="str">
        <f>IFERROR(VLOOKUP(B39,'الخطة التدريبية المعتمدة'!A:C,3,FALSE),"")</f>
        <v/>
      </c>
      <c r="D39" s="3"/>
      <c r="E39" s="3"/>
      <c r="F39" s="3"/>
      <c r="G39" s="3"/>
      <c r="H39" s="3" t="str">
        <f>IF(A39="","",COUNTIFS('[2]سجل الحضور والتنفيذ'!B:B,A39,'[2]سجل الحضور والتنفيذ'!H:H,"حاضر"))</f>
        <v/>
      </c>
      <c r="I39" s="7" t="str">
        <f>IF(OR(A39="",G39=0),"",H39/G39)</f>
        <v/>
      </c>
      <c r="J39" s="3"/>
      <c r="K39" s="3"/>
    </row>
    <row r="40" spans="1:11" x14ac:dyDescent="0.2">
      <c r="A40" s="3"/>
      <c r="B40" s="3"/>
      <c r="C40" s="3" t="str">
        <f>IFERROR(VLOOKUP(B40,'الخطة التدريبية المعتمدة'!A:C,3,FALSE),"")</f>
        <v/>
      </c>
      <c r="D40" s="3"/>
      <c r="E40" s="3"/>
      <c r="F40" s="3"/>
      <c r="G40" s="3"/>
      <c r="H40" s="3" t="str">
        <f>IF(A40="","",COUNTIFS('[2]سجل الحضور والتنفيذ'!B:B,A40,'[2]سجل الحضور والتنفيذ'!H:H,"حاضر"))</f>
        <v/>
      </c>
      <c r="I40" s="7" t="str">
        <f>IF(OR(A40="",G40=0),"",H40/G40)</f>
        <v/>
      </c>
      <c r="J40" s="3"/>
      <c r="K40" s="3"/>
    </row>
    <row r="41" spans="1:11" x14ac:dyDescent="0.2">
      <c r="A41" s="3"/>
      <c r="B41" s="3"/>
      <c r="C41" s="3" t="str">
        <f>IFERROR(VLOOKUP(B41,'الخطة التدريبية المعتمدة'!A:C,3,FALSE),"")</f>
        <v/>
      </c>
      <c r="D41" s="3"/>
      <c r="E41" s="3"/>
      <c r="F41" s="3"/>
      <c r="G41" s="3"/>
      <c r="H41" s="3" t="str">
        <f>IF(A41="","",COUNTIFS('[2]سجل الحضور والتنفيذ'!B:B,A41,'[2]سجل الحضور والتنفيذ'!H:H,"حاضر"))</f>
        <v/>
      </c>
      <c r="I41" s="7" t="str">
        <f>IF(OR(A41="",G41=0),"",H41/G41)</f>
        <v/>
      </c>
      <c r="J41" s="3"/>
      <c r="K41" s="3"/>
    </row>
    <row r="42" spans="1:11" x14ac:dyDescent="0.2">
      <c r="A42" s="3"/>
      <c r="B42" s="3"/>
      <c r="C42" s="3" t="str">
        <f>IFERROR(VLOOKUP(B42,'الخطة التدريبية المعتمدة'!A:C,3,FALSE),"")</f>
        <v/>
      </c>
      <c r="D42" s="3"/>
      <c r="E42" s="3"/>
      <c r="F42" s="3"/>
      <c r="G42" s="3"/>
      <c r="H42" s="3" t="str">
        <f>IF(A42="","",COUNTIFS('[2]سجل الحضور والتنفيذ'!B:B,A42,'[2]سجل الحضور والتنفيذ'!H:H,"حاضر"))</f>
        <v/>
      </c>
      <c r="I42" s="7" t="str">
        <f>IF(OR(A42="",G42=0),"",H42/G42)</f>
        <v/>
      </c>
      <c r="J42" s="3"/>
      <c r="K42" s="3"/>
    </row>
    <row r="43" spans="1:11" x14ac:dyDescent="0.2">
      <c r="A43" s="3"/>
      <c r="B43" s="3"/>
      <c r="C43" s="3" t="str">
        <f>IFERROR(VLOOKUP(B43,'الخطة التدريبية المعتمدة'!A:C,3,FALSE),"")</f>
        <v/>
      </c>
      <c r="D43" s="3"/>
      <c r="E43" s="3"/>
      <c r="F43" s="3"/>
      <c r="G43" s="3"/>
      <c r="H43" s="3" t="str">
        <f>IF(A43="","",COUNTIFS('[2]سجل الحضور والتنفيذ'!B:B,A43,'[2]سجل الحضور والتنفيذ'!H:H,"حاضر"))</f>
        <v/>
      </c>
      <c r="I43" s="7" t="str">
        <f>IF(OR(A43="",G43=0),"",H43/G43)</f>
        <v/>
      </c>
      <c r="J43" s="3"/>
      <c r="K43" s="3"/>
    </row>
    <row r="44" spans="1:11" x14ac:dyDescent="0.2">
      <c r="A44" s="3"/>
      <c r="B44" s="3"/>
      <c r="C44" s="3" t="str">
        <f>IFERROR(VLOOKUP(B44,'الخطة التدريبية المعتمدة'!A:C,3,FALSE),"")</f>
        <v/>
      </c>
      <c r="D44" s="3"/>
      <c r="E44" s="3"/>
      <c r="F44" s="3"/>
      <c r="G44" s="3"/>
      <c r="H44" s="3" t="str">
        <f>IF(A44="","",COUNTIFS('[2]سجل الحضور والتنفيذ'!B:B,A44,'[2]سجل الحضور والتنفيذ'!H:H,"حاضر"))</f>
        <v/>
      </c>
      <c r="I44" s="7" t="str">
        <f>IF(OR(A44="",G44=0),"",H44/G44)</f>
        <v/>
      </c>
      <c r="J44" s="3"/>
      <c r="K44" s="3"/>
    </row>
    <row r="45" spans="1:11" x14ac:dyDescent="0.2">
      <c r="A45" s="3"/>
      <c r="B45" s="3"/>
      <c r="C45" s="3" t="str">
        <f>IFERROR(VLOOKUP(B45,'الخطة التدريبية المعتمدة'!A:C,3,FALSE),"")</f>
        <v/>
      </c>
      <c r="D45" s="3"/>
      <c r="E45" s="3"/>
      <c r="F45" s="3"/>
      <c r="G45" s="3"/>
      <c r="H45" s="3" t="str">
        <f>IF(A45="","",COUNTIFS('[2]سجل الحضور والتنفيذ'!B:B,A45,'[2]سجل الحضور والتنفيذ'!H:H,"حاضر"))</f>
        <v/>
      </c>
      <c r="I45" s="7" t="str">
        <f>IF(OR(A45="",G45=0),"",H45/G45)</f>
        <v/>
      </c>
      <c r="J45" s="3"/>
      <c r="K45" s="3"/>
    </row>
    <row r="46" spans="1:11" x14ac:dyDescent="0.2">
      <c r="A46" s="3"/>
      <c r="B46" s="3"/>
      <c r="C46" s="3" t="str">
        <f>IFERROR(VLOOKUP(B46,'الخطة التدريبية المعتمدة'!A:C,3,FALSE),"")</f>
        <v/>
      </c>
      <c r="D46" s="3"/>
      <c r="E46" s="3"/>
      <c r="F46" s="3"/>
      <c r="G46" s="3"/>
      <c r="H46" s="3" t="str">
        <f>IF(A46="","",COUNTIFS('[2]سجل الحضور والتنفيذ'!B:B,A46,'[2]سجل الحضور والتنفيذ'!H:H,"حاضر"))</f>
        <v/>
      </c>
      <c r="I46" s="7" t="str">
        <f>IF(OR(A46="",G46=0),"",H46/G46)</f>
        <v/>
      </c>
      <c r="J46" s="3"/>
      <c r="K46" s="3"/>
    </row>
    <row r="47" spans="1:11" x14ac:dyDescent="0.2">
      <c r="A47" s="3"/>
      <c r="B47" s="3"/>
      <c r="C47" s="3" t="str">
        <f>IFERROR(VLOOKUP(B47,'الخطة التدريبية المعتمدة'!A:C,3,FALSE),"")</f>
        <v/>
      </c>
      <c r="D47" s="3"/>
      <c r="E47" s="3"/>
      <c r="F47" s="3"/>
      <c r="G47" s="3"/>
      <c r="H47" s="3" t="str">
        <f>IF(A47="","",COUNTIFS('[2]سجل الحضور والتنفيذ'!B:B,A47,'[2]سجل الحضور والتنفيذ'!H:H,"حاضر"))</f>
        <v/>
      </c>
      <c r="I47" s="7" t="str">
        <f>IF(OR(A47="",G47=0),"",H47/G47)</f>
        <v/>
      </c>
      <c r="J47" s="3"/>
      <c r="K47" s="3"/>
    </row>
    <row r="48" spans="1:11" x14ac:dyDescent="0.2">
      <c r="A48" s="3"/>
      <c r="B48" s="3"/>
      <c r="C48" s="3" t="str">
        <f>IFERROR(VLOOKUP(B48,'الخطة التدريبية المعتمدة'!A:C,3,FALSE),"")</f>
        <v/>
      </c>
      <c r="D48" s="3"/>
      <c r="E48" s="3"/>
      <c r="F48" s="3"/>
      <c r="G48" s="3"/>
      <c r="H48" s="3" t="str">
        <f>IF(A48="","",COUNTIFS('[2]سجل الحضور والتنفيذ'!B:B,A48,'[2]سجل الحضور والتنفيذ'!H:H,"حاضر"))</f>
        <v/>
      </c>
      <c r="I48" s="7" t="str">
        <f>IF(OR(A48="",G48=0),"",H48/G48)</f>
        <v/>
      </c>
      <c r="J48" s="3"/>
      <c r="K48" s="3"/>
    </row>
    <row r="49" spans="1:11" x14ac:dyDescent="0.2">
      <c r="A49" s="3"/>
      <c r="B49" s="3"/>
      <c r="C49" s="3" t="str">
        <f>IFERROR(VLOOKUP(B49,'الخطة التدريبية المعتمدة'!A:C,3,FALSE),"")</f>
        <v/>
      </c>
      <c r="D49" s="3"/>
      <c r="E49" s="3"/>
      <c r="F49" s="3"/>
      <c r="G49" s="3"/>
      <c r="H49" s="3" t="str">
        <f>IF(A49="","",COUNTIFS('[2]سجل الحضور والتنفيذ'!B:B,A49,'[2]سجل الحضور والتنفيذ'!H:H,"حاضر"))</f>
        <v/>
      </c>
      <c r="I49" s="7" t="str">
        <f>IF(OR(A49="",G49=0),"",H49/G49)</f>
        <v/>
      </c>
      <c r="J49" s="3"/>
      <c r="K49" s="3"/>
    </row>
    <row r="50" spans="1:11" x14ac:dyDescent="0.2">
      <c r="A50" s="3"/>
      <c r="B50" s="3"/>
      <c r="C50" s="3" t="str">
        <f>IFERROR(VLOOKUP(B50,'الخطة التدريبية المعتمدة'!A:C,3,FALSE),"")</f>
        <v/>
      </c>
      <c r="D50" s="3"/>
      <c r="E50" s="3"/>
      <c r="F50" s="3"/>
      <c r="G50" s="3"/>
      <c r="H50" s="3" t="str">
        <f>IF(A50="","",COUNTIFS('[2]سجل الحضور والتنفيذ'!B:B,A50,'[2]سجل الحضور والتنفيذ'!H:H,"حاضر"))</f>
        <v/>
      </c>
      <c r="I50" s="7" t="str">
        <f>IF(OR(A50="",G50=0),"",H50/G50)</f>
        <v/>
      </c>
      <c r="J50" s="3"/>
      <c r="K50" s="3"/>
    </row>
    <row r="51" spans="1:11" x14ac:dyDescent="0.2">
      <c r="A51" s="3"/>
      <c r="B51" s="3"/>
      <c r="C51" s="3" t="str">
        <f>IFERROR(VLOOKUP(B51,'الخطة التدريبية المعتمدة'!A:C,3,FALSE),"")</f>
        <v/>
      </c>
      <c r="D51" s="3"/>
      <c r="E51" s="3"/>
      <c r="F51" s="3"/>
      <c r="G51" s="3"/>
      <c r="H51" s="3" t="str">
        <f>IF(A51="","",COUNTIFS('[2]سجل الحضور والتنفيذ'!B:B,A51,'[2]سجل الحضور والتنفيذ'!H:H,"حاضر"))</f>
        <v/>
      </c>
      <c r="I51" s="7" t="str">
        <f>IF(OR(A51="",G51=0),"",H51/G51)</f>
        <v/>
      </c>
      <c r="J51" s="3"/>
      <c r="K51" s="3"/>
    </row>
    <row r="52" spans="1:11" x14ac:dyDescent="0.2">
      <c r="A52" s="3"/>
      <c r="B52" s="3"/>
      <c r="C52" s="3" t="str">
        <f>IFERROR(VLOOKUP(B52,'الخطة التدريبية المعتمدة'!A:C,3,FALSE),"")</f>
        <v/>
      </c>
      <c r="D52" s="3"/>
      <c r="E52" s="3"/>
      <c r="F52" s="3"/>
      <c r="G52" s="3"/>
      <c r="H52" s="3" t="str">
        <f>IF(A52="","",COUNTIFS('[2]سجل الحضور والتنفيذ'!B:B,A52,'[2]سجل الحضور والتنفيذ'!H:H,"حاضر"))</f>
        <v/>
      </c>
      <c r="I52" s="7" t="str">
        <f>IF(OR(A52="",G52=0),"",H52/G52)</f>
        <v/>
      </c>
      <c r="J52" s="3"/>
      <c r="K52" s="3"/>
    </row>
    <row r="53" spans="1:11" x14ac:dyDescent="0.2">
      <c r="A53" s="3"/>
      <c r="B53" s="3"/>
      <c r="C53" s="3" t="str">
        <f>IFERROR(VLOOKUP(B53,'الخطة التدريبية المعتمدة'!A:C,3,FALSE),"")</f>
        <v/>
      </c>
      <c r="D53" s="3"/>
      <c r="E53" s="3"/>
      <c r="F53" s="3"/>
      <c r="G53" s="3"/>
      <c r="H53" s="3" t="str">
        <f>IF(A53="","",COUNTIFS('[2]سجل الحضور والتنفيذ'!B:B,A53,'[2]سجل الحضور والتنفيذ'!H:H,"حاضر"))</f>
        <v/>
      </c>
      <c r="I53" s="7" t="str">
        <f>IF(OR(A53="",G53=0),"",H53/G53)</f>
        <v/>
      </c>
      <c r="J53" s="3"/>
      <c r="K53" s="3"/>
    </row>
    <row r="54" spans="1:11" x14ac:dyDescent="0.2">
      <c r="A54" s="3"/>
      <c r="B54" s="3"/>
      <c r="C54" s="3" t="str">
        <f>IFERROR(VLOOKUP(B54,'الخطة التدريبية المعتمدة'!A:C,3,FALSE),"")</f>
        <v/>
      </c>
      <c r="D54" s="3"/>
      <c r="E54" s="3"/>
      <c r="F54" s="3"/>
      <c r="G54" s="3"/>
      <c r="H54" s="3" t="str">
        <f>IF(A54="","",COUNTIFS('[2]سجل الحضور والتنفيذ'!B:B,A54,'[2]سجل الحضور والتنفيذ'!H:H,"حاضر"))</f>
        <v/>
      </c>
      <c r="I54" s="7" t="str">
        <f>IF(OR(A54="",G54=0),"",H54/G54)</f>
        <v/>
      </c>
      <c r="J54" s="3"/>
      <c r="K54" s="3"/>
    </row>
    <row r="55" spans="1:11" x14ac:dyDescent="0.2">
      <c r="A55" s="3"/>
      <c r="B55" s="3"/>
      <c r="C55" s="3" t="str">
        <f>IFERROR(VLOOKUP(B55,'الخطة التدريبية المعتمدة'!A:C,3,FALSE),"")</f>
        <v/>
      </c>
      <c r="D55" s="3"/>
      <c r="E55" s="3"/>
      <c r="F55" s="3"/>
      <c r="G55" s="3"/>
      <c r="H55" s="3" t="str">
        <f>IF(A55="","",COUNTIFS('[2]سجل الحضور والتنفيذ'!B:B,A55,'[2]سجل الحضور والتنفيذ'!H:H,"حاضر"))</f>
        <v/>
      </c>
      <c r="I55" s="7" t="str">
        <f>IF(OR(A55="",G55=0),"",H55/G55)</f>
        <v/>
      </c>
      <c r="J55" s="3"/>
      <c r="K55" s="3"/>
    </row>
    <row r="56" spans="1:11" x14ac:dyDescent="0.2">
      <c r="A56" s="3"/>
      <c r="B56" s="3"/>
      <c r="C56" s="3" t="str">
        <f>IFERROR(VLOOKUP(B56,'الخطة التدريبية المعتمدة'!A:C,3,FALSE),"")</f>
        <v/>
      </c>
      <c r="D56" s="3"/>
      <c r="E56" s="3"/>
      <c r="F56" s="3"/>
      <c r="G56" s="3"/>
      <c r="H56" s="3" t="str">
        <f>IF(A56="","",COUNTIFS('[2]سجل الحضور والتنفيذ'!B:B,A56,'[2]سجل الحضور والتنفيذ'!H:H,"حاضر"))</f>
        <v/>
      </c>
      <c r="I56" s="7" t="str">
        <f>IF(OR(A56="",G56=0),"",H56/G56)</f>
        <v/>
      </c>
      <c r="J56" s="3"/>
      <c r="K56" s="3"/>
    </row>
    <row r="57" spans="1:11" x14ac:dyDescent="0.2">
      <c r="A57" s="3"/>
      <c r="B57" s="3"/>
      <c r="C57" s="3" t="str">
        <f>IFERROR(VLOOKUP(B57,'الخطة التدريبية المعتمدة'!A:C,3,FALSE),"")</f>
        <v/>
      </c>
      <c r="D57" s="3"/>
      <c r="E57" s="3"/>
      <c r="F57" s="3"/>
      <c r="G57" s="3"/>
      <c r="H57" s="3" t="str">
        <f>IF(A57="","",COUNTIFS('[2]سجل الحضور والتنفيذ'!B:B,A57,'[2]سجل الحضور والتنفيذ'!H:H,"حاضر"))</f>
        <v/>
      </c>
      <c r="I57" s="7" t="str">
        <f>IF(OR(A57="",G57=0),"",H57/G57)</f>
        <v/>
      </c>
      <c r="J57" s="3"/>
      <c r="K57" s="3"/>
    </row>
    <row r="58" spans="1:11" x14ac:dyDescent="0.2">
      <c r="A58" s="3"/>
      <c r="B58" s="3"/>
      <c r="C58" s="3" t="str">
        <f>IFERROR(VLOOKUP(B58,'الخطة التدريبية المعتمدة'!A:C,3,FALSE),"")</f>
        <v/>
      </c>
      <c r="D58" s="3"/>
      <c r="E58" s="3"/>
      <c r="F58" s="3"/>
      <c r="G58" s="3"/>
      <c r="H58" s="3" t="str">
        <f>IF(A58="","",COUNTIFS('[2]سجل الحضور والتنفيذ'!B:B,A58,'[2]سجل الحضور والتنفيذ'!H:H,"حاضر"))</f>
        <v/>
      </c>
      <c r="I58" s="7" t="str">
        <f>IF(OR(A58="",G58=0),"",H58/G58)</f>
        <v/>
      </c>
      <c r="J58" s="3"/>
      <c r="K58" s="3"/>
    </row>
    <row r="59" spans="1:11" x14ac:dyDescent="0.2">
      <c r="A59" s="3"/>
      <c r="B59" s="3"/>
      <c r="C59" s="3" t="str">
        <f>IFERROR(VLOOKUP(B59,'الخطة التدريبية المعتمدة'!A:C,3,FALSE),"")</f>
        <v/>
      </c>
      <c r="D59" s="3"/>
      <c r="E59" s="3"/>
      <c r="F59" s="3"/>
      <c r="G59" s="3"/>
      <c r="H59" s="3" t="str">
        <f>IF(A59="","",COUNTIFS('[2]سجل الحضور والتنفيذ'!B:B,A59,'[2]سجل الحضور والتنفيذ'!H:H,"حاضر"))</f>
        <v/>
      </c>
      <c r="I59" s="7" t="str">
        <f>IF(OR(A59="",G59=0),"",H59/G59)</f>
        <v/>
      </c>
      <c r="J59" s="3"/>
      <c r="K59" s="3"/>
    </row>
    <row r="60" spans="1:11" x14ac:dyDescent="0.2">
      <c r="A60" s="3"/>
      <c r="B60" s="3"/>
      <c r="C60" s="3" t="str">
        <f>IFERROR(VLOOKUP(B60,'الخطة التدريبية المعتمدة'!A:C,3,FALSE),"")</f>
        <v/>
      </c>
      <c r="D60" s="3"/>
      <c r="E60" s="3"/>
      <c r="F60" s="3"/>
      <c r="G60" s="3"/>
      <c r="H60" s="3" t="str">
        <f>IF(A60="","",COUNTIFS('[2]سجل الحضور والتنفيذ'!B:B,A60,'[2]سجل الحضور والتنفيذ'!H:H,"حاضر"))</f>
        <v/>
      </c>
      <c r="I60" s="7" t="str">
        <f>IF(OR(A60="",G60=0),"",H60/G60)</f>
        <v/>
      </c>
      <c r="J60" s="3"/>
      <c r="K60" s="3"/>
    </row>
    <row r="61" spans="1:11" x14ac:dyDescent="0.2">
      <c r="A61" s="3"/>
      <c r="B61" s="3"/>
      <c r="C61" s="3" t="str">
        <f>IFERROR(VLOOKUP(B61,'الخطة التدريبية المعتمدة'!A:C,3,FALSE),"")</f>
        <v/>
      </c>
      <c r="D61" s="3"/>
      <c r="E61" s="3"/>
      <c r="F61" s="3"/>
      <c r="G61" s="3"/>
      <c r="H61" s="3" t="str">
        <f>IF(A61="","",COUNTIFS('[2]سجل الحضور والتنفيذ'!B:B,A61,'[2]سجل الحضور والتنفيذ'!H:H,"حاضر"))</f>
        <v/>
      </c>
      <c r="I61" s="7" t="str">
        <f>IF(OR(A61="",G61=0),"",H61/G61)</f>
        <v/>
      </c>
      <c r="J61" s="3"/>
      <c r="K61" s="3"/>
    </row>
    <row r="62" spans="1:11" x14ac:dyDescent="0.2">
      <c r="A62" s="3"/>
      <c r="B62" s="3"/>
      <c r="C62" s="3" t="str">
        <f>IFERROR(VLOOKUP(B62,'الخطة التدريبية المعتمدة'!A:C,3,FALSE),"")</f>
        <v/>
      </c>
      <c r="D62" s="3"/>
      <c r="E62" s="3"/>
      <c r="F62" s="3"/>
      <c r="G62" s="3"/>
      <c r="H62" s="3" t="str">
        <f>IF(A62="","",COUNTIFS('[2]سجل الحضور والتنفيذ'!B:B,A62,'[2]سجل الحضور والتنفيذ'!H:H,"حاضر"))</f>
        <v/>
      </c>
      <c r="I62" s="7" t="str">
        <f>IF(OR(A62="",G62=0),"",H62/G62)</f>
        <v/>
      </c>
      <c r="J62" s="3"/>
      <c r="K62" s="3"/>
    </row>
    <row r="63" spans="1:11" x14ac:dyDescent="0.2">
      <c r="A63" s="3"/>
      <c r="B63" s="3"/>
      <c r="C63" s="3" t="str">
        <f>IFERROR(VLOOKUP(B63,'الخطة التدريبية المعتمدة'!A:C,3,FALSE),"")</f>
        <v/>
      </c>
      <c r="D63" s="3"/>
      <c r="E63" s="3"/>
      <c r="F63" s="3"/>
      <c r="G63" s="3"/>
      <c r="H63" s="3" t="str">
        <f>IF(A63="","",COUNTIFS('[2]سجل الحضور والتنفيذ'!B:B,A63,'[2]سجل الحضور والتنفيذ'!H:H,"حاضر"))</f>
        <v/>
      </c>
      <c r="I63" s="7" t="str">
        <f>IF(OR(A63="",G63=0),"",H63/G63)</f>
        <v/>
      </c>
      <c r="J63" s="3"/>
      <c r="K63" s="3"/>
    </row>
    <row r="64" spans="1:11" x14ac:dyDescent="0.2">
      <c r="A64" s="3"/>
      <c r="B64" s="3"/>
      <c r="C64" s="3" t="str">
        <f>IFERROR(VLOOKUP(B64,'الخطة التدريبية المعتمدة'!A:C,3,FALSE),"")</f>
        <v/>
      </c>
      <c r="D64" s="3"/>
      <c r="E64" s="3"/>
      <c r="F64" s="3"/>
      <c r="G64" s="3"/>
      <c r="H64" s="3" t="str">
        <f>IF(A64="","",COUNTIFS('[2]سجل الحضور والتنفيذ'!B:B,A64,'[2]سجل الحضور والتنفيذ'!H:H,"حاضر"))</f>
        <v/>
      </c>
      <c r="I64" s="7" t="str">
        <f>IF(OR(A64="",G64=0),"",H64/G64)</f>
        <v/>
      </c>
      <c r="J64" s="3"/>
      <c r="K64" s="3"/>
    </row>
    <row r="65" spans="1:11" x14ac:dyDescent="0.2">
      <c r="A65" s="3"/>
      <c r="B65" s="3"/>
      <c r="C65" s="3" t="str">
        <f>IFERROR(VLOOKUP(B65,'الخطة التدريبية المعتمدة'!A:C,3,FALSE),"")</f>
        <v/>
      </c>
      <c r="D65" s="3"/>
      <c r="E65" s="3"/>
      <c r="F65" s="3"/>
      <c r="G65" s="3"/>
      <c r="H65" s="3" t="str">
        <f>IF(A65="","",COUNTIFS('[2]سجل الحضور والتنفيذ'!B:B,A65,'[2]سجل الحضور والتنفيذ'!H:H,"حاضر"))</f>
        <v/>
      </c>
      <c r="I65" s="7" t="str">
        <f>IF(OR(A65="",G65=0),"",H65/G65)</f>
        <v/>
      </c>
      <c r="J65" s="3"/>
      <c r="K65" s="3"/>
    </row>
    <row r="66" spans="1:11" x14ac:dyDescent="0.2">
      <c r="A66" s="3"/>
      <c r="B66" s="3"/>
      <c r="C66" s="3" t="str">
        <f>IFERROR(VLOOKUP(B66,'الخطة التدريبية المعتمدة'!A:C,3,FALSE),"")</f>
        <v/>
      </c>
      <c r="D66" s="3"/>
      <c r="E66" s="3"/>
      <c r="F66" s="3"/>
      <c r="G66" s="3"/>
      <c r="H66" s="3" t="str">
        <f>IF(A66="","",COUNTIFS('[2]سجل الحضور والتنفيذ'!B:B,A66,'[2]سجل الحضور والتنفيذ'!H:H,"حاضر"))</f>
        <v/>
      </c>
      <c r="I66" s="7" t="str">
        <f>IF(OR(A66="",G66=0),"",H66/G66)</f>
        <v/>
      </c>
      <c r="J66" s="3"/>
      <c r="K66" s="3"/>
    </row>
    <row r="67" spans="1:11" x14ac:dyDescent="0.2">
      <c r="A67" s="3"/>
      <c r="B67" s="3"/>
      <c r="C67" s="3" t="str">
        <f>IFERROR(VLOOKUP(B67,'الخطة التدريبية المعتمدة'!A:C,3,FALSE),"")</f>
        <v/>
      </c>
      <c r="D67" s="3"/>
      <c r="E67" s="3"/>
      <c r="F67" s="3"/>
      <c r="G67" s="3"/>
      <c r="H67" s="3" t="str">
        <f>IF(A67="","",COUNTIFS('[2]سجل الحضور والتنفيذ'!B:B,A67,'[2]سجل الحضور والتنفيذ'!H:H,"حاضر"))</f>
        <v/>
      </c>
      <c r="I67" s="7" t="str">
        <f>IF(OR(A67="",G67=0),"",H67/G67)</f>
        <v/>
      </c>
      <c r="J67" s="3"/>
      <c r="K67" s="3"/>
    </row>
    <row r="68" spans="1:11" x14ac:dyDescent="0.2">
      <c r="A68" s="3"/>
      <c r="B68" s="3"/>
      <c r="C68" s="3" t="str">
        <f>IFERROR(VLOOKUP(B68,'الخطة التدريبية المعتمدة'!A:C,3,FALSE),"")</f>
        <v/>
      </c>
      <c r="D68" s="3"/>
      <c r="E68" s="3"/>
      <c r="F68" s="3"/>
      <c r="G68" s="3"/>
      <c r="H68" s="3" t="str">
        <f>IF(A68="","",COUNTIFS('[2]سجل الحضور والتنفيذ'!B:B,A68,'[2]سجل الحضور والتنفيذ'!H:H,"حاضر"))</f>
        <v/>
      </c>
      <c r="I68" s="7" t="str">
        <f>IF(OR(A68="",G68=0),"",H68/G68)</f>
        <v/>
      </c>
      <c r="J68" s="3"/>
      <c r="K68" s="3"/>
    </row>
    <row r="69" spans="1:11" x14ac:dyDescent="0.2">
      <c r="A69" s="3"/>
      <c r="B69" s="3"/>
      <c r="C69" s="3" t="str">
        <f>IFERROR(VLOOKUP(B69,'الخطة التدريبية المعتمدة'!A:C,3,FALSE),"")</f>
        <v/>
      </c>
      <c r="D69" s="3"/>
      <c r="E69" s="3"/>
      <c r="F69" s="3"/>
      <c r="G69" s="3"/>
      <c r="H69" s="3" t="str">
        <f>IF(A69="","",COUNTIFS('[2]سجل الحضور والتنفيذ'!B:B,A69,'[2]سجل الحضور والتنفيذ'!H:H,"حاضر"))</f>
        <v/>
      </c>
      <c r="I69" s="7" t="str">
        <f>IF(OR(A69="",G69=0),"",H69/G69)</f>
        <v/>
      </c>
      <c r="J69" s="3"/>
      <c r="K69" s="3"/>
    </row>
    <row r="70" spans="1:11" x14ac:dyDescent="0.2">
      <c r="A70" s="3"/>
      <c r="B70" s="3"/>
      <c r="C70" s="3" t="str">
        <f>IFERROR(VLOOKUP(B70,'الخطة التدريبية المعتمدة'!A:C,3,FALSE),"")</f>
        <v/>
      </c>
      <c r="D70" s="3"/>
      <c r="E70" s="3"/>
      <c r="F70" s="3"/>
      <c r="G70" s="3"/>
      <c r="H70" s="3" t="str">
        <f>IF(A70="","",COUNTIFS('[2]سجل الحضور والتنفيذ'!B:B,A70,'[2]سجل الحضور والتنفيذ'!H:H,"حاضر"))</f>
        <v/>
      </c>
      <c r="I70" s="7" t="str">
        <f>IF(OR(A70="",G70=0),"",H70/G70)</f>
        <v/>
      </c>
      <c r="J70" s="3"/>
      <c r="K70" s="3"/>
    </row>
    <row r="71" spans="1:11" x14ac:dyDescent="0.2">
      <c r="A71" s="3"/>
      <c r="B71" s="3"/>
      <c r="C71" s="3" t="str">
        <f>IFERROR(VLOOKUP(B71,'الخطة التدريبية المعتمدة'!A:C,3,FALSE),"")</f>
        <v/>
      </c>
      <c r="D71" s="3"/>
      <c r="E71" s="3"/>
      <c r="F71" s="3"/>
      <c r="G71" s="3"/>
      <c r="H71" s="3" t="str">
        <f>IF(A71="","",COUNTIFS('[2]سجل الحضور والتنفيذ'!B:B,A71,'[2]سجل الحضور والتنفيذ'!H:H,"حاضر"))</f>
        <v/>
      </c>
      <c r="I71" s="7" t="str">
        <f>IF(OR(A71="",G71=0),"",H71/G71)</f>
        <v/>
      </c>
      <c r="J71" s="3"/>
      <c r="K71" s="3"/>
    </row>
    <row r="72" spans="1:11" x14ac:dyDescent="0.2">
      <c r="A72" s="3"/>
      <c r="B72" s="3"/>
      <c r="C72" s="3" t="str">
        <f>IFERROR(VLOOKUP(B72,'الخطة التدريبية المعتمدة'!A:C,3,FALSE),"")</f>
        <v/>
      </c>
      <c r="D72" s="3"/>
      <c r="E72" s="3"/>
      <c r="F72" s="3"/>
      <c r="G72" s="3"/>
      <c r="H72" s="3" t="str">
        <f>IF(A72="","",COUNTIFS('[2]سجل الحضور والتنفيذ'!B:B,A72,'[2]سجل الحضور والتنفيذ'!H:H,"حاضر"))</f>
        <v/>
      </c>
      <c r="I72" s="7" t="str">
        <f>IF(OR(A72="",G72=0),"",H72/G72)</f>
        <v/>
      </c>
      <c r="J72" s="3"/>
      <c r="K72" s="3"/>
    </row>
    <row r="73" spans="1:11" x14ac:dyDescent="0.2">
      <c r="A73" s="3"/>
      <c r="B73" s="3"/>
      <c r="C73" s="3" t="str">
        <f>IFERROR(VLOOKUP(B73,'الخطة التدريبية المعتمدة'!A:C,3,FALSE),"")</f>
        <v/>
      </c>
      <c r="D73" s="3"/>
      <c r="E73" s="3"/>
      <c r="F73" s="3"/>
      <c r="G73" s="3"/>
      <c r="H73" s="3" t="str">
        <f>IF(A73="","",COUNTIFS('[2]سجل الحضور والتنفيذ'!B:B,A73,'[2]سجل الحضور والتنفيذ'!H:H,"حاضر"))</f>
        <v/>
      </c>
      <c r="I73" s="7" t="str">
        <f>IF(OR(A73="",G73=0),"",H73/G73)</f>
        <v/>
      </c>
      <c r="J73" s="3"/>
      <c r="K73" s="3"/>
    </row>
    <row r="74" spans="1:11" x14ac:dyDescent="0.2">
      <c r="A74" s="3"/>
      <c r="B74" s="3"/>
      <c r="C74" s="3" t="str">
        <f>IFERROR(VLOOKUP(B74,'الخطة التدريبية المعتمدة'!A:C,3,FALSE),"")</f>
        <v/>
      </c>
      <c r="D74" s="3"/>
      <c r="E74" s="3"/>
      <c r="F74" s="3"/>
      <c r="G74" s="3"/>
      <c r="H74" s="3" t="str">
        <f>IF(A74="","",COUNTIFS('[2]سجل الحضور والتنفيذ'!B:B,A74,'[2]سجل الحضور والتنفيذ'!H:H,"حاضر"))</f>
        <v/>
      </c>
      <c r="I74" s="7" t="str">
        <f>IF(OR(A74="",G74=0),"",H74/G74)</f>
        <v/>
      </c>
      <c r="J74" s="3"/>
      <c r="K74" s="3"/>
    </row>
    <row r="75" spans="1:11" x14ac:dyDescent="0.2">
      <c r="A75" s="3"/>
      <c r="B75" s="3"/>
      <c r="C75" s="3" t="str">
        <f>IFERROR(VLOOKUP(B75,'الخطة التدريبية المعتمدة'!A:C,3,FALSE),"")</f>
        <v/>
      </c>
      <c r="D75" s="3"/>
      <c r="E75" s="3"/>
      <c r="F75" s="3"/>
      <c r="G75" s="3"/>
      <c r="H75" s="3" t="str">
        <f>IF(A75="","",COUNTIFS('[2]سجل الحضور والتنفيذ'!B:B,A75,'[2]سجل الحضور والتنفيذ'!H:H,"حاضر"))</f>
        <v/>
      </c>
      <c r="I75" s="7" t="str">
        <f>IF(OR(A75="",G75=0),"",H75/G75)</f>
        <v/>
      </c>
      <c r="J75" s="3"/>
      <c r="K75" s="3"/>
    </row>
    <row r="76" spans="1:11" x14ac:dyDescent="0.2">
      <c r="A76" s="3"/>
      <c r="B76" s="3"/>
      <c r="C76" s="3" t="str">
        <f>IFERROR(VLOOKUP(B76,'الخطة التدريبية المعتمدة'!A:C,3,FALSE),"")</f>
        <v/>
      </c>
      <c r="D76" s="3"/>
      <c r="E76" s="3"/>
      <c r="F76" s="3"/>
      <c r="G76" s="3"/>
      <c r="H76" s="3" t="str">
        <f>IF(A76="","",COUNTIFS('[2]سجل الحضور والتنفيذ'!B:B,A76,'[2]سجل الحضور والتنفيذ'!H:H,"حاضر"))</f>
        <v/>
      </c>
      <c r="I76" s="7" t="str">
        <f>IF(OR(A76="",G76=0),"",H76/G76)</f>
        <v/>
      </c>
      <c r="J76" s="3"/>
      <c r="K76" s="3"/>
    </row>
    <row r="77" spans="1:11" x14ac:dyDescent="0.2">
      <c r="A77" s="3"/>
      <c r="B77" s="3"/>
      <c r="C77" s="3" t="str">
        <f>IFERROR(VLOOKUP(B77,'الخطة التدريبية المعتمدة'!A:C,3,FALSE),"")</f>
        <v/>
      </c>
      <c r="D77" s="3"/>
      <c r="E77" s="3"/>
      <c r="F77" s="3"/>
      <c r="G77" s="3"/>
      <c r="H77" s="3" t="str">
        <f>IF(A77="","",COUNTIFS('[2]سجل الحضور والتنفيذ'!B:B,A77,'[2]سجل الحضور والتنفيذ'!H:H,"حاضر"))</f>
        <v/>
      </c>
      <c r="I77" s="7" t="str">
        <f>IF(OR(A77="",G77=0),"",H77/G77)</f>
        <v/>
      </c>
      <c r="J77" s="3"/>
      <c r="K77" s="3"/>
    </row>
    <row r="78" spans="1:11" x14ac:dyDescent="0.2">
      <c r="A78" s="3"/>
      <c r="B78" s="3"/>
      <c r="C78" s="3" t="str">
        <f>IFERROR(VLOOKUP(B78,'الخطة التدريبية المعتمدة'!A:C,3,FALSE),"")</f>
        <v/>
      </c>
      <c r="D78" s="3"/>
      <c r="E78" s="3"/>
      <c r="F78" s="3"/>
      <c r="G78" s="3"/>
      <c r="H78" s="3" t="str">
        <f>IF(A78="","",COUNTIFS('[2]سجل الحضور والتنفيذ'!B:B,A78,'[2]سجل الحضور والتنفيذ'!H:H,"حاضر"))</f>
        <v/>
      </c>
      <c r="I78" s="7" t="str">
        <f>IF(OR(A78="",G78=0),"",H78/G78)</f>
        <v/>
      </c>
      <c r="J78" s="3"/>
      <c r="K78" s="3"/>
    </row>
    <row r="79" spans="1:11" x14ac:dyDescent="0.2">
      <c r="A79" s="3"/>
      <c r="B79" s="3"/>
      <c r="C79" s="3" t="str">
        <f>IFERROR(VLOOKUP(B79,'الخطة التدريبية المعتمدة'!A:C,3,FALSE),"")</f>
        <v/>
      </c>
      <c r="D79" s="3"/>
      <c r="E79" s="3"/>
      <c r="F79" s="3"/>
      <c r="G79" s="3"/>
      <c r="H79" s="3" t="str">
        <f>IF(A79="","",COUNTIFS('[2]سجل الحضور والتنفيذ'!B:B,A79,'[2]سجل الحضور والتنفيذ'!H:H,"حاضر"))</f>
        <v/>
      </c>
      <c r="I79" s="7" t="str">
        <f>IF(OR(A79="",G79=0),"",H79/G79)</f>
        <v/>
      </c>
      <c r="J79" s="3"/>
      <c r="K79" s="3"/>
    </row>
    <row r="80" spans="1:11" x14ac:dyDescent="0.2">
      <c r="A80" s="3"/>
      <c r="B80" s="3"/>
      <c r="C80" s="3" t="str">
        <f>IFERROR(VLOOKUP(B80,'الخطة التدريبية المعتمدة'!A:C,3,FALSE),"")</f>
        <v/>
      </c>
      <c r="D80" s="3"/>
      <c r="E80" s="3"/>
      <c r="F80" s="3"/>
      <c r="G80" s="3"/>
      <c r="H80" s="3" t="str">
        <f>IF(A80="","",COUNTIFS('[2]سجل الحضور والتنفيذ'!B:B,A80,'[2]سجل الحضور والتنفيذ'!H:H,"حاضر"))</f>
        <v/>
      </c>
      <c r="I80" s="7" t="str">
        <f>IF(OR(A80="",G80=0),"",H80/G80)</f>
        <v/>
      </c>
      <c r="J80" s="3"/>
      <c r="K80" s="3"/>
    </row>
    <row r="81" spans="1:11" x14ac:dyDescent="0.2">
      <c r="A81" s="3"/>
      <c r="B81" s="3"/>
      <c r="C81" s="3" t="str">
        <f>IFERROR(VLOOKUP(B81,'الخطة التدريبية المعتمدة'!A:C,3,FALSE),"")</f>
        <v/>
      </c>
      <c r="D81" s="3"/>
      <c r="E81" s="3"/>
      <c r="F81" s="3"/>
      <c r="G81" s="3"/>
      <c r="H81" s="3" t="str">
        <f>IF(A81="","",COUNTIFS('[2]سجل الحضور والتنفيذ'!B:B,A81,'[2]سجل الحضور والتنفيذ'!H:H,"حاضر"))</f>
        <v/>
      </c>
      <c r="I81" s="7" t="str">
        <f>IF(OR(A81="",G81=0),"",H81/G81)</f>
        <v/>
      </c>
      <c r="J81" s="3"/>
      <c r="K81" s="3"/>
    </row>
    <row r="82" spans="1:11" x14ac:dyDescent="0.2">
      <c r="A82" s="3"/>
      <c r="B82" s="3"/>
      <c r="C82" s="3" t="str">
        <f>IFERROR(VLOOKUP(B82,'الخطة التدريبية المعتمدة'!A:C,3,FALSE),"")</f>
        <v/>
      </c>
      <c r="D82" s="3"/>
      <c r="E82" s="3"/>
      <c r="F82" s="3"/>
      <c r="G82" s="3"/>
      <c r="H82" s="3" t="str">
        <f>IF(A82="","",COUNTIFS('[2]سجل الحضور والتنفيذ'!B:B,A82,'[2]سجل الحضور والتنفيذ'!H:H,"حاضر"))</f>
        <v/>
      </c>
      <c r="I82" s="7" t="str">
        <f>IF(OR(A82="",G82=0),"",H82/G82)</f>
        <v/>
      </c>
      <c r="J82" s="3"/>
      <c r="K82" s="3"/>
    </row>
    <row r="83" spans="1:11" x14ac:dyDescent="0.2">
      <c r="A83" s="3"/>
      <c r="B83" s="3"/>
      <c r="C83" s="3" t="str">
        <f>IFERROR(VLOOKUP(B83,'الخطة التدريبية المعتمدة'!A:C,3,FALSE),"")</f>
        <v/>
      </c>
      <c r="D83" s="3"/>
      <c r="E83" s="3"/>
      <c r="F83" s="3"/>
      <c r="G83" s="3"/>
      <c r="H83" s="3" t="str">
        <f>IF(A83="","",COUNTIFS('[2]سجل الحضور والتنفيذ'!B:B,A83,'[2]سجل الحضور والتنفيذ'!H:H,"حاضر"))</f>
        <v/>
      </c>
      <c r="I83" s="7" t="str">
        <f>IF(OR(A83="",G83=0),"",H83/G83)</f>
        <v/>
      </c>
      <c r="J83" s="3"/>
      <c r="K83" s="3"/>
    </row>
    <row r="84" spans="1:11" x14ac:dyDescent="0.2">
      <c r="A84" s="3"/>
      <c r="B84" s="3"/>
      <c r="C84" s="3" t="str">
        <f>IFERROR(VLOOKUP(B84,'الخطة التدريبية المعتمدة'!A:C,3,FALSE),"")</f>
        <v/>
      </c>
      <c r="D84" s="3"/>
      <c r="E84" s="3"/>
      <c r="F84" s="3"/>
      <c r="G84" s="3"/>
      <c r="H84" s="3" t="str">
        <f>IF(A84="","",COUNTIFS('[2]سجل الحضور والتنفيذ'!B:B,A84,'[2]سجل الحضور والتنفيذ'!H:H,"حاضر"))</f>
        <v/>
      </c>
      <c r="I84" s="7" t="str">
        <f>IF(OR(A84="",G84=0),"",H84/G84)</f>
        <v/>
      </c>
      <c r="J84" s="3"/>
      <c r="K84" s="3"/>
    </row>
    <row r="85" spans="1:11" x14ac:dyDescent="0.2">
      <c r="A85" s="3"/>
      <c r="B85" s="3"/>
      <c r="C85" s="3" t="str">
        <f>IFERROR(VLOOKUP(B85,'الخطة التدريبية المعتمدة'!A:C,3,FALSE),"")</f>
        <v/>
      </c>
      <c r="D85" s="3"/>
      <c r="E85" s="3"/>
      <c r="F85" s="3"/>
      <c r="G85" s="3"/>
      <c r="H85" s="3" t="str">
        <f>IF(A85="","",COUNTIFS('[2]سجل الحضور والتنفيذ'!B:B,A85,'[2]سجل الحضور والتنفيذ'!H:H,"حاضر"))</f>
        <v/>
      </c>
      <c r="I85" s="7" t="str">
        <f>IF(OR(A85="",G85=0),"",H85/G85)</f>
        <v/>
      </c>
      <c r="J85" s="3"/>
      <c r="K85" s="3"/>
    </row>
    <row r="86" spans="1:11" x14ac:dyDescent="0.2">
      <c r="A86" s="3"/>
      <c r="B86" s="3"/>
      <c r="C86" s="3" t="str">
        <f>IFERROR(VLOOKUP(B86,'الخطة التدريبية المعتمدة'!A:C,3,FALSE),"")</f>
        <v/>
      </c>
      <c r="D86" s="3"/>
      <c r="E86" s="3"/>
      <c r="F86" s="3"/>
      <c r="G86" s="3"/>
      <c r="H86" s="3" t="str">
        <f>IF(A86="","",COUNTIFS('[2]سجل الحضور والتنفيذ'!B:B,A86,'[2]سجل الحضور والتنفيذ'!H:H,"حاضر"))</f>
        <v/>
      </c>
      <c r="I86" s="7" t="str">
        <f>IF(OR(A86="",G86=0),"",H86/G86)</f>
        <v/>
      </c>
      <c r="J86" s="3"/>
      <c r="K86" s="3"/>
    </row>
    <row r="87" spans="1:11" x14ac:dyDescent="0.2">
      <c r="A87" s="3"/>
      <c r="B87" s="3"/>
      <c r="C87" s="3" t="str">
        <f>IFERROR(VLOOKUP(B87,'الخطة التدريبية المعتمدة'!A:C,3,FALSE),"")</f>
        <v/>
      </c>
      <c r="D87" s="3"/>
      <c r="E87" s="3"/>
      <c r="F87" s="3"/>
      <c r="G87" s="3"/>
      <c r="H87" s="3" t="str">
        <f>IF(A87="","",COUNTIFS('[2]سجل الحضور والتنفيذ'!B:B,A87,'[2]سجل الحضور والتنفيذ'!H:H,"حاضر"))</f>
        <v/>
      </c>
      <c r="I87" s="7" t="str">
        <f>IF(OR(A87="",G87=0),"",H87/G87)</f>
        <v/>
      </c>
      <c r="J87" s="3"/>
      <c r="K87" s="3"/>
    </row>
    <row r="88" spans="1:11" x14ac:dyDescent="0.2">
      <c r="A88" s="3"/>
      <c r="B88" s="3"/>
      <c r="C88" s="3" t="str">
        <f>IFERROR(VLOOKUP(B88,'الخطة التدريبية المعتمدة'!A:C,3,FALSE),"")</f>
        <v/>
      </c>
      <c r="D88" s="3"/>
      <c r="E88" s="3"/>
      <c r="F88" s="3"/>
      <c r="G88" s="3"/>
      <c r="H88" s="3" t="str">
        <f>IF(A88="","",COUNTIFS('[2]سجل الحضور والتنفيذ'!B:B,A88,'[2]سجل الحضور والتنفيذ'!H:H,"حاضر"))</f>
        <v/>
      </c>
      <c r="I88" s="7" t="str">
        <f>IF(OR(A88="",G88=0),"",H88/G88)</f>
        <v/>
      </c>
      <c r="J88" s="3"/>
      <c r="K88" s="3"/>
    </row>
    <row r="89" spans="1:11" x14ac:dyDescent="0.2">
      <c r="A89" s="3"/>
      <c r="B89" s="3"/>
      <c r="C89" s="3" t="str">
        <f>IFERROR(VLOOKUP(B89,'الخطة التدريبية المعتمدة'!A:C,3,FALSE),"")</f>
        <v/>
      </c>
      <c r="D89" s="3"/>
      <c r="E89" s="3"/>
      <c r="F89" s="3"/>
      <c r="G89" s="3"/>
      <c r="H89" s="3" t="str">
        <f>IF(A89="","",COUNTIFS('[2]سجل الحضور والتنفيذ'!B:B,A89,'[2]سجل الحضور والتنفيذ'!H:H,"حاضر"))</f>
        <v/>
      </c>
      <c r="I89" s="7" t="str">
        <f>IF(OR(A89="",G89=0),"",H89/G89)</f>
        <v/>
      </c>
      <c r="J89" s="3"/>
      <c r="K89" s="3"/>
    </row>
    <row r="90" spans="1:11" x14ac:dyDescent="0.2">
      <c r="A90" s="3"/>
      <c r="B90" s="3"/>
      <c r="C90" s="3" t="str">
        <f>IFERROR(VLOOKUP(B90,'الخطة التدريبية المعتمدة'!A:C,3,FALSE),"")</f>
        <v/>
      </c>
      <c r="D90" s="3"/>
      <c r="E90" s="3"/>
      <c r="F90" s="3"/>
      <c r="G90" s="3"/>
      <c r="H90" s="3" t="str">
        <f>IF(A90="","",COUNTIFS('[2]سجل الحضور والتنفيذ'!B:B,A90,'[2]سجل الحضور والتنفيذ'!H:H,"حاضر"))</f>
        <v/>
      </c>
      <c r="I90" s="7" t="str">
        <f>IF(OR(A90="",G90=0),"",H90/G90)</f>
        <v/>
      </c>
      <c r="J90" s="3"/>
      <c r="K90" s="3"/>
    </row>
    <row r="91" spans="1:11" x14ac:dyDescent="0.2">
      <c r="A91" s="3"/>
      <c r="B91" s="3"/>
      <c r="C91" s="3" t="str">
        <f>IFERROR(VLOOKUP(B91,'الخطة التدريبية المعتمدة'!A:C,3,FALSE),"")</f>
        <v/>
      </c>
      <c r="D91" s="3"/>
      <c r="E91" s="3"/>
      <c r="F91" s="3"/>
      <c r="G91" s="3"/>
      <c r="H91" s="3" t="str">
        <f>IF(A91="","",COUNTIFS('[2]سجل الحضور والتنفيذ'!B:B,A91,'[2]سجل الحضور والتنفيذ'!H:H,"حاضر"))</f>
        <v/>
      </c>
      <c r="I91" s="7" t="str">
        <f>IF(OR(A91="",G91=0),"",H91/G91)</f>
        <v/>
      </c>
      <c r="J91" s="3"/>
      <c r="K91" s="3"/>
    </row>
    <row r="92" spans="1:11" x14ac:dyDescent="0.2">
      <c r="A92" s="3"/>
      <c r="B92" s="3"/>
      <c r="C92" s="3" t="str">
        <f>IFERROR(VLOOKUP(B92,'الخطة التدريبية المعتمدة'!A:C,3,FALSE),"")</f>
        <v/>
      </c>
      <c r="D92" s="3"/>
      <c r="E92" s="3"/>
      <c r="F92" s="3"/>
      <c r="G92" s="3"/>
      <c r="H92" s="3" t="str">
        <f>IF(A92="","",COUNTIFS('[2]سجل الحضور والتنفيذ'!B:B,A92,'[2]سجل الحضور والتنفيذ'!H:H,"حاضر"))</f>
        <v/>
      </c>
      <c r="I92" s="7" t="str">
        <f>IF(OR(A92="",G92=0),"",H92/G92)</f>
        <v/>
      </c>
      <c r="J92" s="3"/>
      <c r="K92" s="3"/>
    </row>
    <row r="93" spans="1:11" x14ac:dyDescent="0.2">
      <c r="A93" s="3"/>
      <c r="B93" s="3"/>
      <c r="C93" s="3" t="str">
        <f>IFERROR(VLOOKUP(B93,'الخطة التدريبية المعتمدة'!A:C,3,FALSE),"")</f>
        <v/>
      </c>
      <c r="D93" s="3"/>
      <c r="E93" s="3"/>
      <c r="F93" s="3"/>
      <c r="G93" s="3"/>
      <c r="H93" s="3" t="str">
        <f>IF(A93="","",COUNTIFS('[2]سجل الحضور والتنفيذ'!B:B,A93,'[2]سجل الحضور والتنفيذ'!H:H,"حاضر"))</f>
        <v/>
      </c>
      <c r="I93" s="7" t="str">
        <f>IF(OR(A93="",G93=0),"",H93/G93)</f>
        <v/>
      </c>
      <c r="J93" s="3"/>
      <c r="K93" s="3"/>
    </row>
    <row r="94" spans="1:11" x14ac:dyDescent="0.2">
      <c r="A94" s="3"/>
      <c r="B94" s="3"/>
      <c r="C94" s="3" t="str">
        <f>IFERROR(VLOOKUP(B94,'الخطة التدريبية المعتمدة'!A:C,3,FALSE),"")</f>
        <v/>
      </c>
      <c r="D94" s="3"/>
      <c r="E94" s="3"/>
      <c r="F94" s="3"/>
      <c r="G94" s="3"/>
      <c r="H94" s="3" t="str">
        <f>IF(A94="","",COUNTIFS('[2]سجل الحضور والتنفيذ'!B:B,A94,'[2]سجل الحضور والتنفيذ'!H:H,"حاضر"))</f>
        <v/>
      </c>
      <c r="I94" s="7" t="str">
        <f>IF(OR(A94="",G94=0),"",H94/G94)</f>
        <v/>
      </c>
      <c r="J94" s="3"/>
      <c r="K94" s="3"/>
    </row>
    <row r="95" spans="1:11" x14ac:dyDescent="0.2">
      <c r="A95" s="3"/>
      <c r="B95" s="3"/>
      <c r="C95" s="3" t="str">
        <f>IFERROR(VLOOKUP(B95,'الخطة التدريبية المعتمدة'!A:C,3,FALSE),"")</f>
        <v/>
      </c>
      <c r="D95" s="3"/>
      <c r="E95" s="3"/>
      <c r="F95" s="3"/>
      <c r="G95" s="3"/>
      <c r="H95" s="3" t="str">
        <f>IF(A95="","",COUNTIFS('[2]سجل الحضور والتنفيذ'!B:B,A95,'[2]سجل الحضور والتنفيذ'!H:H,"حاضر"))</f>
        <v/>
      </c>
      <c r="I95" s="7" t="str">
        <f>IF(OR(A95="",G95=0),"",H95/G95)</f>
        <v/>
      </c>
      <c r="J95" s="3"/>
      <c r="K95" s="3"/>
    </row>
    <row r="96" spans="1:11" x14ac:dyDescent="0.2">
      <c r="A96" s="3"/>
      <c r="B96" s="3"/>
      <c r="C96" s="3" t="str">
        <f>IFERROR(VLOOKUP(B96,'الخطة التدريبية المعتمدة'!A:C,3,FALSE),"")</f>
        <v/>
      </c>
      <c r="D96" s="3"/>
      <c r="E96" s="3"/>
      <c r="F96" s="3"/>
      <c r="G96" s="3"/>
      <c r="H96" s="3" t="str">
        <f>IF(A96="","",COUNTIFS('[2]سجل الحضور والتنفيذ'!B:B,A96,'[2]سجل الحضور والتنفيذ'!H:H,"حاضر"))</f>
        <v/>
      </c>
      <c r="I96" s="7" t="str">
        <f>IF(OR(A96="",G96=0),"",H96/G96)</f>
        <v/>
      </c>
      <c r="J96" s="3"/>
      <c r="K96" s="3"/>
    </row>
    <row r="97" spans="1:11" x14ac:dyDescent="0.2">
      <c r="A97" s="3"/>
      <c r="B97" s="3"/>
      <c r="C97" s="3" t="str">
        <f>IFERROR(VLOOKUP(B97,'الخطة التدريبية المعتمدة'!A:C,3,FALSE),"")</f>
        <v/>
      </c>
      <c r="D97" s="3"/>
      <c r="E97" s="3"/>
      <c r="F97" s="3"/>
      <c r="G97" s="3"/>
      <c r="H97" s="3" t="str">
        <f>IF(A97="","",COUNTIFS('[2]سجل الحضور والتنفيذ'!B:B,A97,'[2]سجل الحضور والتنفيذ'!H:H,"حاضر"))</f>
        <v/>
      </c>
      <c r="I97" s="7" t="str">
        <f>IF(OR(A97="",G97=0),"",H97/G97)</f>
        <v/>
      </c>
      <c r="J97" s="3"/>
      <c r="K97" s="3"/>
    </row>
    <row r="98" spans="1:11" x14ac:dyDescent="0.2">
      <c r="A98" s="3"/>
      <c r="B98" s="3"/>
      <c r="C98" s="3" t="str">
        <f>IFERROR(VLOOKUP(B98,'الخطة التدريبية المعتمدة'!A:C,3,FALSE),"")</f>
        <v/>
      </c>
      <c r="D98" s="3"/>
      <c r="E98" s="3"/>
      <c r="F98" s="3"/>
      <c r="G98" s="3"/>
      <c r="H98" s="3" t="str">
        <f>IF(A98="","",COUNTIFS('[2]سجل الحضور والتنفيذ'!B:B,A98,'[2]سجل الحضور والتنفيذ'!H:H,"حاضر"))</f>
        <v/>
      </c>
      <c r="I98" s="7" t="str">
        <f>IF(OR(A98="",G98=0),"",H98/G98)</f>
        <v/>
      </c>
      <c r="J98" s="3"/>
      <c r="K98" s="3"/>
    </row>
    <row r="99" spans="1:11" x14ac:dyDescent="0.2">
      <c r="A99" s="3"/>
      <c r="B99" s="3"/>
      <c r="C99" s="3" t="str">
        <f>IFERROR(VLOOKUP(B99,'الخطة التدريبية المعتمدة'!A:C,3,FALSE),"")</f>
        <v/>
      </c>
      <c r="D99" s="3"/>
      <c r="E99" s="3"/>
      <c r="F99" s="3"/>
      <c r="G99" s="3"/>
      <c r="H99" s="3" t="str">
        <f>IF(A99="","",COUNTIFS('[2]سجل الحضور والتنفيذ'!B:B,A99,'[2]سجل الحضور والتنفيذ'!H:H,"حاضر"))</f>
        <v/>
      </c>
      <c r="I99" s="7" t="str">
        <f>IF(OR(A99="",G99=0),"",H99/G99)</f>
        <v/>
      </c>
      <c r="J99" s="3"/>
      <c r="K99" s="3"/>
    </row>
    <row r="100" spans="1:11" x14ac:dyDescent="0.2">
      <c r="A100" s="3"/>
      <c r="B100" s="3"/>
      <c r="C100" s="3" t="str">
        <f>IFERROR(VLOOKUP(B100,'الخطة التدريبية المعتمدة'!A:C,3,FALSE),"")</f>
        <v/>
      </c>
      <c r="D100" s="3"/>
      <c r="E100" s="3"/>
      <c r="F100" s="3"/>
      <c r="G100" s="3"/>
      <c r="H100" s="3" t="str">
        <f>IF(A100="","",COUNTIFS('[2]سجل الحضور والتنفيذ'!B:B,A100,'[2]سجل الحضور والتنفيذ'!H:H,"حاضر"))</f>
        <v/>
      </c>
      <c r="I100" s="7" t="str">
        <f>IF(OR(A100="",G100=0),"",H100/G100)</f>
        <v/>
      </c>
      <c r="J100" s="3"/>
      <c r="K100" s="3"/>
    </row>
    <row r="101" spans="1:11" x14ac:dyDescent="0.2">
      <c r="A101" s="3"/>
      <c r="B101" s="3"/>
      <c r="C101" s="3" t="str">
        <f>IFERROR(VLOOKUP(B101,'الخطة التدريبية المعتمدة'!A:C,3,FALSE),"")</f>
        <v/>
      </c>
      <c r="D101" s="3"/>
      <c r="E101" s="3"/>
      <c r="F101" s="3"/>
      <c r="G101" s="3"/>
      <c r="H101" s="3" t="str">
        <f>IF(A101="","",COUNTIFS('[2]سجل الحضور والتنفيذ'!B:B,A101,'[2]سجل الحضور والتنفيذ'!H:H,"حاضر"))</f>
        <v/>
      </c>
      <c r="I101" s="7" t="str">
        <f>IF(OR(A101="",G101=0),"",H101/G101)</f>
        <v/>
      </c>
      <c r="J101" s="3"/>
      <c r="K101" s="3"/>
    </row>
    <row r="102" spans="1:11" x14ac:dyDescent="0.2">
      <c r="A102" s="3"/>
      <c r="B102" s="3"/>
      <c r="C102" s="3" t="str">
        <f>IFERROR(VLOOKUP(B102,'الخطة التدريبية المعتمدة'!A:C,3,FALSE),"")</f>
        <v/>
      </c>
      <c r="D102" s="3"/>
      <c r="E102" s="3"/>
      <c r="F102" s="3"/>
      <c r="G102" s="3"/>
      <c r="H102" s="3" t="str">
        <f>IF(A102="","",COUNTIFS('[2]سجل الحضور والتنفيذ'!B:B,A102,'[2]سجل الحضور والتنفيذ'!H:H,"حاضر"))</f>
        <v/>
      </c>
      <c r="I102" s="7" t="str">
        <f>IF(OR(A102="",G102=0),"",H102/G102)</f>
        <v/>
      </c>
      <c r="J102" s="3"/>
      <c r="K102" s="3"/>
    </row>
    <row r="103" spans="1:11" x14ac:dyDescent="0.2">
      <c r="A103" s="3"/>
      <c r="B103" s="3"/>
      <c r="C103" s="3" t="str">
        <f>IFERROR(VLOOKUP(B103,'الخطة التدريبية المعتمدة'!A:C,3,FALSE),"")</f>
        <v/>
      </c>
      <c r="D103" s="3"/>
      <c r="E103" s="3"/>
      <c r="F103" s="3"/>
      <c r="G103" s="3"/>
      <c r="H103" s="3" t="str">
        <f>IF(A103="","",COUNTIFS('[2]سجل الحضور والتنفيذ'!B:B,A103,'[2]سجل الحضور والتنفيذ'!H:H,"حاضر"))</f>
        <v/>
      </c>
      <c r="I103" s="7" t="str">
        <f>IF(OR(A103="",G103=0),"",H103/G103)</f>
        <v/>
      </c>
      <c r="J103" s="3"/>
      <c r="K103" s="3"/>
    </row>
    <row r="104" spans="1:11" x14ac:dyDescent="0.2">
      <c r="A104" s="3"/>
      <c r="B104" s="3"/>
      <c r="C104" s="3" t="str">
        <f>IFERROR(VLOOKUP(B104,'الخطة التدريبية المعتمدة'!A:C,3,FALSE),"")</f>
        <v/>
      </c>
      <c r="D104" s="3"/>
      <c r="E104" s="3"/>
      <c r="F104" s="3"/>
      <c r="G104" s="3"/>
      <c r="H104" s="3" t="str">
        <f>IF(A104="","",COUNTIFS('[2]سجل الحضور والتنفيذ'!B:B,A104,'[2]سجل الحضور والتنفيذ'!H:H,"حاضر"))</f>
        <v/>
      </c>
      <c r="I104" s="7" t="str">
        <f>IF(OR(A104="",G104=0),"",H104/G104)</f>
        <v/>
      </c>
      <c r="J104" s="3"/>
      <c r="K104" s="3"/>
    </row>
    <row r="105" spans="1:11" x14ac:dyDescent="0.2">
      <c r="A105" s="3"/>
      <c r="B105" s="3"/>
      <c r="C105" s="3" t="str">
        <f>IFERROR(VLOOKUP(B105,'الخطة التدريبية المعتمدة'!A:C,3,FALSE),"")</f>
        <v/>
      </c>
      <c r="D105" s="3"/>
      <c r="E105" s="3"/>
      <c r="F105" s="3"/>
      <c r="G105" s="3"/>
      <c r="H105" s="3" t="str">
        <f>IF(A105="","",COUNTIFS('[2]سجل الحضور والتنفيذ'!B:B,A105,'[2]سجل الحضور والتنفيذ'!H:H,"حاضر"))</f>
        <v/>
      </c>
      <c r="I105" s="7" t="str">
        <f>IF(OR(A105="",G105=0),"",H105/G105)</f>
        <v/>
      </c>
      <c r="J105" s="3"/>
      <c r="K105" s="3"/>
    </row>
    <row r="106" spans="1:11" x14ac:dyDescent="0.2">
      <c r="A106" s="3"/>
      <c r="B106" s="3"/>
      <c r="C106" s="3" t="str">
        <f>IFERROR(VLOOKUP(B106,'الخطة التدريبية المعتمدة'!A:C,3,FALSE),"")</f>
        <v/>
      </c>
      <c r="D106" s="3"/>
      <c r="E106" s="3"/>
      <c r="F106" s="3"/>
      <c r="G106" s="3"/>
      <c r="H106" s="3" t="str">
        <f>IF(A106="","",COUNTIFS('[2]سجل الحضور والتنفيذ'!B:B,A106,'[2]سجل الحضور والتنفيذ'!H:H,"حاضر"))</f>
        <v/>
      </c>
      <c r="I106" s="7" t="str">
        <f>IF(OR(A106="",G106=0),"",H106/G106)</f>
        <v/>
      </c>
      <c r="J106" s="3"/>
      <c r="K106" s="3"/>
    </row>
    <row r="107" spans="1:11" x14ac:dyDescent="0.2">
      <c r="A107" s="3"/>
      <c r="B107" s="3"/>
      <c r="C107" s="3" t="str">
        <f>IFERROR(VLOOKUP(B107,'الخطة التدريبية المعتمدة'!A:C,3,FALSE),"")</f>
        <v/>
      </c>
      <c r="D107" s="3"/>
      <c r="E107" s="3"/>
      <c r="F107" s="3"/>
      <c r="G107" s="3"/>
      <c r="H107" s="3" t="str">
        <f>IF(A107="","",COUNTIFS('[2]سجل الحضور والتنفيذ'!B:B,A107,'[2]سجل الحضور والتنفيذ'!H:H,"حاضر"))</f>
        <v/>
      </c>
      <c r="I107" s="7" t="str">
        <f>IF(OR(A107="",G107=0),"",H107/G107)</f>
        <v/>
      </c>
      <c r="J107" s="3"/>
      <c r="K107" s="3"/>
    </row>
    <row r="108" spans="1:11" x14ac:dyDescent="0.2">
      <c r="A108" s="3"/>
      <c r="B108" s="3"/>
      <c r="C108" s="3" t="str">
        <f>IFERROR(VLOOKUP(B108,'الخطة التدريبية المعتمدة'!A:C,3,FALSE),"")</f>
        <v/>
      </c>
      <c r="D108" s="3"/>
      <c r="E108" s="3"/>
      <c r="F108" s="3"/>
      <c r="G108" s="3"/>
      <c r="H108" s="3" t="str">
        <f>IF(A108="","",COUNTIFS('[2]سجل الحضور والتنفيذ'!B:B,A108,'[2]سجل الحضور والتنفيذ'!H:H,"حاضر"))</f>
        <v/>
      </c>
      <c r="I108" s="7" t="str">
        <f>IF(OR(A108="",G108=0),"",H108/G108)</f>
        <v/>
      </c>
      <c r="J108" s="3"/>
      <c r="K108" s="3"/>
    </row>
    <row r="109" spans="1:11" x14ac:dyDescent="0.2">
      <c r="A109" s="3"/>
      <c r="B109" s="3"/>
      <c r="C109" s="3" t="str">
        <f>IFERROR(VLOOKUP(B109,'الخطة التدريبية المعتمدة'!A:C,3,FALSE),"")</f>
        <v/>
      </c>
      <c r="D109" s="3"/>
      <c r="E109" s="3"/>
      <c r="F109" s="3"/>
      <c r="G109" s="3"/>
      <c r="H109" s="3" t="str">
        <f>IF(A109="","",COUNTIFS('[2]سجل الحضور والتنفيذ'!B:B,A109,'[2]سجل الحضور والتنفيذ'!H:H,"حاضر"))</f>
        <v/>
      </c>
      <c r="I109" s="7" t="str">
        <f>IF(OR(A109="",G109=0),"",H109/G109)</f>
        <v/>
      </c>
      <c r="J109" s="3"/>
      <c r="K109" s="3"/>
    </row>
    <row r="110" spans="1:11" x14ac:dyDescent="0.2">
      <c r="A110" s="3"/>
      <c r="B110" s="3"/>
      <c r="C110" s="3" t="str">
        <f>IFERROR(VLOOKUP(B110,'الخطة التدريبية المعتمدة'!A:C,3,FALSE),"")</f>
        <v/>
      </c>
      <c r="D110" s="3"/>
      <c r="E110" s="3"/>
      <c r="F110" s="3"/>
      <c r="G110" s="3"/>
      <c r="H110" s="3" t="str">
        <f>IF(A110="","",COUNTIFS('[2]سجل الحضور والتنفيذ'!B:B,A110,'[2]سجل الحضور والتنفيذ'!H:H,"حاضر"))</f>
        <v/>
      </c>
      <c r="I110" s="7" t="str">
        <f>IF(OR(A110="",G110=0),"",H110/G110)</f>
        <v/>
      </c>
      <c r="J110" s="3"/>
      <c r="K110" s="3"/>
    </row>
    <row r="111" spans="1:11" x14ac:dyDescent="0.2">
      <c r="A111" s="3"/>
      <c r="B111" s="3"/>
      <c r="C111" s="3" t="str">
        <f>IFERROR(VLOOKUP(B111,'الخطة التدريبية المعتمدة'!A:C,3,FALSE),"")</f>
        <v/>
      </c>
      <c r="D111" s="3"/>
      <c r="E111" s="3"/>
      <c r="F111" s="3"/>
      <c r="G111" s="3"/>
      <c r="H111" s="3" t="str">
        <f>IF(A111="","",COUNTIFS('[2]سجل الحضور والتنفيذ'!B:B,A111,'[2]سجل الحضور والتنفيذ'!H:H,"حاضر"))</f>
        <v/>
      </c>
      <c r="I111" s="7" t="str">
        <f>IF(OR(A111="",G111=0),"",H111/G111)</f>
        <v/>
      </c>
      <c r="J111" s="3"/>
      <c r="K111" s="3"/>
    </row>
    <row r="112" spans="1:11" x14ac:dyDescent="0.2">
      <c r="A112" s="3"/>
      <c r="B112" s="3"/>
      <c r="C112" s="3" t="str">
        <f>IFERROR(VLOOKUP(B112,'الخطة التدريبية المعتمدة'!A:C,3,FALSE),"")</f>
        <v/>
      </c>
      <c r="D112" s="3"/>
      <c r="E112" s="3"/>
      <c r="F112" s="3"/>
      <c r="G112" s="3"/>
      <c r="H112" s="3" t="str">
        <f>IF(A112="","",COUNTIFS('[2]سجل الحضور والتنفيذ'!B:B,A112,'[2]سجل الحضور والتنفيذ'!H:H,"حاضر"))</f>
        <v/>
      </c>
      <c r="I112" s="7" t="str">
        <f>IF(OR(A112="",G112=0),"",H112/G112)</f>
        <v/>
      </c>
      <c r="J112" s="3"/>
      <c r="K112" s="3"/>
    </row>
    <row r="113" spans="1:11" x14ac:dyDescent="0.2">
      <c r="A113" s="3"/>
      <c r="B113" s="3"/>
      <c r="C113" s="3" t="str">
        <f>IFERROR(VLOOKUP(B113,'الخطة التدريبية المعتمدة'!A:C,3,FALSE),"")</f>
        <v/>
      </c>
      <c r="D113" s="3"/>
      <c r="E113" s="3"/>
      <c r="F113" s="3"/>
      <c r="G113" s="3"/>
      <c r="H113" s="3" t="str">
        <f>IF(A113="","",COUNTIFS('[2]سجل الحضور والتنفيذ'!B:B,A113,'[2]سجل الحضور والتنفيذ'!H:H,"حاضر"))</f>
        <v/>
      </c>
      <c r="I113" s="7" t="str">
        <f>IF(OR(A113="",G113=0),"",H113/G113)</f>
        <v/>
      </c>
      <c r="J113" s="3"/>
      <c r="K113" s="3"/>
    </row>
    <row r="114" spans="1:11" x14ac:dyDescent="0.2">
      <c r="A114" s="3"/>
      <c r="B114" s="3"/>
      <c r="C114" s="3" t="str">
        <f>IFERROR(VLOOKUP(B114,'الخطة التدريبية المعتمدة'!A:C,3,FALSE),"")</f>
        <v/>
      </c>
      <c r="D114" s="3"/>
      <c r="E114" s="3"/>
      <c r="F114" s="3"/>
      <c r="G114" s="3"/>
      <c r="H114" s="3" t="str">
        <f>IF(A114="","",COUNTIFS('[2]سجل الحضور والتنفيذ'!B:B,A114,'[2]سجل الحضور والتنفيذ'!H:H,"حاضر"))</f>
        <v/>
      </c>
      <c r="I114" s="7" t="str">
        <f>IF(OR(A114="",G114=0),"",H114/G114)</f>
        <v/>
      </c>
      <c r="J114" s="3"/>
      <c r="K114" s="3"/>
    </row>
    <row r="115" spans="1:11" x14ac:dyDescent="0.2">
      <c r="A115" s="3"/>
      <c r="B115" s="3"/>
      <c r="C115" s="3" t="str">
        <f>IFERROR(VLOOKUP(B115,'الخطة التدريبية المعتمدة'!A:C,3,FALSE),"")</f>
        <v/>
      </c>
      <c r="D115" s="3"/>
      <c r="E115" s="3"/>
      <c r="F115" s="3"/>
      <c r="G115" s="3"/>
      <c r="H115" s="3" t="str">
        <f>IF(A115="","",COUNTIFS('[2]سجل الحضور والتنفيذ'!B:B,A115,'[2]سجل الحضور والتنفيذ'!H:H,"حاضر"))</f>
        <v/>
      </c>
      <c r="I115" s="7" t="str">
        <f>IF(OR(A115="",G115=0),"",H115/G115)</f>
        <v/>
      </c>
      <c r="J115" s="3"/>
      <c r="K115" s="3"/>
    </row>
    <row r="116" spans="1:11" x14ac:dyDescent="0.2">
      <c r="A116" s="3"/>
      <c r="B116" s="3"/>
      <c r="C116" s="3" t="str">
        <f>IFERROR(VLOOKUP(B116,'الخطة التدريبية المعتمدة'!A:C,3,FALSE),"")</f>
        <v/>
      </c>
      <c r="D116" s="3"/>
      <c r="E116" s="3"/>
      <c r="F116" s="3"/>
      <c r="G116" s="3"/>
      <c r="H116" s="3" t="str">
        <f>IF(A116="","",COUNTIFS('[2]سجل الحضور والتنفيذ'!B:B,A116,'[2]سجل الحضور والتنفيذ'!H:H,"حاضر"))</f>
        <v/>
      </c>
      <c r="I116" s="7" t="str">
        <f>IF(OR(A116="",G116=0),"",H116/G116)</f>
        <v/>
      </c>
      <c r="J116" s="3"/>
      <c r="K116" s="3"/>
    </row>
    <row r="117" spans="1:11" x14ac:dyDescent="0.2">
      <c r="A117" s="3"/>
      <c r="B117" s="3"/>
      <c r="C117" s="3" t="str">
        <f>IFERROR(VLOOKUP(B117,'الخطة التدريبية المعتمدة'!A:C,3,FALSE),"")</f>
        <v/>
      </c>
      <c r="D117" s="3"/>
      <c r="E117" s="3"/>
      <c r="F117" s="3"/>
      <c r="G117" s="3"/>
      <c r="H117" s="3" t="str">
        <f>IF(A117="","",COUNTIFS('[2]سجل الحضور والتنفيذ'!B:B,A117,'[2]سجل الحضور والتنفيذ'!H:H,"حاضر"))</f>
        <v/>
      </c>
      <c r="I117" s="7" t="str">
        <f>IF(OR(A117="",G117=0),"",H117/G117)</f>
        <v/>
      </c>
      <c r="J117" s="3"/>
      <c r="K117" s="3"/>
    </row>
    <row r="118" spans="1:11" x14ac:dyDescent="0.2">
      <c r="A118" s="3"/>
      <c r="B118" s="3"/>
      <c r="C118" s="3" t="str">
        <f>IFERROR(VLOOKUP(B118,'الخطة التدريبية المعتمدة'!A:C,3,FALSE),"")</f>
        <v/>
      </c>
      <c r="D118" s="3"/>
      <c r="E118" s="3"/>
      <c r="F118" s="3"/>
      <c r="G118" s="3"/>
      <c r="H118" s="3" t="str">
        <f>IF(A118="","",COUNTIFS('[2]سجل الحضور والتنفيذ'!B:B,A118,'[2]سجل الحضور والتنفيذ'!H:H,"حاضر"))</f>
        <v/>
      </c>
      <c r="I118" s="7" t="str">
        <f>IF(OR(A118="",G118=0),"",H118/G118)</f>
        <v/>
      </c>
      <c r="J118" s="3"/>
      <c r="K118" s="3"/>
    </row>
    <row r="119" spans="1:11" x14ac:dyDescent="0.2">
      <c r="A119" s="3"/>
      <c r="B119" s="3"/>
      <c r="C119" s="3" t="str">
        <f>IFERROR(VLOOKUP(B119,'الخطة التدريبية المعتمدة'!A:C,3,FALSE),"")</f>
        <v/>
      </c>
      <c r="D119" s="3"/>
      <c r="E119" s="3"/>
      <c r="F119" s="3"/>
      <c r="G119" s="3"/>
      <c r="H119" s="3" t="str">
        <f>IF(A119="","",COUNTIFS('[2]سجل الحضور والتنفيذ'!B:B,A119,'[2]سجل الحضور والتنفيذ'!H:H,"حاضر"))</f>
        <v/>
      </c>
      <c r="I119" s="7" t="str">
        <f>IF(OR(A119="",G119=0),"",H119/G119)</f>
        <v/>
      </c>
      <c r="J119" s="3"/>
      <c r="K119" s="3"/>
    </row>
    <row r="120" spans="1:11" x14ac:dyDescent="0.2">
      <c r="A120" s="3"/>
      <c r="B120" s="3"/>
      <c r="C120" s="3" t="str">
        <f>IFERROR(VLOOKUP(B120,'الخطة التدريبية المعتمدة'!A:C,3,FALSE),"")</f>
        <v/>
      </c>
      <c r="D120" s="3"/>
      <c r="E120" s="3"/>
      <c r="F120" s="3"/>
      <c r="G120" s="3"/>
      <c r="H120" s="3" t="str">
        <f>IF(A120="","",COUNTIFS('[2]سجل الحضور والتنفيذ'!B:B,A120,'[2]سجل الحضور والتنفيذ'!H:H,"حاضر"))</f>
        <v/>
      </c>
      <c r="I120" s="7" t="str">
        <f>IF(OR(A120="",G120=0),"",H120/G120)</f>
        <v/>
      </c>
      <c r="J120" s="3"/>
      <c r="K120" s="3"/>
    </row>
    <row r="121" spans="1:11" x14ac:dyDescent="0.2">
      <c r="A121" s="3"/>
      <c r="B121" s="3"/>
      <c r="C121" s="3" t="str">
        <f>IFERROR(VLOOKUP(B121,'الخطة التدريبية المعتمدة'!A:C,3,FALSE),"")</f>
        <v/>
      </c>
      <c r="D121" s="3"/>
      <c r="E121" s="3"/>
      <c r="F121" s="3"/>
      <c r="G121" s="3"/>
      <c r="H121" s="3" t="str">
        <f>IF(A121="","",COUNTIFS('[2]سجل الحضور والتنفيذ'!B:B,A121,'[2]سجل الحضور والتنفيذ'!H:H,"حاضر"))</f>
        <v/>
      </c>
      <c r="I121" s="7" t="str">
        <f>IF(OR(A121="",G121=0),"",H121/G121)</f>
        <v/>
      </c>
      <c r="J121" s="3"/>
      <c r="K121" s="3"/>
    </row>
    <row r="122" spans="1:11" x14ac:dyDescent="0.2">
      <c r="A122" s="3"/>
      <c r="B122" s="3"/>
      <c r="C122" s="3" t="str">
        <f>IFERROR(VLOOKUP(B122,'الخطة التدريبية المعتمدة'!A:C,3,FALSE),"")</f>
        <v/>
      </c>
      <c r="D122" s="3"/>
      <c r="E122" s="3"/>
      <c r="F122" s="3"/>
      <c r="G122" s="3"/>
      <c r="H122" s="3" t="str">
        <f>IF(A122="","",COUNTIFS('[2]سجل الحضور والتنفيذ'!B:B,A122,'[2]سجل الحضور والتنفيذ'!H:H,"حاضر"))</f>
        <v/>
      </c>
      <c r="I122" s="7" t="str">
        <f>IF(OR(A122="",G122=0),"",H122/G122)</f>
        <v/>
      </c>
      <c r="J122" s="3"/>
      <c r="K122" s="3"/>
    </row>
    <row r="123" spans="1:11" x14ac:dyDescent="0.2">
      <c r="A123" s="3"/>
      <c r="B123" s="3"/>
      <c r="C123" s="3" t="str">
        <f>IFERROR(VLOOKUP(B123,'الخطة التدريبية المعتمدة'!A:C,3,FALSE),"")</f>
        <v/>
      </c>
      <c r="D123" s="3"/>
      <c r="E123" s="3"/>
      <c r="F123" s="3"/>
      <c r="G123" s="3"/>
      <c r="H123" s="3" t="str">
        <f>IF(A123="","",COUNTIFS('[2]سجل الحضور والتنفيذ'!B:B,A123,'[2]سجل الحضور والتنفيذ'!H:H,"حاضر"))</f>
        <v/>
      </c>
      <c r="I123" s="7" t="str">
        <f>IF(OR(A123="",G123=0),"",H123/G123)</f>
        <v/>
      </c>
      <c r="J123" s="3"/>
      <c r="K123" s="3"/>
    </row>
    <row r="124" spans="1:11" x14ac:dyDescent="0.2">
      <c r="A124" s="3"/>
      <c r="B124" s="3"/>
      <c r="C124" s="3" t="str">
        <f>IFERROR(VLOOKUP(B124,'الخطة التدريبية المعتمدة'!A:C,3,FALSE),"")</f>
        <v/>
      </c>
      <c r="D124" s="3"/>
      <c r="E124" s="3"/>
      <c r="F124" s="3"/>
      <c r="G124" s="3"/>
      <c r="H124" s="3" t="str">
        <f>IF(A124="","",COUNTIFS('[2]سجل الحضور والتنفيذ'!B:B,A124,'[2]سجل الحضور والتنفيذ'!H:H,"حاضر"))</f>
        <v/>
      </c>
      <c r="I124" s="7" t="str">
        <f>IF(OR(A124="",G124=0),"",H124/G124)</f>
        <v/>
      </c>
      <c r="J124" s="3"/>
      <c r="K124" s="3"/>
    </row>
    <row r="125" spans="1:11" x14ac:dyDescent="0.2">
      <c r="A125" s="3"/>
      <c r="B125" s="3"/>
      <c r="C125" s="3" t="str">
        <f>IFERROR(VLOOKUP(B125,'الخطة التدريبية المعتمدة'!A:C,3,FALSE),"")</f>
        <v/>
      </c>
      <c r="D125" s="3"/>
      <c r="E125" s="3"/>
      <c r="F125" s="3"/>
      <c r="G125" s="3"/>
      <c r="H125" s="3" t="str">
        <f>IF(A125="","",COUNTIFS('[2]سجل الحضور والتنفيذ'!B:B,A125,'[2]سجل الحضور والتنفيذ'!H:H,"حاضر"))</f>
        <v/>
      </c>
      <c r="I125" s="7" t="str">
        <f>IF(OR(A125="",G125=0),"",H125/G125)</f>
        <v/>
      </c>
      <c r="J125" s="3"/>
      <c r="K125" s="3"/>
    </row>
    <row r="126" spans="1:11" x14ac:dyDescent="0.2">
      <c r="A126" s="3"/>
      <c r="B126" s="3"/>
      <c r="C126" s="3" t="str">
        <f>IFERROR(VLOOKUP(B126,'الخطة التدريبية المعتمدة'!A:C,3,FALSE),"")</f>
        <v/>
      </c>
      <c r="D126" s="3"/>
      <c r="E126" s="3"/>
      <c r="F126" s="3"/>
      <c r="G126" s="3"/>
      <c r="H126" s="3" t="str">
        <f>IF(A126="","",COUNTIFS('[2]سجل الحضور والتنفيذ'!B:B,A126,'[2]سجل الحضور والتنفيذ'!H:H,"حاضر"))</f>
        <v/>
      </c>
      <c r="I126" s="7" t="str">
        <f>IF(OR(A126="",G126=0),"",H126/G126)</f>
        <v/>
      </c>
      <c r="J126" s="3"/>
      <c r="K126" s="3"/>
    </row>
    <row r="127" spans="1:11" x14ac:dyDescent="0.2">
      <c r="A127" s="3"/>
      <c r="B127" s="3"/>
      <c r="C127" s="3" t="str">
        <f>IFERROR(VLOOKUP(B127,'الخطة التدريبية المعتمدة'!A:C,3,FALSE),"")</f>
        <v/>
      </c>
      <c r="D127" s="3"/>
      <c r="E127" s="3"/>
      <c r="F127" s="3"/>
      <c r="G127" s="3"/>
      <c r="H127" s="3" t="str">
        <f>IF(A127="","",COUNTIFS('[2]سجل الحضور والتنفيذ'!B:B,A127,'[2]سجل الحضور والتنفيذ'!H:H,"حاضر"))</f>
        <v/>
      </c>
      <c r="I127" s="7" t="str">
        <f>IF(OR(A127="",G127=0),"",H127/G127)</f>
        <v/>
      </c>
      <c r="J127" s="3"/>
      <c r="K127" s="3"/>
    </row>
    <row r="128" spans="1:11" x14ac:dyDescent="0.2">
      <c r="A128" s="3"/>
      <c r="B128" s="3"/>
      <c r="C128" s="3" t="str">
        <f>IFERROR(VLOOKUP(B128,'الخطة التدريبية المعتمدة'!A:C,3,FALSE),"")</f>
        <v/>
      </c>
      <c r="D128" s="3"/>
      <c r="E128" s="3"/>
      <c r="F128" s="3"/>
      <c r="G128" s="3"/>
      <c r="H128" s="3" t="str">
        <f>IF(A128="","",COUNTIFS('[2]سجل الحضور والتنفيذ'!B:B,A128,'[2]سجل الحضور والتنفيذ'!H:H,"حاضر"))</f>
        <v/>
      </c>
      <c r="I128" s="7" t="str">
        <f>IF(OR(A128="",G128=0),"",H128/G128)</f>
        <v/>
      </c>
      <c r="J128" s="3"/>
      <c r="K128" s="3"/>
    </row>
    <row r="129" spans="1:11" x14ac:dyDescent="0.2">
      <c r="A129" s="3"/>
      <c r="B129" s="3"/>
      <c r="C129" s="3" t="str">
        <f>IFERROR(VLOOKUP(B129,'الخطة التدريبية المعتمدة'!A:C,3,FALSE),"")</f>
        <v/>
      </c>
      <c r="D129" s="3"/>
      <c r="E129" s="3"/>
      <c r="F129" s="3"/>
      <c r="G129" s="3"/>
      <c r="H129" s="3" t="str">
        <f>IF(A129="","",COUNTIFS('[2]سجل الحضور والتنفيذ'!B:B,A129,'[2]سجل الحضور والتنفيذ'!H:H,"حاضر"))</f>
        <v/>
      </c>
      <c r="I129" s="7" t="str">
        <f>IF(OR(A129="",G129=0),"",H129/G129)</f>
        <v/>
      </c>
      <c r="J129" s="3"/>
      <c r="K129" s="3"/>
    </row>
    <row r="130" spans="1:11" x14ac:dyDescent="0.2">
      <c r="A130" s="3"/>
      <c r="B130" s="3"/>
      <c r="C130" s="3" t="str">
        <f>IFERROR(VLOOKUP(B130,'الخطة التدريبية المعتمدة'!A:C,3,FALSE),"")</f>
        <v/>
      </c>
      <c r="D130" s="3"/>
      <c r="E130" s="3"/>
      <c r="F130" s="3"/>
      <c r="G130" s="3"/>
      <c r="H130" s="3" t="str">
        <f>IF(A130="","",COUNTIFS('[2]سجل الحضور والتنفيذ'!B:B,A130,'[2]سجل الحضور والتنفيذ'!H:H,"حاضر"))</f>
        <v/>
      </c>
      <c r="I130" s="7" t="str">
        <f>IF(OR(A130="",G130=0),"",H130/G130)</f>
        <v/>
      </c>
      <c r="J130" s="3"/>
      <c r="K130" s="3"/>
    </row>
    <row r="131" spans="1:11" x14ac:dyDescent="0.2">
      <c r="A131" s="3"/>
      <c r="B131" s="3"/>
      <c r="C131" s="3" t="str">
        <f>IFERROR(VLOOKUP(B131,'الخطة التدريبية المعتمدة'!A:C,3,FALSE),"")</f>
        <v/>
      </c>
      <c r="D131" s="3"/>
      <c r="E131" s="3"/>
      <c r="F131" s="3"/>
      <c r="G131" s="3"/>
      <c r="H131" s="3" t="str">
        <f>IF(A131="","",COUNTIFS('[2]سجل الحضور والتنفيذ'!B:B,A131,'[2]سجل الحضور والتنفيذ'!H:H,"حاضر"))</f>
        <v/>
      </c>
      <c r="I131" s="7" t="str">
        <f>IF(OR(A131="",G131=0),"",H131/G131)</f>
        <v/>
      </c>
      <c r="J131" s="3"/>
      <c r="K131" s="3"/>
    </row>
    <row r="132" spans="1:11" x14ac:dyDescent="0.2">
      <c r="A132" s="3"/>
      <c r="B132" s="3"/>
      <c r="C132" s="3" t="str">
        <f>IFERROR(VLOOKUP(B132,'الخطة التدريبية المعتمدة'!A:C,3,FALSE),"")</f>
        <v/>
      </c>
      <c r="D132" s="3"/>
      <c r="E132" s="3"/>
      <c r="F132" s="3"/>
      <c r="G132" s="3"/>
      <c r="H132" s="3" t="str">
        <f>IF(A132="","",COUNTIFS('[2]سجل الحضور والتنفيذ'!B:B,A132,'[2]سجل الحضور والتنفيذ'!H:H,"حاضر"))</f>
        <v/>
      </c>
      <c r="I132" s="7" t="str">
        <f>IF(OR(A132="",G132=0),"",H132/G132)</f>
        <v/>
      </c>
      <c r="J132" s="3"/>
      <c r="K132" s="3"/>
    </row>
    <row r="133" spans="1:11" x14ac:dyDescent="0.2">
      <c r="A133" s="3"/>
      <c r="B133" s="3"/>
      <c r="C133" s="3" t="str">
        <f>IFERROR(VLOOKUP(B133,'الخطة التدريبية المعتمدة'!A:C,3,FALSE),"")</f>
        <v/>
      </c>
      <c r="D133" s="3"/>
      <c r="E133" s="3"/>
      <c r="F133" s="3"/>
      <c r="G133" s="3"/>
      <c r="H133" s="3" t="str">
        <f>IF(A133="","",COUNTIFS('[2]سجل الحضور والتنفيذ'!B:B,A133,'[2]سجل الحضور والتنفيذ'!H:H,"حاضر"))</f>
        <v/>
      </c>
      <c r="I133" s="7" t="str">
        <f>IF(OR(A133="",G133=0),"",H133/G133)</f>
        <v/>
      </c>
      <c r="J133" s="3"/>
      <c r="K133" s="3"/>
    </row>
    <row r="134" spans="1:11" x14ac:dyDescent="0.2">
      <c r="A134" s="3"/>
      <c r="B134" s="3"/>
      <c r="C134" s="3" t="str">
        <f>IFERROR(VLOOKUP(B134,'الخطة التدريبية المعتمدة'!A:C,3,FALSE),"")</f>
        <v/>
      </c>
      <c r="D134" s="3"/>
      <c r="E134" s="3"/>
      <c r="F134" s="3"/>
      <c r="G134" s="3"/>
      <c r="H134" s="3" t="str">
        <f>IF(A134="","",COUNTIFS('[2]سجل الحضور والتنفيذ'!B:B,A134,'[2]سجل الحضور والتنفيذ'!H:H,"حاضر"))</f>
        <v/>
      </c>
      <c r="I134" s="7" t="str">
        <f>IF(OR(A134="",G134=0),"",H134/G134)</f>
        <v/>
      </c>
      <c r="J134" s="3"/>
      <c r="K134" s="3"/>
    </row>
    <row r="135" spans="1:11" x14ac:dyDescent="0.2">
      <c r="A135" s="3"/>
      <c r="B135" s="3"/>
      <c r="C135" s="3" t="str">
        <f>IFERROR(VLOOKUP(B135,'الخطة التدريبية المعتمدة'!A:C,3,FALSE),"")</f>
        <v/>
      </c>
      <c r="D135" s="3"/>
      <c r="E135" s="3"/>
      <c r="F135" s="3"/>
      <c r="G135" s="3"/>
      <c r="H135" s="3" t="str">
        <f>IF(A135="","",COUNTIFS('[2]سجل الحضور والتنفيذ'!B:B,A135,'[2]سجل الحضور والتنفيذ'!H:H,"حاضر"))</f>
        <v/>
      </c>
      <c r="I135" s="7" t="str">
        <f>IF(OR(A135="",G135=0),"",H135/G135)</f>
        <v/>
      </c>
      <c r="J135" s="3"/>
      <c r="K135" s="3"/>
    </row>
    <row r="136" spans="1:11" x14ac:dyDescent="0.2">
      <c r="A136" s="3"/>
      <c r="B136" s="3"/>
      <c r="C136" s="3" t="str">
        <f>IFERROR(VLOOKUP(B136,'الخطة التدريبية المعتمدة'!A:C,3,FALSE),"")</f>
        <v/>
      </c>
      <c r="D136" s="3"/>
      <c r="E136" s="3"/>
      <c r="F136" s="3"/>
      <c r="G136" s="3"/>
      <c r="H136" s="3" t="str">
        <f>IF(A136="","",COUNTIFS('[2]سجل الحضور والتنفيذ'!B:B,A136,'[2]سجل الحضور والتنفيذ'!H:H,"حاضر"))</f>
        <v/>
      </c>
      <c r="I136" s="7" t="str">
        <f>IF(OR(A136="",G136=0),"",H136/G136)</f>
        <v/>
      </c>
      <c r="J136" s="3"/>
      <c r="K136" s="3"/>
    </row>
    <row r="137" spans="1:11" x14ac:dyDescent="0.2">
      <c r="A137" s="3"/>
      <c r="B137" s="3"/>
      <c r="C137" s="3" t="str">
        <f>IFERROR(VLOOKUP(B137,'الخطة التدريبية المعتمدة'!A:C,3,FALSE),"")</f>
        <v/>
      </c>
      <c r="D137" s="3"/>
      <c r="E137" s="3"/>
      <c r="F137" s="3"/>
      <c r="G137" s="3"/>
      <c r="H137" s="3" t="str">
        <f>IF(A137="","",COUNTIFS('[2]سجل الحضور والتنفيذ'!B:B,A137,'[2]سجل الحضور والتنفيذ'!H:H,"حاضر"))</f>
        <v/>
      </c>
      <c r="I137" s="7" t="str">
        <f>IF(OR(A137="",G137=0),"",H137/G137)</f>
        <v/>
      </c>
      <c r="J137" s="3"/>
      <c r="K137" s="3"/>
    </row>
    <row r="138" spans="1:11" x14ac:dyDescent="0.2">
      <c r="A138" s="3"/>
      <c r="B138" s="3"/>
      <c r="C138" s="3" t="str">
        <f>IFERROR(VLOOKUP(B138,'الخطة التدريبية المعتمدة'!A:C,3,FALSE),"")</f>
        <v/>
      </c>
      <c r="D138" s="3"/>
      <c r="E138" s="3"/>
      <c r="F138" s="3"/>
      <c r="G138" s="3"/>
      <c r="H138" s="3" t="str">
        <f>IF(A138="","",COUNTIFS('[2]سجل الحضور والتنفيذ'!B:B,A138,'[2]سجل الحضور والتنفيذ'!H:H,"حاضر"))</f>
        <v/>
      </c>
      <c r="I138" s="7" t="str">
        <f>IF(OR(A138="",G138=0),"",H138/G138)</f>
        <v/>
      </c>
      <c r="J138" s="3"/>
      <c r="K138" s="3"/>
    </row>
    <row r="139" spans="1:11" x14ac:dyDescent="0.2">
      <c r="A139" s="3"/>
      <c r="B139" s="3"/>
      <c r="C139" s="3" t="str">
        <f>IFERROR(VLOOKUP(B139,'الخطة التدريبية المعتمدة'!A:C,3,FALSE),"")</f>
        <v/>
      </c>
      <c r="D139" s="3"/>
      <c r="E139" s="3"/>
      <c r="F139" s="3"/>
      <c r="G139" s="3"/>
      <c r="H139" s="3" t="str">
        <f>IF(A139="","",COUNTIFS('[2]سجل الحضور والتنفيذ'!B:B,A139,'[2]سجل الحضور والتنفيذ'!H:H,"حاضر"))</f>
        <v/>
      </c>
      <c r="I139" s="7" t="str">
        <f>IF(OR(A139="",G139=0),"",H139/G139)</f>
        <v/>
      </c>
      <c r="J139" s="3"/>
      <c r="K139" s="3"/>
    </row>
    <row r="140" spans="1:11" x14ac:dyDescent="0.2">
      <c r="A140" s="3"/>
      <c r="B140" s="3"/>
      <c r="C140" s="3" t="str">
        <f>IFERROR(VLOOKUP(B140,'الخطة التدريبية المعتمدة'!A:C,3,FALSE),"")</f>
        <v/>
      </c>
      <c r="D140" s="3"/>
      <c r="E140" s="3"/>
      <c r="F140" s="3"/>
      <c r="G140" s="3"/>
      <c r="H140" s="3" t="str">
        <f>IF(A140="","",COUNTIFS('[2]سجل الحضور والتنفيذ'!B:B,A140,'[2]سجل الحضور والتنفيذ'!H:H,"حاضر"))</f>
        <v/>
      </c>
      <c r="I140" s="7" t="str">
        <f>IF(OR(A140="",G140=0),"",H140/G140)</f>
        <v/>
      </c>
      <c r="J140" s="3"/>
      <c r="K140" s="3"/>
    </row>
    <row r="141" spans="1:11" x14ac:dyDescent="0.2">
      <c r="A141" s="3"/>
      <c r="B141" s="3"/>
      <c r="C141" s="3" t="str">
        <f>IFERROR(VLOOKUP(B141,'الخطة التدريبية المعتمدة'!A:C,3,FALSE),"")</f>
        <v/>
      </c>
      <c r="D141" s="3"/>
      <c r="E141" s="3"/>
      <c r="F141" s="3"/>
      <c r="G141" s="3"/>
      <c r="H141" s="3" t="str">
        <f>IF(A141="","",COUNTIFS('[2]سجل الحضور والتنفيذ'!B:B,A141,'[2]سجل الحضور والتنفيذ'!H:H,"حاضر"))</f>
        <v/>
      </c>
      <c r="I141" s="7" t="str">
        <f>IF(OR(A141="",G141=0),"",H141/G141)</f>
        <v/>
      </c>
      <c r="J141" s="3"/>
      <c r="K141" s="3"/>
    </row>
    <row r="142" spans="1:11" x14ac:dyDescent="0.2">
      <c r="A142" s="3"/>
      <c r="B142" s="3"/>
      <c r="C142" s="3" t="str">
        <f>IFERROR(VLOOKUP(B142,'الخطة التدريبية المعتمدة'!A:C,3,FALSE),"")</f>
        <v/>
      </c>
      <c r="D142" s="3"/>
      <c r="E142" s="3"/>
      <c r="F142" s="3"/>
      <c r="G142" s="3"/>
      <c r="H142" s="3" t="str">
        <f>IF(A142="","",COUNTIFS('[2]سجل الحضور والتنفيذ'!B:B,A142,'[2]سجل الحضور والتنفيذ'!H:H,"حاضر"))</f>
        <v/>
      </c>
      <c r="I142" s="7" t="str">
        <f>IF(OR(A142="",G142=0),"",H142/G142)</f>
        <v/>
      </c>
      <c r="J142" s="3"/>
      <c r="K142" s="3"/>
    </row>
    <row r="143" spans="1:11" x14ac:dyDescent="0.2">
      <c r="A143" s="3"/>
      <c r="B143" s="3"/>
      <c r="C143" s="3" t="str">
        <f>IFERROR(VLOOKUP(B143,'الخطة التدريبية المعتمدة'!A:C,3,FALSE),"")</f>
        <v/>
      </c>
      <c r="D143" s="3"/>
      <c r="E143" s="3"/>
      <c r="F143" s="3"/>
      <c r="G143" s="3"/>
      <c r="H143" s="3" t="str">
        <f>IF(A143="","",COUNTIFS('[2]سجل الحضور والتنفيذ'!B:B,A143,'[2]سجل الحضور والتنفيذ'!H:H,"حاضر"))</f>
        <v/>
      </c>
      <c r="I143" s="7" t="str">
        <f>IF(OR(A143="",G143=0),"",H143/G143)</f>
        <v/>
      </c>
      <c r="J143" s="3"/>
      <c r="K143" s="3"/>
    </row>
    <row r="144" spans="1:11" x14ac:dyDescent="0.2">
      <c r="A144" s="3"/>
      <c r="B144" s="3"/>
      <c r="C144" s="3" t="str">
        <f>IFERROR(VLOOKUP(B144,'الخطة التدريبية المعتمدة'!A:C,3,FALSE),"")</f>
        <v/>
      </c>
      <c r="D144" s="3"/>
      <c r="E144" s="3"/>
      <c r="F144" s="3"/>
      <c r="G144" s="3"/>
      <c r="H144" s="3" t="str">
        <f>IF(A144="","",COUNTIFS('[2]سجل الحضور والتنفيذ'!B:B,A144,'[2]سجل الحضور والتنفيذ'!H:H,"حاضر"))</f>
        <v/>
      </c>
      <c r="I144" s="7" t="str">
        <f>IF(OR(A144="",G144=0),"",H144/G144)</f>
        <v/>
      </c>
      <c r="J144" s="3"/>
      <c r="K144" s="3"/>
    </row>
    <row r="145" spans="1:11" x14ac:dyDescent="0.2">
      <c r="A145" s="3"/>
      <c r="B145" s="3"/>
      <c r="C145" s="3" t="str">
        <f>IFERROR(VLOOKUP(B145,'الخطة التدريبية المعتمدة'!A:C,3,FALSE),"")</f>
        <v/>
      </c>
      <c r="D145" s="3"/>
      <c r="E145" s="3"/>
      <c r="F145" s="3"/>
      <c r="G145" s="3"/>
      <c r="H145" s="3" t="str">
        <f>IF(A145="","",COUNTIFS('[2]سجل الحضور والتنفيذ'!B:B,A145,'[2]سجل الحضور والتنفيذ'!H:H,"حاضر"))</f>
        <v/>
      </c>
      <c r="I145" s="7" t="str">
        <f>IF(OR(A145="",G145=0),"",H145/G145)</f>
        <v/>
      </c>
      <c r="J145" s="3"/>
      <c r="K145" s="3"/>
    </row>
    <row r="146" spans="1:11" x14ac:dyDescent="0.2">
      <c r="A146" s="3"/>
      <c r="B146" s="3"/>
      <c r="C146" s="3" t="str">
        <f>IFERROR(VLOOKUP(B146,'الخطة التدريبية المعتمدة'!A:C,3,FALSE),"")</f>
        <v/>
      </c>
      <c r="D146" s="3"/>
      <c r="E146" s="3"/>
      <c r="F146" s="3"/>
      <c r="G146" s="3"/>
      <c r="H146" s="3" t="str">
        <f>IF(A146="","",COUNTIFS('[2]سجل الحضور والتنفيذ'!B:B,A146,'[2]سجل الحضور والتنفيذ'!H:H,"حاضر"))</f>
        <v/>
      </c>
      <c r="I146" s="7" t="str">
        <f>IF(OR(A146="",G146=0),"",H146/G146)</f>
        <v/>
      </c>
      <c r="J146" s="3"/>
      <c r="K146" s="3"/>
    </row>
    <row r="147" spans="1:11" x14ac:dyDescent="0.2">
      <c r="A147" s="3"/>
      <c r="B147" s="3"/>
      <c r="C147" s="3" t="str">
        <f>IFERROR(VLOOKUP(B147,'الخطة التدريبية المعتمدة'!A:C,3,FALSE),"")</f>
        <v/>
      </c>
      <c r="D147" s="3"/>
      <c r="E147" s="3"/>
      <c r="F147" s="3"/>
      <c r="G147" s="3"/>
      <c r="H147" s="3" t="str">
        <f>IF(A147="","",COUNTIFS('[2]سجل الحضور والتنفيذ'!B:B,A147,'[2]سجل الحضور والتنفيذ'!H:H,"حاضر"))</f>
        <v/>
      </c>
      <c r="I147" s="7" t="str">
        <f>IF(OR(A147="",G147=0),"",H147/G147)</f>
        <v/>
      </c>
      <c r="J147" s="3"/>
      <c r="K147" s="3"/>
    </row>
    <row r="148" spans="1:11" x14ac:dyDescent="0.2">
      <c r="A148" s="3"/>
      <c r="B148" s="3"/>
      <c r="C148" s="3" t="str">
        <f>IFERROR(VLOOKUP(B148,'الخطة التدريبية المعتمدة'!A:C,3,FALSE),"")</f>
        <v/>
      </c>
      <c r="D148" s="3"/>
      <c r="E148" s="3"/>
      <c r="F148" s="3"/>
      <c r="G148" s="3"/>
      <c r="H148" s="3" t="str">
        <f>IF(A148="","",COUNTIFS('[2]سجل الحضور والتنفيذ'!B:B,A148,'[2]سجل الحضور والتنفيذ'!H:H,"حاضر"))</f>
        <v/>
      </c>
      <c r="I148" s="7" t="str">
        <f>IF(OR(A148="",G148=0),"",H148/G148)</f>
        <v/>
      </c>
      <c r="J148" s="3"/>
      <c r="K148" s="3"/>
    </row>
    <row r="149" spans="1:11" x14ac:dyDescent="0.2">
      <c r="A149" s="3"/>
      <c r="B149" s="3"/>
      <c r="C149" s="3" t="str">
        <f>IFERROR(VLOOKUP(B149,'الخطة التدريبية المعتمدة'!A:C,3,FALSE),"")</f>
        <v/>
      </c>
      <c r="D149" s="3"/>
      <c r="E149" s="3"/>
      <c r="F149" s="3"/>
      <c r="G149" s="3"/>
      <c r="H149" s="3" t="str">
        <f>IF(A149="","",COUNTIFS('[2]سجل الحضور والتنفيذ'!B:B,A149,'[2]سجل الحضور والتنفيذ'!H:H,"حاضر"))</f>
        <v/>
      </c>
      <c r="I149" s="7" t="str">
        <f>IF(OR(A149="",G149=0),"",H149/G149)</f>
        <v/>
      </c>
      <c r="J149" s="3"/>
      <c r="K149" s="3"/>
    </row>
    <row r="150" spans="1:11" x14ac:dyDescent="0.2">
      <c r="A150" s="3"/>
      <c r="B150" s="3"/>
      <c r="C150" s="3" t="str">
        <f>IFERROR(VLOOKUP(B150,'الخطة التدريبية المعتمدة'!A:C,3,FALSE),"")</f>
        <v/>
      </c>
      <c r="D150" s="3"/>
      <c r="E150" s="3"/>
      <c r="F150" s="3"/>
      <c r="G150" s="3"/>
      <c r="H150" s="3" t="str">
        <f>IF(A150="","",COUNTIFS('[2]سجل الحضور والتنفيذ'!B:B,A150,'[2]سجل الحضور والتنفيذ'!H:H,"حاضر"))</f>
        <v/>
      </c>
      <c r="I150" s="7" t="str">
        <f>IF(OR(A150="",G150=0),"",H150/G150)</f>
        <v/>
      </c>
      <c r="J150" s="3"/>
      <c r="K150" s="3"/>
    </row>
    <row r="151" spans="1:11" x14ac:dyDescent="0.2">
      <c r="A151" s="3"/>
      <c r="B151" s="3"/>
      <c r="C151" s="3" t="str">
        <f>IFERROR(VLOOKUP(B151,'الخطة التدريبية المعتمدة'!A:C,3,FALSE),"")</f>
        <v/>
      </c>
      <c r="D151" s="3"/>
      <c r="E151" s="3"/>
      <c r="F151" s="3"/>
      <c r="G151" s="3"/>
      <c r="H151" s="3" t="str">
        <f>IF(A151="","",COUNTIFS('[2]سجل الحضور والتنفيذ'!B:B,A151,'[2]سجل الحضور والتنفيذ'!H:H,"حاضر"))</f>
        <v/>
      </c>
      <c r="I151" s="7" t="str">
        <f>IF(OR(A151="",G151=0),"",H151/G151)</f>
        <v/>
      </c>
      <c r="J151" s="3"/>
      <c r="K151" s="3"/>
    </row>
    <row r="152" spans="1:11" x14ac:dyDescent="0.2">
      <c r="A152" s="3"/>
      <c r="B152" s="3"/>
      <c r="C152" s="3" t="str">
        <f>IFERROR(VLOOKUP(B152,'الخطة التدريبية المعتمدة'!A:C,3,FALSE),"")</f>
        <v/>
      </c>
      <c r="D152" s="3"/>
      <c r="E152" s="3"/>
      <c r="F152" s="3"/>
      <c r="G152" s="3"/>
      <c r="H152" s="3" t="str">
        <f>IF(A152="","",COUNTIFS('[2]سجل الحضور والتنفيذ'!B:B,A152,'[2]سجل الحضور والتنفيذ'!H:H,"حاضر"))</f>
        <v/>
      </c>
      <c r="I152" s="7" t="str">
        <f>IF(OR(A152="",G152=0),"",H152/G152)</f>
        <v/>
      </c>
      <c r="J152" s="3"/>
      <c r="K152" s="3"/>
    </row>
    <row r="153" spans="1:11" x14ac:dyDescent="0.2">
      <c r="A153" s="3"/>
      <c r="B153" s="3"/>
      <c r="C153" s="3" t="str">
        <f>IFERROR(VLOOKUP(B153,'الخطة التدريبية المعتمدة'!A:C,3,FALSE),"")</f>
        <v/>
      </c>
      <c r="D153" s="3"/>
      <c r="E153" s="3"/>
      <c r="F153" s="3"/>
      <c r="G153" s="3"/>
      <c r="H153" s="3" t="str">
        <f>IF(A153="","",COUNTIFS('[2]سجل الحضور والتنفيذ'!B:B,A153,'[2]سجل الحضور والتنفيذ'!H:H,"حاضر"))</f>
        <v/>
      </c>
      <c r="I153" s="7" t="str">
        <f>IF(OR(A153="",G153=0),"",H153/G153)</f>
        <v/>
      </c>
      <c r="J153" s="3"/>
      <c r="K153" s="3"/>
    </row>
    <row r="154" spans="1:11" x14ac:dyDescent="0.2">
      <c r="A154" s="3"/>
      <c r="B154" s="3"/>
      <c r="C154" s="3" t="str">
        <f>IFERROR(VLOOKUP(B154,'الخطة التدريبية المعتمدة'!A:C,3,FALSE),"")</f>
        <v/>
      </c>
      <c r="D154" s="3"/>
      <c r="E154" s="3"/>
      <c r="F154" s="3"/>
      <c r="G154" s="3"/>
      <c r="H154" s="3" t="str">
        <f>IF(A154="","",COUNTIFS('[2]سجل الحضور والتنفيذ'!B:B,A154,'[2]سجل الحضور والتنفيذ'!H:H,"حاضر"))</f>
        <v/>
      </c>
      <c r="I154" s="7" t="str">
        <f>IF(OR(A154="",G154=0),"",H154/G154)</f>
        <v/>
      </c>
      <c r="J154" s="3"/>
      <c r="K154" s="3"/>
    </row>
    <row r="155" spans="1:11" x14ac:dyDescent="0.2">
      <c r="A155" s="3"/>
      <c r="B155" s="3"/>
      <c r="C155" s="3" t="str">
        <f>IFERROR(VLOOKUP(B155,'الخطة التدريبية المعتمدة'!A:C,3,FALSE),"")</f>
        <v/>
      </c>
      <c r="D155" s="3"/>
      <c r="E155" s="3"/>
      <c r="F155" s="3"/>
      <c r="G155" s="3"/>
      <c r="H155" s="3" t="str">
        <f>IF(A155="","",COUNTIFS('[2]سجل الحضور والتنفيذ'!B:B,A155,'[2]سجل الحضور والتنفيذ'!H:H,"حاضر"))</f>
        <v/>
      </c>
      <c r="I155" s="7" t="str">
        <f>IF(OR(A155="",G155=0),"",H155/G155)</f>
        <v/>
      </c>
      <c r="J155" s="3"/>
      <c r="K155" s="3"/>
    </row>
    <row r="156" spans="1:11" x14ac:dyDescent="0.2">
      <c r="A156" s="3"/>
      <c r="B156" s="3"/>
      <c r="C156" s="3" t="str">
        <f>IFERROR(VLOOKUP(B156,'الخطة التدريبية المعتمدة'!A:C,3,FALSE),"")</f>
        <v/>
      </c>
      <c r="D156" s="3"/>
      <c r="E156" s="3"/>
      <c r="F156" s="3"/>
      <c r="G156" s="3"/>
      <c r="H156" s="3" t="str">
        <f>IF(A156="","",COUNTIFS('[2]سجل الحضور والتنفيذ'!B:B,A156,'[2]سجل الحضور والتنفيذ'!H:H,"حاضر"))</f>
        <v/>
      </c>
      <c r="I156" s="7" t="str">
        <f>IF(OR(A156="",G156=0),"",H156/G156)</f>
        <v/>
      </c>
      <c r="J156" s="3"/>
      <c r="K156" s="3"/>
    </row>
    <row r="157" spans="1:11" x14ac:dyDescent="0.2">
      <c r="A157" s="3"/>
      <c r="B157" s="3"/>
      <c r="C157" s="3" t="str">
        <f>IFERROR(VLOOKUP(B157,'الخطة التدريبية المعتمدة'!A:C,3,FALSE),"")</f>
        <v/>
      </c>
      <c r="D157" s="3"/>
      <c r="E157" s="3"/>
      <c r="F157" s="3"/>
      <c r="G157" s="3"/>
      <c r="H157" s="3" t="str">
        <f>IF(A157="","",COUNTIFS('[2]سجل الحضور والتنفيذ'!B:B,A157,'[2]سجل الحضور والتنفيذ'!H:H,"حاضر"))</f>
        <v/>
      </c>
      <c r="I157" s="7" t="str">
        <f>IF(OR(A157="",G157=0),"",H157/G157)</f>
        <v/>
      </c>
      <c r="J157" s="3"/>
      <c r="K157" s="3"/>
    </row>
    <row r="158" spans="1:11" x14ac:dyDescent="0.2">
      <c r="A158" s="3"/>
      <c r="B158" s="3"/>
      <c r="C158" s="3" t="str">
        <f>IFERROR(VLOOKUP(B158,'الخطة التدريبية المعتمدة'!A:C,3,FALSE),"")</f>
        <v/>
      </c>
      <c r="D158" s="3"/>
      <c r="E158" s="3"/>
      <c r="F158" s="3"/>
      <c r="G158" s="3"/>
      <c r="H158" s="3" t="str">
        <f>IF(A158="","",COUNTIFS('[2]سجل الحضور والتنفيذ'!B:B,A158,'[2]سجل الحضور والتنفيذ'!H:H,"حاضر"))</f>
        <v/>
      </c>
      <c r="I158" s="7" t="str">
        <f>IF(OR(A158="",G158=0),"",H158/G158)</f>
        <v/>
      </c>
      <c r="J158" s="3"/>
      <c r="K158" s="3"/>
    </row>
    <row r="159" spans="1:11" x14ac:dyDescent="0.2">
      <c r="A159" s="3"/>
      <c r="B159" s="3"/>
      <c r="C159" s="3" t="str">
        <f>IFERROR(VLOOKUP(B159,'الخطة التدريبية المعتمدة'!A:C,3,FALSE),"")</f>
        <v/>
      </c>
      <c r="D159" s="3"/>
      <c r="E159" s="3"/>
      <c r="F159" s="3"/>
      <c r="G159" s="3"/>
      <c r="H159" s="3" t="str">
        <f>IF(A159="","",COUNTIFS('[2]سجل الحضور والتنفيذ'!B:B,A159,'[2]سجل الحضور والتنفيذ'!H:H,"حاضر"))</f>
        <v/>
      </c>
      <c r="I159" s="7" t="str">
        <f>IF(OR(A159="",G159=0),"",H159/G159)</f>
        <v/>
      </c>
      <c r="J159" s="3"/>
      <c r="K159" s="3"/>
    </row>
    <row r="160" spans="1:11" x14ac:dyDescent="0.2">
      <c r="A160" s="3"/>
      <c r="B160" s="3"/>
      <c r="C160" s="3" t="str">
        <f>IFERROR(VLOOKUP(B160,'الخطة التدريبية المعتمدة'!A:C,3,FALSE),"")</f>
        <v/>
      </c>
      <c r="D160" s="3"/>
      <c r="E160" s="3"/>
      <c r="F160" s="3"/>
      <c r="G160" s="3"/>
      <c r="H160" s="3" t="str">
        <f>IF(A160="","",COUNTIFS('[2]سجل الحضور والتنفيذ'!B:B,A160,'[2]سجل الحضور والتنفيذ'!H:H,"حاضر"))</f>
        <v/>
      </c>
      <c r="I160" s="7" t="str">
        <f>IF(OR(A160="",G160=0),"",H160/G160)</f>
        <v/>
      </c>
      <c r="J160" s="3"/>
      <c r="K160" s="3"/>
    </row>
    <row r="161" spans="1:11" x14ac:dyDescent="0.2">
      <c r="A161" s="3"/>
      <c r="B161" s="3"/>
      <c r="C161" s="3" t="str">
        <f>IFERROR(VLOOKUP(B161,'الخطة التدريبية المعتمدة'!A:C,3,FALSE),"")</f>
        <v/>
      </c>
      <c r="D161" s="3"/>
      <c r="E161" s="3"/>
      <c r="F161" s="3"/>
      <c r="G161" s="3"/>
      <c r="H161" s="3" t="str">
        <f>IF(A161="","",COUNTIFS('[2]سجل الحضور والتنفيذ'!B:B,A161,'[2]سجل الحضور والتنفيذ'!H:H,"حاضر"))</f>
        <v/>
      </c>
      <c r="I161" s="7" t="str">
        <f>IF(OR(A161="",G161=0),"",H161/G161)</f>
        <v/>
      </c>
      <c r="J161" s="3"/>
      <c r="K161" s="3"/>
    </row>
    <row r="162" spans="1:11" x14ac:dyDescent="0.2">
      <c r="A162" s="3"/>
      <c r="B162" s="3"/>
      <c r="C162" s="3" t="str">
        <f>IFERROR(VLOOKUP(B162,'الخطة التدريبية المعتمدة'!A:C,3,FALSE),"")</f>
        <v/>
      </c>
      <c r="D162" s="3"/>
      <c r="E162" s="3"/>
      <c r="F162" s="3"/>
      <c r="G162" s="3"/>
      <c r="H162" s="3" t="str">
        <f>IF(A162="","",COUNTIFS('[2]سجل الحضور والتنفيذ'!B:B,A162,'[2]سجل الحضور والتنفيذ'!H:H,"حاضر"))</f>
        <v/>
      </c>
      <c r="I162" s="7" t="str">
        <f>IF(OR(A162="",G162=0),"",H162/G162)</f>
        <v/>
      </c>
      <c r="J162" s="3"/>
      <c r="K162" s="3"/>
    </row>
    <row r="163" spans="1:11" x14ac:dyDescent="0.2">
      <c r="A163" s="3"/>
      <c r="B163" s="3"/>
      <c r="C163" s="3" t="str">
        <f>IFERROR(VLOOKUP(B163,'الخطة التدريبية المعتمدة'!A:C,3,FALSE),"")</f>
        <v/>
      </c>
      <c r="D163" s="3"/>
      <c r="E163" s="3"/>
      <c r="F163" s="3"/>
      <c r="G163" s="3"/>
      <c r="H163" s="3" t="str">
        <f>IF(A163="","",COUNTIFS('[2]سجل الحضور والتنفيذ'!B:B,A163,'[2]سجل الحضور والتنفيذ'!H:H,"حاضر"))</f>
        <v/>
      </c>
      <c r="I163" s="7" t="str">
        <f>IF(OR(A163="",G163=0),"",H163/G163)</f>
        <v/>
      </c>
      <c r="J163" s="3"/>
      <c r="K163" s="3"/>
    </row>
    <row r="164" spans="1:11" x14ac:dyDescent="0.2">
      <c r="A164" s="3"/>
      <c r="B164" s="3"/>
      <c r="C164" s="3" t="str">
        <f>IFERROR(VLOOKUP(B164,'الخطة التدريبية المعتمدة'!A:C,3,FALSE),"")</f>
        <v/>
      </c>
      <c r="D164" s="3"/>
      <c r="E164" s="3"/>
      <c r="F164" s="3"/>
      <c r="G164" s="3"/>
      <c r="H164" s="3" t="str">
        <f>IF(A164="","",COUNTIFS('[2]سجل الحضور والتنفيذ'!B:B,A164,'[2]سجل الحضور والتنفيذ'!H:H,"حاضر"))</f>
        <v/>
      </c>
      <c r="I164" s="7" t="str">
        <f>IF(OR(A164="",G164=0),"",H164/G164)</f>
        <v/>
      </c>
      <c r="J164" s="3"/>
      <c r="K164" s="3"/>
    </row>
    <row r="165" spans="1:11" x14ac:dyDescent="0.2">
      <c r="A165" s="3"/>
      <c r="B165" s="3"/>
      <c r="C165" s="3" t="str">
        <f>IFERROR(VLOOKUP(B165,'الخطة التدريبية المعتمدة'!A:C,3,FALSE),"")</f>
        <v/>
      </c>
      <c r="D165" s="3"/>
      <c r="E165" s="3"/>
      <c r="F165" s="3"/>
      <c r="G165" s="3"/>
      <c r="H165" s="3" t="str">
        <f>IF(A165="","",COUNTIFS('[2]سجل الحضور والتنفيذ'!B:B,A165,'[2]سجل الحضور والتنفيذ'!H:H,"حاضر"))</f>
        <v/>
      </c>
      <c r="I165" s="7" t="str">
        <f>IF(OR(A165="",G165=0),"",H165/G165)</f>
        <v/>
      </c>
      <c r="J165" s="3"/>
      <c r="K165" s="3"/>
    </row>
    <row r="166" spans="1:11" x14ac:dyDescent="0.2">
      <c r="A166" s="3"/>
      <c r="B166" s="3"/>
      <c r="C166" s="3" t="str">
        <f>IFERROR(VLOOKUP(B166,'الخطة التدريبية المعتمدة'!A:C,3,FALSE),"")</f>
        <v/>
      </c>
      <c r="D166" s="3"/>
      <c r="E166" s="3"/>
      <c r="F166" s="3"/>
      <c r="G166" s="3"/>
      <c r="H166" s="3" t="str">
        <f>IF(A166="","",COUNTIFS('[2]سجل الحضور والتنفيذ'!B:B,A166,'[2]سجل الحضور والتنفيذ'!H:H,"حاضر"))</f>
        <v/>
      </c>
      <c r="I166" s="7" t="str">
        <f>IF(OR(A166="",G166=0),"",H166/G166)</f>
        <v/>
      </c>
      <c r="J166" s="3"/>
      <c r="K166" s="3"/>
    </row>
    <row r="167" spans="1:11" x14ac:dyDescent="0.2">
      <c r="A167" s="3"/>
      <c r="B167" s="3"/>
      <c r="C167" s="3" t="str">
        <f>IFERROR(VLOOKUP(B167,'الخطة التدريبية المعتمدة'!A:C,3,FALSE),"")</f>
        <v/>
      </c>
      <c r="D167" s="3"/>
      <c r="E167" s="3"/>
      <c r="F167" s="3"/>
      <c r="G167" s="3"/>
      <c r="H167" s="3" t="str">
        <f>IF(A167="","",COUNTIFS('[2]سجل الحضور والتنفيذ'!B:B,A167,'[2]سجل الحضور والتنفيذ'!H:H,"حاضر"))</f>
        <v/>
      </c>
      <c r="I167" s="7" t="str">
        <f>IF(OR(A167="",G167=0),"",H167/G167)</f>
        <v/>
      </c>
      <c r="J167" s="3"/>
      <c r="K167" s="3"/>
    </row>
    <row r="168" spans="1:11" x14ac:dyDescent="0.2">
      <c r="A168" s="3"/>
      <c r="B168" s="3"/>
      <c r="C168" s="3" t="str">
        <f>IFERROR(VLOOKUP(B168,'الخطة التدريبية المعتمدة'!A:C,3,FALSE),"")</f>
        <v/>
      </c>
      <c r="D168" s="3"/>
      <c r="E168" s="3"/>
      <c r="F168" s="3"/>
      <c r="G168" s="3"/>
      <c r="H168" s="3" t="str">
        <f>IF(A168="","",COUNTIFS('[2]سجل الحضور والتنفيذ'!B:B,A168,'[2]سجل الحضور والتنفيذ'!H:H,"حاضر"))</f>
        <v/>
      </c>
      <c r="I168" s="7" t="str">
        <f>IF(OR(A168="",G168=0),"",H168/G168)</f>
        <v/>
      </c>
      <c r="J168" s="3"/>
      <c r="K168" s="3"/>
    </row>
    <row r="169" spans="1:11" x14ac:dyDescent="0.2">
      <c r="A169" s="3"/>
      <c r="B169" s="3"/>
      <c r="C169" s="3" t="str">
        <f>IFERROR(VLOOKUP(B169,'الخطة التدريبية المعتمدة'!A:C,3,FALSE),"")</f>
        <v/>
      </c>
      <c r="D169" s="3"/>
      <c r="E169" s="3"/>
      <c r="F169" s="3"/>
      <c r="G169" s="3"/>
      <c r="H169" s="3" t="str">
        <f>IF(A169="","",COUNTIFS('[2]سجل الحضور والتنفيذ'!B:B,A169,'[2]سجل الحضور والتنفيذ'!H:H,"حاضر"))</f>
        <v/>
      </c>
      <c r="I169" s="7" t="str">
        <f>IF(OR(A169="",G169=0),"",H169/G169)</f>
        <v/>
      </c>
      <c r="J169" s="3"/>
      <c r="K169" s="3"/>
    </row>
    <row r="170" spans="1:11" x14ac:dyDescent="0.2">
      <c r="A170" s="3"/>
      <c r="B170" s="3"/>
      <c r="C170" s="3" t="str">
        <f>IFERROR(VLOOKUP(B170,'الخطة التدريبية المعتمدة'!A:C,3,FALSE),"")</f>
        <v/>
      </c>
      <c r="D170" s="3"/>
      <c r="E170" s="3"/>
      <c r="F170" s="3"/>
      <c r="G170" s="3"/>
      <c r="H170" s="3" t="str">
        <f>IF(A170="","",COUNTIFS('[2]سجل الحضور والتنفيذ'!B:B,A170,'[2]سجل الحضور والتنفيذ'!H:H,"حاضر"))</f>
        <v/>
      </c>
      <c r="I170" s="7" t="str">
        <f>IF(OR(A170="",G170=0),"",H170/G170)</f>
        <v/>
      </c>
      <c r="J170" s="3"/>
      <c r="K170" s="3"/>
    </row>
    <row r="171" spans="1:11" x14ac:dyDescent="0.2">
      <c r="A171" s="3"/>
      <c r="B171" s="3"/>
      <c r="C171" s="3" t="str">
        <f>IFERROR(VLOOKUP(B171,'الخطة التدريبية المعتمدة'!A:C,3,FALSE),"")</f>
        <v/>
      </c>
      <c r="D171" s="3"/>
      <c r="E171" s="3"/>
      <c r="F171" s="3"/>
      <c r="G171" s="3"/>
      <c r="H171" s="3" t="str">
        <f>IF(A171="","",COUNTIFS('[2]سجل الحضور والتنفيذ'!B:B,A171,'[2]سجل الحضور والتنفيذ'!H:H,"حاضر"))</f>
        <v/>
      </c>
      <c r="I171" s="7" t="str">
        <f>IF(OR(A171="",G171=0),"",H171/G171)</f>
        <v/>
      </c>
      <c r="J171" s="3"/>
      <c r="K171" s="3"/>
    </row>
    <row r="172" spans="1:11" x14ac:dyDescent="0.2">
      <c r="A172" s="3"/>
      <c r="B172" s="3"/>
      <c r="C172" s="3" t="str">
        <f>IFERROR(VLOOKUP(B172,'الخطة التدريبية المعتمدة'!A:C,3,FALSE),"")</f>
        <v/>
      </c>
      <c r="D172" s="3"/>
      <c r="E172" s="3"/>
      <c r="F172" s="3"/>
      <c r="G172" s="3"/>
      <c r="H172" s="3" t="str">
        <f>IF(A172="","",COUNTIFS('[2]سجل الحضور والتنفيذ'!B:B,A172,'[2]سجل الحضور والتنفيذ'!H:H,"حاضر"))</f>
        <v/>
      </c>
      <c r="I172" s="7" t="str">
        <f>IF(OR(A172="",G172=0),"",H172/G172)</f>
        <v/>
      </c>
      <c r="J172" s="3"/>
      <c r="K172" s="3"/>
    </row>
    <row r="173" spans="1:11" x14ac:dyDescent="0.2">
      <c r="A173" s="3"/>
      <c r="B173" s="3"/>
      <c r="C173" s="3" t="str">
        <f>IFERROR(VLOOKUP(B173,'الخطة التدريبية المعتمدة'!A:C,3,FALSE),"")</f>
        <v/>
      </c>
      <c r="D173" s="3"/>
      <c r="E173" s="3"/>
      <c r="F173" s="3"/>
      <c r="G173" s="3"/>
      <c r="H173" s="3" t="str">
        <f>IF(A173="","",COUNTIFS('[2]سجل الحضور والتنفيذ'!B:B,A173,'[2]سجل الحضور والتنفيذ'!H:H,"حاضر"))</f>
        <v/>
      </c>
      <c r="I173" s="7" t="str">
        <f>IF(OR(A173="",G173=0),"",H173/G173)</f>
        <v/>
      </c>
      <c r="J173" s="3"/>
      <c r="K173" s="3"/>
    </row>
    <row r="174" spans="1:11" x14ac:dyDescent="0.2">
      <c r="A174" s="3"/>
      <c r="B174" s="3"/>
      <c r="C174" s="3" t="str">
        <f>IFERROR(VLOOKUP(B174,'الخطة التدريبية المعتمدة'!A:C,3,FALSE),"")</f>
        <v/>
      </c>
      <c r="D174" s="3"/>
      <c r="E174" s="3"/>
      <c r="F174" s="3"/>
      <c r="G174" s="3"/>
      <c r="H174" s="3" t="str">
        <f>IF(A174="","",COUNTIFS('[2]سجل الحضور والتنفيذ'!B:B,A174,'[2]سجل الحضور والتنفيذ'!H:H,"حاضر"))</f>
        <v/>
      </c>
      <c r="I174" s="7" t="str">
        <f>IF(OR(A174="",G174=0),"",H174/G174)</f>
        <v/>
      </c>
      <c r="J174" s="3"/>
      <c r="K174" s="3"/>
    </row>
    <row r="175" spans="1:11" x14ac:dyDescent="0.2">
      <c r="A175" s="3"/>
      <c r="B175" s="3"/>
      <c r="C175" s="3" t="str">
        <f>IFERROR(VLOOKUP(B175,'الخطة التدريبية المعتمدة'!A:C,3,FALSE),"")</f>
        <v/>
      </c>
      <c r="D175" s="3"/>
      <c r="E175" s="3"/>
      <c r="F175" s="3"/>
      <c r="G175" s="3"/>
      <c r="H175" s="3" t="str">
        <f>IF(A175="","",COUNTIFS('[2]سجل الحضور والتنفيذ'!B:B,A175,'[2]سجل الحضور والتنفيذ'!H:H,"حاضر"))</f>
        <v/>
      </c>
      <c r="I175" s="7" t="str">
        <f>IF(OR(A175="",G175=0),"",H175/G175)</f>
        <v/>
      </c>
      <c r="J175" s="3"/>
      <c r="K175" s="3"/>
    </row>
    <row r="176" spans="1:11" x14ac:dyDescent="0.2">
      <c r="A176" s="3"/>
      <c r="B176" s="3"/>
      <c r="C176" s="3" t="str">
        <f>IFERROR(VLOOKUP(B176,'الخطة التدريبية المعتمدة'!A:C,3,FALSE),"")</f>
        <v/>
      </c>
      <c r="D176" s="3"/>
      <c r="E176" s="3"/>
      <c r="F176" s="3"/>
      <c r="G176" s="3"/>
      <c r="H176" s="3" t="str">
        <f>IF(A176="","",COUNTIFS('[2]سجل الحضور والتنفيذ'!B:B,A176,'[2]سجل الحضور والتنفيذ'!H:H,"حاضر"))</f>
        <v/>
      </c>
      <c r="I176" s="7" t="str">
        <f>IF(OR(A176="",G176=0),"",H176/G176)</f>
        <v/>
      </c>
      <c r="J176" s="3"/>
      <c r="K176" s="3"/>
    </row>
    <row r="177" spans="1:11" x14ac:dyDescent="0.2">
      <c r="A177" s="3"/>
      <c r="B177" s="3"/>
      <c r="C177" s="3" t="str">
        <f>IFERROR(VLOOKUP(B177,'الخطة التدريبية المعتمدة'!A:C,3,FALSE),"")</f>
        <v/>
      </c>
      <c r="D177" s="3"/>
      <c r="E177" s="3"/>
      <c r="F177" s="3"/>
      <c r="G177" s="3"/>
      <c r="H177" s="3" t="str">
        <f>IF(A177="","",COUNTIFS('[2]سجل الحضور والتنفيذ'!B:B,A177,'[2]سجل الحضور والتنفيذ'!H:H,"حاضر"))</f>
        <v/>
      </c>
      <c r="I177" s="7" t="str">
        <f>IF(OR(A177="",G177=0),"",H177/G177)</f>
        <v/>
      </c>
      <c r="J177" s="3"/>
      <c r="K177" s="3"/>
    </row>
    <row r="178" spans="1:11" x14ac:dyDescent="0.2">
      <c r="A178" s="3"/>
      <c r="B178" s="3"/>
      <c r="C178" s="3" t="str">
        <f>IFERROR(VLOOKUP(B178,'الخطة التدريبية المعتمدة'!A:C,3,FALSE),"")</f>
        <v/>
      </c>
      <c r="D178" s="3"/>
      <c r="E178" s="3"/>
      <c r="F178" s="3"/>
      <c r="G178" s="3"/>
      <c r="H178" s="3" t="str">
        <f>IF(A178="","",COUNTIFS('[2]سجل الحضور والتنفيذ'!B:B,A178,'[2]سجل الحضور والتنفيذ'!H:H,"حاضر"))</f>
        <v/>
      </c>
      <c r="I178" s="7" t="str">
        <f>IF(OR(A178="",G178=0),"",H178/G178)</f>
        <v/>
      </c>
      <c r="J178" s="3"/>
      <c r="K178" s="3"/>
    </row>
    <row r="179" spans="1:11" x14ac:dyDescent="0.2">
      <c r="A179" s="3"/>
      <c r="B179" s="3"/>
      <c r="C179" s="3" t="str">
        <f>IFERROR(VLOOKUP(B179,'الخطة التدريبية المعتمدة'!A:C,3,FALSE),"")</f>
        <v/>
      </c>
      <c r="D179" s="3"/>
      <c r="E179" s="3"/>
      <c r="F179" s="3"/>
      <c r="G179" s="3"/>
      <c r="H179" s="3" t="str">
        <f>IF(A179="","",COUNTIFS('[2]سجل الحضور والتنفيذ'!B:B,A179,'[2]سجل الحضور والتنفيذ'!H:H,"حاضر"))</f>
        <v/>
      </c>
      <c r="I179" s="7" t="str">
        <f>IF(OR(A179="",G179=0),"",H179/G179)</f>
        <v/>
      </c>
      <c r="J179" s="3"/>
      <c r="K179" s="3"/>
    </row>
    <row r="180" spans="1:11" x14ac:dyDescent="0.2">
      <c r="A180" s="3"/>
      <c r="B180" s="3"/>
      <c r="C180" s="3" t="str">
        <f>IFERROR(VLOOKUP(B180,'الخطة التدريبية المعتمدة'!A:C,3,FALSE),"")</f>
        <v/>
      </c>
      <c r="D180" s="3"/>
      <c r="E180" s="3"/>
      <c r="F180" s="3"/>
      <c r="G180" s="3"/>
      <c r="H180" s="3" t="str">
        <f>IF(A180="","",COUNTIFS('[2]سجل الحضور والتنفيذ'!B:B,A180,'[2]سجل الحضور والتنفيذ'!H:H,"حاضر"))</f>
        <v/>
      </c>
      <c r="I180" s="7" t="str">
        <f>IF(OR(A180="",G180=0),"",H180/G180)</f>
        <v/>
      </c>
      <c r="J180" s="3"/>
      <c r="K180" s="3"/>
    </row>
    <row r="181" spans="1:11" x14ac:dyDescent="0.2">
      <c r="A181" s="3"/>
      <c r="B181" s="3"/>
      <c r="C181" s="3" t="str">
        <f>IFERROR(VLOOKUP(B181,'الخطة التدريبية المعتمدة'!A:C,3,FALSE),"")</f>
        <v/>
      </c>
      <c r="D181" s="3"/>
      <c r="E181" s="3"/>
      <c r="F181" s="3"/>
      <c r="G181" s="3"/>
      <c r="H181" s="3" t="str">
        <f>IF(A181="","",COUNTIFS('[2]سجل الحضور والتنفيذ'!B:B,A181,'[2]سجل الحضور والتنفيذ'!H:H,"حاضر"))</f>
        <v/>
      </c>
      <c r="I181" s="7" t="str">
        <f>IF(OR(A181="",G181=0),"",H181/G181)</f>
        <v/>
      </c>
      <c r="J181" s="3"/>
      <c r="K181" s="3"/>
    </row>
    <row r="182" spans="1:11" x14ac:dyDescent="0.2">
      <c r="A182" s="3"/>
      <c r="B182" s="3"/>
      <c r="C182" s="3" t="str">
        <f>IFERROR(VLOOKUP(B182,'الخطة التدريبية المعتمدة'!A:C,3,FALSE),"")</f>
        <v/>
      </c>
      <c r="D182" s="3"/>
      <c r="E182" s="3"/>
      <c r="F182" s="3"/>
      <c r="G182" s="3"/>
      <c r="H182" s="3" t="str">
        <f>IF(A182="","",COUNTIFS('[2]سجل الحضور والتنفيذ'!B:B,A182,'[2]سجل الحضور والتنفيذ'!H:H,"حاضر"))</f>
        <v/>
      </c>
      <c r="I182" s="7" t="str">
        <f>IF(OR(A182="",G182=0),"",H182/G182)</f>
        <v/>
      </c>
      <c r="J182" s="3"/>
      <c r="K182" s="3"/>
    </row>
    <row r="183" spans="1:11" x14ac:dyDescent="0.2">
      <c r="A183" s="3"/>
      <c r="B183" s="3"/>
      <c r="C183" s="3" t="str">
        <f>IFERROR(VLOOKUP(B183,'الخطة التدريبية المعتمدة'!A:C,3,FALSE),"")</f>
        <v/>
      </c>
      <c r="D183" s="3"/>
      <c r="E183" s="3"/>
      <c r="F183" s="3"/>
      <c r="G183" s="3"/>
      <c r="H183" s="3" t="str">
        <f>IF(A183="","",COUNTIFS('[2]سجل الحضور والتنفيذ'!B:B,A183,'[2]سجل الحضور والتنفيذ'!H:H,"حاضر"))</f>
        <v/>
      </c>
      <c r="I183" s="7" t="str">
        <f>IF(OR(A183="",G183=0),"",H183/G183)</f>
        <v/>
      </c>
      <c r="J183" s="3"/>
      <c r="K183" s="3"/>
    </row>
    <row r="184" spans="1:11" x14ac:dyDescent="0.2">
      <c r="A184" s="3"/>
      <c r="B184" s="3"/>
      <c r="C184" s="3" t="str">
        <f>IFERROR(VLOOKUP(B184,'الخطة التدريبية المعتمدة'!A:C,3,FALSE),"")</f>
        <v/>
      </c>
      <c r="D184" s="3"/>
      <c r="E184" s="3"/>
      <c r="F184" s="3"/>
      <c r="G184" s="3"/>
      <c r="H184" s="3" t="str">
        <f>IF(A184="","",COUNTIFS('[2]سجل الحضور والتنفيذ'!B:B,A184,'[2]سجل الحضور والتنفيذ'!H:H,"حاضر"))</f>
        <v/>
      </c>
      <c r="I184" s="7" t="str">
        <f>IF(OR(A184="",G184=0),"",H184/G184)</f>
        <v/>
      </c>
      <c r="J184" s="3"/>
      <c r="K184" s="3"/>
    </row>
    <row r="185" spans="1:11" x14ac:dyDescent="0.2">
      <c r="A185" s="3"/>
      <c r="B185" s="3"/>
      <c r="C185" s="3" t="str">
        <f>IFERROR(VLOOKUP(B185,'الخطة التدريبية المعتمدة'!A:C,3,FALSE),"")</f>
        <v/>
      </c>
      <c r="D185" s="3"/>
      <c r="E185" s="3"/>
      <c r="F185" s="3"/>
      <c r="G185" s="3"/>
      <c r="H185" s="3" t="str">
        <f>IF(A185="","",COUNTIFS('[2]سجل الحضور والتنفيذ'!B:B,A185,'[2]سجل الحضور والتنفيذ'!H:H,"حاضر"))</f>
        <v/>
      </c>
      <c r="I185" s="7" t="str">
        <f>IF(OR(A185="",G185=0),"",H185/G185)</f>
        <v/>
      </c>
      <c r="J185" s="3"/>
      <c r="K185" s="3"/>
    </row>
    <row r="186" spans="1:11" x14ac:dyDescent="0.2">
      <c r="A186" s="3"/>
      <c r="B186" s="3"/>
      <c r="C186" s="3" t="str">
        <f>IFERROR(VLOOKUP(B186,'الخطة التدريبية المعتمدة'!A:C,3,FALSE),"")</f>
        <v/>
      </c>
      <c r="D186" s="3"/>
      <c r="E186" s="3"/>
      <c r="F186" s="3"/>
      <c r="G186" s="3"/>
      <c r="H186" s="3" t="str">
        <f>IF(A186="","",COUNTIFS('[2]سجل الحضور والتنفيذ'!B:B,A186,'[2]سجل الحضور والتنفيذ'!H:H,"حاضر"))</f>
        <v/>
      </c>
      <c r="I186" s="7" t="str">
        <f>IF(OR(A186="",G186=0),"",H186/G186)</f>
        <v/>
      </c>
      <c r="J186" s="3"/>
      <c r="K186" s="3"/>
    </row>
    <row r="187" spans="1:11" x14ac:dyDescent="0.2">
      <c r="A187" s="3"/>
      <c r="B187" s="3"/>
      <c r="C187" s="3" t="str">
        <f>IFERROR(VLOOKUP(B187,'الخطة التدريبية المعتمدة'!A:C,3,FALSE),"")</f>
        <v/>
      </c>
      <c r="D187" s="3"/>
      <c r="E187" s="3"/>
      <c r="F187" s="3"/>
      <c r="G187" s="3"/>
      <c r="H187" s="3" t="str">
        <f>IF(A187="","",COUNTIFS('[2]سجل الحضور والتنفيذ'!B:B,A187,'[2]سجل الحضور والتنفيذ'!H:H,"حاضر"))</f>
        <v/>
      </c>
      <c r="I187" s="7" t="str">
        <f>IF(OR(A187="",G187=0),"",H187/G187)</f>
        <v/>
      </c>
      <c r="J187" s="3"/>
      <c r="K187" s="3"/>
    </row>
    <row r="188" spans="1:11" x14ac:dyDescent="0.2">
      <c r="A188" s="3"/>
      <c r="B188" s="3"/>
      <c r="C188" s="3" t="str">
        <f>IFERROR(VLOOKUP(B188,'الخطة التدريبية المعتمدة'!A:C,3,FALSE),"")</f>
        <v/>
      </c>
      <c r="D188" s="3"/>
      <c r="E188" s="3"/>
      <c r="F188" s="3"/>
      <c r="G188" s="3"/>
      <c r="H188" s="3" t="str">
        <f>IF(A188="","",COUNTIFS('[2]سجل الحضور والتنفيذ'!B:B,A188,'[2]سجل الحضور والتنفيذ'!H:H,"حاضر"))</f>
        <v/>
      </c>
      <c r="I188" s="7" t="str">
        <f>IF(OR(A188="",G188=0),"",H188/G188)</f>
        <v/>
      </c>
      <c r="J188" s="3"/>
      <c r="K188" s="3"/>
    </row>
    <row r="189" spans="1:11" x14ac:dyDescent="0.2">
      <c r="A189" s="3"/>
      <c r="B189" s="3"/>
      <c r="C189" s="3" t="str">
        <f>IFERROR(VLOOKUP(B189,'الخطة التدريبية المعتمدة'!A:C,3,FALSE),"")</f>
        <v/>
      </c>
      <c r="D189" s="3"/>
      <c r="E189" s="3"/>
      <c r="F189" s="3"/>
      <c r="G189" s="3"/>
      <c r="H189" s="3" t="str">
        <f>IF(A189="","",COUNTIFS('[2]سجل الحضور والتنفيذ'!B:B,A189,'[2]سجل الحضور والتنفيذ'!H:H,"حاضر"))</f>
        <v/>
      </c>
      <c r="I189" s="7" t="str">
        <f>IF(OR(A189="",G189=0),"",H189/G189)</f>
        <v/>
      </c>
      <c r="J189" s="3"/>
      <c r="K189" s="3"/>
    </row>
    <row r="190" spans="1:11" x14ac:dyDescent="0.2">
      <c r="A190" s="3"/>
      <c r="B190" s="3"/>
      <c r="C190" s="3" t="str">
        <f>IFERROR(VLOOKUP(B190,'الخطة التدريبية المعتمدة'!A:C,3,FALSE),"")</f>
        <v/>
      </c>
      <c r="D190" s="3"/>
      <c r="E190" s="3"/>
      <c r="F190" s="3"/>
      <c r="G190" s="3"/>
      <c r="H190" s="3" t="str">
        <f>IF(A190="","",COUNTIFS('[2]سجل الحضور والتنفيذ'!B:B,A190,'[2]سجل الحضور والتنفيذ'!H:H,"حاضر"))</f>
        <v/>
      </c>
      <c r="I190" s="7" t="str">
        <f>IF(OR(A190="",G190=0),"",H190/G190)</f>
        <v/>
      </c>
      <c r="J190" s="3"/>
      <c r="K190" s="3"/>
    </row>
    <row r="191" spans="1:11" x14ac:dyDescent="0.2">
      <c r="A191" s="3"/>
      <c r="B191" s="3"/>
      <c r="C191" s="3" t="str">
        <f>IFERROR(VLOOKUP(B191,'الخطة التدريبية المعتمدة'!A:C,3,FALSE),"")</f>
        <v/>
      </c>
      <c r="D191" s="3"/>
      <c r="E191" s="3"/>
      <c r="F191" s="3"/>
      <c r="G191" s="3"/>
      <c r="H191" s="3" t="str">
        <f>IF(A191="","",COUNTIFS('[2]سجل الحضور والتنفيذ'!B:B,A191,'[2]سجل الحضور والتنفيذ'!H:H,"حاضر"))</f>
        <v/>
      </c>
      <c r="I191" s="7" t="str">
        <f>IF(OR(A191="",G191=0),"",H191/G191)</f>
        <v/>
      </c>
      <c r="J191" s="3"/>
      <c r="K191" s="3"/>
    </row>
    <row r="192" spans="1:11" x14ac:dyDescent="0.2">
      <c r="A192" s="3"/>
      <c r="B192" s="3"/>
      <c r="C192" s="3" t="str">
        <f>IFERROR(VLOOKUP(B192,'الخطة التدريبية المعتمدة'!A:C,3,FALSE),"")</f>
        <v/>
      </c>
      <c r="D192" s="3"/>
      <c r="E192" s="3"/>
      <c r="F192" s="3"/>
      <c r="G192" s="3"/>
      <c r="H192" s="3" t="str">
        <f>IF(A192="","",COUNTIFS('[2]سجل الحضور والتنفيذ'!B:B,A192,'[2]سجل الحضور والتنفيذ'!H:H,"حاضر"))</f>
        <v/>
      </c>
      <c r="I192" s="7" t="str">
        <f>IF(OR(A192="",G192=0),"",H192/G192)</f>
        <v/>
      </c>
      <c r="J192" s="3"/>
      <c r="K192" s="3"/>
    </row>
    <row r="193" spans="1:11" x14ac:dyDescent="0.2">
      <c r="A193" s="3"/>
      <c r="B193" s="3"/>
      <c r="C193" s="3" t="str">
        <f>IFERROR(VLOOKUP(B193,'الخطة التدريبية المعتمدة'!A:C,3,FALSE),"")</f>
        <v/>
      </c>
      <c r="D193" s="3"/>
      <c r="E193" s="3"/>
      <c r="F193" s="3"/>
      <c r="G193" s="3"/>
      <c r="H193" s="3" t="str">
        <f>IF(A193="","",COUNTIFS('[2]سجل الحضور والتنفيذ'!B:B,A193,'[2]سجل الحضور والتنفيذ'!H:H,"حاضر"))</f>
        <v/>
      </c>
      <c r="I193" s="7" t="str">
        <f>IF(OR(A193="",G193=0),"",H193/G193)</f>
        <v/>
      </c>
      <c r="J193" s="3"/>
      <c r="K193" s="3"/>
    </row>
    <row r="194" spans="1:11" x14ac:dyDescent="0.2">
      <c r="A194" s="3"/>
      <c r="B194" s="3"/>
      <c r="C194" s="3" t="str">
        <f>IFERROR(VLOOKUP(B194,'الخطة التدريبية المعتمدة'!A:C,3,FALSE),"")</f>
        <v/>
      </c>
      <c r="D194" s="3"/>
      <c r="E194" s="3"/>
      <c r="F194" s="3"/>
      <c r="G194" s="3"/>
      <c r="H194" s="3" t="str">
        <f>IF(A194="","",COUNTIFS('[2]سجل الحضور والتنفيذ'!B:B,A194,'[2]سجل الحضور والتنفيذ'!H:H,"حاضر"))</f>
        <v/>
      </c>
      <c r="I194" s="7" t="str">
        <f>IF(OR(A194="",G194=0),"",H194/G194)</f>
        <v/>
      </c>
      <c r="J194" s="3"/>
      <c r="K194" s="3"/>
    </row>
    <row r="195" spans="1:11" x14ac:dyDescent="0.2">
      <c r="A195" s="3"/>
      <c r="B195" s="3"/>
      <c r="C195" s="3" t="str">
        <f>IFERROR(VLOOKUP(B195,'الخطة التدريبية المعتمدة'!A:C,3,FALSE),"")</f>
        <v/>
      </c>
      <c r="D195" s="3"/>
      <c r="E195" s="3"/>
      <c r="F195" s="3"/>
      <c r="G195" s="3"/>
      <c r="H195" s="3" t="str">
        <f>IF(A195="","",COUNTIFS('[2]سجل الحضور والتنفيذ'!B:B,A195,'[2]سجل الحضور والتنفيذ'!H:H,"حاضر"))</f>
        <v/>
      </c>
      <c r="I195" s="7" t="str">
        <f>IF(OR(A195="",G195=0),"",H195/G195)</f>
        <v/>
      </c>
      <c r="J195" s="3"/>
      <c r="K195" s="3"/>
    </row>
    <row r="196" spans="1:11" x14ac:dyDescent="0.2">
      <c r="A196" s="3"/>
      <c r="B196" s="3"/>
      <c r="C196" s="3" t="str">
        <f>IFERROR(VLOOKUP(B196,'الخطة التدريبية المعتمدة'!A:C,3,FALSE),"")</f>
        <v/>
      </c>
      <c r="D196" s="3"/>
      <c r="E196" s="3"/>
      <c r="F196" s="3"/>
      <c r="G196" s="3"/>
      <c r="H196" s="3" t="str">
        <f>IF(A196="","",COUNTIFS('[2]سجل الحضور والتنفيذ'!B:B,A196,'[2]سجل الحضور والتنفيذ'!H:H,"حاضر"))</f>
        <v/>
      </c>
      <c r="I196" s="7" t="str">
        <f>IF(OR(A196="",G196=0),"",H196/G196)</f>
        <v/>
      </c>
      <c r="J196" s="3"/>
      <c r="K196" s="3"/>
    </row>
    <row r="197" spans="1:11" x14ac:dyDescent="0.2">
      <c r="A197" s="3"/>
      <c r="B197" s="3"/>
      <c r="C197" s="3" t="str">
        <f>IFERROR(VLOOKUP(B197,'الخطة التدريبية المعتمدة'!A:C,3,FALSE),"")</f>
        <v/>
      </c>
      <c r="D197" s="3"/>
      <c r="E197" s="3"/>
      <c r="F197" s="3"/>
      <c r="G197" s="3"/>
      <c r="H197" s="3" t="str">
        <f>IF(A197="","",COUNTIFS('[2]سجل الحضور والتنفيذ'!B:B,A197,'[2]سجل الحضور والتنفيذ'!H:H,"حاضر"))</f>
        <v/>
      </c>
      <c r="I197" s="7" t="str">
        <f>IF(OR(A197="",G197=0),"",H197/G197)</f>
        <v/>
      </c>
      <c r="J197" s="3"/>
      <c r="K197" s="3"/>
    </row>
    <row r="198" spans="1:11" x14ac:dyDescent="0.2">
      <c r="A198" s="3"/>
      <c r="B198" s="3"/>
      <c r="C198" s="3" t="str">
        <f>IFERROR(VLOOKUP(B198,'الخطة التدريبية المعتمدة'!A:C,3,FALSE),"")</f>
        <v/>
      </c>
      <c r="D198" s="3"/>
      <c r="E198" s="3"/>
      <c r="F198" s="3"/>
      <c r="G198" s="3"/>
      <c r="H198" s="3" t="str">
        <f>IF(A198="","",COUNTIFS('[2]سجل الحضور والتنفيذ'!B:B,A198,'[2]سجل الحضور والتنفيذ'!H:H,"حاضر"))</f>
        <v/>
      </c>
      <c r="I198" s="7" t="str">
        <f>IF(OR(A198="",G198=0),"",H198/G198)</f>
        <v/>
      </c>
      <c r="J198" s="3"/>
      <c r="K198" s="3"/>
    </row>
    <row r="199" spans="1:11" x14ac:dyDescent="0.2">
      <c r="A199" s="3"/>
      <c r="B199" s="3"/>
      <c r="C199" s="3" t="str">
        <f>IFERROR(VLOOKUP(B199,'الخطة التدريبية المعتمدة'!A:C,3,FALSE),"")</f>
        <v/>
      </c>
      <c r="D199" s="3"/>
      <c r="E199" s="3"/>
      <c r="F199" s="3"/>
      <c r="G199" s="3"/>
      <c r="H199" s="3" t="str">
        <f>IF(A199="","",COUNTIFS('[2]سجل الحضور والتنفيذ'!B:B,A199,'[2]سجل الحضور والتنفيذ'!H:H,"حاضر"))</f>
        <v/>
      </c>
      <c r="I199" s="7" t="str">
        <f>IF(OR(A199="",G199=0),"",H199/G199)</f>
        <v/>
      </c>
      <c r="J199" s="3"/>
      <c r="K199" s="3"/>
    </row>
    <row r="200" spans="1:11" x14ac:dyDescent="0.2">
      <c r="A200" s="3"/>
      <c r="B200" s="3"/>
      <c r="C200" s="3" t="str">
        <f>IFERROR(VLOOKUP(B200,'الخطة التدريبية المعتمدة'!A:C,3,FALSE),"")</f>
        <v/>
      </c>
      <c r="D200" s="3"/>
      <c r="E200" s="3"/>
      <c r="F200" s="3"/>
      <c r="G200" s="3"/>
      <c r="H200" s="3" t="str">
        <f>IF(A200="","",COUNTIFS('[2]سجل الحضور والتنفيذ'!B:B,A200,'[2]سجل الحضور والتنفيذ'!H:H,"حاضر"))</f>
        <v/>
      </c>
      <c r="I200" s="7" t="str">
        <f>IF(OR(A200="",G200=0),"",H200/G200)</f>
        <v/>
      </c>
      <c r="J200" s="3"/>
      <c r="K200" s="3"/>
    </row>
    <row r="201" spans="1:11" x14ac:dyDescent="0.2">
      <c r="A201" s="3"/>
      <c r="B201" s="3"/>
      <c r="C201" s="3" t="str">
        <f>IFERROR(VLOOKUP(B201,'الخطة التدريبية المعتمدة'!A:C,3,FALSE),"")</f>
        <v/>
      </c>
      <c r="D201" s="3"/>
      <c r="E201" s="3"/>
      <c r="F201" s="3"/>
      <c r="G201" s="3"/>
      <c r="H201" s="3" t="str">
        <f>IF(A201="","",COUNTIFS('[2]سجل الحضور والتنفيذ'!B:B,A201,'[2]سجل الحضور والتنفيذ'!H:H,"حاضر"))</f>
        <v/>
      </c>
      <c r="I201" s="7" t="str">
        <f>IF(OR(A201="",G201=0),"",H201/G201)</f>
        <v/>
      </c>
      <c r="J201" s="3"/>
      <c r="K201" s="3"/>
    </row>
    <row r="202" spans="1:11" x14ac:dyDescent="0.2">
      <c r="A202" s="3"/>
      <c r="B202" s="3"/>
      <c r="C202" s="3" t="str">
        <f>IFERROR(VLOOKUP(B202,'الخطة التدريبية المعتمدة'!A:C,3,FALSE),"")</f>
        <v/>
      </c>
      <c r="D202" s="3"/>
      <c r="E202" s="3"/>
      <c r="F202" s="3"/>
      <c r="G202" s="3"/>
      <c r="H202" s="3" t="str">
        <f>IF(A202="","",COUNTIFS('[2]سجل الحضور والتنفيذ'!B:B,A202,'[2]سجل الحضور والتنفيذ'!H:H,"حاضر"))</f>
        <v/>
      </c>
      <c r="I202" s="7" t="str">
        <f>IF(OR(A202="",G202=0),"",H202/G202)</f>
        <v/>
      </c>
      <c r="J202" s="3"/>
      <c r="K202" s="3"/>
    </row>
    <row r="203" spans="1:11" x14ac:dyDescent="0.2">
      <c r="A203" s="3"/>
      <c r="B203" s="3"/>
      <c r="C203" s="3" t="str">
        <f>IFERROR(VLOOKUP(B203,'الخطة التدريبية المعتمدة'!A:C,3,FALSE),"")</f>
        <v/>
      </c>
      <c r="D203" s="3"/>
      <c r="E203" s="3"/>
      <c r="F203" s="3"/>
      <c r="G203" s="3"/>
      <c r="H203" s="3" t="str">
        <f>IF(A203="","",COUNTIFS('[2]سجل الحضور والتنفيذ'!B:B,A203,'[2]سجل الحضور والتنفيذ'!H:H,"حاضر"))</f>
        <v/>
      </c>
      <c r="I203" s="7" t="str">
        <f>IF(OR(A203="",G203=0),"",H203/G203)</f>
        <v/>
      </c>
      <c r="J203" s="3"/>
      <c r="K203" s="3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CF12-DAD2-464D-AB67-42E42C323E57}">
  <dimension ref="A1:R103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3.28515625" style="1" bestFit="1" customWidth="1"/>
    <col min="2" max="2" width="24.140625" style="1" bestFit="1" customWidth="1"/>
    <col min="3" max="3" width="26.5703125" style="1" bestFit="1" customWidth="1"/>
    <col min="4" max="4" width="18" style="1" bestFit="1" customWidth="1"/>
    <col min="5" max="5" width="14.85546875" style="1" bestFit="1" customWidth="1"/>
    <col min="6" max="6" width="15.140625" style="1" bestFit="1" customWidth="1"/>
    <col min="7" max="7" width="13.140625" style="1" bestFit="1" customWidth="1"/>
    <col min="8" max="8" width="14" style="1" bestFit="1" customWidth="1"/>
    <col min="9" max="9" width="14.85546875" style="1" bestFit="1" customWidth="1"/>
    <col min="10" max="10" width="10.5703125" style="1" bestFit="1" customWidth="1"/>
    <col min="11" max="11" width="9.85546875" style="1" bestFit="1" customWidth="1"/>
    <col min="12" max="12" width="14.42578125" style="1" bestFit="1" customWidth="1"/>
    <col min="13" max="13" width="12.28515625" style="1" bestFit="1" customWidth="1"/>
    <col min="14" max="14" width="19.28515625" style="1" customWidth="1"/>
    <col min="15" max="15" width="21.28515625" style="1" bestFit="1" customWidth="1"/>
    <col min="16" max="16" width="20" style="1" bestFit="1" customWidth="1"/>
    <col min="17" max="17" width="15.5703125" style="1" bestFit="1" customWidth="1"/>
    <col min="18" max="18" width="14.140625" style="1" bestFit="1" customWidth="1"/>
    <col min="19" max="16384" width="9.140625" style="1"/>
  </cols>
  <sheetData>
    <row r="1" spans="1:18" x14ac:dyDescent="0.2">
      <c r="A1" s="2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">
      <c r="A3" s="4" t="s">
        <v>247</v>
      </c>
      <c r="B3" s="4" t="s">
        <v>248</v>
      </c>
      <c r="C3" s="4" t="s">
        <v>249</v>
      </c>
      <c r="D3" s="4" t="s">
        <v>250</v>
      </c>
      <c r="E3" s="4" t="s">
        <v>251</v>
      </c>
      <c r="F3" s="4" t="s">
        <v>252</v>
      </c>
      <c r="G3" s="4" t="s">
        <v>253</v>
      </c>
      <c r="H3" s="4" t="s">
        <v>254</v>
      </c>
      <c r="I3" s="4" t="s">
        <v>255</v>
      </c>
      <c r="J3" s="4" t="s">
        <v>256</v>
      </c>
      <c r="K3" s="4" t="s">
        <v>257</v>
      </c>
      <c r="L3" s="4" t="s">
        <v>258</v>
      </c>
      <c r="M3" s="4" t="s">
        <v>259</v>
      </c>
      <c r="N3" s="4" t="s">
        <v>260</v>
      </c>
      <c r="O3" s="4" t="s">
        <v>261</v>
      </c>
      <c r="P3" s="4" t="s">
        <v>262</v>
      </c>
      <c r="Q3" s="4" t="s">
        <v>263</v>
      </c>
      <c r="R3" s="4" t="s">
        <v>264</v>
      </c>
    </row>
    <row r="4" spans="1:18" ht="38.25" x14ac:dyDescent="0.2">
      <c r="A4" s="3" t="s">
        <v>265</v>
      </c>
      <c r="B4" s="3" t="s">
        <v>69</v>
      </c>
      <c r="C4" s="3" t="s">
        <v>266</v>
      </c>
      <c r="D4" s="3" t="s">
        <v>267</v>
      </c>
      <c r="E4" s="3" t="s">
        <v>268</v>
      </c>
      <c r="F4" s="3">
        <f>IF(A4="","",IF(E4="جميع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والكفاءة'!E:E,E4)))</f>
        <v>0</v>
      </c>
      <c r="G4" s="3" t="s">
        <v>269</v>
      </c>
      <c r="H4" s="3" t="s">
        <v>270</v>
      </c>
      <c r="I4" s="3" t="s">
        <v>271</v>
      </c>
      <c r="J4" s="3">
        <v>4</v>
      </c>
      <c r="K4" s="3" t="s">
        <v>272</v>
      </c>
      <c r="L4" s="3" t="s">
        <v>273</v>
      </c>
      <c r="M4" s="3" t="s">
        <v>274</v>
      </c>
      <c r="N4" s="3">
        <f>IF(A4="","",ROUNDUP(F4/'الإعدادات والمستهدفات'!B12,0))</f>
        <v>0</v>
      </c>
      <c r="O4" s="3">
        <f>IF(A4="","",F4*J4)</f>
        <v>0</v>
      </c>
      <c r="P4" s="3" t="e">
        <f>IF(A4="","",COUNTIFS('[2]سجل الحضور والتنفيذ'!A:A,A4,'[2]سجل الحضور والتنفيذ'!H:H,"حاضر"))</f>
        <v>#VALUE!</v>
      </c>
      <c r="Q4" s="7" t="str">
        <f>IF(OR(A4="",F4=0),"",P4/F4)</f>
        <v/>
      </c>
      <c r="R4" s="3" t="str">
        <f>IF(A4="","",IF(F4=0,"لا ينطبق",IF(P4=0,"لم يبدأ",IF(Q4&gt;='الإعدادات والمستهدفات'!B7,"مستوفى بالكامل","قيد الاستيفاء"))))</f>
        <v>لا ينطبق</v>
      </c>
    </row>
    <row r="5" spans="1:18" ht="25.5" x14ac:dyDescent="0.2">
      <c r="A5" s="3" t="s">
        <v>275</v>
      </c>
      <c r="B5" s="3" t="s">
        <v>69</v>
      </c>
      <c r="C5" s="3" t="s">
        <v>211</v>
      </c>
      <c r="D5" s="3" t="s">
        <v>276</v>
      </c>
      <c r="E5" s="3" t="s">
        <v>277</v>
      </c>
      <c r="F5" s="3">
        <f>IF(A5="","",IF(E5="جميع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والكفاءة'!E:E,E5)))</f>
        <v>0</v>
      </c>
      <c r="G5" s="3" t="s">
        <v>278</v>
      </c>
      <c r="H5" s="3" t="s">
        <v>279</v>
      </c>
      <c r="I5" s="3" t="s">
        <v>280</v>
      </c>
      <c r="J5" s="3">
        <v>4</v>
      </c>
      <c r="K5" s="3" t="s">
        <v>281</v>
      </c>
      <c r="L5" s="3" t="s">
        <v>273</v>
      </c>
      <c r="M5" s="3" t="s">
        <v>274</v>
      </c>
      <c r="N5" s="3">
        <f>IF(A5="","",ROUNDUP(F5/'الإعدادات والمستهدفات'!B12,0))</f>
        <v>0</v>
      </c>
      <c r="O5" s="3">
        <f>IF(A5="","",F5*J5)</f>
        <v>0</v>
      </c>
      <c r="P5" s="3" t="e">
        <f>IF(A5="","",COUNTIFS('[2]سجل الحضور والتنفيذ'!A:A,A5,'[2]سجل الحضور والتنفيذ'!H:H,"حاضر"))</f>
        <v>#VALUE!</v>
      </c>
      <c r="Q5" s="7" t="str">
        <f>IF(OR(A5="",F5=0),"",P5/F5)</f>
        <v/>
      </c>
      <c r="R5" s="3" t="str">
        <f>IF(A5="","",IF(F5=0,"لا ينطبق",IF(P5=0,"لم يبدأ",IF(Q5&gt;='الإعدادات والمستهدفات'!B7,"مستوفى بالكامل","قيد الاستيفاء"))))</f>
        <v>لا ينطبق</v>
      </c>
    </row>
    <row r="6" spans="1:18" ht="25.5" x14ac:dyDescent="0.2">
      <c r="A6" s="3" t="s">
        <v>282</v>
      </c>
      <c r="B6" s="3" t="s">
        <v>69</v>
      </c>
      <c r="C6" s="3" t="s">
        <v>283</v>
      </c>
      <c r="D6" s="3" t="s">
        <v>284</v>
      </c>
      <c r="E6" s="3" t="s">
        <v>285</v>
      </c>
      <c r="F6" s="3">
        <f>IF(A6="","",IF(E6="جميع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والكفاءة'!E:E,E6)))</f>
        <v>0</v>
      </c>
      <c r="G6" s="3" t="s">
        <v>286</v>
      </c>
      <c r="H6" s="3" t="s">
        <v>287</v>
      </c>
      <c r="I6" s="3" t="s">
        <v>221</v>
      </c>
      <c r="J6" s="3">
        <v>3</v>
      </c>
      <c r="K6" s="3" t="s">
        <v>272</v>
      </c>
      <c r="L6" s="3" t="s">
        <v>288</v>
      </c>
      <c r="M6" s="3" t="s">
        <v>274</v>
      </c>
      <c r="N6" s="3">
        <f>IF(A6="","",ROUNDUP(F6/'الإعدادات والمستهدفات'!B12,0))</f>
        <v>0</v>
      </c>
      <c r="O6" s="3">
        <f>IF(A6="","",F6*J6)</f>
        <v>0</v>
      </c>
      <c r="P6" s="3" t="e">
        <f>IF(A6="","",COUNTIFS('[2]سجل الحضور والتنفيذ'!A:A,A6,'[2]سجل الحضور والتنفيذ'!H:H,"حاضر"))</f>
        <v>#VALUE!</v>
      </c>
      <c r="Q6" s="7" t="str">
        <f>IF(OR(A6="",F6=0),"",P6/F6)</f>
        <v/>
      </c>
      <c r="R6" s="3" t="str">
        <f>IF(A6="","",IF(F6=0,"لا ينطبق",IF(P6=0,"لم يبدأ",IF(Q6&gt;='الإعدادات والمستهدفات'!B7,"مستوفى بالكامل","قيد الاستيفاء"))))</f>
        <v>لا ينطبق</v>
      </c>
    </row>
    <row r="7" spans="1:18" ht="25.5" x14ac:dyDescent="0.2">
      <c r="A7" s="3" t="s">
        <v>289</v>
      </c>
      <c r="B7" s="3" t="s">
        <v>69</v>
      </c>
      <c r="C7" s="3" t="s">
        <v>290</v>
      </c>
      <c r="D7" s="3" t="s">
        <v>291</v>
      </c>
      <c r="E7" s="3" t="s">
        <v>292</v>
      </c>
      <c r="F7" s="3">
        <f>IF(A7="","",IF(E7="جميع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والكفاءة'!E:E,E7)))</f>
        <v>0</v>
      </c>
      <c r="G7" s="3" t="s">
        <v>293</v>
      </c>
      <c r="H7" s="3" t="s">
        <v>294</v>
      </c>
      <c r="I7" s="3" t="s">
        <v>295</v>
      </c>
      <c r="J7" s="3">
        <v>3</v>
      </c>
      <c r="K7" s="3" t="s">
        <v>87</v>
      </c>
      <c r="L7" s="3" t="s">
        <v>288</v>
      </c>
      <c r="M7" s="3" t="s">
        <v>274</v>
      </c>
      <c r="N7" s="3">
        <f>IF(A7="","",ROUNDUP(F7/'الإعدادات والمستهدفات'!B12,0))</f>
        <v>0</v>
      </c>
      <c r="O7" s="3">
        <f>IF(A7="","",F7*J7)</f>
        <v>0</v>
      </c>
      <c r="P7" s="3" t="e">
        <f>IF(A7="","",COUNTIFS('[2]سجل الحضور والتنفيذ'!A:A,A7,'[2]سجل الحضور والتنفيذ'!H:H,"حاضر"))</f>
        <v>#VALUE!</v>
      </c>
      <c r="Q7" s="7" t="str">
        <f>IF(OR(A7="",F7=0),"",P7/F7)</f>
        <v/>
      </c>
      <c r="R7" s="3" t="str">
        <f>IF(A7="","",IF(F7=0,"لا ينطبق",IF(P7=0,"لم يبدأ",IF(Q7&gt;='الإعدادات والمستهدفات'!B7,"مستوفى بالكامل","قيد الاستيفاء"))))</f>
        <v>لا ينطبق</v>
      </c>
    </row>
    <row r="8" spans="1:18" ht="25.5" x14ac:dyDescent="0.2">
      <c r="A8" s="3" t="s">
        <v>296</v>
      </c>
      <c r="B8" s="3" t="s">
        <v>69</v>
      </c>
      <c r="C8" s="3" t="s">
        <v>297</v>
      </c>
      <c r="D8" s="3" t="s">
        <v>298</v>
      </c>
      <c r="E8" s="3" t="s">
        <v>299</v>
      </c>
      <c r="F8" s="3">
        <f>IF(A8="","",IF(E8="جميع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والكفاءة'!E:E,E8)))</f>
        <v>0</v>
      </c>
      <c r="G8" s="3" t="s">
        <v>300</v>
      </c>
      <c r="H8" s="3" t="s">
        <v>301</v>
      </c>
      <c r="I8" s="3" t="s">
        <v>302</v>
      </c>
      <c r="J8" s="3">
        <v>4</v>
      </c>
      <c r="K8" s="3" t="s">
        <v>272</v>
      </c>
      <c r="L8" s="3" t="s">
        <v>303</v>
      </c>
      <c r="M8" s="3" t="s">
        <v>274</v>
      </c>
      <c r="N8" s="3">
        <f>IF(A8="","",ROUNDUP(F8/'الإعدادات والمستهدفات'!B12,0))</f>
        <v>0</v>
      </c>
      <c r="O8" s="3">
        <f>IF(A8="","",F8*J8)</f>
        <v>0</v>
      </c>
      <c r="P8" s="3" t="e">
        <f>IF(A8="","",COUNTIFS('[2]سجل الحضور والتنفيذ'!A:A,A8,'[2]سجل الحضور والتنفيذ'!H:H,"حاضر"))</f>
        <v>#VALUE!</v>
      </c>
      <c r="Q8" s="7" t="str">
        <f>IF(OR(A8="",F8=0),"",P8/F8)</f>
        <v/>
      </c>
      <c r="R8" s="3" t="str">
        <f>IF(A8="","",IF(F8=0,"لا ينطبق",IF(P8=0,"لم يبدأ",IF(Q8&gt;='الإعدادات والمستهدفات'!B7,"مستوفى بالكامل","قيد الاستيفاء"))))</f>
        <v>لا ينطبق</v>
      </c>
    </row>
    <row r="9" spans="1:18" ht="25.5" x14ac:dyDescent="0.2">
      <c r="A9" s="3" t="s">
        <v>304</v>
      </c>
      <c r="B9" s="3" t="s">
        <v>69</v>
      </c>
      <c r="C9" s="3" t="s">
        <v>305</v>
      </c>
      <c r="D9" s="3" t="s">
        <v>306</v>
      </c>
      <c r="E9" s="3" t="s">
        <v>307</v>
      </c>
      <c r="F9" s="3">
        <f>IF(A9="","",IF(E9="جميع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والكفاءة'!E:E,E9)))</f>
        <v>0</v>
      </c>
      <c r="G9" s="3" t="s">
        <v>308</v>
      </c>
      <c r="H9" s="3" t="s">
        <v>309</v>
      </c>
      <c r="I9" s="3" t="s">
        <v>310</v>
      </c>
      <c r="J9" s="3">
        <v>3</v>
      </c>
      <c r="K9" s="3" t="s">
        <v>87</v>
      </c>
      <c r="L9" s="3" t="s">
        <v>303</v>
      </c>
      <c r="M9" s="3" t="s">
        <v>274</v>
      </c>
      <c r="N9" s="3">
        <f>IF(A9="","",ROUNDUP(F9/'الإعدادات والمستهدفات'!B12,0))</f>
        <v>0</v>
      </c>
      <c r="O9" s="3">
        <f>IF(A9="","",F9*J9)</f>
        <v>0</v>
      </c>
      <c r="P9" s="3" t="e">
        <f>IF(A9="","",COUNTIFS('[2]سجل الحضور والتنفيذ'!A:A,A9,'[2]سجل الحضور والتنفيذ'!H:H,"حاضر"))</f>
        <v>#VALUE!</v>
      </c>
      <c r="Q9" s="7" t="str">
        <f>IF(OR(A9="",F9=0),"",P9/F9)</f>
        <v/>
      </c>
      <c r="R9" s="3" t="str">
        <f>IF(A9="","",IF(F9=0,"لا ينطبق",IF(P9=0,"لم يبدأ",IF(Q9&gt;='الإعدادات والمستهدفات'!B7,"مستوفى بالكامل","قيد الاستيفاء"))))</f>
        <v>لا ينطبق</v>
      </c>
    </row>
    <row r="10" spans="1:18" ht="25.5" x14ac:dyDescent="0.2">
      <c r="A10" s="3" t="s">
        <v>311</v>
      </c>
      <c r="B10" s="3" t="s">
        <v>69</v>
      </c>
      <c r="C10" s="3" t="s">
        <v>312</v>
      </c>
      <c r="D10" s="3" t="s">
        <v>313</v>
      </c>
      <c r="E10" s="3" t="s">
        <v>237</v>
      </c>
      <c r="F10" s="3">
        <f>IF(A10="","",IF(E10="جميع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والكفاءة'!E:E,E10)))</f>
        <v>10</v>
      </c>
      <c r="G10" s="3" t="s">
        <v>314</v>
      </c>
      <c r="H10" s="3" t="s">
        <v>315</v>
      </c>
      <c r="I10" s="3" t="s">
        <v>316</v>
      </c>
      <c r="J10" s="3">
        <v>2</v>
      </c>
      <c r="K10" s="3" t="s">
        <v>87</v>
      </c>
      <c r="L10" s="3" t="s">
        <v>317</v>
      </c>
      <c r="M10" s="3" t="s">
        <v>274</v>
      </c>
      <c r="N10" s="3">
        <f>IF(A10="","",ROUNDUP(F10/'الإعدادات والمستهدفات'!B12,0))</f>
        <v>1</v>
      </c>
      <c r="O10" s="3">
        <f>IF(A10="","",F10*J10)</f>
        <v>20</v>
      </c>
      <c r="P10" s="3" t="e">
        <f>IF(A10="","",COUNTIFS('[2]سجل الحضور والتنفيذ'!A:A,A10,'[2]سجل الحضور والتنفيذ'!H:H,"حاضر"))</f>
        <v>#VALUE!</v>
      </c>
      <c r="Q10" s="7" t="e">
        <f>IF(OR(A10="",F10=0),"",P10/F10)</f>
        <v>#VALUE!</v>
      </c>
      <c r="R10" s="3" t="e">
        <f>IF(A10="","",IF(F10=0,"لا ينطبق",IF(P10=0,"لم يبدأ",IF(Q10&gt;='الإعدادات والمستهدفات'!B7,"مستوفى بالكامل","قيد الاستيفاء"))))</f>
        <v>#VALUE!</v>
      </c>
    </row>
    <row r="11" spans="1:18" ht="25.5" x14ac:dyDescent="0.2">
      <c r="A11" s="3" t="s">
        <v>318</v>
      </c>
      <c r="B11" s="3" t="s">
        <v>69</v>
      </c>
      <c r="C11" s="3" t="s">
        <v>319</v>
      </c>
      <c r="D11" s="3" t="s">
        <v>320</v>
      </c>
      <c r="E11" s="3" t="s">
        <v>237</v>
      </c>
      <c r="F11" s="3">
        <f>IF(A11="","",IF(E11="جميع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والكفاءة'!E:E,E11)))</f>
        <v>10</v>
      </c>
      <c r="G11" s="3" t="s">
        <v>321</v>
      </c>
      <c r="H11" s="3" t="s">
        <v>322</v>
      </c>
      <c r="I11" s="3" t="s">
        <v>323</v>
      </c>
      <c r="J11" s="3">
        <v>2</v>
      </c>
      <c r="K11" s="3" t="s">
        <v>87</v>
      </c>
      <c r="L11" s="3" t="s">
        <v>317</v>
      </c>
      <c r="M11" s="3" t="s">
        <v>274</v>
      </c>
      <c r="N11" s="3">
        <f>IF(A11="","",ROUNDUP(F11/'الإعدادات والمستهدفات'!B12,0))</f>
        <v>1</v>
      </c>
      <c r="O11" s="3">
        <f>IF(A11="","",F11*J11)</f>
        <v>20</v>
      </c>
      <c r="P11" s="3" t="e">
        <f>IF(A11="","",COUNTIFS('[2]سجل الحضور والتنفيذ'!A:A,A11,'[2]سجل الحضور والتنفيذ'!H:H,"حاضر"))</f>
        <v>#VALUE!</v>
      </c>
      <c r="Q11" s="7" t="e">
        <f>IF(OR(A11="",F11=0),"",P11/F11)</f>
        <v>#VALUE!</v>
      </c>
      <c r="R11" s="3" t="e">
        <f>IF(A11="","",IF(F11=0,"لا ينطبق",IF(P11=0,"لم يبدأ",IF(Q11&gt;='الإعدادات والمستهدفات'!B7,"مستوفى بالكامل","قيد الاستيفاء"))))</f>
        <v>#VALUE!</v>
      </c>
    </row>
    <row r="12" spans="1:18" ht="25.5" x14ac:dyDescent="0.2">
      <c r="A12" s="3" t="s">
        <v>324</v>
      </c>
      <c r="B12" s="3" t="s">
        <v>69</v>
      </c>
      <c r="C12" s="3" t="s">
        <v>325</v>
      </c>
      <c r="D12" s="3" t="s">
        <v>326</v>
      </c>
      <c r="E12" s="3" t="s">
        <v>307</v>
      </c>
      <c r="F12" s="3">
        <f>IF(A12="","",IF(E12="جميع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والكفاءة'!E:E,E12)))</f>
        <v>0</v>
      </c>
      <c r="G12" s="3" t="s">
        <v>327</v>
      </c>
      <c r="H12" s="3" t="s">
        <v>328</v>
      </c>
      <c r="I12" s="3" t="s">
        <v>271</v>
      </c>
      <c r="J12" s="3">
        <v>3</v>
      </c>
      <c r="K12" s="3" t="s">
        <v>87</v>
      </c>
      <c r="L12" s="3" t="s">
        <v>329</v>
      </c>
      <c r="M12" s="3" t="s">
        <v>274</v>
      </c>
      <c r="N12" s="3">
        <f>IF(A12="","",ROUNDUP(F12/'الإعدادات والمستهدفات'!B12,0))</f>
        <v>0</v>
      </c>
      <c r="O12" s="3">
        <f>IF(A12="","",F12*J12)</f>
        <v>0</v>
      </c>
      <c r="P12" s="3" t="e">
        <f>IF(A12="","",COUNTIFS('[2]سجل الحضور والتنفيذ'!A:A,A12,'[2]سجل الحضور والتنفيذ'!H:H,"حاضر"))</f>
        <v>#VALUE!</v>
      </c>
      <c r="Q12" s="7" t="str">
        <f>IF(OR(A12="",F12=0),"",P12/F12)</f>
        <v/>
      </c>
      <c r="R12" s="3" t="str">
        <f>IF(A12="","",IF(F12=0,"لا ينطبق",IF(P12=0,"لم يبدأ",IF(Q12&gt;='الإعدادات والمستهدفات'!B7,"مستوفى بالكامل","قيد الاستيفاء"))))</f>
        <v>لا ينطبق</v>
      </c>
    </row>
    <row r="13" spans="1:18" ht="38.25" x14ac:dyDescent="0.2">
      <c r="A13" s="3" t="s">
        <v>330</v>
      </c>
      <c r="B13" s="3" t="s">
        <v>69</v>
      </c>
      <c r="C13" s="3" t="s">
        <v>331</v>
      </c>
      <c r="D13" s="3" t="s">
        <v>332</v>
      </c>
      <c r="E13" s="3" t="s">
        <v>333</v>
      </c>
      <c r="F13" s="3">
        <f>IF(A13="","",IF(E13="جميع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والكفاءة'!E:E,E13)))</f>
        <v>0</v>
      </c>
      <c r="G13" s="3" t="s">
        <v>334</v>
      </c>
      <c r="H13" s="3" t="s">
        <v>335</v>
      </c>
      <c r="I13" s="3" t="s">
        <v>336</v>
      </c>
      <c r="J13" s="3">
        <v>3</v>
      </c>
      <c r="K13" s="3" t="s">
        <v>272</v>
      </c>
      <c r="L13" s="3" t="s">
        <v>329</v>
      </c>
      <c r="M13" s="3" t="s">
        <v>274</v>
      </c>
      <c r="N13" s="3">
        <f>IF(A13="","",ROUNDUP(F13/'الإعدادات والمستهدفات'!B12,0))</f>
        <v>0</v>
      </c>
      <c r="O13" s="3">
        <f>IF(A13="","",F13*J13)</f>
        <v>0</v>
      </c>
      <c r="P13" s="3" t="e">
        <f>IF(A13="","",COUNTIFS('[2]سجل الحضور والتنفيذ'!A:A,A13,'[2]سجل الحضور والتنفيذ'!H:H,"حاضر"))</f>
        <v>#VALUE!</v>
      </c>
      <c r="Q13" s="7" t="str">
        <f>IF(OR(A13="",F13=0),"",P13/F13)</f>
        <v/>
      </c>
      <c r="R13" s="3" t="str">
        <f>IF(A13="","",IF(F13=0,"لا ينطبق",IF(P13=0,"لم يبدأ",IF(Q13&gt;='الإعدادات والمستهدفات'!B7,"مستوفى بالكامل","قيد الاستيفاء"))))</f>
        <v>لا ينطبق</v>
      </c>
    </row>
    <row r="14" spans="1:18" ht="38.25" x14ac:dyDescent="0.2">
      <c r="A14" s="3" t="s">
        <v>337</v>
      </c>
      <c r="B14" s="3" t="s">
        <v>69</v>
      </c>
      <c r="C14" s="3" t="s">
        <v>338</v>
      </c>
      <c r="D14" s="3" t="s">
        <v>339</v>
      </c>
      <c r="E14" s="3" t="s">
        <v>340</v>
      </c>
      <c r="F14" s="3">
        <f>IF(A14="","",IF(E14="جميع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والكفاءة'!E:E,E14)))</f>
        <v>0</v>
      </c>
      <c r="G14" s="3" t="s">
        <v>341</v>
      </c>
      <c r="H14" s="3" t="s">
        <v>342</v>
      </c>
      <c r="I14" s="3" t="s">
        <v>343</v>
      </c>
      <c r="J14" s="3">
        <v>4</v>
      </c>
      <c r="K14" s="3" t="s">
        <v>87</v>
      </c>
      <c r="L14" s="3" t="s">
        <v>344</v>
      </c>
      <c r="M14" s="3" t="s">
        <v>274</v>
      </c>
      <c r="N14" s="3">
        <f>IF(A14="","",ROUNDUP(F14/'الإعدادات والمستهدفات'!B12,0))</f>
        <v>0</v>
      </c>
      <c r="O14" s="3">
        <f>IF(A14="","",F14*J14)</f>
        <v>0</v>
      </c>
      <c r="P14" s="3" t="e">
        <f>IF(A14="","",COUNTIFS('[2]سجل الحضور والتنفيذ'!A:A,A14,'[2]سجل الحضور والتنفيذ'!H:H,"حاضر"))</f>
        <v>#VALUE!</v>
      </c>
      <c r="Q14" s="7" t="str">
        <f>IF(OR(A14="",F14=0),"",P14/F14)</f>
        <v/>
      </c>
      <c r="R14" s="3" t="str">
        <f>IF(A14="","",IF(F14=0,"لا ينطبق",IF(P14=0,"لم يبدأ",IF(Q14&gt;='الإعدادات والمستهدفات'!B7,"مستوفى بالكامل","قيد الاستيفاء"))))</f>
        <v>لا ينطبق</v>
      </c>
    </row>
    <row r="15" spans="1:18" ht="25.5" x14ac:dyDescent="0.2">
      <c r="A15" s="3" t="s">
        <v>345</v>
      </c>
      <c r="B15" s="3" t="s">
        <v>69</v>
      </c>
      <c r="C15" s="3" t="s">
        <v>346</v>
      </c>
      <c r="D15" s="3" t="s">
        <v>347</v>
      </c>
      <c r="E15" s="3" t="s">
        <v>348</v>
      </c>
      <c r="F15" s="3">
        <f>IF(A15="","",IF(E15="جميع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والكفاءة'!E:E,E15)))</f>
        <v>0</v>
      </c>
      <c r="G15" s="3" t="s">
        <v>349</v>
      </c>
      <c r="H15" s="3" t="s">
        <v>350</v>
      </c>
      <c r="I15" s="3" t="s">
        <v>351</v>
      </c>
      <c r="J15" s="3">
        <v>4</v>
      </c>
      <c r="K15" s="3" t="s">
        <v>87</v>
      </c>
      <c r="L15" s="3" t="s">
        <v>352</v>
      </c>
      <c r="M15" s="3" t="s">
        <v>274</v>
      </c>
      <c r="N15" s="3">
        <f>IF(A15="","",ROUNDUP(F15/'الإعدادات والمستهدفات'!B12,0))</f>
        <v>0</v>
      </c>
      <c r="O15" s="3">
        <f>IF(A15="","",F15*J15)</f>
        <v>0</v>
      </c>
      <c r="P15" s="3" t="e">
        <f>IF(A15="","",COUNTIFS('[2]سجل الحضور والتنفيذ'!A:A,A15,'[2]سجل الحضور والتنفيذ'!H:H,"حاضر"))</f>
        <v>#VALUE!</v>
      </c>
      <c r="Q15" s="7" t="str">
        <f>IF(OR(A15="",F15=0),"",P15/F15)</f>
        <v/>
      </c>
      <c r="R15" s="3" t="str">
        <f>IF(A15="","",IF(F15=0,"لا ينطبق",IF(P15=0,"لم يبدأ",IF(Q15&gt;='الإعدادات والمستهدفات'!B7,"مستوفى بالكامل","قيد الاستيفاء"))))</f>
        <v>لا ينطبق</v>
      </c>
    </row>
    <row r="16" spans="1:18" ht="38.25" x14ac:dyDescent="0.2">
      <c r="A16" s="3" t="s">
        <v>353</v>
      </c>
      <c r="B16" s="3" t="s">
        <v>69</v>
      </c>
      <c r="C16" s="3" t="s">
        <v>354</v>
      </c>
      <c r="D16" s="3" t="s">
        <v>355</v>
      </c>
      <c r="E16" s="3" t="s">
        <v>356</v>
      </c>
      <c r="F16" s="3">
        <f>IF(A16="","",IF(E16="جميع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والكفاءة'!E:E,E16)))</f>
        <v>0</v>
      </c>
      <c r="G16" s="3" t="s">
        <v>357</v>
      </c>
      <c r="H16" s="3" t="s">
        <v>358</v>
      </c>
      <c r="I16" s="3" t="s">
        <v>359</v>
      </c>
      <c r="J16" s="3">
        <v>2</v>
      </c>
      <c r="K16" s="3" t="s">
        <v>87</v>
      </c>
      <c r="L16" s="3" t="s">
        <v>360</v>
      </c>
      <c r="M16" s="3" t="s">
        <v>274</v>
      </c>
      <c r="N16" s="3">
        <f>IF(A16="","",ROUNDUP(F16/'الإعدادات والمستهدفات'!B12,0))</f>
        <v>0</v>
      </c>
      <c r="O16" s="3">
        <f>IF(A16="","",F16*J16)</f>
        <v>0</v>
      </c>
      <c r="P16" s="3" t="e">
        <f>IF(A16="","",COUNTIFS('[2]سجل الحضور والتنفيذ'!A:A,A16,'[2]سجل الحضور والتنفيذ'!H:H,"حاضر"))</f>
        <v>#VALUE!</v>
      </c>
      <c r="Q16" s="7" t="str">
        <f>IF(OR(A16="",F16=0),"",P16/F16)</f>
        <v/>
      </c>
      <c r="R16" s="3" t="str">
        <f>IF(A16="","",IF(F16=0,"لا ينطبق",IF(P16=0,"لم يبدأ",IF(Q16&gt;='الإعدادات والمستهدفات'!B7,"مستوفى بالكامل","قيد الاستيفاء"))))</f>
        <v>لا ينطبق</v>
      </c>
    </row>
    <row r="17" spans="1:18" ht="25.5" x14ac:dyDescent="0.2">
      <c r="A17" s="3" t="s">
        <v>361</v>
      </c>
      <c r="B17" s="3" t="s">
        <v>69</v>
      </c>
      <c r="C17" s="3" t="s">
        <v>362</v>
      </c>
      <c r="D17" s="3" t="s">
        <v>363</v>
      </c>
      <c r="E17" s="3" t="s">
        <v>364</v>
      </c>
      <c r="F17" s="3">
        <f>IF(A17="","",IF(E17="جميع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والكفاءة'!E:E,E17)))</f>
        <v>0</v>
      </c>
      <c r="G17" s="3" t="s">
        <v>365</v>
      </c>
      <c r="H17" s="3" t="s">
        <v>366</v>
      </c>
      <c r="I17" s="3" t="s">
        <v>367</v>
      </c>
      <c r="J17" s="3">
        <v>3</v>
      </c>
      <c r="K17" s="3" t="s">
        <v>87</v>
      </c>
      <c r="L17" s="3" t="s">
        <v>368</v>
      </c>
      <c r="M17" s="3" t="s">
        <v>274</v>
      </c>
      <c r="N17" s="3">
        <f>IF(A17="","",ROUNDUP(F17/'الإعدادات والمستهدفات'!B12,0))</f>
        <v>0</v>
      </c>
      <c r="O17" s="3">
        <f>IF(A17="","",F17*J17)</f>
        <v>0</v>
      </c>
      <c r="P17" s="3" t="e">
        <f>IF(A17="","",COUNTIFS('[2]سجل الحضور والتنفيذ'!A:A,A17,'[2]سجل الحضور والتنفيذ'!H:H,"حاضر"))</f>
        <v>#VALUE!</v>
      </c>
      <c r="Q17" s="7" t="str">
        <f>IF(OR(A17="",F17=0),"",P17/F17)</f>
        <v/>
      </c>
      <c r="R17" s="3" t="str">
        <f>IF(A17="","",IF(F17=0,"لا ينطبق",IF(P17=0,"لم يبدأ",IF(Q17&gt;='الإعدادات والمستهدفات'!B7,"مستوفى بالكامل","قيد الاستيفاء"))))</f>
        <v>لا ينطبق</v>
      </c>
    </row>
    <row r="18" spans="1:18" ht="38.25" x14ac:dyDescent="0.2">
      <c r="A18" s="3" t="s">
        <v>369</v>
      </c>
      <c r="B18" s="3" t="s">
        <v>69</v>
      </c>
      <c r="C18" s="3" t="s">
        <v>370</v>
      </c>
      <c r="D18" s="3" t="s">
        <v>371</v>
      </c>
      <c r="E18" s="3" t="s">
        <v>372</v>
      </c>
      <c r="F18" s="3">
        <f>IF(A18="","",IF(E18="جميع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والكفاءة'!E:E,E18)))</f>
        <v>0</v>
      </c>
      <c r="G18" s="3" t="s">
        <v>373</v>
      </c>
      <c r="H18" s="3" t="s">
        <v>374</v>
      </c>
      <c r="I18" s="3" t="s">
        <v>375</v>
      </c>
      <c r="J18" s="3">
        <v>3</v>
      </c>
      <c r="K18" s="3" t="s">
        <v>87</v>
      </c>
      <c r="L18" s="3" t="s">
        <v>376</v>
      </c>
      <c r="M18" s="3" t="s">
        <v>274</v>
      </c>
      <c r="N18" s="3">
        <f>IF(A18="","",ROUNDUP(F18/'الإعدادات والمستهدفات'!B12,0))</f>
        <v>0</v>
      </c>
      <c r="O18" s="3">
        <f>IF(A18="","",F18*J18)</f>
        <v>0</v>
      </c>
      <c r="P18" s="3" t="e">
        <f>IF(A18="","",COUNTIFS('[2]سجل الحضور والتنفيذ'!A:A,A18,'[2]سجل الحضور والتنفيذ'!H:H,"حاضر"))</f>
        <v>#VALUE!</v>
      </c>
      <c r="Q18" s="7" t="str">
        <f>IF(OR(A18="",F18=0),"",P18/F18)</f>
        <v/>
      </c>
      <c r="R18" s="3" t="str">
        <f>IF(A18="","",IF(F18=0,"لا ينطبق",IF(P18=0,"لم يبدأ",IF(Q18&gt;='الإعدادات والمستهدفات'!B7,"مستوفى بالكامل","قيد الاستيفاء"))))</f>
        <v>لا ينطبق</v>
      </c>
    </row>
    <row r="19" spans="1:18" ht="38.25" x14ac:dyDescent="0.2">
      <c r="A19" s="3" t="s">
        <v>377</v>
      </c>
      <c r="B19" s="3" t="s">
        <v>76</v>
      </c>
      <c r="C19" s="3" t="s">
        <v>378</v>
      </c>
      <c r="D19" s="3" t="s">
        <v>379</v>
      </c>
      <c r="E19" s="3" t="s">
        <v>237</v>
      </c>
      <c r="F19" s="3">
        <f>IF(A19="","",IF(E19="جميع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والكفاءة'!E:E,E19)))</f>
        <v>10</v>
      </c>
      <c r="G19" s="3" t="s">
        <v>380</v>
      </c>
      <c r="H19" s="3" t="s">
        <v>381</v>
      </c>
      <c r="I19" s="3" t="s">
        <v>382</v>
      </c>
      <c r="J19" s="3">
        <v>6</v>
      </c>
      <c r="K19" s="3" t="s">
        <v>383</v>
      </c>
      <c r="L19" s="3" t="s">
        <v>273</v>
      </c>
      <c r="M19" s="3" t="s">
        <v>274</v>
      </c>
      <c r="N19" s="3">
        <f>IF(A19="","",ROUNDUP(F19/'الإعدادات والمستهدفات'!B12,0))</f>
        <v>1</v>
      </c>
      <c r="O19" s="3">
        <f>IF(A19="","",F19*J19)</f>
        <v>60</v>
      </c>
      <c r="P19" s="3" t="e">
        <f>IF(A19="","",COUNTIFS('[2]سجل الحضور والتنفيذ'!A:A,A19,'[2]سجل الحضور والتنفيذ'!H:H,"حاضر"))</f>
        <v>#VALUE!</v>
      </c>
      <c r="Q19" s="7" t="e">
        <f>IF(OR(A19="",F19=0),"",P19/F19)</f>
        <v>#VALUE!</v>
      </c>
      <c r="R19" s="3" t="e">
        <f>IF(A19="","",IF(F19=0,"لا ينطبق",IF(P19=0,"لم يبدأ",IF(Q19&gt;='الإعدادات والمستهدفات'!B7,"مستوفى بالكامل","قيد الاستيفاء"))))</f>
        <v>#VALUE!</v>
      </c>
    </row>
    <row r="20" spans="1:18" ht="25.5" x14ac:dyDescent="0.2">
      <c r="A20" s="3" t="s">
        <v>384</v>
      </c>
      <c r="B20" s="3" t="s">
        <v>90</v>
      </c>
      <c r="C20" s="3" t="s">
        <v>385</v>
      </c>
      <c r="D20" s="3" t="s">
        <v>386</v>
      </c>
      <c r="E20" s="3" t="s">
        <v>237</v>
      </c>
      <c r="F20" s="3">
        <f>IF(A20="","",IF(E20="جميع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والكفاءة'!E:E,E20)))</f>
        <v>10</v>
      </c>
      <c r="G20" s="3" t="s">
        <v>387</v>
      </c>
      <c r="H20" s="3" t="s">
        <v>388</v>
      </c>
      <c r="I20" s="3" t="s">
        <v>389</v>
      </c>
      <c r="J20" s="3">
        <v>3</v>
      </c>
      <c r="K20" s="3" t="s">
        <v>87</v>
      </c>
      <c r="L20" s="3" t="s">
        <v>288</v>
      </c>
      <c r="M20" s="3" t="s">
        <v>274</v>
      </c>
      <c r="N20" s="3">
        <f>IF(A20="","",ROUNDUP(F20/'الإعدادات والمستهدفات'!B12,0))</f>
        <v>1</v>
      </c>
      <c r="O20" s="3">
        <f>IF(A20="","",F20*J20)</f>
        <v>30</v>
      </c>
      <c r="P20" s="3" t="e">
        <f>IF(A20="","",COUNTIFS('[2]سجل الحضور والتنفيذ'!A:A,A20,'[2]سجل الحضور والتنفيذ'!H:H,"حاضر"))</f>
        <v>#VALUE!</v>
      </c>
      <c r="Q20" s="7" t="e">
        <f>IF(OR(A20="",F20=0),"",P20/F20)</f>
        <v>#VALUE!</v>
      </c>
      <c r="R20" s="3" t="e">
        <f>IF(A20="","",IF(F20=0,"لا ينطبق",IF(P20=0,"لم يبدأ",IF(Q20&gt;='الإعدادات والمستهدفات'!B7,"مستوفى بالكامل","قيد الاستيفاء"))))</f>
        <v>#VALUE!</v>
      </c>
    </row>
    <row r="21" spans="1:18" ht="25.5" x14ac:dyDescent="0.2">
      <c r="A21" s="3" t="s">
        <v>390</v>
      </c>
      <c r="B21" s="3" t="s">
        <v>104</v>
      </c>
      <c r="C21" s="3" t="s">
        <v>391</v>
      </c>
      <c r="D21" s="3" t="s">
        <v>392</v>
      </c>
      <c r="E21" s="3" t="s">
        <v>237</v>
      </c>
      <c r="F21" s="3">
        <f>IF(A21="","",IF(E21="جميع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والكفاءة'!E:E,E21)))</f>
        <v>10</v>
      </c>
      <c r="G21" s="3" t="s">
        <v>393</v>
      </c>
      <c r="H21" s="3" t="s">
        <v>394</v>
      </c>
      <c r="I21" s="3" t="s">
        <v>395</v>
      </c>
      <c r="J21" s="3">
        <v>3</v>
      </c>
      <c r="K21" s="3" t="s">
        <v>272</v>
      </c>
      <c r="L21" s="3" t="s">
        <v>303</v>
      </c>
      <c r="M21" s="3" t="s">
        <v>274</v>
      </c>
      <c r="N21" s="3">
        <f>IF(A21="","",ROUNDUP(F21/'الإعدادات والمستهدفات'!B12,0))</f>
        <v>1</v>
      </c>
      <c r="O21" s="3">
        <f>IF(A21="","",F21*J21)</f>
        <v>30</v>
      </c>
      <c r="P21" s="3" t="e">
        <f>IF(A21="","",COUNTIFS('[2]سجل الحضور والتنفيذ'!A:A,A21,'[2]سجل الحضور والتنفيذ'!H:H,"حاضر"))</f>
        <v>#VALUE!</v>
      </c>
      <c r="Q21" s="7" t="e">
        <f>IF(OR(A21="",F21=0),"",P21/F21)</f>
        <v>#VALUE!</v>
      </c>
      <c r="R21" s="3" t="e">
        <f>IF(A21="","",IF(F21=0,"لا ينطبق",IF(P21=0,"لم يبدأ",IF(Q21&gt;='الإعدادات والمستهدفات'!B7,"مستوفى بالكامل","قيد الاستيفاء"))))</f>
        <v>#VALUE!</v>
      </c>
    </row>
    <row r="22" spans="1:18" ht="38.25" x14ac:dyDescent="0.2">
      <c r="A22" s="3" t="s">
        <v>396</v>
      </c>
      <c r="B22" s="3" t="s">
        <v>69</v>
      </c>
      <c r="C22" s="3" t="s">
        <v>397</v>
      </c>
      <c r="D22" s="3" t="s">
        <v>398</v>
      </c>
      <c r="E22" s="3" t="s">
        <v>292</v>
      </c>
      <c r="F22" s="3">
        <f>IF(A22="","",IF(E22="جميع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والكفاءة'!E:E,E22)))</f>
        <v>0</v>
      </c>
      <c r="G22" s="3" t="s">
        <v>399</v>
      </c>
      <c r="H22" s="3" t="s">
        <v>400</v>
      </c>
      <c r="I22" s="3" t="s">
        <v>401</v>
      </c>
      <c r="J22" s="3">
        <v>6</v>
      </c>
      <c r="K22" s="3" t="s">
        <v>402</v>
      </c>
      <c r="L22" s="3" t="s">
        <v>317</v>
      </c>
      <c r="M22" s="3" t="s">
        <v>274</v>
      </c>
      <c r="N22" s="3">
        <f>IF(A22="","",ROUNDUP(F22/'الإعدادات والمستهدفات'!B12,0))</f>
        <v>0</v>
      </c>
      <c r="O22" s="3">
        <f>IF(A22="","",F22*J22)</f>
        <v>0</v>
      </c>
      <c r="P22" s="3" t="e">
        <f>IF(A22="","",COUNTIFS('[2]سجل الحضور والتنفيذ'!A:A,A22,'[2]سجل الحضور والتنفيذ'!H:H,"حاضر"))</f>
        <v>#VALUE!</v>
      </c>
      <c r="Q22" s="7" t="str">
        <f>IF(OR(A22="",F22=0),"",P22/F22)</f>
        <v/>
      </c>
      <c r="R22" s="3" t="str">
        <f>IF(A22="","",IF(F22=0,"لا ينطبق",IF(P22=0,"لم يبدأ",IF(Q22&gt;='الإعدادات والمستهدفات'!B7,"مستوفى بالكامل","قيد الاستيفاء"))))</f>
        <v>لا ينطبق</v>
      </c>
    </row>
    <row r="23" spans="1:18" ht="25.5" x14ac:dyDescent="0.2">
      <c r="A23" s="3" t="s">
        <v>403</v>
      </c>
      <c r="B23" s="3" t="s">
        <v>111</v>
      </c>
      <c r="C23" s="3" t="s">
        <v>404</v>
      </c>
      <c r="D23" s="3" t="s">
        <v>405</v>
      </c>
      <c r="E23" s="3" t="s">
        <v>406</v>
      </c>
      <c r="F23" s="3">
        <f>IF(A23="","",IF(E23="جميع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والكفاءة'!E:E,E23)))</f>
        <v>0</v>
      </c>
      <c r="G23" s="3" t="s">
        <v>407</v>
      </c>
      <c r="H23" s="3" t="s">
        <v>408</v>
      </c>
      <c r="I23" s="3" t="s">
        <v>409</v>
      </c>
      <c r="J23" s="3">
        <v>3</v>
      </c>
      <c r="K23" s="3" t="s">
        <v>87</v>
      </c>
      <c r="L23" s="3" t="s">
        <v>329</v>
      </c>
      <c r="M23" s="3" t="s">
        <v>274</v>
      </c>
      <c r="N23" s="3">
        <f>IF(A23="","",ROUNDUP(F23/'الإعدادات والمستهدفات'!B12,0))</f>
        <v>0</v>
      </c>
      <c r="O23" s="3">
        <f>IF(A23="","",F23*J23)</f>
        <v>0</v>
      </c>
      <c r="P23" s="3" t="e">
        <f>IF(A23="","",COUNTIFS('[2]سجل الحضور والتنفيذ'!A:A,A23,'[2]سجل الحضور والتنفيذ'!H:H,"حاضر"))</f>
        <v>#VALUE!</v>
      </c>
      <c r="Q23" s="7" t="str">
        <f>IF(OR(A23="",F23=0),"",P23/F23)</f>
        <v/>
      </c>
      <c r="R23" s="3" t="str">
        <f>IF(A23="","",IF(F23=0,"لا ينطبق",IF(P23=0,"لم يبدأ",IF(Q23&gt;='الإعدادات والمستهدفات'!B7,"مستوفى بالكامل","قيد الاستيفاء"))))</f>
        <v>لا ينطبق</v>
      </c>
    </row>
    <row r="24" spans="1:18" x14ac:dyDescent="0.2">
      <c r="A24" s="3"/>
      <c r="B24" s="3"/>
      <c r="C24" s="3"/>
      <c r="D24" s="3"/>
      <c r="E24" s="3"/>
      <c r="F24" s="3" t="str">
        <f>IF(A24="","",IF(E24="جميع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والكفاءة'!E:E,E24)))</f>
        <v/>
      </c>
      <c r="G24" s="3"/>
      <c r="H24" s="3"/>
      <c r="I24" s="3"/>
      <c r="J24" s="3"/>
      <c r="K24" s="3"/>
      <c r="L24" s="3"/>
      <c r="M24" s="3"/>
      <c r="N24" s="3" t="str">
        <f>IF(A24="","",ROUNDUP(F24/'الإعدادات والمستهدفات'!B12,0))</f>
        <v/>
      </c>
      <c r="O24" s="3" t="str">
        <f>IF(A24="","",F24*J24)</f>
        <v/>
      </c>
      <c r="P24" s="3" t="str">
        <f>IF(A24="","",COUNTIFS('[2]سجل الحضور والتنفيذ'!A:A,A24,'[2]سجل الحضور والتنفيذ'!H:H,"حاضر"))</f>
        <v/>
      </c>
      <c r="Q24" s="7" t="str">
        <f>IF(OR(A24="",F24=0),"",P24/F24)</f>
        <v/>
      </c>
      <c r="R24" s="3" t="str">
        <f>IF(A24="","",IF(F24=0,"لا ينطبق",IF(P24=0,"لم يبدأ",IF(Q24&gt;='الإعدادات والمستهدفات'!B7,"مستوفى بالكامل","قيد الاستيفاء"))))</f>
        <v/>
      </c>
    </row>
    <row r="25" spans="1:18" x14ac:dyDescent="0.2">
      <c r="A25" s="3"/>
      <c r="B25" s="3"/>
      <c r="C25" s="3"/>
      <c r="D25" s="3"/>
      <c r="E25" s="3"/>
      <c r="F25" s="3" t="str">
        <f>IF(A25="","",IF(E25="جميع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والكفاءة'!E:E,E25)))</f>
        <v/>
      </c>
      <c r="G25" s="3"/>
      <c r="H25" s="3"/>
      <c r="I25" s="3"/>
      <c r="J25" s="3"/>
      <c r="K25" s="3"/>
      <c r="L25" s="3"/>
      <c r="M25" s="3"/>
      <c r="N25" s="3" t="str">
        <f>IF(A25="","",ROUNDUP(F25/'الإعدادات والمستهدفات'!B12,0))</f>
        <v/>
      </c>
      <c r="O25" s="3" t="str">
        <f>IF(A25="","",F25*J25)</f>
        <v/>
      </c>
      <c r="P25" s="3" t="str">
        <f>IF(A25="","",COUNTIFS('[2]سجل الحضور والتنفيذ'!A:A,A25,'[2]سجل الحضور والتنفيذ'!H:H,"حاضر"))</f>
        <v/>
      </c>
      <c r="Q25" s="7" t="str">
        <f>IF(OR(A25="",F25=0),"",P25/F25)</f>
        <v/>
      </c>
      <c r="R25" s="3" t="str">
        <f>IF(A25="","",IF(F25=0,"لا ينطبق",IF(P25=0,"لم يبدأ",IF(Q25&gt;='الإعدادات والمستهدفات'!B7,"مستوفى بالكامل","قيد الاستيفاء"))))</f>
        <v/>
      </c>
    </row>
    <row r="26" spans="1:18" x14ac:dyDescent="0.2">
      <c r="A26" s="3"/>
      <c r="B26" s="3"/>
      <c r="C26" s="3"/>
      <c r="D26" s="3"/>
      <c r="E26" s="3"/>
      <c r="F26" s="3" t="str">
        <f>IF(A26="","",IF(E26="جميع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والكفاءة'!E:E,E26)))</f>
        <v/>
      </c>
      <c r="G26" s="3"/>
      <c r="H26" s="3"/>
      <c r="I26" s="3"/>
      <c r="J26" s="3"/>
      <c r="K26" s="3"/>
      <c r="L26" s="3"/>
      <c r="M26" s="3"/>
      <c r="N26" s="3" t="str">
        <f>IF(A26="","",ROUNDUP(F26/'الإعدادات والمستهدفات'!B12,0))</f>
        <v/>
      </c>
      <c r="O26" s="3" t="str">
        <f>IF(A26="","",F26*J26)</f>
        <v/>
      </c>
      <c r="P26" s="3" t="str">
        <f>IF(A26="","",COUNTIFS('[2]سجل الحضور والتنفيذ'!A:A,A26,'[2]سجل الحضور والتنفيذ'!H:H,"حاضر"))</f>
        <v/>
      </c>
      <c r="Q26" s="7" t="str">
        <f>IF(OR(A26="",F26=0),"",P26/F26)</f>
        <v/>
      </c>
      <c r="R26" s="3" t="str">
        <f>IF(A26="","",IF(F26=0,"لا ينطبق",IF(P26=0,"لم يبدأ",IF(Q26&gt;='الإعدادات والمستهدفات'!B7,"مستوفى بالكامل","قيد الاستيفاء"))))</f>
        <v/>
      </c>
    </row>
    <row r="27" spans="1:18" x14ac:dyDescent="0.2">
      <c r="A27" s="3"/>
      <c r="B27" s="3"/>
      <c r="C27" s="3"/>
      <c r="D27" s="3"/>
      <c r="E27" s="3"/>
      <c r="F27" s="3" t="str">
        <f>IF(A27="","",IF(E27="جميع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والكفاءة'!E:E,E27)))</f>
        <v/>
      </c>
      <c r="G27" s="3"/>
      <c r="H27" s="3"/>
      <c r="I27" s="3"/>
      <c r="J27" s="3"/>
      <c r="K27" s="3"/>
      <c r="L27" s="3"/>
      <c r="M27" s="3"/>
      <c r="N27" s="3" t="str">
        <f>IF(A27="","",ROUNDUP(F27/'الإعدادات والمستهدفات'!B12,0))</f>
        <v/>
      </c>
      <c r="O27" s="3" t="str">
        <f>IF(A27="","",F27*J27)</f>
        <v/>
      </c>
      <c r="P27" s="3" t="str">
        <f>IF(A27="","",COUNTIFS('[2]سجل الحضور والتنفيذ'!A:A,A27,'[2]سجل الحضور والتنفيذ'!H:H,"حاضر"))</f>
        <v/>
      </c>
      <c r="Q27" s="7" t="str">
        <f>IF(OR(A27="",F27=0),"",P27/F27)</f>
        <v/>
      </c>
      <c r="R27" s="3" t="str">
        <f>IF(A27="","",IF(F27=0,"لا ينطبق",IF(P27=0,"لم يبدأ",IF(Q27&gt;='الإعدادات والمستهدفات'!B7,"مستوفى بالكامل","قيد الاستيفاء"))))</f>
        <v/>
      </c>
    </row>
    <row r="28" spans="1:18" x14ac:dyDescent="0.2">
      <c r="A28" s="3"/>
      <c r="B28" s="3"/>
      <c r="C28" s="3"/>
      <c r="D28" s="3"/>
      <c r="E28" s="3"/>
      <c r="F28" s="3" t="str">
        <f>IF(A28="","",IF(E28="جميع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والكفاءة'!E:E,E28)))</f>
        <v/>
      </c>
      <c r="G28" s="3"/>
      <c r="H28" s="3"/>
      <c r="I28" s="3"/>
      <c r="J28" s="3"/>
      <c r="K28" s="3"/>
      <c r="L28" s="3"/>
      <c r="M28" s="3"/>
      <c r="N28" s="3" t="str">
        <f>IF(A28="","",ROUNDUP(F28/'الإعدادات والمستهدفات'!B12,0))</f>
        <v/>
      </c>
      <c r="O28" s="3" t="str">
        <f>IF(A28="","",F28*J28)</f>
        <v/>
      </c>
      <c r="P28" s="3" t="str">
        <f>IF(A28="","",COUNTIFS('[2]سجل الحضور والتنفيذ'!A:A,A28,'[2]سجل الحضور والتنفيذ'!H:H,"حاضر"))</f>
        <v/>
      </c>
      <c r="Q28" s="7" t="str">
        <f>IF(OR(A28="",F28=0),"",P28/F28)</f>
        <v/>
      </c>
      <c r="R28" s="3" t="str">
        <f>IF(A28="","",IF(F28=0,"لا ينطبق",IF(P28=0,"لم يبدأ",IF(Q28&gt;='الإعدادات والمستهدفات'!B7,"مستوفى بالكامل","قيد الاستيفاء"))))</f>
        <v/>
      </c>
    </row>
    <row r="29" spans="1:18" x14ac:dyDescent="0.2">
      <c r="A29" s="3"/>
      <c r="B29" s="3"/>
      <c r="C29" s="3"/>
      <c r="D29" s="3"/>
      <c r="E29" s="3"/>
      <c r="F29" s="3" t="str">
        <f>IF(A29="","",IF(E29="جميع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والكفاءة'!E:E,E29)))</f>
        <v/>
      </c>
      <c r="G29" s="3"/>
      <c r="H29" s="3"/>
      <c r="I29" s="3"/>
      <c r="J29" s="3"/>
      <c r="K29" s="3"/>
      <c r="L29" s="3"/>
      <c r="M29" s="3"/>
      <c r="N29" s="3" t="str">
        <f>IF(A29="","",ROUNDUP(F29/'الإعدادات والمستهدفات'!B12,0))</f>
        <v/>
      </c>
      <c r="O29" s="3" t="str">
        <f>IF(A29="","",F29*J29)</f>
        <v/>
      </c>
      <c r="P29" s="3" t="str">
        <f>IF(A29="","",COUNTIFS('[2]سجل الحضور والتنفيذ'!A:A,A29,'[2]سجل الحضور والتنفيذ'!H:H,"حاضر"))</f>
        <v/>
      </c>
      <c r="Q29" s="7" t="str">
        <f>IF(OR(A29="",F29=0),"",P29/F29)</f>
        <v/>
      </c>
      <c r="R29" s="3" t="str">
        <f>IF(A29="","",IF(F29=0,"لا ينطبق",IF(P29=0,"لم يبدأ",IF(Q29&gt;='الإعدادات والمستهدفات'!B7,"مستوفى بالكامل","قيد الاستيفاء"))))</f>
        <v/>
      </c>
    </row>
    <row r="30" spans="1:18" x14ac:dyDescent="0.2">
      <c r="A30" s="3"/>
      <c r="B30" s="3"/>
      <c r="C30" s="3"/>
      <c r="D30" s="3"/>
      <c r="E30" s="3"/>
      <c r="F30" s="3" t="str">
        <f>IF(A30="","",IF(E30="جميع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والكفاءة'!E:E,E30)))</f>
        <v/>
      </c>
      <c r="G30" s="3"/>
      <c r="H30" s="3"/>
      <c r="I30" s="3"/>
      <c r="J30" s="3"/>
      <c r="K30" s="3"/>
      <c r="L30" s="3"/>
      <c r="M30" s="3"/>
      <c r="N30" s="3" t="str">
        <f>IF(A30="","",ROUNDUP(F30/'الإعدادات والمستهدفات'!B12,0))</f>
        <v/>
      </c>
      <c r="O30" s="3" t="str">
        <f>IF(A30="","",F30*J30)</f>
        <v/>
      </c>
      <c r="P30" s="3" t="str">
        <f>IF(A30="","",COUNTIFS('[2]سجل الحضور والتنفيذ'!A:A,A30,'[2]سجل الحضور والتنفيذ'!H:H,"حاضر"))</f>
        <v/>
      </c>
      <c r="Q30" s="7" t="str">
        <f>IF(OR(A30="",F30=0),"",P30/F30)</f>
        <v/>
      </c>
      <c r="R30" s="3" t="str">
        <f>IF(A30="","",IF(F30=0,"لا ينطبق",IF(P30=0,"لم يبدأ",IF(Q30&gt;='الإعدادات والمستهدفات'!B7,"مستوفى بالكامل","قيد الاستيفاء"))))</f>
        <v/>
      </c>
    </row>
    <row r="31" spans="1:18" x14ac:dyDescent="0.2">
      <c r="A31" s="3"/>
      <c r="B31" s="3"/>
      <c r="C31" s="3"/>
      <c r="D31" s="3"/>
      <c r="E31" s="3"/>
      <c r="F31" s="3" t="str">
        <f>IF(A31="","",IF(E31="جميع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والكفاءة'!E:E,E31)))</f>
        <v/>
      </c>
      <c r="G31" s="3"/>
      <c r="H31" s="3"/>
      <c r="I31" s="3"/>
      <c r="J31" s="3"/>
      <c r="K31" s="3"/>
      <c r="L31" s="3"/>
      <c r="M31" s="3"/>
      <c r="N31" s="3" t="str">
        <f>IF(A31="","",ROUNDUP(F31/'الإعدادات والمستهدفات'!B12,0))</f>
        <v/>
      </c>
      <c r="O31" s="3" t="str">
        <f>IF(A31="","",F31*J31)</f>
        <v/>
      </c>
      <c r="P31" s="3" t="str">
        <f>IF(A31="","",COUNTIFS('[2]سجل الحضور والتنفيذ'!A:A,A31,'[2]سجل الحضور والتنفيذ'!H:H,"حاضر"))</f>
        <v/>
      </c>
      <c r="Q31" s="7" t="str">
        <f>IF(OR(A31="",F31=0),"",P31/F31)</f>
        <v/>
      </c>
      <c r="R31" s="3" t="str">
        <f>IF(A31="","",IF(F31=0,"لا ينطبق",IF(P31=0,"لم يبدأ",IF(Q31&gt;='الإعدادات والمستهدفات'!B7,"مستوفى بالكامل","قيد الاستيفاء"))))</f>
        <v/>
      </c>
    </row>
    <row r="32" spans="1:18" x14ac:dyDescent="0.2">
      <c r="A32" s="3"/>
      <c r="B32" s="3"/>
      <c r="C32" s="3"/>
      <c r="D32" s="3"/>
      <c r="E32" s="3"/>
      <c r="F32" s="3" t="str">
        <f>IF(A32="","",IF(E32="جميع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والكفاءة'!E:E,E32)))</f>
        <v/>
      </c>
      <c r="G32" s="3"/>
      <c r="H32" s="3"/>
      <c r="I32" s="3"/>
      <c r="J32" s="3"/>
      <c r="K32" s="3"/>
      <c r="L32" s="3"/>
      <c r="M32" s="3"/>
      <c r="N32" s="3" t="str">
        <f>IF(A32="","",ROUNDUP(F32/'الإعدادات والمستهدفات'!B12,0))</f>
        <v/>
      </c>
      <c r="O32" s="3" t="str">
        <f>IF(A32="","",F32*J32)</f>
        <v/>
      </c>
      <c r="P32" s="3" t="str">
        <f>IF(A32="","",COUNTIFS('[2]سجل الحضور والتنفيذ'!A:A,A32,'[2]سجل الحضور والتنفيذ'!H:H,"حاضر"))</f>
        <v/>
      </c>
      <c r="Q32" s="7" t="str">
        <f>IF(OR(A32="",F32=0),"",P32/F32)</f>
        <v/>
      </c>
      <c r="R32" s="3" t="str">
        <f>IF(A32="","",IF(F32=0,"لا ينطبق",IF(P32=0,"لم يبدأ",IF(Q32&gt;='الإعدادات والمستهدفات'!B7,"مستوفى بالكامل","قيد الاستيفاء"))))</f>
        <v/>
      </c>
    </row>
    <row r="33" spans="1:18" x14ac:dyDescent="0.2">
      <c r="A33" s="3"/>
      <c r="B33" s="3"/>
      <c r="C33" s="3"/>
      <c r="D33" s="3"/>
      <c r="E33" s="3"/>
      <c r="F33" s="3" t="str">
        <f>IF(A33="","",IF(E33="جميع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والكفاءة'!E:E,E33)))</f>
        <v/>
      </c>
      <c r="G33" s="3"/>
      <c r="H33" s="3"/>
      <c r="I33" s="3"/>
      <c r="J33" s="3"/>
      <c r="K33" s="3"/>
      <c r="L33" s="3"/>
      <c r="M33" s="3"/>
      <c r="N33" s="3" t="str">
        <f>IF(A33="","",ROUNDUP(F33/'الإعدادات والمستهدفات'!B12,0))</f>
        <v/>
      </c>
      <c r="O33" s="3" t="str">
        <f>IF(A33="","",F33*J33)</f>
        <v/>
      </c>
      <c r="P33" s="3" t="str">
        <f>IF(A33="","",COUNTIFS('[2]سجل الحضور والتنفيذ'!A:A,A33,'[2]سجل الحضور والتنفيذ'!H:H,"حاضر"))</f>
        <v/>
      </c>
      <c r="Q33" s="7" t="str">
        <f>IF(OR(A33="",F33=0),"",P33/F33)</f>
        <v/>
      </c>
      <c r="R33" s="3" t="str">
        <f>IF(A33="","",IF(F33=0,"لا ينطبق",IF(P33=0,"لم يبدأ",IF(Q33&gt;='الإعدادات والمستهدفات'!B7,"مستوفى بالكامل","قيد الاستيفاء"))))</f>
        <v/>
      </c>
    </row>
    <row r="34" spans="1:18" x14ac:dyDescent="0.2">
      <c r="A34" s="3"/>
      <c r="B34" s="3"/>
      <c r="C34" s="3"/>
      <c r="D34" s="3"/>
      <c r="E34" s="3"/>
      <c r="F34" s="3" t="str">
        <f>IF(A34="","",IF(E34="جميع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والكفاءة'!E:E,E34)))</f>
        <v/>
      </c>
      <c r="G34" s="3"/>
      <c r="H34" s="3"/>
      <c r="I34" s="3"/>
      <c r="J34" s="3"/>
      <c r="K34" s="3"/>
      <c r="L34" s="3"/>
      <c r="M34" s="3"/>
      <c r="N34" s="3" t="str">
        <f>IF(A34="","",ROUNDUP(F34/'الإعدادات والمستهدفات'!B12,0))</f>
        <v/>
      </c>
      <c r="O34" s="3" t="str">
        <f>IF(A34="","",F34*J34)</f>
        <v/>
      </c>
      <c r="P34" s="3" t="str">
        <f>IF(A34="","",COUNTIFS('[2]سجل الحضور والتنفيذ'!A:A,A34,'[2]سجل الحضور والتنفيذ'!H:H,"حاضر"))</f>
        <v/>
      </c>
      <c r="Q34" s="7" t="str">
        <f>IF(OR(A34="",F34=0),"",P34/F34)</f>
        <v/>
      </c>
      <c r="R34" s="3" t="str">
        <f>IF(A34="","",IF(F34=0,"لا ينطبق",IF(P34=0,"لم يبدأ",IF(Q34&gt;='الإعدادات والمستهدفات'!B7,"مستوفى بالكامل","قيد الاستيفاء"))))</f>
        <v/>
      </c>
    </row>
    <row r="35" spans="1:18" x14ac:dyDescent="0.2">
      <c r="A35" s="3"/>
      <c r="B35" s="3"/>
      <c r="C35" s="3"/>
      <c r="D35" s="3"/>
      <c r="E35" s="3"/>
      <c r="F35" s="3" t="str">
        <f>IF(A35="","",IF(E35="جميع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والكفاءة'!E:E,E35)))</f>
        <v/>
      </c>
      <c r="G35" s="3"/>
      <c r="H35" s="3"/>
      <c r="I35" s="3"/>
      <c r="J35" s="3"/>
      <c r="K35" s="3"/>
      <c r="L35" s="3"/>
      <c r="M35" s="3"/>
      <c r="N35" s="3" t="str">
        <f>IF(A35="","",ROUNDUP(F35/'الإعدادات والمستهدفات'!B12,0))</f>
        <v/>
      </c>
      <c r="O35" s="3" t="str">
        <f>IF(A35="","",F35*J35)</f>
        <v/>
      </c>
      <c r="P35" s="3" t="str">
        <f>IF(A35="","",COUNTIFS('[2]سجل الحضور والتنفيذ'!A:A,A35,'[2]سجل الحضور والتنفيذ'!H:H,"حاضر"))</f>
        <v/>
      </c>
      <c r="Q35" s="7" t="str">
        <f>IF(OR(A35="",F35=0),"",P35/F35)</f>
        <v/>
      </c>
      <c r="R35" s="3" t="str">
        <f>IF(A35="","",IF(F35=0,"لا ينطبق",IF(P35=0,"لم يبدأ",IF(Q35&gt;='الإعدادات والمستهدفات'!B7,"مستوفى بالكامل","قيد الاستيفاء"))))</f>
        <v/>
      </c>
    </row>
    <row r="36" spans="1:18" x14ac:dyDescent="0.2">
      <c r="A36" s="3"/>
      <c r="B36" s="3"/>
      <c r="C36" s="3"/>
      <c r="D36" s="3"/>
      <c r="E36" s="3"/>
      <c r="F36" s="3" t="str">
        <f>IF(A36="","",IF(E36="جميع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والكفاءة'!E:E,E36)))</f>
        <v/>
      </c>
      <c r="G36" s="3"/>
      <c r="H36" s="3"/>
      <c r="I36" s="3"/>
      <c r="J36" s="3"/>
      <c r="K36" s="3"/>
      <c r="L36" s="3"/>
      <c r="M36" s="3"/>
      <c r="N36" s="3" t="str">
        <f>IF(A36="","",ROUNDUP(F36/'الإعدادات والمستهدفات'!B12,0))</f>
        <v/>
      </c>
      <c r="O36" s="3" t="str">
        <f>IF(A36="","",F36*J36)</f>
        <v/>
      </c>
      <c r="P36" s="3" t="str">
        <f>IF(A36="","",COUNTIFS('[2]سجل الحضور والتنفيذ'!A:A,A36,'[2]سجل الحضور والتنفيذ'!H:H,"حاضر"))</f>
        <v/>
      </c>
      <c r="Q36" s="7" t="str">
        <f>IF(OR(A36="",F36=0),"",P36/F36)</f>
        <v/>
      </c>
      <c r="R36" s="3" t="str">
        <f>IF(A36="","",IF(F36=0,"لا ينطبق",IF(P36=0,"لم يبدأ",IF(Q36&gt;='الإعدادات والمستهدفات'!B7,"مستوفى بالكامل","قيد الاستيفاء"))))</f>
        <v/>
      </c>
    </row>
    <row r="37" spans="1:18" x14ac:dyDescent="0.2">
      <c r="A37" s="3"/>
      <c r="B37" s="3"/>
      <c r="C37" s="3"/>
      <c r="D37" s="3"/>
      <c r="E37" s="3"/>
      <c r="F37" s="3" t="str">
        <f>IF(A37="","",IF(E37="جميع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والكفاءة'!E:E,E37)))</f>
        <v/>
      </c>
      <c r="G37" s="3"/>
      <c r="H37" s="3"/>
      <c r="I37" s="3"/>
      <c r="J37" s="3"/>
      <c r="K37" s="3"/>
      <c r="L37" s="3"/>
      <c r="M37" s="3"/>
      <c r="N37" s="3" t="str">
        <f>IF(A37="","",ROUNDUP(F37/'الإعدادات والمستهدفات'!B12,0))</f>
        <v/>
      </c>
      <c r="O37" s="3" t="str">
        <f>IF(A37="","",F37*J37)</f>
        <v/>
      </c>
      <c r="P37" s="3" t="str">
        <f>IF(A37="","",COUNTIFS('[2]سجل الحضور والتنفيذ'!A:A,A37,'[2]سجل الحضور والتنفيذ'!H:H,"حاضر"))</f>
        <v/>
      </c>
      <c r="Q37" s="7" t="str">
        <f>IF(OR(A37="",F37=0),"",P37/F37)</f>
        <v/>
      </c>
      <c r="R37" s="3" t="str">
        <f>IF(A37="","",IF(F37=0,"لا ينطبق",IF(P37=0,"لم يبدأ",IF(Q37&gt;='الإعدادات والمستهدفات'!B7,"مستوفى بالكامل","قيد الاستيفاء"))))</f>
        <v/>
      </c>
    </row>
    <row r="38" spans="1:18" x14ac:dyDescent="0.2">
      <c r="A38" s="3"/>
      <c r="B38" s="3"/>
      <c r="C38" s="3"/>
      <c r="D38" s="3"/>
      <c r="E38" s="3"/>
      <c r="F38" s="3" t="str">
        <f>IF(A38="","",IF(E38="جميع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والكفاءة'!E:E,E38)))</f>
        <v/>
      </c>
      <c r="G38" s="3"/>
      <c r="H38" s="3"/>
      <c r="I38" s="3"/>
      <c r="J38" s="3"/>
      <c r="K38" s="3"/>
      <c r="L38" s="3"/>
      <c r="M38" s="3"/>
      <c r="N38" s="3" t="str">
        <f>IF(A38="","",ROUNDUP(F38/'الإعدادات والمستهدفات'!B12,0))</f>
        <v/>
      </c>
      <c r="O38" s="3" t="str">
        <f>IF(A38="","",F38*J38)</f>
        <v/>
      </c>
      <c r="P38" s="3" t="str">
        <f>IF(A38="","",COUNTIFS('[2]سجل الحضور والتنفيذ'!A:A,A38,'[2]سجل الحضور والتنفيذ'!H:H,"حاضر"))</f>
        <v/>
      </c>
      <c r="Q38" s="7" t="str">
        <f>IF(OR(A38="",F38=0),"",P38/F38)</f>
        <v/>
      </c>
      <c r="R38" s="3" t="str">
        <f>IF(A38="","",IF(F38=0,"لا ينطبق",IF(P38=0,"لم يبدأ",IF(Q38&gt;='الإعدادات والمستهدفات'!B7,"مستوفى بالكامل","قيد الاستيفاء"))))</f>
        <v/>
      </c>
    </row>
    <row r="39" spans="1:18" x14ac:dyDescent="0.2">
      <c r="A39" s="3"/>
      <c r="B39" s="3"/>
      <c r="C39" s="3"/>
      <c r="D39" s="3"/>
      <c r="E39" s="3"/>
      <c r="F39" s="3" t="str">
        <f>IF(A39="","",IF(E39="جميع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والكفاءة'!E:E,E39)))</f>
        <v/>
      </c>
      <c r="G39" s="3"/>
      <c r="H39" s="3"/>
      <c r="I39" s="3"/>
      <c r="J39" s="3"/>
      <c r="K39" s="3"/>
      <c r="L39" s="3"/>
      <c r="M39" s="3"/>
      <c r="N39" s="3" t="str">
        <f>IF(A39="","",ROUNDUP(F39/'الإعدادات والمستهدفات'!B12,0))</f>
        <v/>
      </c>
      <c r="O39" s="3" t="str">
        <f>IF(A39="","",F39*J39)</f>
        <v/>
      </c>
      <c r="P39" s="3" t="str">
        <f>IF(A39="","",COUNTIFS('[2]سجل الحضور والتنفيذ'!A:A,A39,'[2]سجل الحضور والتنفيذ'!H:H,"حاضر"))</f>
        <v/>
      </c>
      <c r="Q39" s="7" t="str">
        <f>IF(OR(A39="",F39=0),"",P39/F39)</f>
        <v/>
      </c>
      <c r="R39" s="3" t="str">
        <f>IF(A39="","",IF(F39=0,"لا ينطبق",IF(P39=0,"لم يبدأ",IF(Q39&gt;='الإعدادات والمستهدفات'!B7,"مستوفى بالكامل","قيد الاستيفاء"))))</f>
        <v/>
      </c>
    </row>
    <row r="40" spans="1:18" x14ac:dyDescent="0.2">
      <c r="A40" s="3"/>
      <c r="B40" s="3"/>
      <c r="C40" s="3"/>
      <c r="D40" s="3"/>
      <c r="E40" s="3"/>
      <c r="F40" s="3" t="str">
        <f>IF(A40="","",IF(E40="جميع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والكفاءة'!E:E,E40)))</f>
        <v/>
      </c>
      <c r="G40" s="3"/>
      <c r="H40" s="3"/>
      <c r="I40" s="3"/>
      <c r="J40" s="3"/>
      <c r="K40" s="3"/>
      <c r="L40" s="3"/>
      <c r="M40" s="3"/>
      <c r="N40" s="3" t="str">
        <f>IF(A40="","",ROUNDUP(F40/'الإعدادات والمستهدفات'!B12,0))</f>
        <v/>
      </c>
      <c r="O40" s="3" t="str">
        <f>IF(A40="","",F40*J40)</f>
        <v/>
      </c>
      <c r="P40" s="3" t="str">
        <f>IF(A40="","",COUNTIFS('[2]سجل الحضور والتنفيذ'!A:A,A40,'[2]سجل الحضور والتنفيذ'!H:H,"حاضر"))</f>
        <v/>
      </c>
      <c r="Q40" s="7" t="str">
        <f>IF(OR(A40="",F40=0),"",P40/F40)</f>
        <v/>
      </c>
      <c r="R40" s="3" t="str">
        <f>IF(A40="","",IF(F40=0,"لا ينطبق",IF(P40=0,"لم يبدأ",IF(Q40&gt;='الإعدادات والمستهدفات'!B7,"مستوفى بالكامل","قيد الاستيفاء"))))</f>
        <v/>
      </c>
    </row>
    <row r="41" spans="1:18" x14ac:dyDescent="0.2">
      <c r="A41" s="3"/>
      <c r="B41" s="3"/>
      <c r="C41" s="3"/>
      <c r="D41" s="3"/>
      <c r="E41" s="3"/>
      <c r="F41" s="3" t="str">
        <f>IF(A41="","",IF(E41="جميع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والكفاءة'!E:E,E41)))</f>
        <v/>
      </c>
      <c r="G41" s="3"/>
      <c r="H41" s="3"/>
      <c r="I41" s="3"/>
      <c r="J41" s="3"/>
      <c r="K41" s="3"/>
      <c r="L41" s="3"/>
      <c r="M41" s="3"/>
      <c r="N41" s="3" t="str">
        <f>IF(A41="","",ROUNDUP(F41/'الإعدادات والمستهدفات'!B12,0))</f>
        <v/>
      </c>
      <c r="O41" s="3" t="str">
        <f>IF(A41="","",F41*J41)</f>
        <v/>
      </c>
      <c r="P41" s="3" t="str">
        <f>IF(A41="","",COUNTIFS('[2]سجل الحضور والتنفيذ'!A:A,A41,'[2]سجل الحضور والتنفيذ'!H:H,"حاضر"))</f>
        <v/>
      </c>
      <c r="Q41" s="7" t="str">
        <f>IF(OR(A41="",F41=0),"",P41/F41)</f>
        <v/>
      </c>
      <c r="R41" s="3" t="str">
        <f>IF(A41="","",IF(F41=0,"لا ينطبق",IF(P41=0,"لم يبدأ",IF(Q41&gt;='الإعدادات والمستهدفات'!B7,"مستوفى بالكامل","قيد الاستيفاء"))))</f>
        <v/>
      </c>
    </row>
    <row r="42" spans="1:18" x14ac:dyDescent="0.2">
      <c r="A42" s="3"/>
      <c r="B42" s="3"/>
      <c r="C42" s="3"/>
      <c r="D42" s="3"/>
      <c r="E42" s="3"/>
      <c r="F42" s="3" t="str">
        <f>IF(A42="","",IF(E42="جميع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والكفاءة'!E:E,E42)))</f>
        <v/>
      </c>
      <c r="G42" s="3"/>
      <c r="H42" s="3"/>
      <c r="I42" s="3"/>
      <c r="J42" s="3"/>
      <c r="K42" s="3"/>
      <c r="L42" s="3"/>
      <c r="M42" s="3"/>
      <c r="N42" s="3" t="str">
        <f>IF(A42="","",ROUNDUP(F42/'الإعدادات والمستهدفات'!B12,0))</f>
        <v/>
      </c>
      <c r="O42" s="3" t="str">
        <f>IF(A42="","",F42*J42)</f>
        <v/>
      </c>
      <c r="P42" s="3" t="str">
        <f>IF(A42="","",COUNTIFS('[2]سجل الحضور والتنفيذ'!A:A,A42,'[2]سجل الحضور والتنفيذ'!H:H,"حاضر"))</f>
        <v/>
      </c>
      <c r="Q42" s="7" t="str">
        <f>IF(OR(A42="",F42=0),"",P42/F42)</f>
        <v/>
      </c>
      <c r="R42" s="3" t="str">
        <f>IF(A42="","",IF(F42=0,"لا ينطبق",IF(P42=0,"لم يبدأ",IF(Q42&gt;='الإعدادات والمستهدفات'!B7,"مستوفى بالكامل","قيد الاستيفاء"))))</f>
        <v/>
      </c>
    </row>
    <row r="43" spans="1:18" x14ac:dyDescent="0.2">
      <c r="A43" s="3"/>
      <c r="B43" s="3"/>
      <c r="C43" s="3"/>
      <c r="D43" s="3"/>
      <c r="E43" s="3"/>
      <c r="F43" s="3" t="str">
        <f>IF(A43="","",IF(E43="جميع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والكفاءة'!E:E,E43)))</f>
        <v/>
      </c>
      <c r="G43" s="3"/>
      <c r="H43" s="3"/>
      <c r="I43" s="3"/>
      <c r="J43" s="3"/>
      <c r="K43" s="3"/>
      <c r="L43" s="3"/>
      <c r="M43" s="3"/>
      <c r="N43" s="3" t="str">
        <f>IF(A43="","",ROUNDUP(F43/'الإعدادات والمستهدفات'!B12,0))</f>
        <v/>
      </c>
      <c r="O43" s="3" t="str">
        <f>IF(A43="","",F43*J43)</f>
        <v/>
      </c>
      <c r="P43" s="3" t="str">
        <f>IF(A43="","",COUNTIFS('[2]سجل الحضور والتنفيذ'!A:A,A43,'[2]سجل الحضور والتنفيذ'!H:H,"حاضر"))</f>
        <v/>
      </c>
      <c r="Q43" s="7" t="str">
        <f>IF(OR(A43="",F43=0),"",P43/F43)</f>
        <v/>
      </c>
      <c r="R43" s="3" t="str">
        <f>IF(A43="","",IF(F43=0,"لا ينطبق",IF(P43=0,"لم يبدأ",IF(Q43&gt;='الإعدادات والمستهدفات'!B7,"مستوفى بالكامل","قيد الاستيفاء"))))</f>
        <v/>
      </c>
    </row>
    <row r="44" spans="1:18" x14ac:dyDescent="0.2">
      <c r="A44" s="3"/>
      <c r="B44" s="3"/>
      <c r="C44" s="3"/>
      <c r="D44" s="3"/>
      <c r="E44" s="3"/>
      <c r="F44" s="3" t="str">
        <f>IF(A44="","",IF(E44="جميع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والكفاءة'!E:E,E44)))</f>
        <v/>
      </c>
      <c r="G44" s="3"/>
      <c r="H44" s="3"/>
      <c r="I44" s="3"/>
      <c r="J44" s="3"/>
      <c r="K44" s="3"/>
      <c r="L44" s="3"/>
      <c r="M44" s="3"/>
      <c r="N44" s="3" t="str">
        <f>IF(A44="","",ROUNDUP(F44/'الإعدادات والمستهدفات'!B12,0))</f>
        <v/>
      </c>
      <c r="O44" s="3" t="str">
        <f>IF(A44="","",F44*J44)</f>
        <v/>
      </c>
      <c r="P44" s="3" t="str">
        <f>IF(A44="","",COUNTIFS('[2]سجل الحضور والتنفيذ'!A:A,A44,'[2]سجل الحضور والتنفيذ'!H:H,"حاضر"))</f>
        <v/>
      </c>
      <c r="Q44" s="7" t="str">
        <f>IF(OR(A44="",F44=0),"",P44/F44)</f>
        <v/>
      </c>
      <c r="R44" s="3" t="str">
        <f>IF(A44="","",IF(F44=0,"لا ينطبق",IF(P44=0,"لم يبدأ",IF(Q44&gt;='الإعدادات والمستهدفات'!B7,"مستوفى بالكامل","قيد الاستيفاء"))))</f>
        <v/>
      </c>
    </row>
    <row r="45" spans="1:18" x14ac:dyDescent="0.2">
      <c r="A45" s="3"/>
      <c r="B45" s="3"/>
      <c r="C45" s="3"/>
      <c r="D45" s="3"/>
      <c r="E45" s="3"/>
      <c r="F45" s="3" t="str">
        <f>IF(A45="","",IF(E45="جميع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والكفاءة'!E:E,E45)))</f>
        <v/>
      </c>
      <c r="G45" s="3"/>
      <c r="H45" s="3"/>
      <c r="I45" s="3"/>
      <c r="J45" s="3"/>
      <c r="K45" s="3"/>
      <c r="L45" s="3"/>
      <c r="M45" s="3"/>
      <c r="N45" s="3" t="str">
        <f>IF(A45="","",ROUNDUP(F45/'الإعدادات والمستهدفات'!B12,0))</f>
        <v/>
      </c>
      <c r="O45" s="3" t="str">
        <f>IF(A45="","",F45*J45)</f>
        <v/>
      </c>
      <c r="P45" s="3" t="str">
        <f>IF(A45="","",COUNTIFS('[2]سجل الحضور والتنفيذ'!A:A,A45,'[2]سجل الحضور والتنفيذ'!H:H,"حاضر"))</f>
        <v/>
      </c>
      <c r="Q45" s="7" t="str">
        <f>IF(OR(A45="",F45=0),"",P45/F45)</f>
        <v/>
      </c>
      <c r="R45" s="3" t="str">
        <f>IF(A45="","",IF(F45=0,"لا ينطبق",IF(P45=0,"لم يبدأ",IF(Q45&gt;='الإعدادات والمستهدفات'!B7,"مستوفى بالكامل","قيد الاستيفاء"))))</f>
        <v/>
      </c>
    </row>
    <row r="46" spans="1:18" x14ac:dyDescent="0.2">
      <c r="A46" s="3"/>
      <c r="B46" s="3"/>
      <c r="C46" s="3"/>
      <c r="D46" s="3"/>
      <c r="E46" s="3"/>
      <c r="F46" s="3" t="str">
        <f>IF(A46="","",IF(E46="جميع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والكفاءة'!E:E,E46)))</f>
        <v/>
      </c>
      <c r="G46" s="3"/>
      <c r="H46" s="3"/>
      <c r="I46" s="3"/>
      <c r="J46" s="3"/>
      <c r="K46" s="3"/>
      <c r="L46" s="3"/>
      <c r="M46" s="3"/>
      <c r="N46" s="3" t="str">
        <f>IF(A46="","",ROUNDUP(F46/'الإعدادات والمستهدفات'!B12,0))</f>
        <v/>
      </c>
      <c r="O46" s="3" t="str">
        <f>IF(A46="","",F46*J46)</f>
        <v/>
      </c>
      <c r="P46" s="3" t="str">
        <f>IF(A46="","",COUNTIFS('[2]سجل الحضور والتنفيذ'!A:A,A46,'[2]سجل الحضور والتنفيذ'!H:H,"حاضر"))</f>
        <v/>
      </c>
      <c r="Q46" s="7" t="str">
        <f>IF(OR(A46="",F46=0),"",P46/F46)</f>
        <v/>
      </c>
      <c r="R46" s="3" t="str">
        <f>IF(A46="","",IF(F46=0,"لا ينطبق",IF(P46=0,"لم يبدأ",IF(Q46&gt;='الإعدادات والمستهدفات'!B7,"مستوفى بالكامل","قيد الاستيفاء"))))</f>
        <v/>
      </c>
    </row>
    <row r="47" spans="1:18" x14ac:dyDescent="0.2">
      <c r="A47" s="3"/>
      <c r="B47" s="3"/>
      <c r="C47" s="3"/>
      <c r="D47" s="3"/>
      <c r="E47" s="3"/>
      <c r="F47" s="3" t="str">
        <f>IF(A47="","",IF(E47="جميع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والكفاءة'!E:E,E47)))</f>
        <v/>
      </c>
      <c r="G47" s="3"/>
      <c r="H47" s="3"/>
      <c r="I47" s="3"/>
      <c r="J47" s="3"/>
      <c r="K47" s="3"/>
      <c r="L47" s="3"/>
      <c r="M47" s="3"/>
      <c r="N47" s="3" t="str">
        <f>IF(A47="","",ROUNDUP(F47/'الإعدادات والمستهدفات'!B12,0))</f>
        <v/>
      </c>
      <c r="O47" s="3" t="str">
        <f>IF(A47="","",F47*J47)</f>
        <v/>
      </c>
      <c r="P47" s="3" t="str">
        <f>IF(A47="","",COUNTIFS('[2]سجل الحضور والتنفيذ'!A:A,A47,'[2]سجل الحضور والتنفيذ'!H:H,"حاضر"))</f>
        <v/>
      </c>
      <c r="Q47" s="7" t="str">
        <f>IF(OR(A47="",F47=0),"",P47/F47)</f>
        <v/>
      </c>
      <c r="R47" s="3" t="str">
        <f>IF(A47="","",IF(F47=0,"لا ينطبق",IF(P47=0,"لم يبدأ",IF(Q47&gt;='الإعدادات والمستهدفات'!B7,"مستوفى بالكامل","قيد الاستيفاء"))))</f>
        <v/>
      </c>
    </row>
    <row r="48" spans="1:18" x14ac:dyDescent="0.2">
      <c r="A48" s="3"/>
      <c r="B48" s="3"/>
      <c r="C48" s="3"/>
      <c r="D48" s="3"/>
      <c r="E48" s="3"/>
      <c r="F48" s="3" t="str">
        <f>IF(A48="","",IF(E48="جميع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والكفاءة'!E:E,E48)))</f>
        <v/>
      </c>
      <c r="G48" s="3"/>
      <c r="H48" s="3"/>
      <c r="I48" s="3"/>
      <c r="J48" s="3"/>
      <c r="K48" s="3"/>
      <c r="L48" s="3"/>
      <c r="M48" s="3"/>
      <c r="N48" s="3" t="str">
        <f>IF(A48="","",ROUNDUP(F48/'الإعدادات والمستهدفات'!B12,0))</f>
        <v/>
      </c>
      <c r="O48" s="3" t="str">
        <f>IF(A48="","",F48*J48)</f>
        <v/>
      </c>
      <c r="P48" s="3" t="str">
        <f>IF(A48="","",COUNTIFS('[2]سجل الحضور والتنفيذ'!A:A,A48,'[2]سجل الحضور والتنفيذ'!H:H,"حاضر"))</f>
        <v/>
      </c>
      <c r="Q48" s="7" t="str">
        <f>IF(OR(A48="",F48=0),"",P48/F48)</f>
        <v/>
      </c>
      <c r="R48" s="3" t="str">
        <f>IF(A48="","",IF(F48=0,"لا ينطبق",IF(P48=0,"لم يبدأ",IF(Q48&gt;='الإعدادات والمستهدفات'!B7,"مستوفى بالكامل","قيد الاستيفاء"))))</f>
        <v/>
      </c>
    </row>
    <row r="49" spans="1:18" x14ac:dyDescent="0.2">
      <c r="A49" s="3"/>
      <c r="B49" s="3"/>
      <c r="C49" s="3"/>
      <c r="D49" s="3"/>
      <c r="E49" s="3"/>
      <c r="F49" s="3" t="str">
        <f>IF(A49="","",IF(E49="جميع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والكفاءة'!E:E,E49)))</f>
        <v/>
      </c>
      <c r="G49" s="3"/>
      <c r="H49" s="3"/>
      <c r="I49" s="3"/>
      <c r="J49" s="3"/>
      <c r="K49" s="3"/>
      <c r="L49" s="3"/>
      <c r="M49" s="3"/>
      <c r="N49" s="3" t="str">
        <f>IF(A49="","",ROUNDUP(F49/'الإعدادات والمستهدفات'!B12,0))</f>
        <v/>
      </c>
      <c r="O49" s="3" t="str">
        <f>IF(A49="","",F49*J49)</f>
        <v/>
      </c>
      <c r="P49" s="3" t="str">
        <f>IF(A49="","",COUNTIFS('[2]سجل الحضور والتنفيذ'!A:A,A49,'[2]سجل الحضور والتنفيذ'!H:H,"حاضر"))</f>
        <v/>
      </c>
      <c r="Q49" s="7" t="str">
        <f>IF(OR(A49="",F49=0),"",P49/F49)</f>
        <v/>
      </c>
      <c r="R49" s="3" t="str">
        <f>IF(A49="","",IF(F49=0,"لا ينطبق",IF(P49=0,"لم يبدأ",IF(Q49&gt;='الإعدادات والمستهدفات'!B7,"مستوفى بالكامل","قيد الاستيفاء"))))</f>
        <v/>
      </c>
    </row>
    <row r="50" spans="1:18" x14ac:dyDescent="0.2">
      <c r="A50" s="3"/>
      <c r="B50" s="3"/>
      <c r="C50" s="3"/>
      <c r="D50" s="3"/>
      <c r="E50" s="3"/>
      <c r="F50" s="3" t="str">
        <f>IF(A50="","",IF(E50="جميع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والكفاءة'!E:E,E50)))</f>
        <v/>
      </c>
      <c r="G50" s="3"/>
      <c r="H50" s="3"/>
      <c r="I50" s="3"/>
      <c r="J50" s="3"/>
      <c r="K50" s="3"/>
      <c r="L50" s="3"/>
      <c r="M50" s="3"/>
      <c r="N50" s="3" t="str">
        <f>IF(A50="","",ROUNDUP(F50/'الإعدادات والمستهدفات'!B12,0))</f>
        <v/>
      </c>
      <c r="O50" s="3" t="str">
        <f>IF(A50="","",F50*J50)</f>
        <v/>
      </c>
      <c r="P50" s="3" t="str">
        <f>IF(A50="","",COUNTIFS('[2]سجل الحضور والتنفيذ'!A:A,A50,'[2]سجل الحضور والتنفيذ'!H:H,"حاضر"))</f>
        <v/>
      </c>
      <c r="Q50" s="7" t="str">
        <f>IF(OR(A50="",F50=0),"",P50/F50)</f>
        <v/>
      </c>
      <c r="R50" s="3" t="str">
        <f>IF(A50="","",IF(F50=0,"لا ينطبق",IF(P50=0,"لم يبدأ",IF(Q50&gt;='الإعدادات والمستهدفات'!B7,"مستوفى بالكامل","قيد الاستيفاء"))))</f>
        <v/>
      </c>
    </row>
    <row r="51" spans="1:18" x14ac:dyDescent="0.2">
      <c r="A51" s="3"/>
      <c r="B51" s="3"/>
      <c r="C51" s="3"/>
      <c r="D51" s="3"/>
      <c r="E51" s="3"/>
      <c r="F51" s="3" t="str">
        <f>IF(A51="","",IF(E51="جميع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والكفاءة'!E:E,E51)))</f>
        <v/>
      </c>
      <c r="G51" s="3"/>
      <c r="H51" s="3"/>
      <c r="I51" s="3"/>
      <c r="J51" s="3"/>
      <c r="K51" s="3"/>
      <c r="L51" s="3"/>
      <c r="M51" s="3"/>
      <c r="N51" s="3" t="str">
        <f>IF(A51="","",ROUNDUP(F51/'الإعدادات والمستهدفات'!B12,0))</f>
        <v/>
      </c>
      <c r="O51" s="3" t="str">
        <f>IF(A51="","",F51*J51)</f>
        <v/>
      </c>
      <c r="P51" s="3" t="str">
        <f>IF(A51="","",COUNTIFS('[2]سجل الحضور والتنفيذ'!A:A,A51,'[2]سجل الحضور والتنفيذ'!H:H,"حاضر"))</f>
        <v/>
      </c>
      <c r="Q51" s="7" t="str">
        <f>IF(OR(A51="",F51=0),"",P51/F51)</f>
        <v/>
      </c>
      <c r="R51" s="3" t="str">
        <f>IF(A51="","",IF(F51=0,"لا ينطبق",IF(P51=0,"لم يبدأ",IF(Q51&gt;='الإعدادات والمستهدفات'!B7,"مستوفى بالكامل","قيد الاستيفاء"))))</f>
        <v/>
      </c>
    </row>
    <row r="52" spans="1:18" x14ac:dyDescent="0.2">
      <c r="A52" s="3"/>
      <c r="B52" s="3"/>
      <c r="C52" s="3"/>
      <c r="D52" s="3"/>
      <c r="E52" s="3"/>
      <c r="F52" s="3" t="str">
        <f>IF(A52="","",IF(E52="جميع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والكفاءة'!E:E,E52)))</f>
        <v/>
      </c>
      <c r="G52" s="3"/>
      <c r="H52" s="3"/>
      <c r="I52" s="3"/>
      <c r="J52" s="3"/>
      <c r="K52" s="3"/>
      <c r="L52" s="3"/>
      <c r="M52" s="3"/>
      <c r="N52" s="3" t="str">
        <f>IF(A52="","",ROUNDUP(F52/'الإعدادات والمستهدفات'!B12,0))</f>
        <v/>
      </c>
      <c r="O52" s="3" t="str">
        <f>IF(A52="","",F52*J52)</f>
        <v/>
      </c>
      <c r="P52" s="3" t="str">
        <f>IF(A52="","",COUNTIFS('[2]سجل الحضور والتنفيذ'!A:A,A52,'[2]سجل الحضور والتنفيذ'!H:H,"حاضر"))</f>
        <v/>
      </c>
      <c r="Q52" s="7" t="str">
        <f>IF(OR(A52="",F52=0),"",P52/F52)</f>
        <v/>
      </c>
      <c r="R52" s="3" t="str">
        <f>IF(A52="","",IF(F52=0,"لا ينطبق",IF(P52=0,"لم يبدأ",IF(Q52&gt;='الإعدادات والمستهدفات'!B7,"مستوفى بالكامل","قيد الاستيفاء"))))</f>
        <v/>
      </c>
    </row>
    <row r="53" spans="1:18" x14ac:dyDescent="0.2">
      <c r="A53" s="3"/>
      <c r="B53" s="3"/>
      <c r="C53" s="3"/>
      <c r="D53" s="3"/>
      <c r="E53" s="3"/>
      <c r="F53" s="3" t="str">
        <f>IF(A53="","",IF(E53="جميع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والكفاءة'!E:E,E53)))</f>
        <v/>
      </c>
      <c r="G53" s="3"/>
      <c r="H53" s="3"/>
      <c r="I53" s="3"/>
      <c r="J53" s="3"/>
      <c r="K53" s="3"/>
      <c r="L53" s="3"/>
      <c r="M53" s="3"/>
      <c r="N53" s="3" t="str">
        <f>IF(A53="","",ROUNDUP(F53/'الإعدادات والمستهدفات'!B12,0))</f>
        <v/>
      </c>
      <c r="O53" s="3" t="str">
        <f>IF(A53="","",F53*J53)</f>
        <v/>
      </c>
      <c r="P53" s="3" t="str">
        <f>IF(A53="","",COUNTIFS('[2]سجل الحضور والتنفيذ'!A:A,A53,'[2]سجل الحضور والتنفيذ'!H:H,"حاضر"))</f>
        <v/>
      </c>
      <c r="Q53" s="7" t="str">
        <f>IF(OR(A53="",F53=0),"",P53/F53)</f>
        <v/>
      </c>
      <c r="R53" s="3" t="str">
        <f>IF(A53="","",IF(F53=0,"لا ينطبق",IF(P53=0,"لم يبدأ",IF(Q53&gt;='الإعدادات والمستهدفات'!B7,"مستوفى بالكامل","قيد الاستيفاء"))))</f>
        <v/>
      </c>
    </row>
    <row r="54" spans="1:18" x14ac:dyDescent="0.2">
      <c r="A54" s="3"/>
      <c r="B54" s="3"/>
      <c r="C54" s="3"/>
      <c r="D54" s="3"/>
      <c r="E54" s="3"/>
      <c r="F54" s="3" t="str">
        <f>IF(A54="","",IF(E54="جميع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والكفاءة'!E:E,E54)))</f>
        <v/>
      </c>
      <c r="G54" s="3"/>
      <c r="H54" s="3"/>
      <c r="I54" s="3"/>
      <c r="J54" s="3"/>
      <c r="K54" s="3"/>
      <c r="L54" s="3"/>
      <c r="M54" s="3"/>
      <c r="N54" s="3" t="str">
        <f>IF(A54="","",ROUNDUP(F54/'الإعدادات والمستهدفات'!B12,0))</f>
        <v/>
      </c>
      <c r="O54" s="3" t="str">
        <f>IF(A54="","",F54*J54)</f>
        <v/>
      </c>
      <c r="P54" s="3" t="str">
        <f>IF(A54="","",COUNTIFS('[2]سجل الحضور والتنفيذ'!A:A,A54,'[2]سجل الحضور والتنفيذ'!H:H,"حاضر"))</f>
        <v/>
      </c>
      <c r="Q54" s="7" t="str">
        <f>IF(OR(A54="",F54=0),"",P54/F54)</f>
        <v/>
      </c>
      <c r="R54" s="3" t="str">
        <f>IF(A54="","",IF(F54=0,"لا ينطبق",IF(P54=0,"لم يبدأ",IF(Q54&gt;='الإعدادات والمستهدفات'!B7,"مستوفى بالكامل","قيد الاستيفاء"))))</f>
        <v/>
      </c>
    </row>
    <row r="55" spans="1:18" x14ac:dyDescent="0.2">
      <c r="A55" s="3"/>
      <c r="B55" s="3"/>
      <c r="C55" s="3"/>
      <c r="D55" s="3"/>
      <c r="E55" s="3"/>
      <c r="F55" s="3" t="str">
        <f>IF(A55="","",IF(E55="جميع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والكفاءة'!E:E,E55)))</f>
        <v/>
      </c>
      <c r="G55" s="3"/>
      <c r="H55" s="3"/>
      <c r="I55" s="3"/>
      <c r="J55" s="3"/>
      <c r="K55" s="3"/>
      <c r="L55" s="3"/>
      <c r="M55" s="3"/>
      <c r="N55" s="3" t="str">
        <f>IF(A55="","",ROUNDUP(F55/'الإعدادات والمستهدفات'!B12,0))</f>
        <v/>
      </c>
      <c r="O55" s="3" t="str">
        <f>IF(A55="","",F55*J55)</f>
        <v/>
      </c>
      <c r="P55" s="3" t="str">
        <f>IF(A55="","",COUNTIFS('[2]سجل الحضور والتنفيذ'!A:A,A55,'[2]سجل الحضور والتنفيذ'!H:H,"حاضر"))</f>
        <v/>
      </c>
      <c r="Q55" s="7" t="str">
        <f>IF(OR(A55="",F55=0),"",P55/F55)</f>
        <v/>
      </c>
      <c r="R55" s="3" t="str">
        <f>IF(A55="","",IF(F55=0,"لا ينطبق",IF(P55=0,"لم يبدأ",IF(Q55&gt;='الإعدادات والمستهدفات'!B7,"مستوفى بالكامل","قيد الاستيفاء"))))</f>
        <v/>
      </c>
    </row>
    <row r="56" spans="1:18" x14ac:dyDescent="0.2">
      <c r="A56" s="3"/>
      <c r="B56" s="3"/>
      <c r="C56" s="3"/>
      <c r="D56" s="3"/>
      <c r="E56" s="3"/>
      <c r="F56" s="3" t="str">
        <f>IF(A56="","",IF(E56="جميع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والكفاءة'!E:E,E56)))</f>
        <v/>
      </c>
      <c r="G56" s="3"/>
      <c r="H56" s="3"/>
      <c r="I56" s="3"/>
      <c r="J56" s="3"/>
      <c r="K56" s="3"/>
      <c r="L56" s="3"/>
      <c r="M56" s="3"/>
      <c r="N56" s="3" t="str">
        <f>IF(A56="","",ROUNDUP(F56/'الإعدادات والمستهدفات'!B12,0))</f>
        <v/>
      </c>
      <c r="O56" s="3" t="str">
        <f>IF(A56="","",F56*J56)</f>
        <v/>
      </c>
      <c r="P56" s="3" t="str">
        <f>IF(A56="","",COUNTIFS('[2]سجل الحضور والتنفيذ'!A:A,A56,'[2]سجل الحضور والتنفيذ'!H:H,"حاضر"))</f>
        <v/>
      </c>
      <c r="Q56" s="7" t="str">
        <f>IF(OR(A56="",F56=0),"",P56/F56)</f>
        <v/>
      </c>
      <c r="R56" s="3" t="str">
        <f>IF(A56="","",IF(F56=0,"لا ينطبق",IF(P56=0,"لم يبدأ",IF(Q56&gt;='الإعدادات والمستهدفات'!B7,"مستوفى بالكامل","قيد الاستيفاء"))))</f>
        <v/>
      </c>
    </row>
    <row r="57" spans="1:18" x14ac:dyDescent="0.2">
      <c r="A57" s="3"/>
      <c r="B57" s="3"/>
      <c r="C57" s="3"/>
      <c r="D57" s="3"/>
      <c r="E57" s="3"/>
      <c r="F57" s="3" t="str">
        <f>IF(A57="","",IF(E57="جميع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والكفاءة'!E:E,E57)))</f>
        <v/>
      </c>
      <c r="G57" s="3"/>
      <c r="H57" s="3"/>
      <c r="I57" s="3"/>
      <c r="J57" s="3"/>
      <c r="K57" s="3"/>
      <c r="L57" s="3"/>
      <c r="M57" s="3"/>
      <c r="N57" s="3" t="str">
        <f>IF(A57="","",ROUNDUP(F57/'الإعدادات والمستهدفات'!B12,0))</f>
        <v/>
      </c>
      <c r="O57" s="3" t="str">
        <f>IF(A57="","",F57*J57)</f>
        <v/>
      </c>
      <c r="P57" s="3" t="str">
        <f>IF(A57="","",COUNTIFS('[2]سجل الحضور والتنفيذ'!A:A,A57,'[2]سجل الحضور والتنفيذ'!H:H,"حاضر"))</f>
        <v/>
      </c>
      <c r="Q57" s="7" t="str">
        <f>IF(OR(A57="",F57=0),"",P57/F57)</f>
        <v/>
      </c>
      <c r="R57" s="3" t="str">
        <f>IF(A57="","",IF(F57=0,"لا ينطبق",IF(P57=0,"لم يبدأ",IF(Q57&gt;='الإعدادات والمستهدفات'!B7,"مستوفى بالكامل","قيد الاستيفاء"))))</f>
        <v/>
      </c>
    </row>
    <row r="58" spans="1:18" x14ac:dyDescent="0.2">
      <c r="A58" s="3"/>
      <c r="B58" s="3"/>
      <c r="C58" s="3"/>
      <c r="D58" s="3"/>
      <c r="E58" s="3"/>
      <c r="F58" s="3" t="str">
        <f>IF(A58="","",IF(E58="جميع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والكفاءة'!E:E,E58)))</f>
        <v/>
      </c>
      <c r="G58" s="3"/>
      <c r="H58" s="3"/>
      <c r="I58" s="3"/>
      <c r="J58" s="3"/>
      <c r="K58" s="3"/>
      <c r="L58" s="3"/>
      <c r="M58" s="3"/>
      <c r="N58" s="3" t="str">
        <f>IF(A58="","",ROUNDUP(F58/'الإعدادات والمستهدفات'!B12,0))</f>
        <v/>
      </c>
      <c r="O58" s="3" t="str">
        <f>IF(A58="","",F58*J58)</f>
        <v/>
      </c>
      <c r="P58" s="3" t="str">
        <f>IF(A58="","",COUNTIFS('[2]سجل الحضور والتنفيذ'!A:A,A58,'[2]سجل الحضور والتنفيذ'!H:H,"حاضر"))</f>
        <v/>
      </c>
      <c r="Q58" s="7" t="str">
        <f>IF(OR(A58="",F58=0),"",P58/F58)</f>
        <v/>
      </c>
      <c r="R58" s="3" t="str">
        <f>IF(A58="","",IF(F58=0,"لا ينطبق",IF(P58=0,"لم يبدأ",IF(Q58&gt;='الإعدادات والمستهدفات'!B7,"مستوفى بالكامل","قيد الاستيفاء"))))</f>
        <v/>
      </c>
    </row>
    <row r="59" spans="1:18" x14ac:dyDescent="0.2">
      <c r="A59" s="3"/>
      <c r="B59" s="3"/>
      <c r="C59" s="3"/>
      <c r="D59" s="3"/>
      <c r="E59" s="3"/>
      <c r="F59" s="3" t="str">
        <f>IF(A59="","",IF(E59="جميع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والكفاءة'!E:E,E59)))</f>
        <v/>
      </c>
      <c r="G59" s="3"/>
      <c r="H59" s="3"/>
      <c r="I59" s="3"/>
      <c r="J59" s="3"/>
      <c r="K59" s="3"/>
      <c r="L59" s="3"/>
      <c r="M59" s="3"/>
      <c r="N59" s="3" t="str">
        <f>IF(A59="","",ROUNDUP(F59/'الإعدادات والمستهدفات'!B12,0))</f>
        <v/>
      </c>
      <c r="O59" s="3" t="str">
        <f>IF(A59="","",F59*J59)</f>
        <v/>
      </c>
      <c r="P59" s="3" t="str">
        <f>IF(A59="","",COUNTIFS('[2]سجل الحضور والتنفيذ'!A:A,A59,'[2]سجل الحضور والتنفيذ'!H:H,"حاضر"))</f>
        <v/>
      </c>
      <c r="Q59" s="7" t="str">
        <f>IF(OR(A59="",F59=0),"",P59/F59)</f>
        <v/>
      </c>
      <c r="R59" s="3" t="str">
        <f>IF(A59="","",IF(F59=0,"لا ينطبق",IF(P59=0,"لم يبدأ",IF(Q59&gt;='الإعدادات والمستهدفات'!B7,"مستوفى بالكامل","قيد الاستيفاء"))))</f>
        <v/>
      </c>
    </row>
    <row r="60" spans="1:18" x14ac:dyDescent="0.2">
      <c r="A60" s="3"/>
      <c r="B60" s="3"/>
      <c r="C60" s="3"/>
      <c r="D60" s="3"/>
      <c r="E60" s="3"/>
      <c r="F60" s="3" t="str">
        <f>IF(A60="","",IF(E60="جميع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والكفاءة'!E:E,E60)))</f>
        <v/>
      </c>
      <c r="G60" s="3"/>
      <c r="H60" s="3"/>
      <c r="I60" s="3"/>
      <c r="J60" s="3"/>
      <c r="K60" s="3"/>
      <c r="L60" s="3"/>
      <c r="M60" s="3"/>
      <c r="N60" s="3" t="str">
        <f>IF(A60="","",ROUNDUP(F60/'الإعدادات والمستهدفات'!B12,0))</f>
        <v/>
      </c>
      <c r="O60" s="3" t="str">
        <f>IF(A60="","",F60*J60)</f>
        <v/>
      </c>
      <c r="P60" s="3" t="str">
        <f>IF(A60="","",COUNTIFS('[2]سجل الحضور والتنفيذ'!A:A,A60,'[2]سجل الحضور والتنفيذ'!H:H,"حاضر"))</f>
        <v/>
      </c>
      <c r="Q60" s="7" t="str">
        <f>IF(OR(A60="",F60=0),"",P60/F60)</f>
        <v/>
      </c>
      <c r="R60" s="3" t="str">
        <f>IF(A60="","",IF(F60=0,"لا ينطبق",IF(P60=0,"لم يبدأ",IF(Q60&gt;='الإعدادات والمستهدفات'!B7,"مستوفى بالكامل","قيد الاستيفاء"))))</f>
        <v/>
      </c>
    </row>
    <row r="61" spans="1:18" x14ac:dyDescent="0.2">
      <c r="A61" s="3"/>
      <c r="B61" s="3"/>
      <c r="C61" s="3"/>
      <c r="D61" s="3"/>
      <c r="E61" s="3"/>
      <c r="F61" s="3" t="str">
        <f>IF(A61="","",IF(E61="جميع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والكفاءة'!E:E,E61)))</f>
        <v/>
      </c>
      <c r="G61" s="3"/>
      <c r="H61" s="3"/>
      <c r="I61" s="3"/>
      <c r="J61" s="3"/>
      <c r="K61" s="3"/>
      <c r="L61" s="3"/>
      <c r="M61" s="3"/>
      <c r="N61" s="3" t="str">
        <f>IF(A61="","",ROUNDUP(F61/'الإعدادات والمستهدفات'!B12,0))</f>
        <v/>
      </c>
      <c r="O61" s="3" t="str">
        <f>IF(A61="","",F61*J61)</f>
        <v/>
      </c>
      <c r="P61" s="3" t="str">
        <f>IF(A61="","",COUNTIFS('[2]سجل الحضور والتنفيذ'!A:A,A61,'[2]سجل الحضور والتنفيذ'!H:H,"حاضر"))</f>
        <v/>
      </c>
      <c r="Q61" s="7" t="str">
        <f>IF(OR(A61="",F61=0),"",P61/F61)</f>
        <v/>
      </c>
      <c r="R61" s="3" t="str">
        <f>IF(A61="","",IF(F61=0,"لا ينطبق",IF(P61=0,"لم يبدأ",IF(Q61&gt;='الإعدادات والمستهدفات'!B7,"مستوفى بالكامل","قيد الاستيفاء"))))</f>
        <v/>
      </c>
    </row>
    <row r="62" spans="1:18" x14ac:dyDescent="0.2">
      <c r="A62" s="3"/>
      <c r="B62" s="3"/>
      <c r="C62" s="3"/>
      <c r="D62" s="3"/>
      <c r="E62" s="3"/>
      <c r="F62" s="3" t="str">
        <f>IF(A62="","",IF(E62="جميع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والكفاءة'!E:E,E62)))</f>
        <v/>
      </c>
      <c r="G62" s="3"/>
      <c r="H62" s="3"/>
      <c r="I62" s="3"/>
      <c r="J62" s="3"/>
      <c r="K62" s="3"/>
      <c r="L62" s="3"/>
      <c r="M62" s="3"/>
      <c r="N62" s="3" t="str">
        <f>IF(A62="","",ROUNDUP(F62/'الإعدادات والمستهدفات'!B12,0))</f>
        <v/>
      </c>
      <c r="O62" s="3" t="str">
        <f>IF(A62="","",F62*J62)</f>
        <v/>
      </c>
      <c r="P62" s="3" t="str">
        <f>IF(A62="","",COUNTIFS('[2]سجل الحضور والتنفيذ'!A:A,A62,'[2]سجل الحضور والتنفيذ'!H:H,"حاضر"))</f>
        <v/>
      </c>
      <c r="Q62" s="7" t="str">
        <f>IF(OR(A62="",F62=0),"",P62/F62)</f>
        <v/>
      </c>
      <c r="R62" s="3" t="str">
        <f>IF(A62="","",IF(F62=0,"لا ينطبق",IF(P62=0,"لم يبدأ",IF(Q62&gt;='الإعدادات والمستهدفات'!B7,"مستوفى بالكامل","قيد الاستيفاء"))))</f>
        <v/>
      </c>
    </row>
    <row r="63" spans="1:18" x14ac:dyDescent="0.2">
      <c r="A63" s="3"/>
      <c r="B63" s="3"/>
      <c r="C63" s="3"/>
      <c r="D63" s="3"/>
      <c r="E63" s="3"/>
      <c r="F63" s="3" t="str">
        <f>IF(A63="","",IF(E63="جميع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والكفاءة'!E:E,E63)))</f>
        <v/>
      </c>
      <c r="G63" s="3"/>
      <c r="H63" s="3"/>
      <c r="I63" s="3"/>
      <c r="J63" s="3"/>
      <c r="K63" s="3"/>
      <c r="L63" s="3"/>
      <c r="M63" s="3"/>
      <c r="N63" s="3" t="str">
        <f>IF(A63="","",ROUNDUP(F63/'الإعدادات والمستهدفات'!B12,0))</f>
        <v/>
      </c>
      <c r="O63" s="3" t="str">
        <f>IF(A63="","",F63*J63)</f>
        <v/>
      </c>
      <c r="P63" s="3" t="str">
        <f>IF(A63="","",COUNTIFS('[2]سجل الحضور والتنفيذ'!A:A,A63,'[2]سجل الحضور والتنفيذ'!H:H,"حاضر"))</f>
        <v/>
      </c>
      <c r="Q63" s="7" t="str">
        <f>IF(OR(A63="",F63=0),"",P63/F63)</f>
        <v/>
      </c>
      <c r="R63" s="3" t="str">
        <f>IF(A63="","",IF(F63=0,"لا ينطبق",IF(P63=0,"لم يبدأ",IF(Q63&gt;='الإعدادات والمستهدفات'!B7,"مستوفى بالكامل","قيد الاستيفاء"))))</f>
        <v/>
      </c>
    </row>
    <row r="64" spans="1:18" x14ac:dyDescent="0.2">
      <c r="A64" s="3"/>
      <c r="B64" s="3"/>
      <c r="C64" s="3"/>
      <c r="D64" s="3"/>
      <c r="E64" s="3"/>
      <c r="F64" s="3" t="str">
        <f>IF(A64="","",IF(E64="جميع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والكفاءة'!E:E,E64)))</f>
        <v/>
      </c>
      <c r="G64" s="3"/>
      <c r="H64" s="3"/>
      <c r="I64" s="3"/>
      <c r="J64" s="3"/>
      <c r="K64" s="3"/>
      <c r="L64" s="3"/>
      <c r="M64" s="3"/>
      <c r="N64" s="3" t="str">
        <f>IF(A64="","",ROUNDUP(F64/'الإعدادات والمستهدفات'!B12,0))</f>
        <v/>
      </c>
      <c r="O64" s="3" t="str">
        <f>IF(A64="","",F64*J64)</f>
        <v/>
      </c>
      <c r="P64" s="3" t="str">
        <f>IF(A64="","",COUNTIFS('[2]سجل الحضور والتنفيذ'!A:A,A64,'[2]سجل الحضور والتنفيذ'!H:H,"حاضر"))</f>
        <v/>
      </c>
      <c r="Q64" s="7" t="str">
        <f>IF(OR(A64="",F64=0),"",P64/F64)</f>
        <v/>
      </c>
      <c r="R64" s="3" t="str">
        <f>IF(A64="","",IF(F64=0,"لا ينطبق",IF(P64=0,"لم يبدأ",IF(Q64&gt;='الإعدادات والمستهدفات'!B7,"مستوفى بالكامل","قيد الاستيفاء"))))</f>
        <v/>
      </c>
    </row>
    <row r="65" spans="1:18" x14ac:dyDescent="0.2">
      <c r="A65" s="3"/>
      <c r="B65" s="3"/>
      <c r="C65" s="3"/>
      <c r="D65" s="3"/>
      <c r="E65" s="3"/>
      <c r="F65" s="3" t="str">
        <f>IF(A65="","",IF(E65="جميع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والكفاءة'!E:E,E65)))</f>
        <v/>
      </c>
      <c r="G65" s="3"/>
      <c r="H65" s="3"/>
      <c r="I65" s="3"/>
      <c r="J65" s="3"/>
      <c r="K65" s="3"/>
      <c r="L65" s="3"/>
      <c r="M65" s="3"/>
      <c r="N65" s="3" t="str">
        <f>IF(A65="","",ROUNDUP(F65/'الإعدادات والمستهدفات'!B12,0))</f>
        <v/>
      </c>
      <c r="O65" s="3" t="str">
        <f>IF(A65="","",F65*J65)</f>
        <v/>
      </c>
      <c r="P65" s="3" t="str">
        <f>IF(A65="","",COUNTIFS('[2]سجل الحضور والتنفيذ'!A:A,A65,'[2]سجل الحضور والتنفيذ'!H:H,"حاضر"))</f>
        <v/>
      </c>
      <c r="Q65" s="7" t="str">
        <f>IF(OR(A65="",F65=0),"",P65/F65)</f>
        <v/>
      </c>
      <c r="R65" s="3" t="str">
        <f>IF(A65="","",IF(F65=0,"لا ينطبق",IF(P65=0,"لم يبدأ",IF(Q65&gt;='الإعدادات والمستهدفات'!B7,"مستوفى بالكامل","قيد الاستيفاء"))))</f>
        <v/>
      </c>
    </row>
    <row r="66" spans="1:18" x14ac:dyDescent="0.2">
      <c r="A66" s="3"/>
      <c r="B66" s="3"/>
      <c r="C66" s="3"/>
      <c r="D66" s="3"/>
      <c r="E66" s="3"/>
      <c r="F66" s="3" t="str">
        <f>IF(A66="","",IF(E66="جميع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والكفاءة'!E:E,E66)))</f>
        <v/>
      </c>
      <c r="G66" s="3"/>
      <c r="H66" s="3"/>
      <c r="I66" s="3"/>
      <c r="J66" s="3"/>
      <c r="K66" s="3"/>
      <c r="L66" s="3"/>
      <c r="M66" s="3"/>
      <c r="N66" s="3" t="str">
        <f>IF(A66="","",ROUNDUP(F66/'الإعدادات والمستهدفات'!B12,0))</f>
        <v/>
      </c>
      <c r="O66" s="3" t="str">
        <f>IF(A66="","",F66*J66)</f>
        <v/>
      </c>
      <c r="P66" s="3" t="str">
        <f>IF(A66="","",COUNTIFS('[2]سجل الحضور والتنفيذ'!A:A,A66,'[2]سجل الحضور والتنفيذ'!H:H,"حاضر"))</f>
        <v/>
      </c>
      <c r="Q66" s="7" t="str">
        <f>IF(OR(A66="",F66=0),"",P66/F66)</f>
        <v/>
      </c>
      <c r="R66" s="3" t="str">
        <f>IF(A66="","",IF(F66=0,"لا ينطبق",IF(P66=0,"لم يبدأ",IF(Q66&gt;='الإعدادات والمستهدفات'!B7,"مستوفى بالكامل","قيد الاستيفاء"))))</f>
        <v/>
      </c>
    </row>
    <row r="67" spans="1:18" x14ac:dyDescent="0.2">
      <c r="A67" s="3"/>
      <c r="B67" s="3"/>
      <c r="C67" s="3"/>
      <c r="D67" s="3"/>
      <c r="E67" s="3"/>
      <c r="F67" s="3" t="str">
        <f>IF(A67="","",IF(E67="جميع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والكفاءة'!E:E,E67)))</f>
        <v/>
      </c>
      <c r="G67" s="3"/>
      <c r="H67" s="3"/>
      <c r="I67" s="3"/>
      <c r="J67" s="3"/>
      <c r="K67" s="3"/>
      <c r="L67" s="3"/>
      <c r="M67" s="3"/>
      <c r="N67" s="3" t="str">
        <f>IF(A67="","",ROUNDUP(F67/'الإعدادات والمستهدفات'!B12,0))</f>
        <v/>
      </c>
      <c r="O67" s="3" t="str">
        <f>IF(A67="","",F67*J67)</f>
        <v/>
      </c>
      <c r="P67" s="3" t="str">
        <f>IF(A67="","",COUNTIFS('[2]سجل الحضور والتنفيذ'!A:A,A67,'[2]سجل الحضور والتنفيذ'!H:H,"حاضر"))</f>
        <v/>
      </c>
      <c r="Q67" s="7" t="str">
        <f>IF(OR(A67="",F67=0),"",P67/F67)</f>
        <v/>
      </c>
      <c r="R67" s="3" t="str">
        <f>IF(A67="","",IF(F67=0,"لا ينطبق",IF(P67=0,"لم يبدأ",IF(Q67&gt;='الإعدادات والمستهدفات'!B7,"مستوفى بالكامل","قيد الاستيفاء"))))</f>
        <v/>
      </c>
    </row>
    <row r="68" spans="1:18" x14ac:dyDescent="0.2">
      <c r="A68" s="3"/>
      <c r="B68" s="3"/>
      <c r="C68" s="3"/>
      <c r="D68" s="3"/>
      <c r="E68" s="3"/>
      <c r="F68" s="3" t="str">
        <f>IF(A68="","",IF(E68="جميع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والكفاءة'!E:E,E68)))</f>
        <v/>
      </c>
      <c r="G68" s="3"/>
      <c r="H68" s="3"/>
      <c r="I68" s="3"/>
      <c r="J68" s="3"/>
      <c r="K68" s="3"/>
      <c r="L68" s="3"/>
      <c r="M68" s="3"/>
      <c r="N68" s="3" t="str">
        <f>IF(A68="","",ROUNDUP(F68/'الإعدادات والمستهدفات'!B12,0))</f>
        <v/>
      </c>
      <c r="O68" s="3" t="str">
        <f>IF(A68="","",F68*J68)</f>
        <v/>
      </c>
      <c r="P68" s="3" t="str">
        <f>IF(A68="","",COUNTIFS('[2]سجل الحضور والتنفيذ'!A:A,A68,'[2]سجل الحضور والتنفيذ'!H:H,"حاضر"))</f>
        <v/>
      </c>
      <c r="Q68" s="7" t="str">
        <f>IF(OR(A68="",F68=0),"",P68/F68)</f>
        <v/>
      </c>
      <c r="R68" s="3" t="str">
        <f>IF(A68="","",IF(F68=0,"لا ينطبق",IF(P68=0,"لم يبدأ",IF(Q68&gt;='الإعدادات والمستهدفات'!B7,"مستوفى بالكامل","قيد الاستيفاء"))))</f>
        <v/>
      </c>
    </row>
    <row r="69" spans="1:18" x14ac:dyDescent="0.2">
      <c r="A69" s="3"/>
      <c r="B69" s="3"/>
      <c r="C69" s="3"/>
      <c r="D69" s="3"/>
      <c r="E69" s="3"/>
      <c r="F69" s="3" t="str">
        <f>IF(A69="","",IF(E69="جميع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والكفاءة'!E:E,E69)))</f>
        <v/>
      </c>
      <c r="G69" s="3"/>
      <c r="H69" s="3"/>
      <c r="I69" s="3"/>
      <c r="J69" s="3"/>
      <c r="K69" s="3"/>
      <c r="L69" s="3"/>
      <c r="M69" s="3"/>
      <c r="N69" s="3" t="str">
        <f>IF(A69="","",ROUNDUP(F69/'الإعدادات والمستهدفات'!B12,0))</f>
        <v/>
      </c>
      <c r="O69" s="3" t="str">
        <f>IF(A69="","",F69*J69)</f>
        <v/>
      </c>
      <c r="P69" s="3" t="str">
        <f>IF(A69="","",COUNTIFS('[2]سجل الحضور والتنفيذ'!A:A,A69,'[2]سجل الحضور والتنفيذ'!H:H,"حاضر"))</f>
        <v/>
      </c>
      <c r="Q69" s="7" t="str">
        <f>IF(OR(A69="",F69=0),"",P69/F69)</f>
        <v/>
      </c>
      <c r="R69" s="3" t="str">
        <f>IF(A69="","",IF(F69=0,"لا ينطبق",IF(P69=0,"لم يبدأ",IF(Q69&gt;='الإعدادات والمستهدفات'!B7,"مستوفى بالكامل","قيد الاستيفاء"))))</f>
        <v/>
      </c>
    </row>
    <row r="70" spans="1:18" x14ac:dyDescent="0.2">
      <c r="A70" s="3"/>
      <c r="B70" s="3"/>
      <c r="C70" s="3"/>
      <c r="D70" s="3"/>
      <c r="E70" s="3"/>
      <c r="F70" s="3" t="str">
        <f>IF(A70="","",IF(E70="جميع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والكفاءة'!E:E,E70)))</f>
        <v/>
      </c>
      <c r="G70" s="3"/>
      <c r="H70" s="3"/>
      <c r="I70" s="3"/>
      <c r="J70" s="3"/>
      <c r="K70" s="3"/>
      <c r="L70" s="3"/>
      <c r="M70" s="3"/>
      <c r="N70" s="3" t="str">
        <f>IF(A70="","",ROUNDUP(F70/'الإعدادات والمستهدفات'!B12,0))</f>
        <v/>
      </c>
      <c r="O70" s="3" t="str">
        <f>IF(A70="","",F70*J70)</f>
        <v/>
      </c>
      <c r="P70" s="3" t="str">
        <f>IF(A70="","",COUNTIFS('[2]سجل الحضور والتنفيذ'!A:A,A70,'[2]سجل الحضور والتنفيذ'!H:H,"حاضر"))</f>
        <v/>
      </c>
      <c r="Q70" s="7" t="str">
        <f>IF(OR(A70="",F70=0),"",P70/F70)</f>
        <v/>
      </c>
      <c r="R70" s="3" t="str">
        <f>IF(A70="","",IF(F70=0,"لا ينطبق",IF(P70=0,"لم يبدأ",IF(Q70&gt;='الإعدادات والمستهدفات'!B7,"مستوفى بالكامل","قيد الاستيفاء"))))</f>
        <v/>
      </c>
    </row>
    <row r="71" spans="1:18" x14ac:dyDescent="0.2">
      <c r="A71" s="3"/>
      <c r="B71" s="3"/>
      <c r="C71" s="3"/>
      <c r="D71" s="3"/>
      <c r="E71" s="3"/>
      <c r="F71" s="3" t="str">
        <f>IF(A71="","",IF(E71="جميع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والكفاءة'!E:E,E71)))</f>
        <v/>
      </c>
      <c r="G71" s="3"/>
      <c r="H71" s="3"/>
      <c r="I71" s="3"/>
      <c r="J71" s="3"/>
      <c r="K71" s="3"/>
      <c r="L71" s="3"/>
      <c r="M71" s="3"/>
      <c r="N71" s="3" t="str">
        <f>IF(A71="","",ROUNDUP(F71/'الإعدادات والمستهدفات'!B12,0))</f>
        <v/>
      </c>
      <c r="O71" s="3" t="str">
        <f>IF(A71="","",F71*J71)</f>
        <v/>
      </c>
      <c r="P71" s="3" t="str">
        <f>IF(A71="","",COUNTIFS('[2]سجل الحضور والتنفيذ'!A:A,A71,'[2]سجل الحضور والتنفيذ'!H:H,"حاضر"))</f>
        <v/>
      </c>
      <c r="Q71" s="7" t="str">
        <f>IF(OR(A71="",F71=0),"",P71/F71)</f>
        <v/>
      </c>
      <c r="R71" s="3" t="str">
        <f>IF(A71="","",IF(F71=0,"لا ينطبق",IF(P71=0,"لم يبدأ",IF(Q71&gt;='الإعدادات والمستهدفات'!B7,"مستوفى بالكامل","قيد الاستيفاء"))))</f>
        <v/>
      </c>
    </row>
    <row r="72" spans="1:18" x14ac:dyDescent="0.2">
      <c r="A72" s="3"/>
      <c r="B72" s="3"/>
      <c r="C72" s="3"/>
      <c r="D72" s="3"/>
      <c r="E72" s="3"/>
      <c r="F72" s="3" t="str">
        <f>IF(A72="","",IF(E72="جميع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والكفاءة'!E:E,E72)))</f>
        <v/>
      </c>
      <c r="G72" s="3"/>
      <c r="H72" s="3"/>
      <c r="I72" s="3"/>
      <c r="J72" s="3"/>
      <c r="K72" s="3"/>
      <c r="L72" s="3"/>
      <c r="M72" s="3"/>
      <c r="N72" s="3" t="str">
        <f>IF(A72="","",ROUNDUP(F72/'الإعدادات والمستهدفات'!B12,0))</f>
        <v/>
      </c>
      <c r="O72" s="3" t="str">
        <f>IF(A72="","",F72*J72)</f>
        <v/>
      </c>
      <c r="P72" s="3" t="str">
        <f>IF(A72="","",COUNTIFS('[2]سجل الحضور والتنفيذ'!A:A,A72,'[2]سجل الحضور والتنفيذ'!H:H,"حاضر"))</f>
        <v/>
      </c>
      <c r="Q72" s="7" t="str">
        <f>IF(OR(A72="",F72=0),"",P72/F72)</f>
        <v/>
      </c>
      <c r="R72" s="3" t="str">
        <f>IF(A72="","",IF(F72=0,"لا ينطبق",IF(P72=0,"لم يبدأ",IF(Q72&gt;='الإعدادات والمستهدفات'!B7,"مستوفى بالكامل","قيد الاستيفاء"))))</f>
        <v/>
      </c>
    </row>
    <row r="73" spans="1:18" x14ac:dyDescent="0.2">
      <c r="A73" s="3"/>
      <c r="B73" s="3"/>
      <c r="C73" s="3"/>
      <c r="D73" s="3"/>
      <c r="E73" s="3"/>
      <c r="F73" s="3" t="str">
        <f>IF(A73="","",IF(E73="جميع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والكفاءة'!E:E,E73)))</f>
        <v/>
      </c>
      <c r="G73" s="3"/>
      <c r="H73" s="3"/>
      <c r="I73" s="3"/>
      <c r="J73" s="3"/>
      <c r="K73" s="3"/>
      <c r="L73" s="3"/>
      <c r="M73" s="3"/>
      <c r="N73" s="3" t="str">
        <f>IF(A73="","",ROUNDUP(F73/'الإعدادات والمستهدفات'!B12,0))</f>
        <v/>
      </c>
      <c r="O73" s="3" t="str">
        <f>IF(A73="","",F73*J73)</f>
        <v/>
      </c>
      <c r="P73" s="3" t="str">
        <f>IF(A73="","",COUNTIFS('[2]سجل الحضور والتنفيذ'!A:A,A73,'[2]سجل الحضور والتنفيذ'!H:H,"حاضر"))</f>
        <v/>
      </c>
      <c r="Q73" s="7" t="str">
        <f>IF(OR(A73="",F73=0),"",P73/F73)</f>
        <v/>
      </c>
      <c r="R73" s="3" t="str">
        <f>IF(A73="","",IF(F73=0,"لا ينطبق",IF(P73=0,"لم يبدأ",IF(Q73&gt;='الإعدادات والمستهدفات'!B7,"مستوفى بالكامل","قيد الاستيفاء"))))</f>
        <v/>
      </c>
    </row>
    <row r="74" spans="1:18" x14ac:dyDescent="0.2">
      <c r="A74" s="3"/>
      <c r="B74" s="3"/>
      <c r="C74" s="3"/>
      <c r="D74" s="3"/>
      <c r="E74" s="3"/>
      <c r="F74" s="3" t="str">
        <f>IF(A74="","",IF(E74="جميع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والكفاءة'!E:E,E74)))</f>
        <v/>
      </c>
      <c r="G74" s="3"/>
      <c r="H74" s="3"/>
      <c r="I74" s="3"/>
      <c r="J74" s="3"/>
      <c r="K74" s="3"/>
      <c r="L74" s="3"/>
      <c r="M74" s="3"/>
      <c r="N74" s="3" t="str">
        <f>IF(A74="","",ROUNDUP(F74/'الإعدادات والمستهدفات'!B12,0))</f>
        <v/>
      </c>
      <c r="O74" s="3" t="str">
        <f>IF(A74="","",F74*J74)</f>
        <v/>
      </c>
      <c r="P74" s="3" t="str">
        <f>IF(A74="","",COUNTIFS('[2]سجل الحضور والتنفيذ'!A:A,A74,'[2]سجل الحضور والتنفيذ'!H:H,"حاضر"))</f>
        <v/>
      </c>
      <c r="Q74" s="7" t="str">
        <f>IF(OR(A74="",F74=0),"",P74/F74)</f>
        <v/>
      </c>
      <c r="R74" s="3" t="str">
        <f>IF(A74="","",IF(F74=0,"لا ينطبق",IF(P74=0,"لم يبدأ",IF(Q74&gt;='الإعدادات والمستهدفات'!B7,"مستوفى بالكامل","قيد الاستيفاء"))))</f>
        <v/>
      </c>
    </row>
    <row r="75" spans="1:18" x14ac:dyDescent="0.2">
      <c r="A75" s="3"/>
      <c r="B75" s="3"/>
      <c r="C75" s="3"/>
      <c r="D75" s="3"/>
      <c r="E75" s="3"/>
      <c r="F75" s="3" t="str">
        <f>IF(A75="","",IF(E75="جميع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والكفاءة'!E:E,E75)))</f>
        <v/>
      </c>
      <c r="G75" s="3"/>
      <c r="H75" s="3"/>
      <c r="I75" s="3"/>
      <c r="J75" s="3"/>
      <c r="K75" s="3"/>
      <c r="L75" s="3"/>
      <c r="M75" s="3"/>
      <c r="N75" s="3" t="str">
        <f>IF(A75="","",ROUNDUP(F75/'الإعدادات والمستهدفات'!B12,0))</f>
        <v/>
      </c>
      <c r="O75" s="3" t="str">
        <f>IF(A75="","",F75*J75)</f>
        <v/>
      </c>
      <c r="P75" s="3" t="str">
        <f>IF(A75="","",COUNTIFS('[2]سجل الحضور والتنفيذ'!A:A,A75,'[2]سجل الحضور والتنفيذ'!H:H,"حاضر"))</f>
        <v/>
      </c>
      <c r="Q75" s="7" t="str">
        <f>IF(OR(A75="",F75=0),"",P75/F75)</f>
        <v/>
      </c>
      <c r="R75" s="3" t="str">
        <f>IF(A75="","",IF(F75=0,"لا ينطبق",IF(P75=0,"لم يبدأ",IF(Q75&gt;='الإعدادات والمستهدفات'!B7,"مستوفى بالكامل","قيد الاستيفاء"))))</f>
        <v/>
      </c>
    </row>
    <row r="76" spans="1:18" x14ac:dyDescent="0.2">
      <c r="A76" s="3"/>
      <c r="B76" s="3"/>
      <c r="C76" s="3"/>
      <c r="D76" s="3"/>
      <c r="E76" s="3"/>
      <c r="F76" s="3" t="str">
        <f>IF(A76="","",IF(E76="جميع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والكفاءة'!E:E,E76)))</f>
        <v/>
      </c>
      <c r="G76" s="3"/>
      <c r="H76" s="3"/>
      <c r="I76" s="3"/>
      <c r="J76" s="3"/>
      <c r="K76" s="3"/>
      <c r="L76" s="3"/>
      <c r="M76" s="3"/>
      <c r="N76" s="3" t="str">
        <f>IF(A76="","",ROUNDUP(F76/'الإعدادات والمستهدفات'!B12,0))</f>
        <v/>
      </c>
      <c r="O76" s="3" t="str">
        <f>IF(A76="","",F76*J76)</f>
        <v/>
      </c>
      <c r="P76" s="3" t="str">
        <f>IF(A76="","",COUNTIFS('[2]سجل الحضور والتنفيذ'!A:A,A76,'[2]سجل الحضور والتنفيذ'!H:H,"حاضر"))</f>
        <v/>
      </c>
      <c r="Q76" s="7" t="str">
        <f>IF(OR(A76="",F76=0),"",P76/F76)</f>
        <v/>
      </c>
      <c r="R76" s="3" t="str">
        <f>IF(A76="","",IF(F76=0,"لا ينطبق",IF(P76=0,"لم يبدأ",IF(Q76&gt;='الإعدادات والمستهدفات'!B7,"مستوفى بالكامل","قيد الاستيفاء"))))</f>
        <v/>
      </c>
    </row>
    <row r="77" spans="1:18" x14ac:dyDescent="0.2">
      <c r="A77" s="3"/>
      <c r="B77" s="3"/>
      <c r="C77" s="3"/>
      <c r="D77" s="3"/>
      <c r="E77" s="3"/>
      <c r="F77" s="3" t="str">
        <f>IF(A77="","",IF(E77="جميع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والكفاءة'!E:E,E77)))</f>
        <v/>
      </c>
      <c r="G77" s="3"/>
      <c r="H77" s="3"/>
      <c r="I77" s="3"/>
      <c r="J77" s="3"/>
      <c r="K77" s="3"/>
      <c r="L77" s="3"/>
      <c r="M77" s="3"/>
      <c r="N77" s="3" t="str">
        <f>IF(A77="","",ROUNDUP(F77/'الإعدادات والمستهدفات'!B12,0))</f>
        <v/>
      </c>
      <c r="O77" s="3" t="str">
        <f>IF(A77="","",F77*J77)</f>
        <v/>
      </c>
      <c r="P77" s="3" t="str">
        <f>IF(A77="","",COUNTIFS('[2]سجل الحضور والتنفيذ'!A:A,A77,'[2]سجل الحضور والتنفيذ'!H:H,"حاضر"))</f>
        <v/>
      </c>
      <c r="Q77" s="7" t="str">
        <f>IF(OR(A77="",F77=0),"",P77/F77)</f>
        <v/>
      </c>
      <c r="R77" s="3" t="str">
        <f>IF(A77="","",IF(F77=0,"لا ينطبق",IF(P77=0,"لم يبدأ",IF(Q77&gt;='الإعدادات والمستهدفات'!B7,"مستوفى بالكامل","قيد الاستيفاء"))))</f>
        <v/>
      </c>
    </row>
    <row r="78" spans="1:18" x14ac:dyDescent="0.2">
      <c r="A78" s="3"/>
      <c r="B78" s="3"/>
      <c r="C78" s="3"/>
      <c r="D78" s="3"/>
      <c r="E78" s="3"/>
      <c r="F78" s="3" t="str">
        <f>IF(A78="","",IF(E78="جميع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والكفاءة'!E:E,E78)))</f>
        <v/>
      </c>
      <c r="G78" s="3"/>
      <c r="H78" s="3"/>
      <c r="I78" s="3"/>
      <c r="J78" s="3"/>
      <c r="K78" s="3"/>
      <c r="L78" s="3"/>
      <c r="M78" s="3"/>
      <c r="N78" s="3" t="str">
        <f>IF(A78="","",ROUNDUP(F78/'الإعدادات والمستهدفات'!B12,0))</f>
        <v/>
      </c>
      <c r="O78" s="3" t="str">
        <f>IF(A78="","",F78*J78)</f>
        <v/>
      </c>
      <c r="P78" s="3" t="str">
        <f>IF(A78="","",COUNTIFS('[2]سجل الحضور والتنفيذ'!A:A,A78,'[2]سجل الحضور والتنفيذ'!H:H,"حاضر"))</f>
        <v/>
      </c>
      <c r="Q78" s="7" t="str">
        <f>IF(OR(A78="",F78=0),"",P78/F78)</f>
        <v/>
      </c>
      <c r="R78" s="3" t="str">
        <f>IF(A78="","",IF(F78=0,"لا ينطبق",IF(P78=0,"لم يبدأ",IF(Q78&gt;='الإعدادات والمستهدفات'!B7,"مستوفى بالكامل","قيد الاستيفاء"))))</f>
        <v/>
      </c>
    </row>
    <row r="79" spans="1:18" x14ac:dyDescent="0.2">
      <c r="A79" s="3"/>
      <c r="B79" s="3"/>
      <c r="C79" s="3"/>
      <c r="D79" s="3"/>
      <c r="E79" s="3"/>
      <c r="F79" s="3" t="str">
        <f>IF(A79="","",IF(E79="جميع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والكفاءة'!E:E,E79)))</f>
        <v/>
      </c>
      <c r="G79" s="3"/>
      <c r="H79" s="3"/>
      <c r="I79" s="3"/>
      <c r="J79" s="3"/>
      <c r="K79" s="3"/>
      <c r="L79" s="3"/>
      <c r="M79" s="3"/>
      <c r="N79" s="3" t="str">
        <f>IF(A79="","",ROUNDUP(F79/'الإعدادات والمستهدفات'!B12,0))</f>
        <v/>
      </c>
      <c r="O79" s="3" t="str">
        <f>IF(A79="","",F79*J79)</f>
        <v/>
      </c>
      <c r="P79" s="3" t="str">
        <f>IF(A79="","",COUNTIFS('[2]سجل الحضور والتنفيذ'!A:A,A79,'[2]سجل الحضور والتنفيذ'!H:H,"حاضر"))</f>
        <v/>
      </c>
      <c r="Q79" s="7" t="str">
        <f>IF(OR(A79="",F79=0),"",P79/F79)</f>
        <v/>
      </c>
      <c r="R79" s="3" t="str">
        <f>IF(A79="","",IF(F79=0,"لا ينطبق",IF(P79=0,"لم يبدأ",IF(Q79&gt;='الإعدادات والمستهدفات'!B7,"مستوفى بالكامل","قيد الاستيفاء"))))</f>
        <v/>
      </c>
    </row>
    <row r="80" spans="1:18" x14ac:dyDescent="0.2">
      <c r="A80" s="3"/>
      <c r="B80" s="3"/>
      <c r="C80" s="3"/>
      <c r="D80" s="3"/>
      <c r="E80" s="3"/>
      <c r="F80" s="3" t="str">
        <f>IF(A80="","",IF(E80="جميع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والكفاءة'!E:E,E80)))</f>
        <v/>
      </c>
      <c r="G80" s="3"/>
      <c r="H80" s="3"/>
      <c r="I80" s="3"/>
      <c r="J80" s="3"/>
      <c r="K80" s="3"/>
      <c r="L80" s="3"/>
      <c r="M80" s="3"/>
      <c r="N80" s="3" t="str">
        <f>IF(A80="","",ROUNDUP(F80/'الإعدادات والمستهدفات'!B12,0))</f>
        <v/>
      </c>
      <c r="O80" s="3" t="str">
        <f>IF(A80="","",F80*J80)</f>
        <v/>
      </c>
      <c r="P80" s="3" t="str">
        <f>IF(A80="","",COUNTIFS('[2]سجل الحضور والتنفيذ'!A:A,A80,'[2]سجل الحضور والتنفيذ'!H:H,"حاضر"))</f>
        <v/>
      </c>
      <c r="Q80" s="7" t="str">
        <f>IF(OR(A80="",F80=0),"",P80/F80)</f>
        <v/>
      </c>
      <c r="R80" s="3" t="str">
        <f>IF(A80="","",IF(F80=0,"لا ينطبق",IF(P80=0,"لم يبدأ",IF(Q80&gt;='الإعدادات والمستهدفات'!B7,"مستوفى بالكامل","قيد الاستيفاء"))))</f>
        <v/>
      </c>
    </row>
    <row r="81" spans="1:18" x14ac:dyDescent="0.2">
      <c r="A81" s="3"/>
      <c r="B81" s="3"/>
      <c r="C81" s="3"/>
      <c r="D81" s="3"/>
      <c r="E81" s="3"/>
      <c r="F81" s="3" t="str">
        <f>IF(A81="","",IF(E81="جميع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والكفاءة'!E:E,E81)))</f>
        <v/>
      </c>
      <c r="G81" s="3"/>
      <c r="H81" s="3"/>
      <c r="I81" s="3"/>
      <c r="J81" s="3"/>
      <c r="K81" s="3"/>
      <c r="L81" s="3"/>
      <c r="M81" s="3"/>
      <c r="N81" s="3" t="str">
        <f>IF(A81="","",ROUNDUP(F81/'الإعدادات والمستهدفات'!B12,0))</f>
        <v/>
      </c>
      <c r="O81" s="3" t="str">
        <f>IF(A81="","",F81*J81)</f>
        <v/>
      </c>
      <c r="P81" s="3" t="str">
        <f>IF(A81="","",COUNTIFS('[2]سجل الحضور والتنفيذ'!A:A,A81,'[2]سجل الحضور والتنفيذ'!H:H,"حاضر"))</f>
        <v/>
      </c>
      <c r="Q81" s="7" t="str">
        <f>IF(OR(A81="",F81=0),"",P81/F81)</f>
        <v/>
      </c>
      <c r="R81" s="3" t="str">
        <f>IF(A81="","",IF(F81=0,"لا ينطبق",IF(P81=0,"لم يبدأ",IF(Q81&gt;='الإعدادات والمستهدفات'!B7,"مستوفى بالكامل","قيد الاستيفاء"))))</f>
        <v/>
      </c>
    </row>
    <row r="82" spans="1:18" x14ac:dyDescent="0.2">
      <c r="A82" s="3"/>
      <c r="B82" s="3"/>
      <c r="C82" s="3"/>
      <c r="D82" s="3"/>
      <c r="E82" s="3"/>
      <c r="F82" s="3" t="str">
        <f>IF(A82="","",IF(E82="جميع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والكفاءة'!E:E,E82)))</f>
        <v/>
      </c>
      <c r="G82" s="3"/>
      <c r="H82" s="3"/>
      <c r="I82" s="3"/>
      <c r="J82" s="3"/>
      <c r="K82" s="3"/>
      <c r="L82" s="3"/>
      <c r="M82" s="3"/>
      <c r="N82" s="3" t="str">
        <f>IF(A82="","",ROUNDUP(F82/'الإعدادات والمستهدفات'!B12,0))</f>
        <v/>
      </c>
      <c r="O82" s="3" t="str">
        <f>IF(A82="","",F82*J82)</f>
        <v/>
      </c>
      <c r="P82" s="3" t="str">
        <f>IF(A82="","",COUNTIFS('[2]سجل الحضور والتنفيذ'!A:A,A82,'[2]سجل الحضور والتنفيذ'!H:H,"حاضر"))</f>
        <v/>
      </c>
      <c r="Q82" s="7" t="str">
        <f>IF(OR(A82="",F82=0),"",P82/F82)</f>
        <v/>
      </c>
      <c r="R82" s="3" t="str">
        <f>IF(A82="","",IF(F82=0,"لا ينطبق",IF(P82=0,"لم يبدأ",IF(Q82&gt;='الإعدادات والمستهدفات'!B7,"مستوفى بالكامل","قيد الاستيفاء"))))</f>
        <v/>
      </c>
    </row>
    <row r="83" spans="1:18" x14ac:dyDescent="0.2">
      <c r="A83" s="3"/>
      <c r="B83" s="3"/>
      <c r="C83" s="3"/>
      <c r="D83" s="3"/>
      <c r="E83" s="3"/>
      <c r="F83" s="3" t="str">
        <f>IF(A83="","",IF(E83="جميع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والكفاءة'!E:E,E83)))</f>
        <v/>
      </c>
      <c r="G83" s="3"/>
      <c r="H83" s="3"/>
      <c r="I83" s="3"/>
      <c r="J83" s="3"/>
      <c r="K83" s="3"/>
      <c r="L83" s="3"/>
      <c r="M83" s="3"/>
      <c r="N83" s="3" t="str">
        <f>IF(A83="","",ROUNDUP(F83/'الإعدادات والمستهدفات'!B12,0))</f>
        <v/>
      </c>
      <c r="O83" s="3" t="str">
        <f>IF(A83="","",F83*J83)</f>
        <v/>
      </c>
      <c r="P83" s="3" t="str">
        <f>IF(A83="","",COUNTIFS('[2]سجل الحضور والتنفيذ'!A:A,A83,'[2]سجل الحضور والتنفيذ'!H:H,"حاضر"))</f>
        <v/>
      </c>
      <c r="Q83" s="7" t="str">
        <f>IF(OR(A83="",F83=0),"",P83/F83)</f>
        <v/>
      </c>
      <c r="R83" s="3" t="str">
        <f>IF(A83="","",IF(F83=0,"لا ينطبق",IF(P83=0,"لم يبدأ",IF(Q83&gt;='الإعدادات والمستهدفات'!B7,"مستوفى بالكامل","قيد الاستيفاء"))))</f>
        <v/>
      </c>
    </row>
    <row r="84" spans="1:18" x14ac:dyDescent="0.2">
      <c r="A84" s="3"/>
      <c r="B84" s="3"/>
      <c r="C84" s="3"/>
      <c r="D84" s="3"/>
      <c r="E84" s="3"/>
      <c r="F84" s="3" t="str">
        <f>IF(A84="","",IF(E84="جميع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والكفاءة'!E:E,E84)))</f>
        <v/>
      </c>
      <c r="G84" s="3"/>
      <c r="H84" s="3"/>
      <c r="I84" s="3"/>
      <c r="J84" s="3"/>
      <c r="K84" s="3"/>
      <c r="L84" s="3"/>
      <c r="M84" s="3"/>
      <c r="N84" s="3" t="str">
        <f>IF(A84="","",ROUNDUP(F84/'الإعدادات والمستهدفات'!B12,0))</f>
        <v/>
      </c>
      <c r="O84" s="3" t="str">
        <f>IF(A84="","",F84*J84)</f>
        <v/>
      </c>
      <c r="P84" s="3" t="str">
        <f>IF(A84="","",COUNTIFS('[2]سجل الحضور والتنفيذ'!A:A,A84,'[2]سجل الحضور والتنفيذ'!H:H,"حاضر"))</f>
        <v/>
      </c>
      <c r="Q84" s="7" t="str">
        <f>IF(OR(A84="",F84=0),"",P84/F84)</f>
        <v/>
      </c>
      <c r="R84" s="3" t="str">
        <f>IF(A84="","",IF(F84=0,"لا ينطبق",IF(P84=0,"لم يبدأ",IF(Q84&gt;='الإعدادات والمستهدفات'!B7,"مستوفى بالكامل","قيد الاستيفاء"))))</f>
        <v/>
      </c>
    </row>
    <row r="85" spans="1:18" x14ac:dyDescent="0.2">
      <c r="A85" s="3"/>
      <c r="B85" s="3"/>
      <c r="C85" s="3"/>
      <c r="D85" s="3"/>
      <c r="E85" s="3"/>
      <c r="F85" s="3" t="str">
        <f>IF(A85="","",IF(E85="جميع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والكفاءة'!E:E,E85)))</f>
        <v/>
      </c>
      <c r="G85" s="3"/>
      <c r="H85" s="3"/>
      <c r="I85" s="3"/>
      <c r="J85" s="3"/>
      <c r="K85" s="3"/>
      <c r="L85" s="3"/>
      <c r="M85" s="3"/>
      <c r="N85" s="3" t="str">
        <f>IF(A85="","",ROUNDUP(F85/'الإعدادات والمستهدفات'!B12,0))</f>
        <v/>
      </c>
      <c r="O85" s="3" t="str">
        <f>IF(A85="","",F85*J85)</f>
        <v/>
      </c>
      <c r="P85" s="3" t="str">
        <f>IF(A85="","",COUNTIFS('[2]سجل الحضور والتنفيذ'!A:A,A85,'[2]سجل الحضور والتنفيذ'!H:H,"حاضر"))</f>
        <v/>
      </c>
      <c r="Q85" s="7" t="str">
        <f>IF(OR(A85="",F85=0),"",P85/F85)</f>
        <v/>
      </c>
      <c r="R85" s="3" t="str">
        <f>IF(A85="","",IF(F85=0,"لا ينطبق",IF(P85=0,"لم يبدأ",IF(Q85&gt;='الإعدادات والمستهدفات'!B7,"مستوفى بالكامل","قيد الاستيفاء"))))</f>
        <v/>
      </c>
    </row>
    <row r="86" spans="1:18" x14ac:dyDescent="0.2">
      <c r="A86" s="3"/>
      <c r="B86" s="3"/>
      <c r="C86" s="3"/>
      <c r="D86" s="3"/>
      <c r="E86" s="3"/>
      <c r="F86" s="3" t="str">
        <f>IF(A86="","",IF(E86="جميع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والكفاءة'!E:E,E86)))</f>
        <v/>
      </c>
      <c r="G86" s="3"/>
      <c r="H86" s="3"/>
      <c r="I86" s="3"/>
      <c r="J86" s="3"/>
      <c r="K86" s="3"/>
      <c r="L86" s="3"/>
      <c r="M86" s="3"/>
      <c r="N86" s="3" t="str">
        <f>IF(A86="","",ROUNDUP(F86/'الإعدادات والمستهدفات'!B12,0))</f>
        <v/>
      </c>
      <c r="O86" s="3" t="str">
        <f>IF(A86="","",F86*J86)</f>
        <v/>
      </c>
      <c r="P86" s="3" t="str">
        <f>IF(A86="","",COUNTIFS('[2]سجل الحضور والتنفيذ'!A:A,A86,'[2]سجل الحضور والتنفيذ'!H:H,"حاضر"))</f>
        <v/>
      </c>
      <c r="Q86" s="7" t="str">
        <f>IF(OR(A86="",F86=0),"",P86/F86)</f>
        <v/>
      </c>
      <c r="R86" s="3" t="str">
        <f>IF(A86="","",IF(F86=0,"لا ينطبق",IF(P86=0,"لم يبدأ",IF(Q86&gt;='الإعدادات والمستهدفات'!B7,"مستوفى بالكامل","قيد الاستيفاء"))))</f>
        <v/>
      </c>
    </row>
    <row r="87" spans="1:18" x14ac:dyDescent="0.2">
      <c r="A87" s="3"/>
      <c r="B87" s="3"/>
      <c r="C87" s="3"/>
      <c r="D87" s="3"/>
      <c r="E87" s="3"/>
      <c r="F87" s="3" t="str">
        <f>IF(A87="","",IF(E87="جميع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والكفاءة'!E:E,E87)))</f>
        <v/>
      </c>
      <c r="G87" s="3"/>
      <c r="H87" s="3"/>
      <c r="I87" s="3"/>
      <c r="J87" s="3"/>
      <c r="K87" s="3"/>
      <c r="L87" s="3"/>
      <c r="M87" s="3"/>
      <c r="N87" s="3" t="str">
        <f>IF(A87="","",ROUNDUP(F87/'الإعدادات والمستهدفات'!B12,0))</f>
        <v/>
      </c>
      <c r="O87" s="3" t="str">
        <f>IF(A87="","",F87*J87)</f>
        <v/>
      </c>
      <c r="P87" s="3" t="str">
        <f>IF(A87="","",COUNTIFS('[2]سجل الحضور والتنفيذ'!A:A,A87,'[2]سجل الحضور والتنفيذ'!H:H,"حاضر"))</f>
        <v/>
      </c>
      <c r="Q87" s="7" t="str">
        <f>IF(OR(A87="",F87=0),"",P87/F87)</f>
        <v/>
      </c>
      <c r="R87" s="3" t="str">
        <f>IF(A87="","",IF(F87=0,"لا ينطبق",IF(P87=0,"لم يبدأ",IF(Q87&gt;='الإعدادات والمستهدفات'!B7,"مستوفى بالكامل","قيد الاستيفاء"))))</f>
        <v/>
      </c>
    </row>
    <row r="88" spans="1:18" x14ac:dyDescent="0.2">
      <c r="A88" s="3"/>
      <c r="B88" s="3"/>
      <c r="C88" s="3"/>
      <c r="D88" s="3"/>
      <c r="E88" s="3"/>
      <c r="F88" s="3" t="str">
        <f>IF(A88="","",IF(E88="جميع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والكفاءة'!E:E,E88)))</f>
        <v/>
      </c>
      <c r="G88" s="3"/>
      <c r="H88" s="3"/>
      <c r="I88" s="3"/>
      <c r="J88" s="3"/>
      <c r="K88" s="3"/>
      <c r="L88" s="3"/>
      <c r="M88" s="3"/>
      <c r="N88" s="3" t="str">
        <f>IF(A88="","",ROUNDUP(F88/'الإعدادات والمستهدفات'!B12,0))</f>
        <v/>
      </c>
      <c r="O88" s="3" t="str">
        <f>IF(A88="","",F88*J88)</f>
        <v/>
      </c>
      <c r="P88" s="3" t="str">
        <f>IF(A88="","",COUNTIFS('[2]سجل الحضور والتنفيذ'!A:A,A88,'[2]سجل الحضور والتنفيذ'!H:H,"حاضر"))</f>
        <v/>
      </c>
      <c r="Q88" s="7" t="str">
        <f>IF(OR(A88="",F88=0),"",P88/F88)</f>
        <v/>
      </c>
      <c r="R88" s="3" t="str">
        <f>IF(A88="","",IF(F88=0,"لا ينطبق",IF(P88=0,"لم يبدأ",IF(Q88&gt;='الإعدادات والمستهدفات'!B7,"مستوفى بالكامل","قيد الاستيفاء"))))</f>
        <v/>
      </c>
    </row>
    <row r="89" spans="1:18" x14ac:dyDescent="0.2">
      <c r="A89" s="3"/>
      <c r="B89" s="3"/>
      <c r="C89" s="3"/>
      <c r="D89" s="3"/>
      <c r="E89" s="3"/>
      <c r="F89" s="3" t="str">
        <f>IF(A89="","",IF(E89="جميع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والكفاءة'!E:E,E89)))</f>
        <v/>
      </c>
      <c r="G89" s="3"/>
      <c r="H89" s="3"/>
      <c r="I89" s="3"/>
      <c r="J89" s="3"/>
      <c r="K89" s="3"/>
      <c r="L89" s="3"/>
      <c r="M89" s="3"/>
      <c r="N89" s="3" t="str">
        <f>IF(A89="","",ROUNDUP(F89/'الإعدادات والمستهدفات'!B12,0))</f>
        <v/>
      </c>
      <c r="O89" s="3" t="str">
        <f>IF(A89="","",F89*J89)</f>
        <v/>
      </c>
      <c r="P89" s="3" t="str">
        <f>IF(A89="","",COUNTIFS('[2]سجل الحضور والتنفيذ'!A:A,A89,'[2]سجل الحضور والتنفيذ'!H:H,"حاضر"))</f>
        <v/>
      </c>
      <c r="Q89" s="7" t="str">
        <f>IF(OR(A89="",F89=0),"",P89/F89)</f>
        <v/>
      </c>
      <c r="R89" s="3" t="str">
        <f>IF(A89="","",IF(F89=0,"لا ينطبق",IF(P89=0,"لم يبدأ",IF(Q89&gt;='الإعدادات والمستهدفات'!B7,"مستوفى بالكامل","قيد الاستيفاء"))))</f>
        <v/>
      </c>
    </row>
    <row r="90" spans="1:18" x14ac:dyDescent="0.2">
      <c r="A90" s="3"/>
      <c r="B90" s="3"/>
      <c r="C90" s="3"/>
      <c r="D90" s="3"/>
      <c r="E90" s="3"/>
      <c r="F90" s="3" t="str">
        <f>IF(A90="","",IF(E90="جميع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والكفاءة'!E:E,E90)))</f>
        <v/>
      </c>
      <c r="G90" s="3"/>
      <c r="H90" s="3"/>
      <c r="I90" s="3"/>
      <c r="J90" s="3"/>
      <c r="K90" s="3"/>
      <c r="L90" s="3"/>
      <c r="M90" s="3"/>
      <c r="N90" s="3" t="str">
        <f>IF(A90="","",ROUNDUP(F90/'الإعدادات والمستهدفات'!B12,0))</f>
        <v/>
      </c>
      <c r="O90" s="3" t="str">
        <f>IF(A90="","",F90*J90)</f>
        <v/>
      </c>
      <c r="P90" s="3" t="str">
        <f>IF(A90="","",COUNTIFS('[2]سجل الحضور والتنفيذ'!A:A,A90,'[2]سجل الحضور والتنفيذ'!H:H,"حاضر"))</f>
        <v/>
      </c>
      <c r="Q90" s="7" t="str">
        <f>IF(OR(A90="",F90=0),"",P90/F90)</f>
        <v/>
      </c>
      <c r="R90" s="3" t="str">
        <f>IF(A90="","",IF(F90=0,"لا ينطبق",IF(P90=0,"لم يبدأ",IF(Q90&gt;='الإعدادات والمستهدفات'!B7,"مستوفى بالكامل","قيد الاستيفاء"))))</f>
        <v/>
      </c>
    </row>
    <row r="91" spans="1:18" x14ac:dyDescent="0.2">
      <c r="A91" s="3"/>
      <c r="B91" s="3"/>
      <c r="C91" s="3"/>
      <c r="D91" s="3"/>
      <c r="E91" s="3"/>
      <c r="F91" s="3" t="str">
        <f>IF(A91="","",IF(E91="جميع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والكفاءة'!E:E,E91)))</f>
        <v/>
      </c>
      <c r="G91" s="3"/>
      <c r="H91" s="3"/>
      <c r="I91" s="3"/>
      <c r="J91" s="3"/>
      <c r="K91" s="3"/>
      <c r="L91" s="3"/>
      <c r="M91" s="3"/>
      <c r="N91" s="3" t="str">
        <f>IF(A91="","",ROUNDUP(F91/'الإعدادات والمستهدفات'!B12,0))</f>
        <v/>
      </c>
      <c r="O91" s="3" t="str">
        <f>IF(A91="","",F91*J91)</f>
        <v/>
      </c>
      <c r="P91" s="3" t="str">
        <f>IF(A91="","",COUNTIFS('[2]سجل الحضور والتنفيذ'!A:A,A91,'[2]سجل الحضور والتنفيذ'!H:H,"حاضر"))</f>
        <v/>
      </c>
      <c r="Q91" s="7" t="str">
        <f>IF(OR(A91="",F91=0),"",P91/F91)</f>
        <v/>
      </c>
      <c r="R91" s="3" t="str">
        <f>IF(A91="","",IF(F91=0,"لا ينطبق",IF(P91=0,"لم يبدأ",IF(Q91&gt;='الإعدادات والمستهدفات'!B7,"مستوفى بالكامل","قيد الاستيفاء"))))</f>
        <v/>
      </c>
    </row>
    <row r="92" spans="1:18" x14ac:dyDescent="0.2">
      <c r="A92" s="3"/>
      <c r="B92" s="3"/>
      <c r="C92" s="3"/>
      <c r="D92" s="3"/>
      <c r="E92" s="3"/>
      <c r="F92" s="3" t="str">
        <f>IF(A92="","",IF(E92="جميع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والكفاءة'!E:E,E92)))</f>
        <v/>
      </c>
      <c r="G92" s="3"/>
      <c r="H92" s="3"/>
      <c r="I92" s="3"/>
      <c r="J92" s="3"/>
      <c r="K92" s="3"/>
      <c r="L92" s="3"/>
      <c r="M92" s="3"/>
      <c r="N92" s="3" t="str">
        <f>IF(A92="","",ROUNDUP(F92/'الإعدادات والمستهدفات'!B12,0))</f>
        <v/>
      </c>
      <c r="O92" s="3" t="str">
        <f>IF(A92="","",F92*J92)</f>
        <v/>
      </c>
      <c r="P92" s="3" t="str">
        <f>IF(A92="","",COUNTIFS('[2]سجل الحضور والتنفيذ'!A:A,A92,'[2]سجل الحضور والتنفيذ'!H:H,"حاضر"))</f>
        <v/>
      </c>
      <c r="Q92" s="7" t="str">
        <f>IF(OR(A92="",F92=0),"",P92/F92)</f>
        <v/>
      </c>
      <c r="R92" s="3" t="str">
        <f>IF(A92="","",IF(F92=0,"لا ينطبق",IF(P92=0,"لم يبدأ",IF(Q92&gt;='الإعدادات والمستهدفات'!B7,"مستوفى بالكامل","قيد الاستيفاء"))))</f>
        <v/>
      </c>
    </row>
    <row r="93" spans="1:18" x14ac:dyDescent="0.2">
      <c r="A93" s="3"/>
      <c r="B93" s="3"/>
      <c r="C93" s="3"/>
      <c r="D93" s="3"/>
      <c r="E93" s="3"/>
      <c r="F93" s="3" t="str">
        <f>IF(A93="","",IF(E93="جميع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والكفاءة'!E:E,E93)))</f>
        <v/>
      </c>
      <c r="G93" s="3"/>
      <c r="H93" s="3"/>
      <c r="I93" s="3"/>
      <c r="J93" s="3"/>
      <c r="K93" s="3"/>
      <c r="L93" s="3"/>
      <c r="M93" s="3"/>
      <c r="N93" s="3" t="str">
        <f>IF(A93="","",ROUNDUP(F93/'الإعدادات والمستهدفات'!B12,0))</f>
        <v/>
      </c>
      <c r="O93" s="3" t="str">
        <f>IF(A93="","",F93*J93)</f>
        <v/>
      </c>
      <c r="P93" s="3" t="str">
        <f>IF(A93="","",COUNTIFS('[2]سجل الحضور والتنفيذ'!A:A,A93,'[2]سجل الحضور والتنفيذ'!H:H,"حاضر"))</f>
        <v/>
      </c>
      <c r="Q93" s="7" t="str">
        <f>IF(OR(A93="",F93=0),"",P93/F93)</f>
        <v/>
      </c>
      <c r="R93" s="3" t="str">
        <f>IF(A93="","",IF(F93=0,"لا ينطبق",IF(P93=0,"لم يبدأ",IF(Q93&gt;='الإعدادات والمستهدفات'!B7,"مستوفى بالكامل","قيد الاستيفاء"))))</f>
        <v/>
      </c>
    </row>
    <row r="94" spans="1:18" x14ac:dyDescent="0.2">
      <c r="A94" s="3"/>
      <c r="B94" s="3"/>
      <c r="C94" s="3"/>
      <c r="D94" s="3"/>
      <c r="E94" s="3"/>
      <c r="F94" s="3" t="str">
        <f>IF(A94="","",IF(E94="جميع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والكفاءة'!E:E,E94)))</f>
        <v/>
      </c>
      <c r="G94" s="3"/>
      <c r="H94" s="3"/>
      <c r="I94" s="3"/>
      <c r="J94" s="3"/>
      <c r="K94" s="3"/>
      <c r="L94" s="3"/>
      <c r="M94" s="3"/>
      <c r="N94" s="3" t="str">
        <f>IF(A94="","",ROUNDUP(F94/'الإعدادات والمستهدفات'!B12,0))</f>
        <v/>
      </c>
      <c r="O94" s="3" t="str">
        <f>IF(A94="","",F94*J94)</f>
        <v/>
      </c>
      <c r="P94" s="3" t="str">
        <f>IF(A94="","",COUNTIFS('[2]سجل الحضور والتنفيذ'!A:A,A94,'[2]سجل الحضور والتنفيذ'!H:H,"حاضر"))</f>
        <v/>
      </c>
      <c r="Q94" s="7" t="str">
        <f>IF(OR(A94="",F94=0),"",P94/F94)</f>
        <v/>
      </c>
      <c r="R94" s="3" t="str">
        <f>IF(A94="","",IF(F94=0,"لا ينطبق",IF(P94=0,"لم يبدأ",IF(Q94&gt;='الإعدادات والمستهدفات'!B7,"مستوفى بالكامل","قيد الاستيفاء"))))</f>
        <v/>
      </c>
    </row>
    <row r="95" spans="1:18" x14ac:dyDescent="0.2">
      <c r="A95" s="3"/>
      <c r="B95" s="3"/>
      <c r="C95" s="3"/>
      <c r="D95" s="3"/>
      <c r="E95" s="3"/>
      <c r="F95" s="3" t="str">
        <f>IF(A95="","",IF(E95="جميع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والكفاءة'!E:E,E95)))</f>
        <v/>
      </c>
      <c r="G95" s="3"/>
      <c r="H95" s="3"/>
      <c r="I95" s="3"/>
      <c r="J95" s="3"/>
      <c r="K95" s="3"/>
      <c r="L95" s="3"/>
      <c r="M95" s="3"/>
      <c r="N95" s="3" t="str">
        <f>IF(A95="","",ROUNDUP(F95/'الإعدادات والمستهدفات'!B12,0))</f>
        <v/>
      </c>
      <c r="O95" s="3" t="str">
        <f>IF(A95="","",F95*J95)</f>
        <v/>
      </c>
      <c r="P95" s="3" t="str">
        <f>IF(A95="","",COUNTIFS('[2]سجل الحضور والتنفيذ'!A:A,A95,'[2]سجل الحضور والتنفيذ'!H:H,"حاضر"))</f>
        <v/>
      </c>
      <c r="Q95" s="7" t="str">
        <f>IF(OR(A95="",F95=0),"",P95/F95)</f>
        <v/>
      </c>
      <c r="R95" s="3" t="str">
        <f>IF(A95="","",IF(F95=0,"لا ينطبق",IF(P95=0,"لم يبدأ",IF(Q95&gt;='الإعدادات والمستهدفات'!B7,"مستوفى بالكامل","قيد الاستيفاء"))))</f>
        <v/>
      </c>
    </row>
    <row r="96" spans="1:18" x14ac:dyDescent="0.2">
      <c r="A96" s="3"/>
      <c r="B96" s="3"/>
      <c r="C96" s="3"/>
      <c r="D96" s="3"/>
      <c r="E96" s="3"/>
      <c r="F96" s="3" t="str">
        <f>IF(A96="","",IF(E96="جميع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والكفاءة'!E:E,E96)))</f>
        <v/>
      </c>
      <c r="G96" s="3"/>
      <c r="H96" s="3"/>
      <c r="I96" s="3"/>
      <c r="J96" s="3"/>
      <c r="K96" s="3"/>
      <c r="L96" s="3"/>
      <c r="M96" s="3"/>
      <c r="N96" s="3" t="str">
        <f>IF(A96="","",ROUNDUP(F96/'الإعدادات والمستهدفات'!B12,0))</f>
        <v/>
      </c>
      <c r="O96" s="3" t="str">
        <f>IF(A96="","",F96*J96)</f>
        <v/>
      </c>
      <c r="P96" s="3" t="str">
        <f>IF(A96="","",COUNTIFS('[2]سجل الحضور والتنفيذ'!A:A,A96,'[2]سجل الحضور والتنفيذ'!H:H,"حاضر"))</f>
        <v/>
      </c>
      <c r="Q96" s="7" t="str">
        <f>IF(OR(A96="",F96=0),"",P96/F96)</f>
        <v/>
      </c>
      <c r="R96" s="3" t="str">
        <f>IF(A96="","",IF(F96=0,"لا ينطبق",IF(P96=0,"لم يبدأ",IF(Q96&gt;='الإعدادات والمستهدفات'!B7,"مستوفى بالكامل","قيد الاستيفاء"))))</f>
        <v/>
      </c>
    </row>
    <row r="97" spans="1:18" x14ac:dyDescent="0.2">
      <c r="A97" s="3"/>
      <c r="B97" s="3"/>
      <c r="C97" s="3"/>
      <c r="D97" s="3"/>
      <c r="E97" s="3"/>
      <c r="F97" s="3" t="str">
        <f>IF(A97="","",IF(E97="جميع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والكفاءة'!E:E,E97)))</f>
        <v/>
      </c>
      <c r="G97" s="3"/>
      <c r="H97" s="3"/>
      <c r="I97" s="3"/>
      <c r="J97" s="3"/>
      <c r="K97" s="3"/>
      <c r="L97" s="3"/>
      <c r="M97" s="3"/>
      <c r="N97" s="3" t="str">
        <f>IF(A97="","",ROUNDUP(F97/'الإعدادات والمستهدفات'!B12,0))</f>
        <v/>
      </c>
      <c r="O97" s="3" t="str">
        <f>IF(A97="","",F97*J97)</f>
        <v/>
      </c>
      <c r="P97" s="3" t="str">
        <f>IF(A97="","",COUNTIFS('[2]سجل الحضور والتنفيذ'!A:A,A97,'[2]سجل الحضور والتنفيذ'!H:H,"حاضر"))</f>
        <v/>
      </c>
      <c r="Q97" s="7" t="str">
        <f>IF(OR(A97="",F97=0),"",P97/F97)</f>
        <v/>
      </c>
      <c r="R97" s="3" t="str">
        <f>IF(A97="","",IF(F97=0,"لا ينطبق",IF(P97=0,"لم يبدأ",IF(Q97&gt;='الإعدادات والمستهدفات'!B7,"مستوفى بالكامل","قيد الاستيفاء"))))</f>
        <v/>
      </c>
    </row>
    <row r="98" spans="1:18" x14ac:dyDescent="0.2">
      <c r="A98" s="3"/>
      <c r="B98" s="3"/>
      <c r="C98" s="3"/>
      <c r="D98" s="3"/>
      <c r="E98" s="3"/>
      <c r="F98" s="3" t="str">
        <f>IF(A98="","",IF(E98="جميع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والكفاءة'!E:E,E98)))</f>
        <v/>
      </c>
      <c r="G98" s="3"/>
      <c r="H98" s="3"/>
      <c r="I98" s="3"/>
      <c r="J98" s="3"/>
      <c r="K98" s="3"/>
      <c r="L98" s="3"/>
      <c r="M98" s="3"/>
      <c r="N98" s="3" t="str">
        <f>IF(A98="","",ROUNDUP(F98/'الإعدادات والمستهدفات'!B12,0))</f>
        <v/>
      </c>
      <c r="O98" s="3" t="str">
        <f>IF(A98="","",F98*J98)</f>
        <v/>
      </c>
      <c r="P98" s="3" t="str">
        <f>IF(A98="","",COUNTIFS('[2]سجل الحضور والتنفيذ'!A:A,A98,'[2]سجل الحضور والتنفيذ'!H:H,"حاضر"))</f>
        <v/>
      </c>
      <c r="Q98" s="7" t="str">
        <f>IF(OR(A98="",F98=0),"",P98/F98)</f>
        <v/>
      </c>
      <c r="R98" s="3" t="str">
        <f>IF(A98="","",IF(F98=0,"لا ينطبق",IF(P98=0,"لم يبدأ",IF(Q98&gt;='الإعدادات والمستهدفات'!B7,"مستوفى بالكامل","قيد الاستيفاء"))))</f>
        <v/>
      </c>
    </row>
    <row r="99" spans="1:18" x14ac:dyDescent="0.2">
      <c r="A99" s="3"/>
      <c r="B99" s="3"/>
      <c r="C99" s="3"/>
      <c r="D99" s="3"/>
      <c r="E99" s="3"/>
      <c r="F99" s="3" t="str">
        <f>IF(A99="","",IF(E99="جميع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والكفاءة'!E:E,E99)))</f>
        <v/>
      </c>
      <c r="G99" s="3"/>
      <c r="H99" s="3"/>
      <c r="I99" s="3"/>
      <c r="J99" s="3"/>
      <c r="K99" s="3"/>
      <c r="L99" s="3"/>
      <c r="M99" s="3"/>
      <c r="N99" s="3" t="str">
        <f>IF(A99="","",ROUNDUP(F99/'الإعدادات والمستهدفات'!B12,0))</f>
        <v/>
      </c>
      <c r="O99" s="3" t="str">
        <f>IF(A99="","",F99*J99)</f>
        <v/>
      </c>
      <c r="P99" s="3" t="str">
        <f>IF(A99="","",COUNTIFS('[2]سجل الحضور والتنفيذ'!A:A,A99,'[2]سجل الحضور والتنفيذ'!H:H,"حاضر"))</f>
        <v/>
      </c>
      <c r="Q99" s="7" t="str">
        <f>IF(OR(A99="",F99=0),"",P99/F99)</f>
        <v/>
      </c>
      <c r="R99" s="3" t="str">
        <f>IF(A99="","",IF(F99=0,"لا ينطبق",IF(P99=0,"لم يبدأ",IF(Q99&gt;='الإعدادات والمستهدفات'!B7,"مستوفى بالكامل","قيد الاستيفاء"))))</f>
        <v/>
      </c>
    </row>
    <row r="100" spans="1:18" x14ac:dyDescent="0.2">
      <c r="A100" s="3"/>
      <c r="B100" s="3"/>
      <c r="C100" s="3"/>
      <c r="D100" s="3"/>
      <c r="E100" s="3"/>
      <c r="F100" s="3" t="str">
        <f>IF(A100="","",IF(E100="جميع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والكفاءة'!E:E,E100)))</f>
        <v/>
      </c>
      <c r="G100" s="3"/>
      <c r="H100" s="3"/>
      <c r="I100" s="3"/>
      <c r="J100" s="3"/>
      <c r="K100" s="3"/>
      <c r="L100" s="3"/>
      <c r="M100" s="3"/>
      <c r="N100" s="3" t="str">
        <f>IF(A100="","",ROUNDUP(F100/'الإعدادات والمستهدفات'!B12,0))</f>
        <v/>
      </c>
      <c r="O100" s="3" t="str">
        <f>IF(A100="","",F100*J100)</f>
        <v/>
      </c>
      <c r="P100" s="3" t="str">
        <f>IF(A100="","",COUNTIFS('[2]سجل الحضور والتنفيذ'!A:A,A100,'[2]سجل الحضور والتنفيذ'!H:H,"حاضر"))</f>
        <v/>
      </c>
      <c r="Q100" s="7" t="str">
        <f>IF(OR(A100="",F100=0),"",P100/F100)</f>
        <v/>
      </c>
      <c r="R100" s="3" t="str">
        <f>IF(A100="","",IF(F100=0,"لا ينطبق",IF(P100=0,"لم يبدأ",IF(Q100&gt;='الإعدادات والمستهدفات'!B7,"مستوفى بالكامل","قيد الاستيفاء"))))</f>
        <v/>
      </c>
    </row>
    <row r="101" spans="1:18" x14ac:dyDescent="0.2">
      <c r="A101" s="3"/>
      <c r="B101" s="3"/>
      <c r="C101" s="3"/>
      <c r="D101" s="3"/>
      <c r="E101" s="3"/>
      <c r="F101" s="3" t="str">
        <f>IF(A101="","",IF(E101="جميع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والكفاءة'!E:E,E101)))</f>
        <v/>
      </c>
      <c r="G101" s="3"/>
      <c r="H101" s="3"/>
      <c r="I101" s="3"/>
      <c r="J101" s="3"/>
      <c r="K101" s="3"/>
      <c r="L101" s="3"/>
      <c r="M101" s="3"/>
      <c r="N101" s="3" t="str">
        <f>IF(A101="","",ROUNDUP(F101/'الإعدادات والمستهدفات'!B12,0))</f>
        <v/>
      </c>
      <c r="O101" s="3" t="str">
        <f>IF(A101="","",F101*J101)</f>
        <v/>
      </c>
      <c r="P101" s="3" t="str">
        <f>IF(A101="","",COUNTIFS('[2]سجل الحضور والتنفيذ'!A:A,A101,'[2]سجل الحضور والتنفيذ'!H:H,"حاضر"))</f>
        <v/>
      </c>
      <c r="Q101" s="7" t="str">
        <f>IF(OR(A101="",F101=0),"",P101/F101)</f>
        <v/>
      </c>
      <c r="R101" s="3" t="str">
        <f>IF(A101="","",IF(F101=0,"لا ينطبق",IF(P101=0,"لم يبدأ",IF(Q101&gt;='الإعدادات والمستهدفات'!B7,"مستوفى بالكامل","قيد الاستيفاء"))))</f>
        <v/>
      </c>
    </row>
    <row r="102" spans="1:18" x14ac:dyDescent="0.2">
      <c r="A102" s="3"/>
      <c r="B102" s="3"/>
      <c r="C102" s="3"/>
      <c r="D102" s="3"/>
      <c r="E102" s="3"/>
      <c r="F102" s="3" t="str">
        <f>IF(A102="","",IF(E102="جميع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والكفاءة'!E:E,E102)))</f>
        <v/>
      </c>
      <c r="G102" s="3"/>
      <c r="H102" s="3"/>
      <c r="I102" s="3"/>
      <c r="J102" s="3"/>
      <c r="K102" s="3"/>
      <c r="L102" s="3"/>
      <c r="M102" s="3"/>
      <c r="N102" s="3" t="str">
        <f>IF(A102="","",ROUNDUP(F102/'الإعدادات والمستهدفات'!B12,0))</f>
        <v/>
      </c>
      <c r="O102" s="3" t="str">
        <f>IF(A102="","",F102*J102)</f>
        <v/>
      </c>
      <c r="P102" s="3" t="str">
        <f>IF(A102="","",COUNTIFS('[2]سجل الحضور والتنفيذ'!A:A,A102,'[2]سجل الحضور والتنفيذ'!H:H,"حاضر"))</f>
        <v/>
      </c>
      <c r="Q102" s="7" t="str">
        <f>IF(OR(A102="",F102=0),"",P102/F102)</f>
        <v/>
      </c>
      <c r="R102" s="3" t="str">
        <f>IF(A102="","",IF(F102=0,"لا ينطبق",IF(P102=0,"لم يبدأ",IF(Q102&gt;='الإعدادات والمستهدفات'!B7,"مستوفى بالكامل","قيد الاستيفاء"))))</f>
        <v/>
      </c>
    </row>
    <row r="103" spans="1:18" x14ac:dyDescent="0.2">
      <c r="A103" s="3"/>
      <c r="B103" s="3"/>
      <c r="C103" s="3"/>
      <c r="D103" s="3"/>
      <c r="E103" s="3"/>
      <c r="F103" s="3" t="str">
        <f>IF(A103="","",IF(E103="جميع العاملين بالمنشأة",COUNTIF('سجل الموظفين والكفاءة'!G:G,"موظف قائم")+COUNTIF('سجل الموظفين والكفاءة'!G:G,"موظف جديد " &amp; 'الإعدادات والمستهدفات'!B4),COUNTIF('سجل الموظفين والكفاءة'!E:E,E103)))</f>
        <v/>
      </c>
      <c r="G103" s="3"/>
      <c r="H103" s="3"/>
      <c r="I103" s="3"/>
      <c r="J103" s="3"/>
      <c r="K103" s="3"/>
      <c r="L103" s="3"/>
      <c r="M103" s="3"/>
      <c r="N103" s="3" t="str">
        <f>IF(A103="","",ROUNDUP(F103/'الإعدادات والمستهدفات'!B12,0))</f>
        <v/>
      </c>
      <c r="O103" s="3" t="str">
        <f>IF(A103="","",F103*J103)</f>
        <v/>
      </c>
      <c r="P103" s="3" t="str">
        <f>IF(A103="","",COUNTIFS('[2]سجل الحضور والتنفيذ'!A:A,A103,'[2]سجل الحضور والتنفيذ'!H:H,"حاضر"))</f>
        <v/>
      </c>
      <c r="Q103" s="7" t="str">
        <f>IF(OR(A103="",F103=0),"",P103/F103)</f>
        <v/>
      </c>
      <c r="R103" s="3" t="str">
        <f>IF(A103="","",IF(F103=0,"لا ينطبق",IF(P103=0,"لم يبدأ",IF(Q103&gt;='الإعدادات والمستهدفات'!B7,"مستوفى بالكامل","قيد الاستيفاء"))))</f>
        <v/>
      </c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5183-851C-4C45-911A-4162572A2DBE}">
  <dimension ref="A1:K9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2.140625" style="1" bestFit="1" customWidth="1"/>
    <col min="2" max="2" width="13.28515625" style="1" bestFit="1" customWidth="1"/>
    <col min="3" max="3" width="26.28515625" style="1" bestFit="1" customWidth="1"/>
    <col min="4" max="4" width="14.7109375" style="1" bestFit="1" customWidth="1"/>
    <col min="5" max="5" width="14.28515625" style="1" bestFit="1" customWidth="1"/>
    <col min="6" max="6" width="10.28515625" style="1" bestFit="1" customWidth="1"/>
    <col min="7" max="7" width="19.5703125" style="1" customWidth="1"/>
    <col min="8" max="8" width="21.85546875" style="1" bestFit="1" customWidth="1"/>
    <col min="9" max="9" width="18.7109375" style="1" bestFit="1" customWidth="1"/>
    <col min="10" max="10" width="26" style="1" bestFit="1" customWidth="1"/>
    <col min="11" max="11" width="17.140625" style="1" bestFit="1" customWidth="1"/>
    <col min="12" max="16384" width="9.140625" style="1"/>
  </cols>
  <sheetData>
    <row r="1" spans="1:11" x14ac:dyDescent="0.2">
      <c r="A1" s="2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189</v>
      </c>
      <c r="F3" s="4" t="s">
        <v>190</v>
      </c>
      <c r="G3" s="4" t="s">
        <v>191</v>
      </c>
      <c r="H3" s="4" t="s">
        <v>192</v>
      </c>
      <c r="I3" s="4" t="s">
        <v>193</v>
      </c>
      <c r="J3" s="4" t="s">
        <v>194</v>
      </c>
      <c r="K3" s="4" t="s">
        <v>195</v>
      </c>
    </row>
    <row r="4" spans="1:11" ht="25.5" x14ac:dyDescent="0.2">
      <c r="A4" s="3" t="s">
        <v>196</v>
      </c>
      <c r="B4" s="3" t="s">
        <v>197</v>
      </c>
      <c r="C4" s="3" t="s">
        <v>198</v>
      </c>
      <c r="D4" s="3" t="s">
        <v>199</v>
      </c>
      <c r="E4" s="3" t="s">
        <v>200</v>
      </c>
      <c r="F4" s="3" t="s">
        <v>201</v>
      </c>
      <c r="G4" s="3" t="s">
        <v>202</v>
      </c>
      <c r="H4" s="3" t="s">
        <v>203</v>
      </c>
      <c r="I4" s="3" t="s">
        <v>204</v>
      </c>
      <c r="J4" s="5">
        <v>46068</v>
      </c>
      <c r="K4" s="3" t="s">
        <v>205</v>
      </c>
    </row>
    <row r="5" spans="1:11" ht="38.25" x14ac:dyDescent="0.2">
      <c r="A5" s="3" t="s">
        <v>206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201</v>
      </c>
      <c r="G5" s="3" t="s">
        <v>211</v>
      </c>
      <c r="H5" s="3" t="s">
        <v>212</v>
      </c>
      <c r="I5" s="3" t="s">
        <v>213</v>
      </c>
      <c r="J5" s="5">
        <v>46081</v>
      </c>
      <c r="K5" s="3" t="s">
        <v>205</v>
      </c>
    </row>
    <row r="6" spans="1:11" ht="38.25" x14ac:dyDescent="0.2">
      <c r="A6" s="3" t="s">
        <v>214</v>
      </c>
      <c r="B6" s="3" t="s">
        <v>215</v>
      </c>
      <c r="C6" s="3" t="s">
        <v>216</v>
      </c>
      <c r="D6" s="3" t="s">
        <v>217</v>
      </c>
      <c r="E6" s="3" t="s">
        <v>210</v>
      </c>
      <c r="F6" s="3" t="s">
        <v>218</v>
      </c>
      <c r="G6" s="3" t="s">
        <v>219</v>
      </c>
      <c r="H6" s="3" t="s">
        <v>220</v>
      </c>
      <c r="I6" s="3" t="s">
        <v>221</v>
      </c>
      <c r="J6" s="5">
        <v>46096</v>
      </c>
      <c r="K6" s="3" t="s">
        <v>205</v>
      </c>
    </row>
    <row r="7" spans="1:11" ht="38.25" x14ac:dyDescent="0.2">
      <c r="A7" s="3" t="s">
        <v>222</v>
      </c>
      <c r="B7" s="3" t="s">
        <v>223</v>
      </c>
      <c r="C7" s="3" t="s">
        <v>224</v>
      </c>
      <c r="D7" s="3" t="s">
        <v>225</v>
      </c>
      <c r="E7" s="3" t="s">
        <v>210</v>
      </c>
      <c r="F7" s="3" t="s">
        <v>218</v>
      </c>
      <c r="G7" s="3" t="s">
        <v>226</v>
      </c>
      <c r="H7" s="3" t="s">
        <v>227</v>
      </c>
      <c r="I7" s="3" t="s">
        <v>228</v>
      </c>
      <c r="J7" s="5">
        <v>46111</v>
      </c>
      <c r="K7" s="3" t="s">
        <v>205</v>
      </c>
    </row>
    <row r="8" spans="1:11" ht="25.5" x14ac:dyDescent="0.2">
      <c r="A8" s="3" t="s">
        <v>229</v>
      </c>
      <c r="B8" s="3" t="s">
        <v>230</v>
      </c>
      <c r="C8" s="3" t="s">
        <v>231</v>
      </c>
      <c r="D8" s="3" t="s">
        <v>232</v>
      </c>
      <c r="E8" s="3" t="s">
        <v>210</v>
      </c>
      <c r="F8" s="3" t="s">
        <v>218</v>
      </c>
      <c r="G8" s="3" t="s">
        <v>233</v>
      </c>
      <c r="H8" s="3" t="s">
        <v>234</v>
      </c>
      <c r="I8" s="3" t="s">
        <v>235</v>
      </c>
      <c r="J8" s="5">
        <v>46127</v>
      </c>
      <c r="K8" s="3" t="s">
        <v>205</v>
      </c>
    </row>
    <row r="9" spans="1:11" ht="25.5" x14ac:dyDescent="0.2">
      <c r="A9" s="3" t="s">
        <v>236</v>
      </c>
      <c r="B9" s="3" t="s">
        <v>237</v>
      </c>
      <c r="C9" s="3" t="s">
        <v>238</v>
      </c>
      <c r="D9" s="3" t="s">
        <v>239</v>
      </c>
      <c r="E9" s="3" t="s">
        <v>240</v>
      </c>
      <c r="F9" s="3" t="s">
        <v>241</v>
      </c>
      <c r="G9" s="3" t="s">
        <v>242</v>
      </c>
      <c r="H9" s="3" t="s">
        <v>243</v>
      </c>
      <c r="I9" s="3" t="s">
        <v>244</v>
      </c>
      <c r="J9" s="5">
        <v>46053</v>
      </c>
      <c r="K9" s="3" t="s">
        <v>245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46E1-BFCB-4E11-8C46-63863263DD01}">
  <dimension ref="A1:P203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6.28515625" style="1" bestFit="1" customWidth="1"/>
    <col min="2" max="2" width="13.140625" style="1" bestFit="1" customWidth="1"/>
    <col min="3" max="3" width="13.28515625" style="1" bestFit="1" customWidth="1"/>
    <col min="4" max="4" width="10.140625" style="1" bestFit="1" customWidth="1"/>
    <col min="5" max="5" width="14" style="1" bestFit="1" customWidth="1"/>
    <col min="6" max="6" width="13.85546875" style="1" bestFit="1" customWidth="1"/>
    <col min="7" max="7" width="13.42578125" style="1" bestFit="1" customWidth="1"/>
    <col min="8" max="8" width="16.5703125" style="1" bestFit="1" customWidth="1"/>
    <col min="9" max="9" width="12.5703125" style="1" bestFit="1" customWidth="1"/>
    <col min="10" max="10" width="21.42578125" style="1" bestFit="1" customWidth="1"/>
    <col min="11" max="11" width="14.5703125" style="1" bestFit="1" customWidth="1"/>
    <col min="12" max="12" width="21.42578125" style="1" customWidth="1"/>
    <col min="13" max="13" width="17.85546875" style="1" bestFit="1" customWidth="1"/>
    <col min="14" max="14" width="19.5703125" style="1" bestFit="1" customWidth="1"/>
    <col min="15" max="15" width="19.7109375" style="1" bestFit="1" customWidth="1"/>
    <col min="16" max="16" width="19.28515625" style="1" bestFit="1" customWidth="1"/>
    <col min="17" max="16384" width="9.140625" style="1"/>
  </cols>
  <sheetData>
    <row r="1" spans="1:16" x14ac:dyDescent="0.2">
      <c r="A1" s="2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4" t="s">
        <v>130</v>
      </c>
      <c r="B3" s="4" t="s">
        <v>131</v>
      </c>
      <c r="C3" s="4" t="s">
        <v>132</v>
      </c>
      <c r="D3" s="4" t="s">
        <v>133</v>
      </c>
      <c r="E3" s="4" t="s">
        <v>134</v>
      </c>
      <c r="F3" s="4" t="s">
        <v>135</v>
      </c>
      <c r="G3" s="4" t="s">
        <v>136</v>
      </c>
      <c r="H3" s="4" t="s">
        <v>137</v>
      </c>
      <c r="I3" s="4" t="s">
        <v>138</v>
      </c>
      <c r="J3" s="4" t="s">
        <v>139</v>
      </c>
      <c r="K3" s="4" t="s">
        <v>140</v>
      </c>
      <c r="L3" s="4" t="s">
        <v>141</v>
      </c>
      <c r="M3" s="4" t="s">
        <v>142</v>
      </c>
      <c r="N3" s="4" t="s">
        <v>143</v>
      </c>
      <c r="O3" s="4" t="s">
        <v>144</v>
      </c>
      <c r="P3" s="4" t="s">
        <v>145</v>
      </c>
    </row>
    <row r="4" spans="1:16" ht="25.5" x14ac:dyDescent="0.2">
      <c r="A4" s="3">
        <f>IF(C4="","",ROW()-3)</f>
        <v>1</v>
      </c>
      <c r="B4" s="3" t="s">
        <v>146</v>
      </c>
      <c r="C4" s="3" t="s">
        <v>147</v>
      </c>
      <c r="D4" s="3" t="s">
        <v>148</v>
      </c>
      <c r="E4" s="3" t="s">
        <v>149</v>
      </c>
      <c r="F4" s="5">
        <v>45422</v>
      </c>
      <c r="G4" s="3" t="str">
        <f>IF(C4="","",IF(F4="","موظف قائم",IF(YEAR(F4)&gt;='الإعدادات والمستهدفات'!B4,"موظف جديد " &amp; 'الإعدادات والمستهدفات'!B4,"موظف قائم")))</f>
        <v>موظف قائم</v>
      </c>
      <c r="H4" s="7">
        <v>0.88</v>
      </c>
      <c r="I4" s="3" t="str">
        <f>IF(C4="","",IF(OR(H4="",H4=0),"لم يُقيَّم","مُقيَّم"))</f>
        <v>مُقيَّم</v>
      </c>
      <c r="J4" s="3" t="str">
        <f>IF(C4="","",IF(I4="لم يُقيَّم","يحتاج تقييم عاجل",IF(H4&lt;'الإعدادات والمستهدفات'!B5,"احتياج مرتفع جداً",IF(H4&lt;'الإعدادات والمستهدفات'!B6,"احتياج متوسط","احتياج منخفض"))))</f>
        <v>احتياج منخفض</v>
      </c>
      <c r="K4" s="3" t="str">
        <f>IF(C4="","",IF(OR(J4="يحتاج تقييم عاجل",J4="احتياج مرتفع جداً"),"أولوية قصوى (1)",IF(J4="احتياج متوسط","أولوية متوسطة (2)","أولوية عادية (3)")))</f>
        <v>أولوية عادية (3)</v>
      </c>
      <c r="L4" s="3" t="e">
        <f>IF(C4="","",COUNTIF('[1]الخطة التدريبية المعتمدة'!E:E,E4)+COUNTIF('[1]الخطة التدريبية المعتمدة'!E:E,"جميع العاملين بالمنشأة"))</f>
        <v>#VALUE!</v>
      </c>
      <c r="M4" s="3" t="e">
        <f>IF(C4="","",COUNTIFS('[2]سجل الحضور والتنفيذ'!E:E,B4,'[2]سجل الحضور والتنفيذ'!H:H,"حاضر"))</f>
        <v>#VALUE!</v>
      </c>
      <c r="N4" s="7" t="e">
        <f>IF(OR(C4="",L4=0),"",M4/L4)</f>
        <v>#VALUE!</v>
      </c>
      <c r="O4" s="3" t="e">
        <f>IF(C4="","",SUMPRODUCT(('[2]سجل الحضور والتنفيذ'!E:E=B4)*('[2]سجل الحضور والتنفيذ'!H:H="حاضر")*('[2]سجل الحضور والتنفيذ'!G:G)))</f>
        <v>#REF!</v>
      </c>
      <c r="P4" s="3" t="str">
        <f ca="1">IF(C4="","",IF(G4&lt;&gt;"موظف جديد " &amp; 'الإعدادات والمستهدفات'!B4,"—",IF(COUNTIFS('[2]سجل الحضور والتنفيذ'!E:E,B4,'[2]سجل الحضور والتنفيذ'!A:A,"PSY-OR-01",'[2]سجل الحضور والتنفيذ'!H:H,"حاضر")&gt;0,"مستوفى",IF(AND(F4&lt;&gt;"",TODAY()&gt;F4+'الإعدادات والمستهدفات'!B9),"متأخر عن المهلة","خلال المهلة"))))</f>
        <v>—</v>
      </c>
    </row>
    <row r="5" spans="1:16" ht="25.5" x14ac:dyDescent="0.2">
      <c r="A5" s="3">
        <f>IF(C5="","",ROW()-3)</f>
        <v>2</v>
      </c>
      <c r="B5" s="3" t="s">
        <v>150</v>
      </c>
      <c r="C5" s="3" t="s">
        <v>151</v>
      </c>
      <c r="D5" s="3" t="s">
        <v>152</v>
      </c>
      <c r="E5" s="3" t="s">
        <v>153</v>
      </c>
      <c r="F5" s="5">
        <v>44972</v>
      </c>
      <c r="G5" s="3" t="str">
        <f>IF(C5="","",IF(F5="","موظف قائم",IF(YEAR(F5)&gt;='الإعدادات والمستهدفات'!B4,"موظف جديد " &amp; 'الإعدادات والمستهدفات'!B4,"موظف قائم")))</f>
        <v>موظف قائم</v>
      </c>
      <c r="H5" s="7">
        <v>0.92</v>
      </c>
      <c r="I5" s="3" t="str">
        <f>IF(C5="","",IF(OR(H5="",H5=0),"لم يُقيَّم","مُقيَّم"))</f>
        <v>مُقيَّم</v>
      </c>
      <c r="J5" s="3" t="str">
        <f>IF(C5="","",IF(I5="لم يُقيَّم","يحتاج تقييم عاجل",IF(H5&lt;'الإعدادات والمستهدفات'!B5,"احتياج مرتفع جداً",IF(H5&lt;'الإعدادات والمستهدفات'!B6,"احتياج متوسط","احتياج منخفض"))))</f>
        <v>احتياج منخفض</v>
      </c>
      <c r="K5" s="3" t="str">
        <f>IF(C5="","",IF(OR(J5="يحتاج تقييم عاجل",J5="احتياج مرتفع جداً"),"أولوية قصوى (1)",IF(J5="احتياج متوسط","أولوية متوسطة (2)","أولوية عادية (3)")))</f>
        <v>أولوية عادية (3)</v>
      </c>
      <c r="L5" s="3" t="e">
        <f>IF(C5="","",COUNTIF('[1]الخطة التدريبية المعتمدة'!E:E,E5)+COUNTIF('[1]الخطة التدريبية المعتمدة'!E:E,"جميع العاملين بالمنشأة"))</f>
        <v>#VALUE!</v>
      </c>
      <c r="M5" s="3" t="e">
        <f>IF(C5="","",COUNTIFS('[2]سجل الحضور والتنفيذ'!E:E,B5,'[2]سجل الحضور والتنفيذ'!H:H,"حاضر"))</f>
        <v>#VALUE!</v>
      </c>
      <c r="N5" s="7" t="e">
        <f>IF(OR(C5="",L5=0),"",M5/L5)</f>
        <v>#VALUE!</v>
      </c>
      <c r="O5" s="3" t="e">
        <f>IF(C5="","",SUMPRODUCT(('[2]سجل الحضور والتنفيذ'!E:E=B5)*('[2]سجل الحضور والتنفيذ'!H:H="حاضر")*('[2]سجل الحضور والتنفيذ'!G:G)))</f>
        <v>#REF!</v>
      </c>
      <c r="P5" s="3" t="str">
        <f ca="1">IF(C5="","",IF(G5&lt;&gt;"موظف جديد " &amp; 'الإعدادات والمستهدفات'!B4,"—",IF(COUNTIFS('[2]سجل الحضور والتنفيذ'!E:E,B5,'[2]سجل الحضور والتنفيذ'!A:A,"PSY-OR-01",'[2]سجل الحضور والتنفيذ'!H:H,"حاضر")&gt;0,"مستوفى",IF(AND(F5&lt;&gt;"",TODAY()&gt;F5+'الإعدادات والمستهدفات'!B9),"متأخر عن المهلة","خلال المهلة"))))</f>
        <v>—</v>
      </c>
    </row>
    <row r="6" spans="1:16" ht="25.5" x14ac:dyDescent="0.2">
      <c r="A6" s="3">
        <f>IF(C6="","",ROW()-3)</f>
        <v>3</v>
      </c>
      <c r="B6" s="3" t="s">
        <v>154</v>
      </c>
      <c r="C6" s="3" t="s">
        <v>155</v>
      </c>
      <c r="D6" s="3" t="s">
        <v>156</v>
      </c>
      <c r="E6" s="3" t="s">
        <v>157</v>
      </c>
      <c r="F6" s="5">
        <v>44866</v>
      </c>
      <c r="G6" s="3" t="str">
        <f>IF(C6="","",IF(F6="","موظف قائم",IF(YEAR(F6)&gt;='الإعدادات والمستهدفات'!B4,"موظف جديد " &amp; 'الإعدادات والمستهدفات'!B4,"موظف قائم")))</f>
        <v>موظف قائم</v>
      </c>
      <c r="H6" s="7">
        <v>0.75</v>
      </c>
      <c r="I6" s="3" t="str">
        <f>IF(C6="","",IF(OR(H6="",H6=0),"لم يُقيَّم","مُقيَّم"))</f>
        <v>مُقيَّم</v>
      </c>
      <c r="J6" s="3" t="str">
        <f>IF(C6="","",IF(I6="لم يُقيَّم","يحتاج تقييم عاجل",IF(H6&lt;'الإعدادات والمستهدفات'!B5,"احتياج مرتفع جداً",IF(H6&lt;'الإعدادات والمستهدفات'!B6,"احتياج متوسط","احتياج منخفض"))))</f>
        <v>احتياج متوسط</v>
      </c>
      <c r="K6" s="3" t="str">
        <f>IF(C6="","",IF(OR(J6="يحتاج تقييم عاجل",J6="احتياج مرتفع جداً"),"أولوية قصوى (1)",IF(J6="احتياج متوسط","أولوية متوسطة (2)","أولوية عادية (3)")))</f>
        <v>أولوية متوسطة (2)</v>
      </c>
      <c r="L6" s="3" t="e">
        <f>IF(C6="","",COUNTIF('[1]الخطة التدريبية المعتمدة'!E:E,E6)+COUNTIF('[1]الخطة التدريبية المعتمدة'!E:E,"جميع العاملين بالمنشأة"))</f>
        <v>#VALUE!</v>
      </c>
      <c r="M6" s="3" t="e">
        <f>IF(C6="","",COUNTIFS('[2]سجل الحضور والتنفيذ'!E:E,B6,'[2]سجل الحضور والتنفيذ'!H:H,"حاضر"))</f>
        <v>#VALUE!</v>
      </c>
      <c r="N6" s="7" t="e">
        <f>IF(OR(C6="",L6=0),"",M6/L6)</f>
        <v>#VALUE!</v>
      </c>
      <c r="O6" s="3" t="e">
        <f>IF(C6="","",SUMPRODUCT(('[2]سجل الحضور والتنفيذ'!E:E=B6)*('[2]سجل الحضور والتنفيذ'!H:H="حاضر")*('[2]سجل الحضور والتنفيذ'!G:G)))</f>
        <v>#REF!</v>
      </c>
      <c r="P6" s="3" t="str">
        <f ca="1">IF(C6="","",IF(G6&lt;&gt;"موظف جديد " &amp; 'الإعدادات والمستهدفات'!B4,"—",IF(COUNTIFS('[2]سجل الحضور والتنفيذ'!E:E,B6,'[2]سجل الحضور والتنفيذ'!A:A,"PSY-OR-01",'[2]سجل الحضور والتنفيذ'!H:H,"حاضر")&gt;0,"مستوفى",IF(AND(F6&lt;&gt;"",TODAY()&gt;F6+'الإعدادات والمستهدفات'!B9),"متأخر عن المهلة","خلال المهلة"))))</f>
        <v>—</v>
      </c>
    </row>
    <row r="7" spans="1:16" ht="25.5" x14ac:dyDescent="0.2">
      <c r="A7" s="3">
        <f>IF(C7="","",ROW()-3)</f>
        <v>4</v>
      </c>
      <c r="B7" s="3" t="s">
        <v>158</v>
      </c>
      <c r="C7" s="3" t="s">
        <v>159</v>
      </c>
      <c r="D7" s="3" t="s">
        <v>160</v>
      </c>
      <c r="E7" s="3" t="s">
        <v>157</v>
      </c>
      <c r="F7" s="5">
        <v>45677</v>
      </c>
      <c r="G7" s="3" t="str">
        <f>IF(C7="","",IF(F7="","موظف قائم",IF(YEAR(F7)&gt;='الإعدادات والمستهدفات'!B4,"موظف جديد " &amp; 'الإعدادات والمستهدفات'!B4,"موظف قائم")))</f>
        <v>موظف قائم</v>
      </c>
      <c r="H7" s="7">
        <v>0.65</v>
      </c>
      <c r="I7" s="3" t="str">
        <f>IF(C7="","",IF(OR(H7="",H7=0),"لم يُقيَّم","مُقيَّم"))</f>
        <v>مُقيَّم</v>
      </c>
      <c r="J7" s="3" t="str">
        <f>IF(C7="","",IF(I7="لم يُقيَّم","يحتاج تقييم عاجل",IF(H7&lt;'الإعدادات والمستهدفات'!B5,"احتياج مرتفع جداً",IF(H7&lt;'الإعدادات والمستهدفات'!B6,"احتياج متوسط","احتياج منخفض"))))</f>
        <v>احتياج مرتفع جداً</v>
      </c>
      <c r="K7" s="3" t="str">
        <f>IF(C7="","",IF(OR(J7="يحتاج تقييم عاجل",J7="احتياج مرتفع جداً"),"أولوية قصوى (1)",IF(J7="احتياج متوسط","أولوية متوسطة (2)","أولوية عادية (3)")))</f>
        <v>أولوية قصوى (1)</v>
      </c>
      <c r="L7" s="3" t="e">
        <f>IF(C7="","",COUNTIF('[1]الخطة التدريبية المعتمدة'!E:E,E7)+COUNTIF('[1]الخطة التدريبية المعتمدة'!E:E,"جميع العاملين بالمنشأة"))</f>
        <v>#VALUE!</v>
      </c>
      <c r="M7" s="3" t="e">
        <f>IF(C7="","",COUNTIFS('[2]سجل الحضور والتنفيذ'!E:E,B7,'[2]سجل الحضور والتنفيذ'!H:H,"حاضر"))</f>
        <v>#VALUE!</v>
      </c>
      <c r="N7" s="7" t="e">
        <f>IF(OR(C7="",L7=0),"",M7/L7)</f>
        <v>#VALUE!</v>
      </c>
      <c r="O7" s="3" t="e">
        <f>IF(C7="","",SUMPRODUCT(('[2]سجل الحضور والتنفيذ'!E:E=B7)*('[2]سجل الحضور والتنفيذ'!H:H="حاضر")*('[2]سجل الحضور والتنفيذ'!G:G)))</f>
        <v>#REF!</v>
      </c>
      <c r="P7" s="3" t="str">
        <f ca="1">IF(C7="","",IF(G7&lt;&gt;"موظف جديد " &amp; 'الإعدادات والمستهدفات'!B4,"—",IF(COUNTIFS('[2]سجل الحضور والتنفيذ'!E:E,B7,'[2]سجل الحضور والتنفيذ'!A:A,"PSY-OR-01",'[2]سجل الحضور والتنفيذ'!H:H,"حاضر")&gt;0,"مستوفى",IF(AND(F7&lt;&gt;"",TODAY()&gt;F7+'الإعدادات والمستهدفات'!B9),"متأخر عن المهلة","خلال المهلة"))))</f>
        <v>—</v>
      </c>
    </row>
    <row r="8" spans="1:16" ht="38.25" x14ac:dyDescent="0.2">
      <c r="A8" s="3">
        <f>IF(C8="","",ROW()-3)</f>
        <v>5</v>
      </c>
      <c r="B8" s="3" t="s">
        <v>161</v>
      </c>
      <c r="C8" s="3" t="s">
        <v>162</v>
      </c>
      <c r="D8" s="3" t="s">
        <v>163</v>
      </c>
      <c r="E8" s="3" t="s">
        <v>164</v>
      </c>
      <c r="F8" s="5">
        <v>45516</v>
      </c>
      <c r="G8" s="3" t="str">
        <f>IF(C8="","",IF(F8="","موظف قائم",IF(YEAR(F8)&gt;='الإعدادات والمستهدفات'!B4,"موظف جديد " &amp; 'الإعدادات والمستهدفات'!B4,"موظف قائم")))</f>
        <v>موظف قائم</v>
      </c>
      <c r="H8" s="7">
        <v>0.85</v>
      </c>
      <c r="I8" s="3" t="str">
        <f>IF(C8="","",IF(OR(H8="",H8=0),"لم يُقيَّم","مُقيَّم"))</f>
        <v>مُقيَّم</v>
      </c>
      <c r="J8" s="3" t="str">
        <f>IF(C8="","",IF(I8="لم يُقيَّم","يحتاج تقييم عاجل",IF(H8&lt;'الإعدادات والمستهدفات'!B5,"احتياج مرتفع جداً",IF(H8&lt;'الإعدادات والمستهدفات'!B6,"احتياج متوسط","احتياج منخفض"))))</f>
        <v>احتياج منخفض</v>
      </c>
      <c r="K8" s="3" t="str">
        <f>IF(C8="","",IF(OR(J8="يحتاج تقييم عاجل",J8="احتياج مرتفع جداً"),"أولوية قصوى (1)",IF(J8="احتياج متوسط","أولوية متوسطة (2)","أولوية عادية (3)")))</f>
        <v>أولوية عادية (3)</v>
      </c>
      <c r="L8" s="3" t="e">
        <f>IF(C8="","",COUNTIF('[1]الخطة التدريبية المعتمدة'!E:E,E8)+COUNTIF('[1]الخطة التدريبية المعتمدة'!E:E,"جميع العاملين بالمنشأة"))</f>
        <v>#VALUE!</v>
      </c>
      <c r="M8" s="3" t="e">
        <f>IF(C8="","",COUNTIFS('[2]سجل الحضور والتنفيذ'!E:E,B8,'[2]سجل الحضور والتنفيذ'!H:H,"حاضر"))</f>
        <v>#VALUE!</v>
      </c>
      <c r="N8" s="7" t="e">
        <f>IF(OR(C8="",L8=0),"",M8/L8)</f>
        <v>#VALUE!</v>
      </c>
      <c r="O8" s="3" t="e">
        <f>IF(C8="","",SUMPRODUCT(('[2]سجل الحضور والتنفيذ'!E:E=B8)*('[2]سجل الحضور والتنفيذ'!H:H="حاضر")*('[2]سجل الحضور والتنفيذ'!G:G)))</f>
        <v>#REF!</v>
      </c>
      <c r="P8" s="3" t="str">
        <f ca="1">IF(C8="","",IF(G8&lt;&gt;"موظف جديد " &amp; 'الإعدادات والمستهدفات'!B4,"—",IF(COUNTIFS('[2]سجل الحضور والتنفيذ'!E:E,B8,'[2]سجل الحضور والتنفيذ'!A:A,"PSY-OR-01",'[2]سجل الحضور والتنفيذ'!H:H,"حاضر")&gt;0,"مستوفى",IF(AND(F8&lt;&gt;"",TODAY()&gt;F8+'الإعدادات والمستهدفات'!B9),"متأخر عن المهلة","خلال المهلة"))))</f>
        <v>—</v>
      </c>
    </row>
    <row r="9" spans="1:16" ht="25.5" x14ac:dyDescent="0.2">
      <c r="A9" s="3">
        <f>IF(C9="","",ROW()-3)</f>
        <v>6</v>
      </c>
      <c r="B9" s="3" t="s">
        <v>165</v>
      </c>
      <c r="C9" s="3" t="s">
        <v>166</v>
      </c>
      <c r="D9" s="3" t="s">
        <v>167</v>
      </c>
      <c r="E9" s="3" t="s">
        <v>168</v>
      </c>
      <c r="F9" s="5">
        <v>45078</v>
      </c>
      <c r="G9" s="3" t="str">
        <f>IF(C9="","",IF(F9="","موظف قائم",IF(YEAR(F9)&gt;='الإعدادات والمستهدفات'!B4,"موظف جديد " &amp; 'الإعدادات والمستهدفات'!B4,"موظف قائم")))</f>
        <v>موظف قائم</v>
      </c>
      <c r="H9" s="7">
        <v>0.91</v>
      </c>
      <c r="I9" s="3" t="str">
        <f>IF(C9="","",IF(OR(H9="",H9=0),"لم يُقيَّم","مُقيَّم"))</f>
        <v>مُقيَّم</v>
      </c>
      <c r="J9" s="3" t="str">
        <f>IF(C9="","",IF(I9="لم يُقيَّم","يحتاج تقييم عاجل",IF(H9&lt;'الإعدادات والمستهدفات'!B5,"احتياج مرتفع جداً",IF(H9&lt;'الإعدادات والمستهدفات'!B6,"احتياج متوسط","احتياج منخفض"))))</f>
        <v>احتياج منخفض</v>
      </c>
      <c r="K9" s="3" t="str">
        <f>IF(C9="","",IF(OR(J9="يحتاج تقييم عاجل",J9="احتياج مرتفع جداً"),"أولوية قصوى (1)",IF(J9="احتياج متوسط","أولوية متوسطة (2)","أولوية عادية (3)")))</f>
        <v>أولوية عادية (3)</v>
      </c>
      <c r="L9" s="3" t="e">
        <f>IF(C9="","",COUNTIF('[1]الخطة التدريبية المعتمدة'!E:E,E9)+COUNTIF('[1]الخطة التدريبية المعتمدة'!E:E,"جميع العاملين بالمنشأة"))</f>
        <v>#VALUE!</v>
      </c>
      <c r="M9" s="3" t="e">
        <f>IF(C9="","",COUNTIFS('[2]سجل الحضور والتنفيذ'!E:E,B9,'[2]سجل الحضور والتنفيذ'!H:H,"حاضر"))</f>
        <v>#VALUE!</v>
      </c>
      <c r="N9" s="7" t="e">
        <f>IF(OR(C9="",L9=0),"",M9/L9)</f>
        <v>#VALUE!</v>
      </c>
      <c r="O9" s="3" t="e">
        <f>IF(C9="","",SUMPRODUCT(('[2]سجل الحضور والتنفيذ'!E:E=B9)*('[2]سجل الحضور والتنفيذ'!H:H="حاضر")*('[2]سجل الحضور والتنفيذ'!G:G)))</f>
        <v>#REF!</v>
      </c>
      <c r="P9" s="3" t="str">
        <f ca="1">IF(C9="","",IF(G9&lt;&gt;"موظف جديد " &amp; 'الإعدادات والمستهدفات'!B4,"—",IF(COUNTIFS('[2]سجل الحضور والتنفيذ'!E:E,B9,'[2]سجل الحضور والتنفيذ'!A:A,"PSY-OR-01",'[2]سجل الحضور والتنفيذ'!H:H,"حاضر")&gt;0,"مستوفى",IF(AND(F9&lt;&gt;"",TODAY()&gt;F9+'الإعدادات والمستهدفات'!B9),"متأخر عن المهلة","خلال المهلة"))))</f>
        <v>—</v>
      </c>
    </row>
    <row r="10" spans="1:16" ht="25.5" x14ac:dyDescent="0.2">
      <c r="A10" s="3">
        <f>IF(C10="","",ROW()-3)</f>
        <v>7</v>
      </c>
      <c r="B10" s="3" t="s">
        <v>169</v>
      </c>
      <c r="C10" s="3" t="s">
        <v>170</v>
      </c>
      <c r="D10" s="3" t="s">
        <v>171</v>
      </c>
      <c r="E10" s="3" t="s">
        <v>172</v>
      </c>
      <c r="F10" s="5">
        <v>44661</v>
      </c>
      <c r="G10" s="3" t="str">
        <f>IF(C10="","",IF(F10="","موظف قائم",IF(YEAR(F10)&gt;='الإعدادات والمستهدفات'!B4,"موظف جديد " &amp; 'الإعدادات والمستهدفات'!B4,"موظف قائم")))</f>
        <v>موظف قائم</v>
      </c>
      <c r="H10" s="7">
        <v>0.89</v>
      </c>
      <c r="I10" s="3" t="str">
        <f>IF(C10="","",IF(OR(H10="",H10=0),"لم يُقيَّم","مُقيَّم"))</f>
        <v>مُقيَّم</v>
      </c>
      <c r="J10" s="3" t="str">
        <f>IF(C10="","",IF(I10="لم يُقيَّم","يحتاج تقييم عاجل",IF(H10&lt;'الإعدادات والمستهدفات'!B5,"احتياج مرتفع جداً",IF(H10&lt;'الإعدادات والمستهدفات'!B6,"احتياج متوسط","احتياج منخفض"))))</f>
        <v>احتياج منخفض</v>
      </c>
      <c r="K10" s="3" t="str">
        <f>IF(C10="","",IF(OR(J10="يحتاج تقييم عاجل",J10="احتياج مرتفع جداً"),"أولوية قصوى (1)",IF(J10="احتياج متوسط","أولوية متوسطة (2)","أولوية عادية (3)")))</f>
        <v>أولوية عادية (3)</v>
      </c>
      <c r="L10" s="3" t="e">
        <f>IF(C10="","",COUNTIF('[1]الخطة التدريبية المعتمدة'!E:E,E10)+COUNTIF('[1]الخطة التدريبية المعتمدة'!E:E,"جميع العاملين بالمنشأة"))</f>
        <v>#VALUE!</v>
      </c>
      <c r="M10" s="3" t="e">
        <f>IF(C10="","",COUNTIFS('[2]سجل الحضور والتنفيذ'!E:E,B10,'[2]سجل الحضور والتنفيذ'!H:H,"حاضر"))</f>
        <v>#VALUE!</v>
      </c>
      <c r="N10" s="7" t="e">
        <f>IF(OR(C10="",L10=0),"",M10/L10)</f>
        <v>#VALUE!</v>
      </c>
      <c r="O10" s="3" t="e">
        <f>IF(C10="","",SUMPRODUCT(('[2]سجل الحضور والتنفيذ'!E:E=B10)*('[2]سجل الحضور والتنفيذ'!H:H="حاضر")*('[2]سجل الحضور والتنفيذ'!G:G)))</f>
        <v>#REF!</v>
      </c>
      <c r="P10" s="3" t="str">
        <f ca="1">IF(C10="","",IF(G10&lt;&gt;"موظف جديد " &amp; 'الإعدادات والمستهدفات'!B4,"—",IF(COUNTIFS('[2]سجل الحضور والتنفيذ'!E:E,B10,'[2]سجل الحضور والتنفيذ'!A:A,"PSY-OR-01",'[2]سجل الحضور والتنفيذ'!H:H,"حاضر")&gt;0,"مستوفى",IF(AND(F10&lt;&gt;"",TODAY()&gt;F10+'الإعدادات والمستهدفات'!B9),"متأخر عن المهلة","خلال المهلة"))))</f>
        <v>—</v>
      </c>
    </row>
    <row r="11" spans="1:16" ht="25.5" x14ac:dyDescent="0.2">
      <c r="A11" s="3">
        <f>IF(C11="","",ROW()-3)</f>
        <v>8</v>
      </c>
      <c r="B11" s="3" t="s">
        <v>173</v>
      </c>
      <c r="C11" s="3" t="s">
        <v>174</v>
      </c>
      <c r="D11" s="3" t="s">
        <v>175</v>
      </c>
      <c r="E11" s="3" t="s">
        <v>176</v>
      </c>
      <c r="F11" s="5">
        <v>45536</v>
      </c>
      <c r="G11" s="3" t="str">
        <f>IF(C11="","",IF(F11="","موظف قائم",IF(YEAR(F11)&gt;='الإعدادات والمستهدفات'!B4,"موظف جديد " &amp; 'الإعدادات والمستهدفات'!B4,"موظف قائم")))</f>
        <v>موظف قائم</v>
      </c>
      <c r="H11" s="7">
        <v>0.78</v>
      </c>
      <c r="I11" s="3" t="str">
        <f>IF(C11="","",IF(OR(H11="",H11=0),"لم يُقيَّم","مُقيَّم"))</f>
        <v>مُقيَّم</v>
      </c>
      <c r="J11" s="3" t="str">
        <f>IF(C11="","",IF(I11="لم يُقيَّم","يحتاج تقييم عاجل",IF(H11&lt;'الإعدادات والمستهدفات'!B5,"احتياج مرتفع جداً",IF(H11&lt;'الإعدادات والمستهدفات'!B6,"احتياج متوسط","احتياج منخفض"))))</f>
        <v>احتياج متوسط</v>
      </c>
      <c r="K11" s="3" t="str">
        <f>IF(C11="","",IF(OR(J11="يحتاج تقييم عاجل",J11="احتياج مرتفع جداً"),"أولوية قصوى (1)",IF(J11="احتياج متوسط","أولوية متوسطة (2)","أولوية عادية (3)")))</f>
        <v>أولوية متوسطة (2)</v>
      </c>
      <c r="L11" s="3" t="e">
        <f>IF(C11="","",COUNTIF('[1]الخطة التدريبية المعتمدة'!E:E,E11)+COUNTIF('[1]الخطة التدريبية المعتمدة'!E:E,"جميع العاملين بالمنشأة"))</f>
        <v>#VALUE!</v>
      </c>
      <c r="M11" s="3" t="e">
        <f>IF(C11="","",COUNTIFS('[2]سجل الحضور والتنفيذ'!E:E,B11,'[2]سجل الحضور والتنفيذ'!H:H,"حاضر"))</f>
        <v>#VALUE!</v>
      </c>
      <c r="N11" s="7" t="e">
        <f>IF(OR(C11="",L11=0),"",M11/L11)</f>
        <v>#VALUE!</v>
      </c>
      <c r="O11" s="3" t="e">
        <f>IF(C11="","",SUMPRODUCT(('[2]سجل الحضور والتنفيذ'!E:E=B11)*('[2]سجل الحضور والتنفيذ'!H:H="حاضر")*('[2]سجل الحضور والتنفيذ'!G:G)))</f>
        <v>#REF!</v>
      </c>
      <c r="P11" s="3" t="str">
        <f ca="1">IF(C11="","",IF(G11&lt;&gt;"موظف جديد " &amp; 'الإعدادات والمستهدفات'!B4,"—",IF(COUNTIFS('[2]سجل الحضور والتنفيذ'!E:E,B11,'[2]سجل الحضور والتنفيذ'!A:A,"PSY-OR-01",'[2]سجل الحضور والتنفيذ'!H:H,"حاضر")&gt;0,"مستوفى",IF(AND(F11&lt;&gt;"",TODAY()&gt;F11+'الإعدادات والمستهدفات'!B9),"متأخر عن المهلة","خلال المهلة"))))</f>
        <v>—</v>
      </c>
    </row>
    <row r="12" spans="1:16" ht="25.5" x14ac:dyDescent="0.2">
      <c r="A12" s="3">
        <f>IF(C12="","",ROW()-3)</f>
        <v>9</v>
      </c>
      <c r="B12" s="3" t="s">
        <v>177</v>
      </c>
      <c r="C12" s="3" t="s">
        <v>178</v>
      </c>
      <c r="D12" s="3" t="s">
        <v>179</v>
      </c>
      <c r="E12" s="3" t="s">
        <v>180</v>
      </c>
      <c r="F12" s="5">
        <v>45275</v>
      </c>
      <c r="G12" s="3" t="str">
        <f>IF(C12="","",IF(F12="","موظف قائم",IF(YEAR(F12)&gt;='الإعدادات والمستهدفات'!B4,"موظف جديد " &amp; 'الإعدادات والمستهدفات'!B4,"موظف قائم")))</f>
        <v>موظف قائم</v>
      </c>
      <c r="H12" s="7">
        <v>0.94</v>
      </c>
      <c r="I12" s="3" t="str">
        <f>IF(C12="","",IF(OR(H12="",H12=0),"لم يُقيَّم","مُقيَّم"))</f>
        <v>مُقيَّم</v>
      </c>
      <c r="J12" s="3" t="str">
        <f>IF(C12="","",IF(I12="لم يُقيَّم","يحتاج تقييم عاجل",IF(H12&lt;'الإعدادات والمستهدفات'!B5,"احتياج مرتفع جداً",IF(H12&lt;'الإعدادات والمستهدفات'!B6,"احتياج متوسط","احتياج منخفض"))))</f>
        <v>احتياج منخفض</v>
      </c>
      <c r="K12" s="3" t="str">
        <f>IF(C12="","",IF(OR(J12="يحتاج تقييم عاجل",J12="احتياج مرتفع جداً"),"أولوية قصوى (1)",IF(J12="احتياج متوسط","أولوية متوسطة (2)","أولوية عادية (3)")))</f>
        <v>أولوية عادية (3)</v>
      </c>
      <c r="L12" s="3" t="e">
        <f>IF(C12="","",COUNTIF('[1]الخطة التدريبية المعتمدة'!E:E,E12)+COUNTIF('[1]الخطة التدريبية المعتمدة'!E:E,"جميع العاملين بالمنشأة"))</f>
        <v>#VALUE!</v>
      </c>
      <c r="M12" s="3" t="e">
        <f>IF(C12="","",COUNTIFS('[2]سجل الحضور والتنفيذ'!E:E,B12,'[2]سجل الحضور والتنفيذ'!H:H,"حاضر"))</f>
        <v>#VALUE!</v>
      </c>
      <c r="N12" s="7" t="e">
        <f>IF(OR(C12="",L12=0),"",M12/L12)</f>
        <v>#VALUE!</v>
      </c>
      <c r="O12" s="3" t="e">
        <f>IF(C12="","",SUMPRODUCT(('[2]سجل الحضور والتنفيذ'!E:E=B12)*('[2]سجل الحضور والتنفيذ'!H:H="حاضر")*('[2]سجل الحضور والتنفيذ'!G:G)))</f>
        <v>#REF!</v>
      </c>
      <c r="P12" s="3" t="str">
        <f ca="1">IF(C12="","",IF(G12&lt;&gt;"موظف جديد " &amp; 'الإعدادات والمستهدفات'!B4,"—",IF(COUNTIFS('[2]سجل الحضور والتنفيذ'!E:E,B12,'[2]سجل الحضور والتنفيذ'!A:A,"PSY-OR-01",'[2]سجل الحضور والتنفيذ'!H:H,"حاضر")&gt;0,"مستوفى",IF(AND(F12&lt;&gt;"",TODAY()&gt;F12+'الإعدادات والمستهدفات'!B9),"متأخر عن المهلة","خلال المهلة"))))</f>
        <v>—</v>
      </c>
    </row>
    <row r="13" spans="1:16" ht="38.25" x14ac:dyDescent="0.2">
      <c r="A13" s="3">
        <f>IF(C13="","",ROW()-3)</f>
        <v>10</v>
      </c>
      <c r="B13" s="3" t="s">
        <v>181</v>
      </c>
      <c r="C13" s="3" t="s">
        <v>182</v>
      </c>
      <c r="D13" s="3" t="s">
        <v>183</v>
      </c>
      <c r="E13" s="3" t="s">
        <v>157</v>
      </c>
      <c r="F13" s="5">
        <v>46054</v>
      </c>
      <c r="G13" s="3" t="str">
        <f>IF(C13="","",IF(F13="","موظف قائم",IF(YEAR(F13)&gt;='الإعدادات والمستهدفات'!B4,"موظف جديد " &amp; 'الإعدادات والمستهدفات'!B4,"موظف قائم")))</f>
        <v>موظف جديد 2026</v>
      </c>
      <c r="H13" s="7"/>
      <c r="I13" s="3" t="str">
        <f>IF(C13="","",IF(OR(H13="",H13=0),"لم يُقيَّم","مُقيَّم"))</f>
        <v>لم يُقيَّم</v>
      </c>
      <c r="J13" s="3" t="str">
        <f>IF(C13="","",IF(I13="لم يُقيَّم","يحتاج تقييم عاجل",IF(H13&lt;'الإعدادات والمستهدفات'!B5,"احتياج مرتفع جداً",IF(H13&lt;'الإعدادات والمستهدفات'!B6,"احتياج متوسط","احتياج منخفض"))))</f>
        <v>يحتاج تقييم عاجل</v>
      </c>
      <c r="K13" s="3" t="str">
        <f>IF(C13="","",IF(OR(J13="يحتاج تقييم عاجل",J13="احتياج مرتفع جداً"),"أولوية قصوى (1)",IF(J13="احتياج متوسط","أولوية متوسطة (2)","أولوية عادية (3)")))</f>
        <v>أولوية قصوى (1)</v>
      </c>
      <c r="L13" s="3" t="e">
        <f>IF(C13="","",COUNTIF('[1]الخطة التدريبية المعتمدة'!E:E,E13)+COUNTIF('[1]الخطة التدريبية المعتمدة'!E:E,"جميع العاملين بالمنشأة"))</f>
        <v>#VALUE!</v>
      </c>
      <c r="M13" s="3" t="e">
        <f>IF(C13="","",COUNTIFS('[2]سجل الحضور والتنفيذ'!E:E,B13,'[2]سجل الحضور والتنفيذ'!H:H,"حاضر"))</f>
        <v>#VALUE!</v>
      </c>
      <c r="N13" s="7" t="e">
        <f>IF(OR(C13="",L13=0),"",M13/L13)</f>
        <v>#VALUE!</v>
      </c>
      <c r="O13" s="3" t="e">
        <f>IF(C13="","",SUMPRODUCT(('[2]سجل الحضور والتنفيذ'!E:E=B13)*('[2]سجل الحضور والتنفيذ'!H:H="حاضر")*('[2]سجل الحضور والتنفيذ'!G:G)))</f>
        <v>#REF!</v>
      </c>
      <c r="P13" s="3" t="e">
        <f ca="1">IF(C13="","",IF(G13&lt;&gt;"موظف جديد " &amp; 'الإعدادات والمستهدفات'!B4,"—",IF(COUNTIFS('[2]سجل الحضور والتنفيذ'!E:E,B13,'[2]سجل الحضور والتنفيذ'!A:A,"PSY-OR-01",'[2]سجل الحضور والتنفيذ'!H:H,"حاضر")&gt;0,"مستوفى",IF(AND(F13&lt;&gt;"",TODAY()&gt;F13+'الإعدادات والمستهدفات'!B9),"متأخر عن المهلة","خلال المهلة"))))</f>
        <v>#VALUE!</v>
      </c>
    </row>
    <row r="14" spans="1:16" x14ac:dyDescent="0.2">
      <c r="A14" s="3" t="str">
        <f>IF(C14="","",ROW()-3)</f>
        <v/>
      </c>
      <c r="B14" s="3"/>
      <c r="C14" s="3"/>
      <c r="D14" s="3"/>
      <c r="E14" s="3"/>
      <c r="F14" s="3"/>
      <c r="G14" s="3" t="str">
        <f>IF(C14="","",IF(F14="","موظف قائم",IF(YEAR(F14)&gt;='الإعدادات والمستهدفات'!B4,"موظف جديد " &amp; 'الإعدادات والمستهدفات'!B4,"موظف قائم")))</f>
        <v/>
      </c>
      <c r="H14" s="7"/>
      <c r="I14" s="3" t="str">
        <f>IF(C14="","",IF(OR(H14="",H14=0),"لم يُقيَّم","مُقيَّم"))</f>
        <v/>
      </c>
      <c r="J14" s="3" t="str">
        <f>IF(C14="","",IF(I14="لم يُقيَّم","يحتاج تقييم عاجل",IF(H14&lt;'الإعدادات والمستهدفات'!B5,"احتياج مرتفع جداً",IF(H14&lt;'الإعدادات والمستهدفات'!B6,"احتياج متوسط","احتياج منخفض"))))</f>
        <v/>
      </c>
      <c r="K14" s="3" t="str">
        <f>IF(C14="","",IF(OR(J14="يحتاج تقييم عاجل",J14="احتياج مرتفع جداً"),"أولوية قصوى (1)",IF(J14="احتياج متوسط","أولوية متوسطة (2)","أولوية عادية (3)")))</f>
        <v/>
      </c>
      <c r="L14" s="3" t="str">
        <f>IF(C14="","",COUNTIF('[1]الخطة التدريبية المعتمدة'!E:E,E14)+COUNTIF('[1]الخطة التدريبية المعتمدة'!E:E,"جميع العاملين بالمنشأة"))</f>
        <v/>
      </c>
      <c r="M14" s="3" t="str">
        <f>IF(C14="","",COUNTIFS('[2]سجل الحضور والتنفيذ'!E:E,B14,'[2]سجل الحضور والتنفيذ'!H:H,"حاضر"))</f>
        <v/>
      </c>
      <c r="N14" s="7" t="str">
        <f>IF(OR(C14="",L14=0),"",M14/L14)</f>
        <v/>
      </c>
      <c r="O14" s="3" t="str">
        <f>IF(C14="","",SUMPRODUCT(('[2]سجل الحضور والتنفيذ'!E:E=B14)*('[2]سجل الحضور والتنفيذ'!H:H="حاضر")*('[2]سجل الحضور والتنفيذ'!G:G)))</f>
        <v/>
      </c>
      <c r="P14" s="3" t="str">
        <f ca="1">IF(C14="","",IF(G14&lt;&gt;"موظف جديد " &amp; 'الإعدادات والمستهدفات'!B4,"—",IF(COUNTIFS('[2]سجل الحضور والتنفيذ'!E:E,B14,'[2]سجل الحضور والتنفيذ'!A:A,"PSY-OR-01",'[2]سجل الحضور والتنفيذ'!H:H,"حاضر")&gt;0,"مستوفى",IF(AND(F14&lt;&gt;"",TODAY()&gt;F14+'الإعدادات والمستهدفات'!B9),"متأخر عن المهلة","خلال المهلة"))))</f>
        <v/>
      </c>
    </row>
    <row r="15" spans="1:16" x14ac:dyDescent="0.2">
      <c r="A15" s="3" t="str">
        <f>IF(C15="","",ROW()-3)</f>
        <v/>
      </c>
      <c r="B15" s="3"/>
      <c r="C15" s="3"/>
      <c r="D15" s="3"/>
      <c r="E15" s="3"/>
      <c r="F15" s="3"/>
      <c r="G15" s="3" t="str">
        <f>IF(C15="","",IF(F15="","موظف قائم",IF(YEAR(F15)&gt;='الإعدادات والمستهدفات'!B4,"موظف جديد " &amp; 'الإعدادات والمستهدفات'!B4,"موظف قائم")))</f>
        <v/>
      </c>
      <c r="H15" s="7"/>
      <c r="I15" s="3" t="str">
        <f>IF(C15="","",IF(OR(H15="",H15=0),"لم يُقيَّم","مُقيَّم"))</f>
        <v/>
      </c>
      <c r="J15" s="3" t="str">
        <f>IF(C15="","",IF(I15="لم يُقيَّم","يحتاج تقييم عاجل",IF(H15&lt;'الإعدادات والمستهدفات'!B5,"احتياج مرتفع جداً",IF(H15&lt;'الإعدادات والمستهدفات'!B6,"احتياج متوسط","احتياج منخفض"))))</f>
        <v/>
      </c>
      <c r="K15" s="3" t="str">
        <f>IF(C15="","",IF(OR(J15="يحتاج تقييم عاجل",J15="احتياج مرتفع جداً"),"أولوية قصوى (1)",IF(J15="احتياج متوسط","أولوية متوسطة (2)","أولوية عادية (3)")))</f>
        <v/>
      </c>
      <c r="L15" s="3" t="str">
        <f>IF(C15="","",COUNTIF('[1]الخطة التدريبية المعتمدة'!E:E,E15)+COUNTIF('[1]الخطة التدريبية المعتمدة'!E:E,"جميع العاملين بالمنشأة"))</f>
        <v/>
      </c>
      <c r="M15" s="3" t="str">
        <f>IF(C15="","",COUNTIFS('[2]سجل الحضور والتنفيذ'!E:E,B15,'[2]سجل الحضور والتنفيذ'!H:H,"حاضر"))</f>
        <v/>
      </c>
      <c r="N15" s="7" t="str">
        <f>IF(OR(C15="",L15=0),"",M15/L15)</f>
        <v/>
      </c>
      <c r="O15" s="3" t="str">
        <f>IF(C15="","",SUMPRODUCT(('[2]سجل الحضور والتنفيذ'!E:E=B15)*('[2]سجل الحضور والتنفيذ'!H:H="حاضر")*('[2]سجل الحضور والتنفيذ'!G:G)))</f>
        <v/>
      </c>
      <c r="P15" s="3" t="str">
        <f ca="1">IF(C15="","",IF(G15&lt;&gt;"موظف جديد " &amp; 'الإعدادات والمستهدفات'!B4,"—",IF(COUNTIFS('[2]سجل الحضور والتنفيذ'!E:E,B15,'[2]سجل الحضور والتنفيذ'!A:A,"PSY-OR-01",'[2]سجل الحضور والتنفيذ'!H:H,"حاضر")&gt;0,"مستوفى",IF(AND(F15&lt;&gt;"",TODAY()&gt;F15+'الإعدادات والمستهدفات'!B9),"متأخر عن المهلة","خلال المهلة"))))</f>
        <v/>
      </c>
    </row>
    <row r="16" spans="1:16" x14ac:dyDescent="0.2">
      <c r="A16" s="3" t="str">
        <f>IF(C16="","",ROW()-3)</f>
        <v/>
      </c>
      <c r="B16" s="3"/>
      <c r="C16" s="3"/>
      <c r="D16" s="3"/>
      <c r="E16" s="3"/>
      <c r="F16" s="3"/>
      <c r="G16" s="3" t="str">
        <f>IF(C16="","",IF(F16="","موظف قائم",IF(YEAR(F16)&gt;='الإعدادات والمستهدفات'!B4,"موظف جديد " &amp; 'الإعدادات والمستهدفات'!B4,"موظف قائم")))</f>
        <v/>
      </c>
      <c r="H16" s="7"/>
      <c r="I16" s="3" t="str">
        <f>IF(C16="","",IF(OR(H16="",H16=0),"لم يُقيَّم","مُقيَّم"))</f>
        <v/>
      </c>
      <c r="J16" s="3" t="str">
        <f>IF(C16="","",IF(I16="لم يُقيَّم","يحتاج تقييم عاجل",IF(H16&lt;'الإعدادات والمستهدفات'!B5,"احتياج مرتفع جداً",IF(H16&lt;'الإعدادات والمستهدفات'!B6,"احتياج متوسط","احتياج منخفض"))))</f>
        <v/>
      </c>
      <c r="K16" s="3" t="str">
        <f>IF(C16="","",IF(OR(J16="يحتاج تقييم عاجل",J16="احتياج مرتفع جداً"),"أولوية قصوى (1)",IF(J16="احتياج متوسط","أولوية متوسطة (2)","أولوية عادية (3)")))</f>
        <v/>
      </c>
      <c r="L16" s="3" t="str">
        <f>IF(C16="","",COUNTIF('[1]الخطة التدريبية المعتمدة'!E:E,E16)+COUNTIF('[1]الخطة التدريبية المعتمدة'!E:E,"جميع العاملين بالمنشأة"))</f>
        <v/>
      </c>
      <c r="M16" s="3" t="str">
        <f>IF(C16="","",COUNTIFS('[2]سجل الحضور والتنفيذ'!E:E,B16,'[2]سجل الحضور والتنفيذ'!H:H,"حاضر"))</f>
        <v/>
      </c>
      <c r="N16" s="7" t="str">
        <f>IF(OR(C16="",L16=0),"",M16/L16)</f>
        <v/>
      </c>
      <c r="O16" s="3" t="str">
        <f>IF(C16="","",SUMPRODUCT(('[2]سجل الحضور والتنفيذ'!E:E=B16)*('[2]سجل الحضور والتنفيذ'!H:H="حاضر")*('[2]سجل الحضور والتنفيذ'!G:G)))</f>
        <v/>
      </c>
      <c r="P16" s="3" t="str">
        <f ca="1">IF(C16="","",IF(G16&lt;&gt;"موظف جديد " &amp; 'الإعدادات والمستهدفات'!B4,"—",IF(COUNTIFS('[2]سجل الحضور والتنفيذ'!E:E,B16,'[2]سجل الحضور والتنفيذ'!A:A,"PSY-OR-01",'[2]سجل الحضور والتنفيذ'!H:H,"حاضر")&gt;0,"مستوفى",IF(AND(F16&lt;&gt;"",TODAY()&gt;F16+'الإعدادات والمستهدفات'!B9),"متأخر عن المهلة","خلال المهلة"))))</f>
        <v/>
      </c>
    </row>
    <row r="17" spans="1:16" x14ac:dyDescent="0.2">
      <c r="A17" s="3" t="str">
        <f>IF(C17="","",ROW()-3)</f>
        <v/>
      </c>
      <c r="B17" s="3"/>
      <c r="C17" s="3"/>
      <c r="D17" s="3"/>
      <c r="E17" s="3"/>
      <c r="F17" s="3"/>
      <c r="G17" s="3" t="str">
        <f>IF(C17="","",IF(F17="","موظف قائم",IF(YEAR(F17)&gt;='الإعدادات والمستهدفات'!B4,"موظف جديد " &amp; 'الإعدادات والمستهدفات'!B4,"موظف قائم")))</f>
        <v/>
      </c>
      <c r="H17" s="7"/>
      <c r="I17" s="3" t="str">
        <f>IF(C17="","",IF(OR(H17="",H17=0),"لم يُقيَّم","مُقيَّم"))</f>
        <v/>
      </c>
      <c r="J17" s="3" t="str">
        <f>IF(C17="","",IF(I17="لم يُقيَّم","يحتاج تقييم عاجل",IF(H17&lt;'الإعدادات والمستهدفات'!B5,"احتياج مرتفع جداً",IF(H17&lt;'الإعدادات والمستهدفات'!B6,"احتياج متوسط","احتياج منخفض"))))</f>
        <v/>
      </c>
      <c r="K17" s="3" t="str">
        <f>IF(C17="","",IF(OR(J17="يحتاج تقييم عاجل",J17="احتياج مرتفع جداً"),"أولوية قصوى (1)",IF(J17="احتياج متوسط","أولوية متوسطة (2)","أولوية عادية (3)")))</f>
        <v/>
      </c>
      <c r="L17" s="3" t="str">
        <f>IF(C17="","",COUNTIF('[1]الخطة التدريبية المعتمدة'!E:E,E17)+COUNTIF('[1]الخطة التدريبية المعتمدة'!E:E,"جميع العاملين بالمنشأة"))</f>
        <v/>
      </c>
      <c r="M17" s="3" t="str">
        <f>IF(C17="","",COUNTIFS('[2]سجل الحضور والتنفيذ'!E:E,B17,'[2]سجل الحضور والتنفيذ'!H:H,"حاضر"))</f>
        <v/>
      </c>
      <c r="N17" s="7" t="str">
        <f>IF(OR(C17="",L17=0),"",M17/L17)</f>
        <v/>
      </c>
      <c r="O17" s="3" t="str">
        <f>IF(C17="","",SUMPRODUCT(('[2]سجل الحضور والتنفيذ'!E:E=B17)*('[2]سجل الحضور والتنفيذ'!H:H="حاضر")*('[2]سجل الحضور والتنفيذ'!G:G)))</f>
        <v/>
      </c>
      <c r="P17" s="3" t="str">
        <f ca="1">IF(C17="","",IF(G17&lt;&gt;"موظف جديد " &amp; 'الإعدادات والمستهدفات'!B4,"—",IF(COUNTIFS('[2]سجل الحضور والتنفيذ'!E:E,B17,'[2]سجل الحضور والتنفيذ'!A:A,"PSY-OR-01",'[2]سجل الحضور والتنفيذ'!H:H,"حاضر")&gt;0,"مستوفى",IF(AND(F17&lt;&gt;"",TODAY()&gt;F17+'الإعدادات والمستهدفات'!B9),"متأخر عن المهلة","خلال المهلة"))))</f>
        <v/>
      </c>
    </row>
    <row r="18" spans="1:16" x14ac:dyDescent="0.2">
      <c r="A18" s="3" t="str">
        <f>IF(C18="","",ROW()-3)</f>
        <v/>
      </c>
      <c r="B18" s="3"/>
      <c r="C18" s="3"/>
      <c r="D18" s="3"/>
      <c r="E18" s="3"/>
      <c r="F18" s="3"/>
      <c r="G18" s="3" t="str">
        <f>IF(C18="","",IF(F18="","موظف قائم",IF(YEAR(F18)&gt;='الإعدادات والمستهدفات'!B4,"موظف جديد " &amp; 'الإعدادات والمستهدفات'!B4,"موظف قائم")))</f>
        <v/>
      </c>
      <c r="H18" s="7"/>
      <c r="I18" s="3" t="str">
        <f>IF(C18="","",IF(OR(H18="",H18=0),"لم يُقيَّم","مُقيَّم"))</f>
        <v/>
      </c>
      <c r="J18" s="3" t="str">
        <f>IF(C18="","",IF(I18="لم يُقيَّم","يحتاج تقييم عاجل",IF(H18&lt;'الإعدادات والمستهدفات'!B5,"احتياج مرتفع جداً",IF(H18&lt;'الإعدادات والمستهدفات'!B6,"احتياج متوسط","احتياج منخفض"))))</f>
        <v/>
      </c>
      <c r="K18" s="3" t="str">
        <f>IF(C18="","",IF(OR(J18="يحتاج تقييم عاجل",J18="احتياج مرتفع جداً"),"أولوية قصوى (1)",IF(J18="احتياج متوسط","أولوية متوسطة (2)","أولوية عادية (3)")))</f>
        <v/>
      </c>
      <c r="L18" s="3" t="str">
        <f>IF(C18="","",COUNTIF('[1]الخطة التدريبية المعتمدة'!E:E,E18)+COUNTIF('[1]الخطة التدريبية المعتمدة'!E:E,"جميع العاملين بالمنشأة"))</f>
        <v/>
      </c>
      <c r="M18" s="3" t="str">
        <f>IF(C18="","",COUNTIFS('[2]سجل الحضور والتنفيذ'!E:E,B18,'[2]سجل الحضور والتنفيذ'!H:H,"حاضر"))</f>
        <v/>
      </c>
      <c r="N18" s="7" t="str">
        <f>IF(OR(C18="",L18=0),"",M18/L18)</f>
        <v/>
      </c>
      <c r="O18" s="3" t="str">
        <f>IF(C18="","",SUMPRODUCT(('[2]سجل الحضور والتنفيذ'!E:E=B18)*('[2]سجل الحضور والتنفيذ'!H:H="حاضر")*('[2]سجل الحضور والتنفيذ'!G:G)))</f>
        <v/>
      </c>
      <c r="P18" s="3" t="str">
        <f ca="1">IF(C18="","",IF(G18&lt;&gt;"موظف جديد " &amp; 'الإعدادات والمستهدفات'!B4,"—",IF(COUNTIFS('[2]سجل الحضور والتنفيذ'!E:E,B18,'[2]سجل الحضور والتنفيذ'!A:A,"PSY-OR-01",'[2]سجل الحضور والتنفيذ'!H:H,"حاضر")&gt;0,"مستوفى",IF(AND(F18&lt;&gt;"",TODAY()&gt;F18+'الإعدادات والمستهدفات'!B9),"متأخر عن المهلة","خلال المهلة"))))</f>
        <v/>
      </c>
    </row>
    <row r="19" spans="1:16" x14ac:dyDescent="0.2">
      <c r="A19" s="3" t="str">
        <f>IF(C19="","",ROW()-3)</f>
        <v/>
      </c>
      <c r="B19" s="3"/>
      <c r="C19" s="3"/>
      <c r="D19" s="3"/>
      <c r="E19" s="3"/>
      <c r="F19" s="3"/>
      <c r="G19" s="3" t="str">
        <f>IF(C19="","",IF(F19="","موظف قائم",IF(YEAR(F19)&gt;='الإعدادات والمستهدفات'!B4,"موظف جديد " &amp; 'الإعدادات والمستهدفات'!B4,"موظف قائم")))</f>
        <v/>
      </c>
      <c r="H19" s="7"/>
      <c r="I19" s="3" t="str">
        <f>IF(C19="","",IF(OR(H19="",H19=0),"لم يُقيَّم","مُقيَّم"))</f>
        <v/>
      </c>
      <c r="J19" s="3" t="str">
        <f>IF(C19="","",IF(I19="لم يُقيَّم","يحتاج تقييم عاجل",IF(H19&lt;'الإعدادات والمستهدفات'!B5,"احتياج مرتفع جداً",IF(H19&lt;'الإعدادات والمستهدفات'!B6,"احتياج متوسط","احتياج منخفض"))))</f>
        <v/>
      </c>
      <c r="K19" s="3" t="str">
        <f>IF(C19="","",IF(OR(J19="يحتاج تقييم عاجل",J19="احتياج مرتفع جداً"),"أولوية قصوى (1)",IF(J19="احتياج متوسط","أولوية متوسطة (2)","أولوية عادية (3)")))</f>
        <v/>
      </c>
      <c r="L19" s="3" t="str">
        <f>IF(C19="","",COUNTIF('[1]الخطة التدريبية المعتمدة'!E:E,E19)+COUNTIF('[1]الخطة التدريبية المعتمدة'!E:E,"جميع العاملين بالمنشأة"))</f>
        <v/>
      </c>
      <c r="M19" s="3" t="str">
        <f>IF(C19="","",COUNTIFS('[2]سجل الحضور والتنفيذ'!E:E,B19,'[2]سجل الحضور والتنفيذ'!H:H,"حاضر"))</f>
        <v/>
      </c>
      <c r="N19" s="7" t="str">
        <f>IF(OR(C19="",L19=0),"",M19/L19)</f>
        <v/>
      </c>
      <c r="O19" s="3" t="str">
        <f>IF(C19="","",SUMPRODUCT(('[2]سجل الحضور والتنفيذ'!E:E=B19)*('[2]سجل الحضور والتنفيذ'!H:H="حاضر")*('[2]سجل الحضور والتنفيذ'!G:G)))</f>
        <v/>
      </c>
      <c r="P19" s="3" t="str">
        <f ca="1">IF(C19="","",IF(G19&lt;&gt;"موظف جديد " &amp; 'الإعدادات والمستهدفات'!B4,"—",IF(COUNTIFS('[2]سجل الحضور والتنفيذ'!E:E,B19,'[2]سجل الحضور والتنفيذ'!A:A,"PSY-OR-01",'[2]سجل الحضور والتنفيذ'!H:H,"حاضر")&gt;0,"مستوفى",IF(AND(F19&lt;&gt;"",TODAY()&gt;F19+'الإعدادات والمستهدفات'!B9),"متأخر عن المهلة","خلال المهلة"))))</f>
        <v/>
      </c>
    </row>
    <row r="20" spans="1:16" x14ac:dyDescent="0.2">
      <c r="A20" s="3" t="str">
        <f>IF(C20="","",ROW()-3)</f>
        <v/>
      </c>
      <c r="B20" s="3"/>
      <c r="C20" s="3"/>
      <c r="D20" s="3"/>
      <c r="E20" s="3"/>
      <c r="F20" s="3"/>
      <c r="G20" s="3" t="str">
        <f>IF(C20="","",IF(F20="","موظف قائم",IF(YEAR(F20)&gt;='الإعدادات والمستهدفات'!B4,"موظف جديد " &amp; 'الإعدادات والمستهدفات'!B4,"موظف قائم")))</f>
        <v/>
      </c>
      <c r="H20" s="7"/>
      <c r="I20" s="3" t="str">
        <f>IF(C20="","",IF(OR(H20="",H20=0),"لم يُقيَّم","مُقيَّم"))</f>
        <v/>
      </c>
      <c r="J20" s="3" t="str">
        <f>IF(C20="","",IF(I20="لم يُقيَّم","يحتاج تقييم عاجل",IF(H20&lt;'الإعدادات والمستهدفات'!B5,"احتياج مرتفع جداً",IF(H20&lt;'الإعدادات والمستهدفات'!B6,"احتياج متوسط","احتياج منخفض"))))</f>
        <v/>
      </c>
      <c r="K20" s="3" t="str">
        <f>IF(C20="","",IF(OR(J20="يحتاج تقييم عاجل",J20="احتياج مرتفع جداً"),"أولوية قصوى (1)",IF(J20="احتياج متوسط","أولوية متوسطة (2)","أولوية عادية (3)")))</f>
        <v/>
      </c>
      <c r="L20" s="3" t="str">
        <f>IF(C20="","",COUNTIF('[1]الخطة التدريبية المعتمدة'!E:E,E20)+COUNTIF('[1]الخطة التدريبية المعتمدة'!E:E,"جميع العاملين بالمنشأة"))</f>
        <v/>
      </c>
      <c r="M20" s="3" t="str">
        <f>IF(C20="","",COUNTIFS('[2]سجل الحضور والتنفيذ'!E:E,B20,'[2]سجل الحضور والتنفيذ'!H:H,"حاضر"))</f>
        <v/>
      </c>
      <c r="N20" s="7" t="str">
        <f>IF(OR(C20="",L20=0),"",M20/L20)</f>
        <v/>
      </c>
      <c r="O20" s="3" t="str">
        <f>IF(C20="","",SUMPRODUCT(('[2]سجل الحضور والتنفيذ'!E:E=B20)*('[2]سجل الحضور والتنفيذ'!H:H="حاضر")*('[2]سجل الحضور والتنفيذ'!G:G)))</f>
        <v/>
      </c>
      <c r="P20" s="3" t="str">
        <f ca="1">IF(C20="","",IF(G20&lt;&gt;"موظف جديد " &amp; 'الإعدادات والمستهدفات'!B4,"—",IF(COUNTIFS('[2]سجل الحضور والتنفيذ'!E:E,B20,'[2]سجل الحضور والتنفيذ'!A:A,"PSY-OR-01",'[2]سجل الحضور والتنفيذ'!H:H,"حاضر")&gt;0,"مستوفى",IF(AND(F20&lt;&gt;"",TODAY()&gt;F20+'الإعدادات والمستهدفات'!B9),"متأخر عن المهلة","خلال المهلة"))))</f>
        <v/>
      </c>
    </row>
    <row r="21" spans="1:16" x14ac:dyDescent="0.2">
      <c r="A21" s="3" t="str">
        <f>IF(C21="","",ROW()-3)</f>
        <v/>
      </c>
      <c r="B21" s="3"/>
      <c r="C21" s="3"/>
      <c r="D21" s="3"/>
      <c r="E21" s="3"/>
      <c r="F21" s="3"/>
      <c r="G21" s="3" t="str">
        <f>IF(C21="","",IF(F21="","موظف قائم",IF(YEAR(F21)&gt;='الإعدادات والمستهدفات'!B4,"موظف جديد " &amp; 'الإعدادات والمستهدفات'!B4,"موظف قائم")))</f>
        <v/>
      </c>
      <c r="H21" s="7"/>
      <c r="I21" s="3" t="str">
        <f>IF(C21="","",IF(OR(H21="",H21=0),"لم يُقيَّم","مُقيَّم"))</f>
        <v/>
      </c>
      <c r="J21" s="3" t="str">
        <f>IF(C21="","",IF(I21="لم يُقيَّم","يحتاج تقييم عاجل",IF(H21&lt;'الإعدادات والمستهدفات'!B5,"احتياج مرتفع جداً",IF(H21&lt;'الإعدادات والمستهدفات'!B6,"احتياج متوسط","احتياج منخفض"))))</f>
        <v/>
      </c>
      <c r="K21" s="3" t="str">
        <f>IF(C21="","",IF(OR(J21="يحتاج تقييم عاجل",J21="احتياج مرتفع جداً"),"أولوية قصوى (1)",IF(J21="احتياج متوسط","أولوية متوسطة (2)","أولوية عادية (3)")))</f>
        <v/>
      </c>
      <c r="L21" s="3" t="str">
        <f>IF(C21="","",COUNTIF('[1]الخطة التدريبية المعتمدة'!E:E,E21)+COUNTIF('[1]الخطة التدريبية المعتمدة'!E:E,"جميع العاملين بالمنشأة"))</f>
        <v/>
      </c>
      <c r="M21" s="3" t="str">
        <f>IF(C21="","",COUNTIFS('[2]سجل الحضور والتنفيذ'!E:E,B21,'[2]سجل الحضور والتنفيذ'!H:H,"حاضر"))</f>
        <v/>
      </c>
      <c r="N21" s="7" t="str">
        <f>IF(OR(C21="",L21=0),"",M21/L21)</f>
        <v/>
      </c>
      <c r="O21" s="3" t="str">
        <f>IF(C21="","",SUMPRODUCT(('[2]سجل الحضور والتنفيذ'!E:E=B21)*('[2]سجل الحضور والتنفيذ'!H:H="حاضر")*('[2]سجل الحضور والتنفيذ'!G:G)))</f>
        <v/>
      </c>
      <c r="P21" s="3" t="str">
        <f ca="1">IF(C21="","",IF(G21&lt;&gt;"موظف جديد " &amp; 'الإعدادات والمستهدفات'!B4,"—",IF(COUNTIFS('[2]سجل الحضور والتنفيذ'!E:E,B21,'[2]سجل الحضور والتنفيذ'!A:A,"PSY-OR-01",'[2]سجل الحضور والتنفيذ'!H:H,"حاضر")&gt;0,"مستوفى",IF(AND(F21&lt;&gt;"",TODAY()&gt;F21+'الإعدادات والمستهدفات'!B9),"متأخر عن المهلة","خلال المهلة"))))</f>
        <v/>
      </c>
    </row>
    <row r="22" spans="1:16" x14ac:dyDescent="0.2">
      <c r="A22" s="3" t="str">
        <f>IF(C22="","",ROW()-3)</f>
        <v/>
      </c>
      <c r="B22" s="3"/>
      <c r="C22" s="3"/>
      <c r="D22" s="3"/>
      <c r="E22" s="3"/>
      <c r="F22" s="3"/>
      <c r="G22" s="3" t="str">
        <f>IF(C22="","",IF(F22="","موظف قائم",IF(YEAR(F22)&gt;='الإعدادات والمستهدفات'!B4,"موظف جديد " &amp; 'الإعدادات والمستهدفات'!B4,"موظف قائم")))</f>
        <v/>
      </c>
      <c r="H22" s="7"/>
      <c r="I22" s="3" t="str">
        <f>IF(C22="","",IF(OR(H22="",H22=0),"لم يُقيَّم","مُقيَّم"))</f>
        <v/>
      </c>
      <c r="J22" s="3" t="str">
        <f>IF(C22="","",IF(I22="لم يُقيَّم","يحتاج تقييم عاجل",IF(H22&lt;'الإعدادات والمستهدفات'!B5,"احتياج مرتفع جداً",IF(H22&lt;'الإعدادات والمستهدفات'!B6,"احتياج متوسط","احتياج منخفض"))))</f>
        <v/>
      </c>
      <c r="K22" s="3" t="str">
        <f>IF(C22="","",IF(OR(J22="يحتاج تقييم عاجل",J22="احتياج مرتفع جداً"),"أولوية قصوى (1)",IF(J22="احتياج متوسط","أولوية متوسطة (2)","أولوية عادية (3)")))</f>
        <v/>
      </c>
      <c r="L22" s="3" t="str">
        <f>IF(C22="","",COUNTIF('[1]الخطة التدريبية المعتمدة'!E:E,E22)+COUNTIF('[1]الخطة التدريبية المعتمدة'!E:E,"جميع العاملين بالمنشأة"))</f>
        <v/>
      </c>
      <c r="M22" s="3" t="str">
        <f>IF(C22="","",COUNTIFS('[2]سجل الحضور والتنفيذ'!E:E,B22,'[2]سجل الحضور والتنفيذ'!H:H,"حاضر"))</f>
        <v/>
      </c>
      <c r="N22" s="7" t="str">
        <f>IF(OR(C22="",L22=0),"",M22/L22)</f>
        <v/>
      </c>
      <c r="O22" s="3" t="str">
        <f>IF(C22="","",SUMPRODUCT(('[2]سجل الحضور والتنفيذ'!E:E=B22)*('[2]سجل الحضور والتنفيذ'!H:H="حاضر")*('[2]سجل الحضور والتنفيذ'!G:G)))</f>
        <v/>
      </c>
      <c r="P22" s="3" t="str">
        <f ca="1">IF(C22="","",IF(G22&lt;&gt;"موظف جديد " &amp; 'الإعدادات والمستهدفات'!B4,"—",IF(COUNTIFS('[2]سجل الحضور والتنفيذ'!E:E,B22,'[2]سجل الحضور والتنفيذ'!A:A,"PSY-OR-01",'[2]سجل الحضور والتنفيذ'!H:H,"حاضر")&gt;0,"مستوفى",IF(AND(F22&lt;&gt;"",TODAY()&gt;F22+'الإعدادات والمستهدفات'!B9),"متأخر عن المهلة","خلال المهلة"))))</f>
        <v/>
      </c>
    </row>
    <row r="23" spans="1:16" x14ac:dyDescent="0.2">
      <c r="A23" s="3" t="str">
        <f>IF(C23="","",ROW()-3)</f>
        <v/>
      </c>
      <c r="B23" s="3"/>
      <c r="C23" s="3"/>
      <c r="D23" s="3"/>
      <c r="E23" s="3"/>
      <c r="F23" s="3"/>
      <c r="G23" s="3" t="str">
        <f>IF(C23="","",IF(F23="","موظف قائم",IF(YEAR(F23)&gt;='الإعدادات والمستهدفات'!B4,"موظف جديد " &amp; 'الإعدادات والمستهدفات'!B4,"موظف قائم")))</f>
        <v/>
      </c>
      <c r="H23" s="7"/>
      <c r="I23" s="3" t="str">
        <f>IF(C23="","",IF(OR(H23="",H23=0),"لم يُقيَّم","مُقيَّم"))</f>
        <v/>
      </c>
      <c r="J23" s="3" t="str">
        <f>IF(C23="","",IF(I23="لم يُقيَّم","يحتاج تقييم عاجل",IF(H23&lt;'الإعدادات والمستهدفات'!B5,"احتياج مرتفع جداً",IF(H23&lt;'الإعدادات والمستهدفات'!B6,"احتياج متوسط","احتياج منخفض"))))</f>
        <v/>
      </c>
      <c r="K23" s="3" t="str">
        <f>IF(C23="","",IF(OR(J23="يحتاج تقييم عاجل",J23="احتياج مرتفع جداً"),"أولوية قصوى (1)",IF(J23="احتياج متوسط","أولوية متوسطة (2)","أولوية عادية (3)")))</f>
        <v/>
      </c>
      <c r="L23" s="3" t="str">
        <f>IF(C23="","",COUNTIF('[1]الخطة التدريبية المعتمدة'!E:E,E23)+COUNTIF('[1]الخطة التدريبية المعتمدة'!E:E,"جميع العاملين بالمنشأة"))</f>
        <v/>
      </c>
      <c r="M23" s="3" t="str">
        <f>IF(C23="","",COUNTIFS('[2]سجل الحضور والتنفيذ'!E:E,B23,'[2]سجل الحضور والتنفيذ'!H:H,"حاضر"))</f>
        <v/>
      </c>
      <c r="N23" s="7" t="str">
        <f>IF(OR(C23="",L23=0),"",M23/L23)</f>
        <v/>
      </c>
      <c r="O23" s="3" t="str">
        <f>IF(C23="","",SUMPRODUCT(('[2]سجل الحضور والتنفيذ'!E:E=B23)*('[2]سجل الحضور والتنفيذ'!H:H="حاضر")*('[2]سجل الحضور والتنفيذ'!G:G)))</f>
        <v/>
      </c>
      <c r="P23" s="3" t="str">
        <f ca="1">IF(C23="","",IF(G23&lt;&gt;"موظف جديد " &amp; 'الإعدادات والمستهدفات'!B4,"—",IF(COUNTIFS('[2]سجل الحضور والتنفيذ'!E:E,B23,'[2]سجل الحضور والتنفيذ'!A:A,"PSY-OR-01",'[2]سجل الحضور والتنفيذ'!H:H,"حاضر")&gt;0,"مستوفى",IF(AND(F23&lt;&gt;"",TODAY()&gt;F23+'الإعدادات والمستهدفات'!B9),"متأخر عن المهلة","خلال المهلة"))))</f>
        <v/>
      </c>
    </row>
    <row r="24" spans="1:16" x14ac:dyDescent="0.2">
      <c r="A24" s="3" t="str">
        <f>IF(C24="","",ROW()-3)</f>
        <v/>
      </c>
      <c r="B24" s="3"/>
      <c r="C24" s="3"/>
      <c r="D24" s="3"/>
      <c r="E24" s="3"/>
      <c r="F24" s="3"/>
      <c r="G24" s="3" t="str">
        <f>IF(C24="","",IF(F24="","موظف قائم",IF(YEAR(F24)&gt;='الإعدادات والمستهدفات'!B4,"موظف جديد " &amp; 'الإعدادات والمستهدفات'!B4,"موظف قائم")))</f>
        <v/>
      </c>
      <c r="H24" s="7"/>
      <c r="I24" s="3" t="str">
        <f>IF(C24="","",IF(OR(H24="",H24=0),"لم يُقيَّم","مُقيَّم"))</f>
        <v/>
      </c>
      <c r="J24" s="3" t="str">
        <f>IF(C24="","",IF(I24="لم يُقيَّم","يحتاج تقييم عاجل",IF(H24&lt;'الإعدادات والمستهدفات'!B5,"احتياج مرتفع جداً",IF(H24&lt;'الإعدادات والمستهدفات'!B6,"احتياج متوسط","احتياج منخفض"))))</f>
        <v/>
      </c>
      <c r="K24" s="3" t="str">
        <f>IF(C24="","",IF(OR(J24="يحتاج تقييم عاجل",J24="احتياج مرتفع جداً"),"أولوية قصوى (1)",IF(J24="احتياج متوسط","أولوية متوسطة (2)","أولوية عادية (3)")))</f>
        <v/>
      </c>
      <c r="L24" s="3" t="str">
        <f>IF(C24="","",COUNTIF('[1]الخطة التدريبية المعتمدة'!E:E,E24)+COUNTIF('[1]الخطة التدريبية المعتمدة'!E:E,"جميع العاملين بالمنشأة"))</f>
        <v/>
      </c>
      <c r="M24" s="3" t="str">
        <f>IF(C24="","",COUNTIFS('[2]سجل الحضور والتنفيذ'!E:E,B24,'[2]سجل الحضور والتنفيذ'!H:H,"حاضر"))</f>
        <v/>
      </c>
      <c r="N24" s="7" t="str">
        <f>IF(OR(C24="",L24=0),"",M24/L24)</f>
        <v/>
      </c>
      <c r="O24" s="3" t="str">
        <f>IF(C24="","",SUMPRODUCT(('[2]سجل الحضور والتنفيذ'!E:E=B24)*('[2]سجل الحضور والتنفيذ'!H:H="حاضر")*('[2]سجل الحضور والتنفيذ'!G:G)))</f>
        <v/>
      </c>
      <c r="P24" s="3" t="str">
        <f ca="1">IF(C24="","",IF(G24&lt;&gt;"موظف جديد " &amp; 'الإعدادات والمستهدفات'!B4,"—",IF(COUNTIFS('[2]سجل الحضور والتنفيذ'!E:E,B24,'[2]سجل الحضور والتنفيذ'!A:A,"PSY-OR-01",'[2]سجل الحضور والتنفيذ'!H:H,"حاضر")&gt;0,"مستوفى",IF(AND(F24&lt;&gt;"",TODAY()&gt;F24+'الإعدادات والمستهدفات'!B9),"متأخر عن المهلة","خلال المهلة"))))</f>
        <v/>
      </c>
    </row>
    <row r="25" spans="1:16" x14ac:dyDescent="0.2">
      <c r="A25" s="3" t="str">
        <f>IF(C25="","",ROW()-3)</f>
        <v/>
      </c>
      <c r="B25" s="3"/>
      <c r="C25" s="3"/>
      <c r="D25" s="3"/>
      <c r="E25" s="3"/>
      <c r="F25" s="3"/>
      <c r="G25" s="3" t="str">
        <f>IF(C25="","",IF(F25="","موظف قائم",IF(YEAR(F25)&gt;='الإعدادات والمستهدفات'!B4,"موظف جديد " &amp; 'الإعدادات والمستهدفات'!B4,"موظف قائم")))</f>
        <v/>
      </c>
      <c r="H25" s="7"/>
      <c r="I25" s="3" t="str">
        <f>IF(C25="","",IF(OR(H25="",H25=0),"لم يُقيَّم","مُقيَّم"))</f>
        <v/>
      </c>
      <c r="J25" s="3" t="str">
        <f>IF(C25="","",IF(I25="لم يُقيَّم","يحتاج تقييم عاجل",IF(H25&lt;'الإعدادات والمستهدفات'!B5,"احتياج مرتفع جداً",IF(H25&lt;'الإعدادات والمستهدفات'!B6,"احتياج متوسط","احتياج منخفض"))))</f>
        <v/>
      </c>
      <c r="K25" s="3" t="str">
        <f>IF(C25="","",IF(OR(J25="يحتاج تقييم عاجل",J25="احتياج مرتفع جداً"),"أولوية قصوى (1)",IF(J25="احتياج متوسط","أولوية متوسطة (2)","أولوية عادية (3)")))</f>
        <v/>
      </c>
      <c r="L25" s="3" t="str">
        <f>IF(C25="","",COUNTIF('[1]الخطة التدريبية المعتمدة'!E:E,E25)+COUNTIF('[1]الخطة التدريبية المعتمدة'!E:E,"جميع العاملين بالمنشأة"))</f>
        <v/>
      </c>
      <c r="M25" s="3" t="str">
        <f>IF(C25="","",COUNTIFS('[2]سجل الحضور والتنفيذ'!E:E,B25,'[2]سجل الحضور والتنفيذ'!H:H,"حاضر"))</f>
        <v/>
      </c>
      <c r="N25" s="7" t="str">
        <f>IF(OR(C25="",L25=0),"",M25/L25)</f>
        <v/>
      </c>
      <c r="O25" s="3" t="str">
        <f>IF(C25="","",SUMPRODUCT(('[2]سجل الحضور والتنفيذ'!E:E=B25)*('[2]سجل الحضور والتنفيذ'!H:H="حاضر")*('[2]سجل الحضور والتنفيذ'!G:G)))</f>
        <v/>
      </c>
      <c r="P25" s="3" t="str">
        <f ca="1">IF(C25="","",IF(G25&lt;&gt;"موظف جديد " &amp; 'الإعدادات والمستهدفات'!B4,"—",IF(COUNTIFS('[2]سجل الحضور والتنفيذ'!E:E,B25,'[2]سجل الحضور والتنفيذ'!A:A,"PSY-OR-01",'[2]سجل الحضور والتنفيذ'!H:H,"حاضر")&gt;0,"مستوفى",IF(AND(F25&lt;&gt;"",TODAY()&gt;F25+'الإعدادات والمستهدفات'!B9),"متأخر عن المهلة","خلال المهلة"))))</f>
        <v/>
      </c>
    </row>
    <row r="26" spans="1:16" x14ac:dyDescent="0.2">
      <c r="A26" s="3" t="str">
        <f>IF(C26="","",ROW()-3)</f>
        <v/>
      </c>
      <c r="B26" s="3"/>
      <c r="C26" s="3"/>
      <c r="D26" s="3"/>
      <c r="E26" s="3"/>
      <c r="F26" s="3"/>
      <c r="G26" s="3" t="str">
        <f>IF(C26="","",IF(F26="","موظف قائم",IF(YEAR(F26)&gt;='الإعدادات والمستهدفات'!B4,"موظف جديد " &amp; 'الإعدادات والمستهدفات'!B4,"موظف قائم")))</f>
        <v/>
      </c>
      <c r="H26" s="7"/>
      <c r="I26" s="3" t="str">
        <f>IF(C26="","",IF(OR(H26="",H26=0),"لم يُقيَّم","مُقيَّم"))</f>
        <v/>
      </c>
      <c r="J26" s="3" t="str">
        <f>IF(C26="","",IF(I26="لم يُقيَّم","يحتاج تقييم عاجل",IF(H26&lt;'الإعدادات والمستهدفات'!B5,"احتياج مرتفع جداً",IF(H26&lt;'الإعدادات والمستهدفات'!B6,"احتياج متوسط","احتياج منخفض"))))</f>
        <v/>
      </c>
      <c r="K26" s="3" t="str">
        <f>IF(C26="","",IF(OR(J26="يحتاج تقييم عاجل",J26="احتياج مرتفع جداً"),"أولوية قصوى (1)",IF(J26="احتياج متوسط","أولوية متوسطة (2)","أولوية عادية (3)")))</f>
        <v/>
      </c>
      <c r="L26" s="3" t="str">
        <f>IF(C26="","",COUNTIF('[1]الخطة التدريبية المعتمدة'!E:E,E26)+COUNTIF('[1]الخطة التدريبية المعتمدة'!E:E,"جميع العاملين بالمنشأة"))</f>
        <v/>
      </c>
      <c r="M26" s="3" t="str">
        <f>IF(C26="","",COUNTIFS('[2]سجل الحضور والتنفيذ'!E:E,B26,'[2]سجل الحضور والتنفيذ'!H:H,"حاضر"))</f>
        <v/>
      </c>
      <c r="N26" s="7" t="str">
        <f>IF(OR(C26="",L26=0),"",M26/L26)</f>
        <v/>
      </c>
      <c r="O26" s="3" t="str">
        <f>IF(C26="","",SUMPRODUCT(('[2]سجل الحضور والتنفيذ'!E:E=B26)*('[2]سجل الحضور والتنفيذ'!H:H="حاضر")*('[2]سجل الحضور والتنفيذ'!G:G)))</f>
        <v/>
      </c>
      <c r="P26" s="3" t="str">
        <f ca="1">IF(C26="","",IF(G26&lt;&gt;"موظف جديد " &amp; 'الإعدادات والمستهدفات'!B4,"—",IF(COUNTIFS('[2]سجل الحضور والتنفيذ'!E:E,B26,'[2]سجل الحضور والتنفيذ'!A:A,"PSY-OR-01",'[2]سجل الحضور والتنفيذ'!H:H,"حاضر")&gt;0,"مستوفى",IF(AND(F26&lt;&gt;"",TODAY()&gt;F26+'الإعدادات والمستهدفات'!B9),"متأخر عن المهلة","خلال المهلة"))))</f>
        <v/>
      </c>
    </row>
    <row r="27" spans="1:16" x14ac:dyDescent="0.2">
      <c r="A27" s="3" t="str">
        <f>IF(C27="","",ROW()-3)</f>
        <v/>
      </c>
      <c r="B27" s="3"/>
      <c r="C27" s="3"/>
      <c r="D27" s="3"/>
      <c r="E27" s="3"/>
      <c r="F27" s="3"/>
      <c r="G27" s="3" t="str">
        <f>IF(C27="","",IF(F27="","موظف قائم",IF(YEAR(F27)&gt;='الإعدادات والمستهدفات'!B4,"موظف جديد " &amp; 'الإعدادات والمستهدفات'!B4,"موظف قائم")))</f>
        <v/>
      </c>
      <c r="H27" s="7"/>
      <c r="I27" s="3" t="str">
        <f>IF(C27="","",IF(OR(H27="",H27=0),"لم يُقيَّم","مُقيَّم"))</f>
        <v/>
      </c>
      <c r="J27" s="3" t="str">
        <f>IF(C27="","",IF(I27="لم يُقيَّم","يحتاج تقييم عاجل",IF(H27&lt;'الإعدادات والمستهدفات'!B5,"احتياج مرتفع جداً",IF(H27&lt;'الإعدادات والمستهدفات'!B6,"احتياج متوسط","احتياج منخفض"))))</f>
        <v/>
      </c>
      <c r="K27" s="3" t="str">
        <f>IF(C27="","",IF(OR(J27="يحتاج تقييم عاجل",J27="احتياج مرتفع جداً"),"أولوية قصوى (1)",IF(J27="احتياج متوسط","أولوية متوسطة (2)","أولوية عادية (3)")))</f>
        <v/>
      </c>
      <c r="L27" s="3" t="str">
        <f>IF(C27="","",COUNTIF('[1]الخطة التدريبية المعتمدة'!E:E,E27)+COUNTIF('[1]الخطة التدريبية المعتمدة'!E:E,"جميع العاملين بالمنشأة"))</f>
        <v/>
      </c>
      <c r="M27" s="3" t="str">
        <f>IF(C27="","",COUNTIFS('[2]سجل الحضور والتنفيذ'!E:E,B27,'[2]سجل الحضور والتنفيذ'!H:H,"حاضر"))</f>
        <v/>
      </c>
      <c r="N27" s="7" t="str">
        <f>IF(OR(C27="",L27=0),"",M27/L27)</f>
        <v/>
      </c>
      <c r="O27" s="3" t="str">
        <f>IF(C27="","",SUMPRODUCT(('[2]سجل الحضور والتنفيذ'!E:E=B27)*('[2]سجل الحضور والتنفيذ'!H:H="حاضر")*('[2]سجل الحضور والتنفيذ'!G:G)))</f>
        <v/>
      </c>
      <c r="P27" s="3" t="str">
        <f ca="1">IF(C27="","",IF(G27&lt;&gt;"موظف جديد " &amp; 'الإعدادات والمستهدفات'!B4,"—",IF(COUNTIFS('[2]سجل الحضور والتنفيذ'!E:E,B27,'[2]سجل الحضور والتنفيذ'!A:A,"PSY-OR-01",'[2]سجل الحضور والتنفيذ'!H:H,"حاضر")&gt;0,"مستوفى",IF(AND(F27&lt;&gt;"",TODAY()&gt;F27+'الإعدادات والمستهدفات'!B9),"متأخر عن المهلة","خلال المهلة"))))</f>
        <v/>
      </c>
    </row>
    <row r="28" spans="1:16" x14ac:dyDescent="0.2">
      <c r="A28" s="3" t="str">
        <f>IF(C28="","",ROW()-3)</f>
        <v/>
      </c>
      <c r="B28" s="3"/>
      <c r="C28" s="3"/>
      <c r="D28" s="3"/>
      <c r="E28" s="3"/>
      <c r="F28" s="3"/>
      <c r="G28" s="3" t="str">
        <f>IF(C28="","",IF(F28="","موظف قائم",IF(YEAR(F28)&gt;='الإعدادات والمستهدفات'!B4,"موظف جديد " &amp; 'الإعدادات والمستهدفات'!B4,"موظف قائم")))</f>
        <v/>
      </c>
      <c r="H28" s="7"/>
      <c r="I28" s="3" t="str">
        <f>IF(C28="","",IF(OR(H28="",H28=0),"لم يُقيَّم","مُقيَّم"))</f>
        <v/>
      </c>
      <c r="J28" s="3" t="str">
        <f>IF(C28="","",IF(I28="لم يُقيَّم","يحتاج تقييم عاجل",IF(H28&lt;'الإعدادات والمستهدفات'!B5,"احتياج مرتفع جداً",IF(H28&lt;'الإعدادات والمستهدفات'!B6,"احتياج متوسط","احتياج منخفض"))))</f>
        <v/>
      </c>
      <c r="K28" s="3" t="str">
        <f>IF(C28="","",IF(OR(J28="يحتاج تقييم عاجل",J28="احتياج مرتفع جداً"),"أولوية قصوى (1)",IF(J28="احتياج متوسط","أولوية متوسطة (2)","أولوية عادية (3)")))</f>
        <v/>
      </c>
      <c r="L28" s="3" t="str">
        <f>IF(C28="","",COUNTIF('[1]الخطة التدريبية المعتمدة'!E:E,E28)+COUNTIF('[1]الخطة التدريبية المعتمدة'!E:E,"جميع العاملين بالمنشأة"))</f>
        <v/>
      </c>
      <c r="M28" s="3" t="str">
        <f>IF(C28="","",COUNTIFS('[2]سجل الحضور والتنفيذ'!E:E,B28,'[2]سجل الحضور والتنفيذ'!H:H,"حاضر"))</f>
        <v/>
      </c>
      <c r="N28" s="7" t="str">
        <f>IF(OR(C28="",L28=0),"",M28/L28)</f>
        <v/>
      </c>
      <c r="O28" s="3" t="str">
        <f>IF(C28="","",SUMPRODUCT(('[2]سجل الحضور والتنفيذ'!E:E=B28)*('[2]سجل الحضور والتنفيذ'!H:H="حاضر")*('[2]سجل الحضور والتنفيذ'!G:G)))</f>
        <v/>
      </c>
      <c r="P28" s="3" t="str">
        <f ca="1">IF(C28="","",IF(G28&lt;&gt;"موظف جديد " &amp; 'الإعدادات والمستهدفات'!B4,"—",IF(COUNTIFS('[2]سجل الحضور والتنفيذ'!E:E,B28,'[2]سجل الحضور والتنفيذ'!A:A,"PSY-OR-01",'[2]سجل الحضور والتنفيذ'!H:H,"حاضر")&gt;0,"مستوفى",IF(AND(F28&lt;&gt;"",TODAY()&gt;F28+'الإعدادات والمستهدفات'!B9),"متأخر عن المهلة","خلال المهلة"))))</f>
        <v/>
      </c>
    </row>
    <row r="29" spans="1:16" x14ac:dyDescent="0.2">
      <c r="A29" s="3" t="str">
        <f>IF(C29="","",ROW()-3)</f>
        <v/>
      </c>
      <c r="B29" s="3"/>
      <c r="C29" s="3"/>
      <c r="D29" s="3"/>
      <c r="E29" s="3"/>
      <c r="F29" s="3"/>
      <c r="G29" s="3" t="str">
        <f>IF(C29="","",IF(F29="","موظف قائم",IF(YEAR(F29)&gt;='الإعدادات والمستهدفات'!B4,"موظف جديد " &amp; 'الإعدادات والمستهدفات'!B4,"موظف قائم")))</f>
        <v/>
      </c>
      <c r="H29" s="7"/>
      <c r="I29" s="3" t="str">
        <f>IF(C29="","",IF(OR(H29="",H29=0),"لم يُقيَّم","مُقيَّم"))</f>
        <v/>
      </c>
      <c r="J29" s="3" t="str">
        <f>IF(C29="","",IF(I29="لم يُقيَّم","يحتاج تقييم عاجل",IF(H29&lt;'الإعدادات والمستهدفات'!B5,"احتياج مرتفع جداً",IF(H29&lt;'الإعدادات والمستهدفات'!B6,"احتياج متوسط","احتياج منخفض"))))</f>
        <v/>
      </c>
      <c r="K29" s="3" t="str">
        <f>IF(C29="","",IF(OR(J29="يحتاج تقييم عاجل",J29="احتياج مرتفع جداً"),"أولوية قصوى (1)",IF(J29="احتياج متوسط","أولوية متوسطة (2)","أولوية عادية (3)")))</f>
        <v/>
      </c>
      <c r="L29" s="3" t="str">
        <f>IF(C29="","",COUNTIF('[1]الخطة التدريبية المعتمدة'!E:E,E29)+COUNTIF('[1]الخطة التدريبية المعتمدة'!E:E,"جميع العاملين بالمنشأة"))</f>
        <v/>
      </c>
      <c r="M29" s="3" t="str">
        <f>IF(C29="","",COUNTIFS('[2]سجل الحضور والتنفيذ'!E:E,B29,'[2]سجل الحضور والتنفيذ'!H:H,"حاضر"))</f>
        <v/>
      </c>
      <c r="N29" s="7" t="str">
        <f>IF(OR(C29="",L29=0),"",M29/L29)</f>
        <v/>
      </c>
      <c r="O29" s="3" t="str">
        <f>IF(C29="","",SUMPRODUCT(('[2]سجل الحضور والتنفيذ'!E:E=B29)*('[2]سجل الحضور والتنفيذ'!H:H="حاضر")*('[2]سجل الحضور والتنفيذ'!G:G)))</f>
        <v/>
      </c>
      <c r="P29" s="3" t="str">
        <f ca="1">IF(C29="","",IF(G29&lt;&gt;"موظف جديد " &amp; 'الإعدادات والمستهدفات'!B4,"—",IF(COUNTIFS('[2]سجل الحضور والتنفيذ'!E:E,B29,'[2]سجل الحضور والتنفيذ'!A:A,"PSY-OR-01",'[2]سجل الحضور والتنفيذ'!H:H,"حاضر")&gt;0,"مستوفى",IF(AND(F29&lt;&gt;"",TODAY()&gt;F29+'الإعدادات والمستهدفات'!B9),"متأخر عن المهلة","خلال المهلة"))))</f>
        <v/>
      </c>
    </row>
    <row r="30" spans="1:16" x14ac:dyDescent="0.2">
      <c r="A30" s="3" t="str">
        <f>IF(C30="","",ROW()-3)</f>
        <v/>
      </c>
      <c r="B30" s="3"/>
      <c r="C30" s="3"/>
      <c r="D30" s="3"/>
      <c r="E30" s="3"/>
      <c r="F30" s="3"/>
      <c r="G30" s="3" t="str">
        <f>IF(C30="","",IF(F30="","موظف قائم",IF(YEAR(F30)&gt;='الإعدادات والمستهدفات'!B4,"موظف جديد " &amp; 'الإعدادات والمستهدفات'!B4,"موظف قائم")))</f>
        <v/>
      </c>
      <c r="H30" s="7"/>
      <c r="I30" s="3" t="str">
        <f>IF(C30="","",IF(OR(H30="",H30=0),"لم يُقيَّم","مُقيَّم"))</f>
        <v/>
      </c>
      <c r="J30" s="3" t="str">
        <f>IF(C30="","",IF(I30="لم يُقيَّم","يحتاج تقييم عاجل",IF(H30&lt;'الإعدادات والمستهدفات'!B5,"احتياج مرتفع جداً",IF(H30&lt;'الإعدادات والمستهدفات'!B6,"احتياج متوسط","احتياج منخفض"))))</f>
        <v/>
      </c>
      <c r="K30" s="3" t="str">
        <f>IF(C30="","",IF(OR(J30="يحتاج تقييم عاجل",J30="احتياج مرتفع جداً"),"أولوية قصوى (1)",IF(J30="احتياج متوسط","أولوية متوسطة (2)","أولوية عادية (3)")))</f>
        <v/>
      </c>
      <c r="L30" s="3" t="str">
        <f>IF(C30="","",COUNTIF('[1]الخطة التدريبية المعتمدة'!E:E,E30)+COUNTIF('[1]الخطة التدريبية المعتمدة'!E:E,"جميع العاملين بالمنشأة"))</f>
        <v/>
      </c>
      <c r="M30" s="3" t="str">
        <f>IF(C30="","",COUNTIFS('[2]سجل الحضور والتنفيذ'!E:E,B30,'[2]سجل الحضور والتنفيذ'!H:H,"حاضر"))</f>
        <v/>
      </c>
      <c r="N30" s="7" t="str">
        <f>IF(OR(C30="",L30=0),"",M30/L30)</f>
        <v/>
      </c>
      <c r="O30" s="3" t="str">
        <f>IF(C30="","",SUMPRODUCT(('[2]سجل الحضور والتنفيذ'!E:E=B30)*('[2]سجل الحضور والتنفيذ'!H:H="حاضر")*('[2]سجل الحضور والتنفيذ'!G:G)))</f>
        <v/>
      </c>
      <c r="P30" s="3" t="str">
        <f ca="1">IF(C30="","",IF(G30&lt;&gt;"موظف جديد " &amp; 'الإعدادات والمستهدفات'!B4,"—",IF(COUNTIFS('[2]سجل الحضور والتنفيذ'!E:E,B30,'[2]سجل الحضور والتنفيذ'!A:A,"PSY-OR-01",'[2]سجل الحضور والتنفيذ'!H:H,"حاضر")&gt;0,"مستوفى",IF(AND(F30&lt;&gt;"",TODAY()&gt;F30+'الإعدادات والمستهدفات'!B9),"متأخر عن المهلة","خلال المهلة"))))</f>
        <v/>
      </c>
    </row>
    <row r="31" spans="1:16" x14ac:dyDescent="0.2">
      <c r="A31" s="3" t="str">
        <f>IF(C31="","",ROW()-3)</f>
        <v/>
      </c>
      <c r="B31" s="3"/>
      <c r="C31" s="3"/>
      <c r="D31" s="3"/>
      <c r="E31" s="3"/>
      <c r="F31" s="3"/>
      <c r="G31" s="3" t="str">
        <f>IF(C31="","",IF(F31="","موظف قائم",IF(YEAR(F31)&gt;='الإعدادات والمستهدفات'!B4,"موظف جديد " &amp; 'الإعدادات والمستهدفات'!B4,"موظف قائم")))</f>
        <v/>
      </c>
      <c r="H31" s="7"/>
      <c r="I31" s="3" t="str">
        <f>IF(C31="","",IF(OR(H31="",H31=0),"لم يُقيَّم","مُقيَّم"))</f>
        <v/>
      </c>
      <c r="J31" s="3" t="str">
        <f>IF(C31="","",IF(I31="لم يُقيَّم","يحتاج تقييم عاجل",IF(H31&lt;'الإعدادات والمستهدفات'!B5,"احتياج مرتفع جداً",IF(H31&lt;'الإعدادات والمستهدفات'!B6,"احتياج متوسط","احتياج منخفض"))))</f>
        <v/>
      </c>
      <c r="K31" s="3" t="str">
        <f>IF(C31="","",IF(OR(J31="يحتاج تقييم عاجل",J31="احتياج مرتفع جداً"),"أولوية قصوى (1)",IF(J31="احتياج متوسط","أولوية متوسطة (2)","أولوية عادية (3)")))</f>
        <v/>
      </c>
      <c r="L31" s="3" t="str">
        <f>IF(C31="","",COUNTIF('[1]الخطة التدريبية المعتمدة'!E:E,E31)+COUNTIF('[1]الخطة التدريبية المعتمدة'!E:E,"جميع العاملين بالمنشأة"))</f>
        <v/>
      </c>
      <c r="M31" s="3" t="str">
        <f>IF(C31="","",COUNTIFS('[2]سجل الحضور والتنفيذ'!E:E,B31,'[2]سجل الحضور والتنفيذ'!H:H,"حاضر"))</f>
        <v/>
      </c>
      <c r="N31" s="7" t="str">
        <f>IF(OR(C31="",L31=0),"",M31/L31)</f>
        <v/>
      </c>
      <c r="O31" s="3" t="str">
        <f>IF(C31="","",SUMPRODUCT(('[2]سجل الحضور والتنفيذ'!E:E=B31)*('[2]سجل الحضور والتنفيذ'!H:H="حاضر")*('[2]سجل الحضور والتنفيذ'!G:G)))</f>
        <v/>
      </c>
      <c r="P31" s="3" t="str">
        <f ca="1">IF(C31="","",IF(G31&lt;&gt;"موظف جديد " &amp; 'الإعدادات والمستهدفات'!B4,"—",IF(COUNTIFS('[2]سجل الحضور والتنفيذ'!E:E,B31,'[2]سجل الحضور والتنفيذ'!A:A,"PSY-OR-01",'[2]سجل الحضور والتنفيذ'!H:H,"حاضر")&gt;0,"مستوفى",IF(AND(F31&lt;&gt;"",TODAY()&gt;F31+'الإعدادات والمستهدفات'!B9),"متأخر عن المهلة","خلال المهلة"))))</f>
        <v/>
      </c>
    </row>
    <row r="32" spans="1:16" x14ac:dyDescent="0.2">
      <c r="A32" s="3" t="str">
        <f>IF(C32="","",ROW()-3)</f>
        <v/>
      </c>
      <c r="B32" s="3"/>
      <c r="C32" s="3"/>
      <c r="D32" s="3"/>
      <c r="E32" s="3"/>
      <c r="F32" s="3"/>
      <c r="G32" s="3" t="str">
        <f>IF(C32="","",IF(F32="","موظف قائم",IF(YEAR(F32)&gt;='الإعدادات والمستهدفات'!B4,"موظف جديد " &amp; 'الإعدادات والمستهدفات'!B4,"موظف قائم")))</f>
        <v/>
      </c>
      <c r="H32" s="7"/>
      <c r="I32" s="3" t="str">
        <f>IF(C32="","",IF(OR(H32="",H32=0),"لم يُقيَّم","مُقيَّم"))</f>
        <v/>
      </c>
      <c r="J32" s="3" t="str">
        <f>IF(C32="","",IF(I32="لم يُقيَّم","يحتاج تقييم عاجل",IF(H32&lt;'الإعدادات والمستهدفات'!B5,"احتياج مرتفع جداً",IF(H32&lt;'الإعدادات والمستهدفات'!B6,"احتياج متوسط","احتياج منخفض"))))</f>
        <v/>
      </c>
      <c r="K32" s="3" t="str">
        <f>IF(C32="","",IF(OR(J32="يحتاج تقييم عاجل",J32="احتياج مرتفع جداً"),"أولوية قصوى (1)",IF(J32="احتياج متوسط","أولوية متوسطة (2)","أولوية عادية (3)")))</f>
        <v/>
      </c>
      <c r="L32" s="3" t="str">
        <f>IF(C32="","",COUNTIF('[1]الخطة التدريبية المعتمدة'!E:E,E32)+COUNTIF('[1]الخطة التدريبية المعتمدة'!E:E,"جميع العاملين بالمنشأة"))</f>
        <v/>
      </c>
      <c r="M32" s="3" t="str">
        <f>IF(C32="","",COUNTIFS('[2]سجل الحضور والتنفيذ'!E:E,B32,'[2]سجل الحضور والتنفيذ'!H:H,"حاضر"))</f>
        <v/>
      </c>
      <c r="N32" s="7" t="str">
        <f>IF(OR(C32="",L32=0),"",M32/L32)</f>
        <v/>
      </c>
      <c r="O32" s="3" t="str">
        <f>IF(C32="","",SUMPRODUCT(('[2]سجل الحضور والتنفيذ'!E:E=B32)*('[2]سجل الحضور والتنفيذ'!H:H="حاضر")*('[2]سجل الحضور والتنفيذ'!G:G)))</f>
        <v/>
      </c>
      <c r="P32" s="3" t="str">
        <f ca="1">IF(C32="","",IF(G32&lt;&gt;"موظف جديد " &amp; 'الإعدادات والمستهدفات'!B4,"—",IF(COUNTIFS('[2]سجل الحضور والتنفيذ'!E:E,B32,'[2]سجل الحضور والتنفيذ'!A:A,"PSY-OR-01",'[2]سجل الحضور والتنفيذ'!H:H,"حاضر")&gt;0,"مستوفى",IF(AND(F32&lt;&gt;"",TODAY()&gt;F32+'الإعدادات والمستهدفات'!B9),"متأخر عن المهلة","خلال المهلة"))))</f>
        <v/>
      </c>
    </row>
    <row r="33" spans="1:16" x14ac:dyDescent="0.2">
      <c r="A33" s="3" t="str">
        <f>IF(C33="","",ROW()-3)</f>
        <v/>
      </c>
      <c r="B33" s="3"/>
      <c r="C33" s="3"/>
      <c r="D33" s="3"/>
      <c r="E33" s="3"/>
      <c r="F33" s="3"/>
      <c r="G33" s="3" t="str">
        <f>IF(C33="","",IF(F33="","موظف قائم",IF(YEAR(F33)&gt;='الإعدادات والمستهدفات'!B4,"موظف جديد " &amp; 'الإعدادات والمستهدفات'!B4,"موظف قائم")))</f>
        <v/>
      </c>
      <c r="H33" s="7"/>
      <c r="I33" s="3" t="str">
        <f>IF(C33="","",IF(OR(H33="",H33=0),"لم يُقيَّم","مُقيَّم"))</f>
        <v/>
      </c>
      <c r="J33" s="3" t="str">
        <f>IF(C33="","",IF(I33="لم يُقيَّم","يحتاج تقييم عاجل",IF(H33&lt;'الإعدادات والمستهدفات'!B5,"احتياج مرتفع جداً",IF(H33&lt;'الإعدادات والمستهدفات'!B6,"احتياج متوسط","احتياج منخفض"))))</f>
        <v/>
      </c>
      <c r="K33" s="3" t="str">
        <f>IF(C33="","",IF(OR(J33="يحتاج تقييم عاجل",J33="احتياج مرتفع جداً"),"أولوية قصوى (1)",IF(J33="احتياج متوسط","أولوية متوسطة (2)","أولوية عادية (3)")))</f>
        <v/>
      </c>
      <c r="L33" s="3" t="str">
        <f>IF(C33="","",COUNTIF('[1]الخطة التدريبية المعتمدة'!E:E,E33)+COUNTIF('[1]الخطة التدريبية المعتمدة'!E:E,"جميع العاملين بالمنشأة"))</f>
        <v/>
      </c>
      <c r="M33" s="3" t="str">
        <f>IF(C33="","",COUNTIFS('[2]سجل الحضور والتنفيذ'!E:E,B33,'[2]سجل الحضور والتنفيذ'!H:H,"حاضر"))</f>
        <v/>
      </c>
      <c r="N33" s="7" t="str">
        <f>IF(OR(C33="",L33=0),"",M33/L33)</f>
        <v/>
      </c>
      <c r="O33" s="3" t="str">
        <f>IF(C33="","",SUMPRODUCT(('[2]سجل الحضور والتنفيذ'!E:E=B33)*('[2]سجل الحضور والتنفيذ'!H:H="حاضر")*('[2]سجل الحضور والتنفيذ'!G:G)))</f>
        <v/>
      </c>
      <c r="P33" s="3" t="str">
        <f ca="1">IF(C33="","",IF(G33&lt;&gt;"موظف جديد " &amp; 'الإعدادات والمستهدفات'!B4,"—",IF(COUNTIFS('[2]سجل الحضور والتنفيذ'!E:E,B33,'[2]سجل الحضور والتنفيذ'!A:A,"PSY-OR-01",'[2]سجل الحضور والتنفيذ'!H:H,"حاضر")&gt;0,"مستوفى",IF(AND(F33&lt;&gt;"",TODAY()&gt;F33+'الإعدادات والمستهدفات'!B9),"متأخر عن المهلة","خلال المهلة"))))</f>
        <v/>
      </c>
    </row>
    <row r="34" spans="1:16" x14ac:dyDescent="0.2">
      <c r="A34" s="3" t="str">
        <f>IF(C34="","",ROW()-3)</f>
        <v/>
      </c>
      <c r="B34" s="3"/>
      <c r="C34" s="3"/>
      <c r="D34" s="3"/>
      <c r="E34" s="3"/>
      <c r="F34" s="3"/>
      <c r="G34" s="3" t="str">
        <f>IF(C34="","",IF(F34="","موظف قائم",IF(YEAR(F34)&gt;='الإعدادات والمستهدفات'!B4,"موظف جديد " &amp; 'الإعدادات والمستهدفات'!B4,"موظف قائم")))</f>
        <v/>
      </c>
      <c r="H34" s="7"/>
      <c r="I34" s="3" t="str">
        <f>IF(C34="","",IF(OR(H34="",H34=0),"لم يُقيَّم","مُقيَّم"))</f>
        <v/>
      </c>
      <c r="J34" s="3" t="str">
        <f>IF(C34="","",IF(I34="لم يُقيَّم","يحتاج تقييم عاجل",IF(H34&lt;'الإعدادات والمستهدفات'!B5,"احتياج مرتفع جداً",IF(H34&lt;'الإعدادات والمستهدفات'!B6,"احتياج متوسط","احتياج منخفض"))))</f>
        <v/>
      </c>
      <c r="K34" s="3" t="str">
        <f>IF(C34="","",IF(OR(J34="يحتاج تقييم عاجل",J34="احتياج مرتفع جداً"),"أولوية قصوى (1)",IF(J34="احتياج متوسط","أولوية متوسطة (2)","أولوية عادية (3)")))</f>
        <v/>
      </c>
      <c r="L34" s="3" t="str">
        <f>IF(C34="","",COUNTIF('[1]الخطة التدريبية المعتمدة'!E:E,E34)+COUNTIF('[1]الخطة التدريبية المعتمدة'!E:E,"جميع العاملين بالمنشأة"))</f>
        <v/>
      </c>
      <c r="M34" s="3" t="str">
        <f>IF(C34="","",COUNTIFS('[2]سجل الحضور والتنفيذ'!E:E,B34,'[2]سجل الحضور والتنفيذ'!H:H,"حاضر"))</f>
        <v/>
      </c>
      <c r="N34" s="7" t="str">
        <f>IF(OR(C34="",L34=0),"",M34/L34)</f>
        <v/>
      </c>
      <c r="O34" s="3" t="str">
        <f>IF(C34="","",SUMPRODUCT(('[2]سجل الحضور والتنفيذ'!E:E=B34)*('[2]سجل الحضور والتنفيذ'!H:H="حاضر")*('[2]سجل الحضور والتنفيذ'!G:G)))</f>
        <v/>
      </c>
      <c r="P34" s="3" t="str">
        <f ca="1">IF(C34="","",IF(G34&lt;&gt;"موظف جديد " &amp; 'الإعدادات والمستهدفات'!B4,"—",IF(COUNTIFS('[2]سجل الحضور والتنفيذ'!E:E,B34,'[2]سجل الحضور والتنفيذ'!A:A,"PSY-OR-01",'[2]سجل الحضور والتنفيذ'!H:H,"حاضر")&gt;0,"مستوفى",IF(AND(F34&lt;&gt;"",TODAY()&gt;F34+'الإعدادات والمستهدفات'!B9),"متأخر عن المهلة","خلال المهلة"))))</f>
        <v/>
      </c>
    </row>
    <row r="35" spans="1:16" x14ac:dyDescent="0.2">
      <c r="A35" s="3" t="str">
        <f>IF(C35="","",ROW()-3)</f>
        <v/>
      </c>
      <c r="B35" s="3"/>
      <c r="C35" s="3"/>
      <c r="D35" s="3"/>
      <c r="E35" s="3"/>
      <c r="F35" s="3"/>
      <c r="G35" s="3" t="str">
        <f>IF(C35="","",IF(F35="","موظف قائم",IF(YEAR(F35)&gt;='الإعدادات والمستهدفات'!B4,"موظف جديد " &amp; 'الإعدادات والمستهدفات'!B4,"موظف قائم")))</f>
        <v/>
      </c>
      <c r="H35" s="7"/>
      <c r="I35" s="3" t="str">
        <f>IF(C35="","",IF(OR(H35="",H35=0),"لم يُقيَّم","مُقيَّم"))</f>
        <v/>
      </c>
      <c r="J35" s="3" t="str">
        <f>IF(C35="","",IF(I35="لم يُقيَّم","يحتاج تقييم عاجل",IF(H35&lt;'الإعدادات والمستهدفات'!B5,"احتياج مرتفع جداً",IF(H35&lt;'الإعدادات والمستهدفات'!B6,"احتياج متوسط","احتياج منخفض"))))</f>
        <v/>
      </c>
      <c r="K35" s="3" t="str">
        <f>IF(C35="","",IF(OR(J35="يحتاج تقييم عاجل",J35="احتياج مرتفع جداً"),"أولوية قصوى (1)",IF(J35="احتياج متوسط","أولوية متوسطة (2)","أولوية عادية (3)")))</f>
        <v/>
      </c>
      <c r="L35" s="3" t="str">
        <f>IF(C35="","",COUNTIF('[1]الخطة التدريبية المعتمدة'!E:E,E35)+COUNTIF('[1]الخطة التدريبية المعتمدة'!E:E,"جميع العاملين بالمنشأة"))</f>
        <v/>
      </c>
      <c r="M35" s="3" t="str">
        <f>IF(C35="","",COUNTIFS('[2]سجل الحضور والتنفيذ'!E:E,B35,'[2]سجل الحضور والتنفيذ'!H:H,"حاضر"))</f>
        <v/>
      </c>
      <c r="N35" s="7" t="str">
        <f>IF(OR(C35="",L35=0),"",M35/L35)</f>
        <v/>
      </c>
      <c r="O35" s="3" t="str">
        <f>IF(C35="","",SUMPRODUCT(('[2]سجل الحضور والتنفيذ'!E:E=B35)*('[2]سجل الحضور والتنفيذ'!H:H="حاضر")*('[2]سجل الحضور والتنفيذ'!G:G)))</f>
        <v/>
      </c>
      <c r="P35" s="3" t="str">
        <f ca="1">IF(C35="","",IF(G35&lt;&gt;"موظف جديد " &amp; 'الإعدادات والمستهدفات'!B4,"—",IF(COUNTIFS('[2]سجل الحضور والتنفيذ'!E:E,B35,'[2]سجل الحضور والتنفيذ'!A:A,"PSY-OR-01",'[2]سجل الحضور والتنفيذ'!H:H,"حاضر")&gt;0,"مستوفى",IF(AND(F35&lt;&gt;"",TODAY()&gt;F35+'الإعدادات والمستهدفات'!B9),"متأخر عن المهلة","خلال المهلة"))))</f>
        <v/>
      </c>
    </row>
    <row r="36" spans="1:16" x14ac:dyDescent="0.2">
      <c r="A36" s="3" t="str">
        <f>IF(C36="","",ROW()-3)</f>
        <v/>
      </c>
      <c r="B36" s="3"/>
      <c r="C36" s="3"/>
      <c r="D36" s="3"/>
      <c r="E36" s="3"/>
      <c r="F36" s="3"/>
      <c r="G36" s="3" t="str">
        <f>IF(C36="","",IF(F36="","موظف قائم",IF(YEAR(F36)&gt;='الإعدادات والمستهدفات'!B4,"موظف جديد " &amp; 'الإعدادات والمستهدفات'!B4,"موظف قائم")))</f>
        <v/>
      </c>
      <c r="H36" s="7"/>
      <c r="I36" s="3" t="str">
        <f>IF(C36="","",IF(OR(H36="",H36=0),"لم يُقيَّم","مُقيَّم"))</f>
        <v/>
      </c>
      <c r="J36" s="3" t="str">
        <f>IF(C36="","",IF(I36="لم يُقيَّم","يحتاج تقييم عاجل",IF(H36&lt;'الإعدادات والمستهدفات'!B5,"احتياج مرتفع جداً",IF(H36&lt;'الإعدادات والمستهدفات'!B6,"احتياج متوسط","احتياج منخفض"))))</f>
        <v/>
      </c>
      <c r="K36" s="3" t="str">
        <f>IF(C36="","",IF(OR(J36="يحتاج تقييم عاجل",J36="احتياج مرتفع جداً"),"أولوية قصوى (1)",IF(J36="احتياج متوسط","أولوية متوسطة (2)","أولوية عادية (3)")))</f>
        <v/>
      </c>
      <c r="L36" s="3" t="str">
        <f>IF(C36="","",COUNTIF('[1]الخطة التدريبية المعتمدة'!E:E,E36)+COUNTIF('[1]الخطة التدريبية المعتمدة'!E:E,"جميع العاملين بالمنشأة"))</f>
        <v/>
      </c>
      <c r="M36" s="3" t="str">
        <f>IF(C36="","",COUNTIFS('[2]سجل الحضور والتنفيذ'!E:E,B36,'[2]سجل الحضور والتنفيذ'!H:H,"حاضر"))</f>
        <v/>
      </c>
      <c r="N36" s="7" t="str">
        <f>IF(OR(C36="",L36=0),"",M36/L36)</f>
        <v/>
      </c>
      <c r="O36" s="3" t="str">
        <f>IF(C36="","",SUMPRODUCT(('[2]سجل الحضور والتنفيذ'!E:E=B36)*('[2]سجل الحضور والتنفيذ'!H:H="حاضر")*('[2]سجل الحضور والتنفيذ'!G:G)))</f>
        <v/>
      </c>
      <c r="P36" s="3" t="str">
        <f ca="1">IF(C36="","",IF(G36&lt;&gt;"موظف جديد " &amp; 'الإعدادات والمستهدفات'!B4,"—",IF(COUNTIFS('[2]سجل الحضور والتنفيذ'!E:E,B36,'[2]سجل الحضور والتنفيذ'!A:A,"PSY-OR-01",'[2]سجل الحضور والتنفيذ'!H:H,"حاضر")&gt;0,"مستوفى",IF(AND(F36&lt;&gt;"",TODAY()&gt;F36+'الإعدادات والمستهدفات'!B9),"متأخر عن المهلة","خلال المهلة"))))</f>
        <v/>
      </c>
    </row>
    <row r="37" spans="1:16" x14ac:dyDescent="0.2">
      <c r="A37" s="3" t="str">
        <f>IF(C37="","",ROW()-3)</f>
        <v/>
      </c>
      <c r="B37" s="3"/>
      <c r="C37" s="3"/>
      <c r="D37" s="3"/>
      <c r="E37" s="3"/>
      <c r="F37" s="3"/>
      <c r="G37" s="3" t="str">
        <f>IF(C37="","",IF(F37="","موظف قائم",IF(YEAR(F37)&gt;='الإعدادات والمستهدفات'!B4,"موظف جديد " &amp; 'الإعدادات والمستهدفات'!B4,"موظف قائم")))</f>
        <v/>
      </c>
      <c r="H37" s="7"/>
      <c r="I37" s="3" t="str">
        <f>IF(C37="","",IF(OR(H37="",H37=0),"لم يُقيَّم","مُقيَّم"))</f>
        <v/>
      </c>
      <c r="J37" s="3" t="str">
        <f>IF(C37="","",IF(I37="لم يُقيَّم","يحتاج تقييم عاجل",IF(H37&lt;'الإعدادات والمستهدفات'!B5,"احتياج مرتفع جداً",IF(H37&lt;'الإعدادات والمستهدفات'!B6,"احتياج متوسط","احتياج منخفض"))))</f>
        <v/>
      </c>
      <c r="K37" s="3" t="str">
        <f>IF(C37="","",IF(OR(J37="يحتاج تقييم عاجل",J37="احتياج مرتفع جداً"),"أولوية قصوى (1)",IF(J37="احتياج متوسط","أولوية متوسطة (2)","أولوية عادية (3)")))</f>
        <v/>
      </c>
      <c r="L37" s="3" t="str">
        <f>IF(C37="","",COUNTIF('[1]الخطة التدريبية المعتمدة'!E:E,E37)+COUNTIF('[1]الخطة التدريبية المعتمدة'!E:E,"جميع العاملين بالمنشأة"))</f>
        <v/>
      </c>
      <c r="M37" s="3" t="str">
        <f>IF(C37="","",COUNTIFS('[2]سجل الحضور والتنفيذ'!E:E,B37,'[2]سجل الحضور والتنفيذ'!H:H,"حاضر"))</f>
        <v/>
      </c>
      <c r="N37" s="7" t="str">
        <f>IF(OR(C37="",L37=0),"",M37/L37)</f>
        <v/>
      </c>
      <c r="O37" s="3" t="str">
        <f>IF(C37="","",SUMPRODUCT(('[2]سجل الحضور والتنفيذ'!E:E=B37)*('[2]سجل الحضور والتنفيذ'!H:H="حاضر")*('[2]سجل الحضور والتنفيذ'!G:G)))</f>
        <v/>
      </c>
      <c r="P37" s="3" t="str">
        <f ca="1">IF(C37="","",IF(G37&lt;&gt;"موظف جديد " &amp; 'الإعدادات والمستهدفات'!B4,"—",IF(COUNTIFS('[2]سجل الحضور والتنفيذ'!E:E,B37,'[2]سجل الحضور والتنفيذ'!A:A,"PSY-OR-01",'[2]سجل الحضور والتنفيذ'!H:H,"حاضر")&gt;0,"مستوفى",IF(AND(F37&lt;&gt;"",TODAY()&gt;F37+'الإعدادات والمستهدفات'!B9),"متأخر عن المهلة","خلال المهلة"))))</f>
        <v/>
      </c>
    </row>
    <row r="38" spans="1:16" x14ac:dyDescent="0.2">
      <c r="A38" s="3" t="str">
        <f>IF(C38="","",ROW()-3)</f>
        <v/>
      </c>
      <c r="B38" s="3"/>
      <c r="C38" s="3"/>
      <c r="D38" s="3"/>
      <c r="E38" s="3"/>
      <c r="F38" s="3"/>
      <c r="G38" s="3" t="str">
        <f>IF(C38="","",IF(F38="","موظف قائم",IF(YEAR(F38)&gt;='الإعدادات والمستهدفات'!B4,"موظف جديد " &amp; 'الإعدادات والمستهدفات'!B4,"موظف قائم")))</f>
        <v/>
      </c>
      <c r="H38" s="7"/>
      <c r="I38" s="3" t="str">
        <f>IF(C38="","",IF(OR(H38="",H38=0),"لم يُقيَّم","مُقيَّم"))</f>
        <v/>
      </c>
      <c r="J38" s="3" t="str">
        <f>IF(C38="","",IF(I38="لم يُقيَّم","يحتاج تقييم عاجل",IF(H38&lt;'الإعدادات والمستهدفات'!B5,"احتياج مرتفع جداً",IF(H38&lt;'الإعدادات والمستهدفات'!B6,"احتياج متوسط","احتياج منخفض"))))</f>
        <v/>
      </c>
      <c r="K38" s="3" t="str">
        <f>IF(C38="","",IF(OR(J38="يحتاج تقييم عاجل",J38="احتياج مرتفع جداً"),"أولوية قصوى (1)",IF(J38="احتياج متوسط","أولوية متوسطة (2)","أولوية عادية (3)")))</f>
        <v/>
      </c>
      <c r="L38" s="3" t="str">
        <f>IF(C38="","",COUNTIF('[1]الخطة التدريبية المعتمدة'!E:E,E38)+COUNTIF('[1]الخطة التدريبية المعتمدة'!E:E,"جميع العاملين بالمنشأة"))</f>
        <v/>
      </c>
      <c r="M38" s="3" t="str">
        <f>IF(C38="","",COUNTIFS('[2]سجل الحضور والتنفيذ'!E:E,B38,'[2]سجل الحضور والتنفيذ'!H:H,"حاضر"))</f>
        <v/>
      </c>
      <c r="N38" s="7" t="str">
        <f>IF(OR(C38="",L38=0),"",M38/L38)</f>
        <v/>
      </c>
      <c r="O38" s="3" t="str">
        <f>IF(C38="","",SUMPRODUCT(('[2]سجل الحضور والتنفيذ'!E:E=B38)*('[2]سجل الحضور والتنفيذ'!H:H="حاضر")*('[2]سجل الحضور والتنفيذ'!G:G)))</f>
        <v/>
      </c>
      <c r="P38" s="3" t="str">
        <f ca="1">IF(C38="","",IF(G38&lt;&gt;"موظف جديد " &amp; 'الإعدادات والمستهدفات'!B4,"—",IF(COUNTIFS('[2]سجل الحضور والتنفيذ'!E:E,B38,'[2]سجل الحضور والتنفيذ'!A:A,"PSY-OR-01",'[2]سجل الحضور والتنفيذ'!H:H,"حاضر")&gt;0,"مستوفى",IF(AND(F38&lt;&gt;"",TODAY()&gt;F38+'الإعدادات والمستهدفات'!B9),"متأخر عن المهلة","خلال المهلة"))))</f>
        <v/>
      </c>
    </row>
    <row r="39" spans="1:16" x14ac:dyDescent="0.2">
      <c r="A39" s="3" t="str">
        <f>IF(C39="","",ROW()-3)</f>
        <v/>
      </c>
      <c r="B39" s="3"/>
      <c r="C39" s="3"/>
      <c r="D39" s="3"/>
      <c r="E39" s="3"/>
      <c r="F39" s="3"/>
      <c r="G39" s="3" t="str">
        <f>IF(C39="","",IF(F39="","موظف قائم",IF(YEAR(F39)&gt;='الإعدادات والمستهدفات'!B4,"موظف جديد " &amp; 'الإعدادات والمستهدفات'!B4,"موظف قائم")))</f>
        <v/>
      </c>
      <c r="H39" s="7"/>
      <c r="I39" s="3" t="str">
        <f>IF(C39="","",IF(OR(H39="",H39=0),"لم يُقيَّم","مُقيَّم"))</f>
        <v/>
      </c>
      <c r="J39" s="3" t="str">
        <f>IF(C39="","",IF(I39="لم يُقيَّم","يحتاج تقييم عاجل",IF(H39&lt;'الإعدادات والمستهدفات'!B5,"احتياج مرتفع جداً",IF(H39&lt;'الإعدادات والمستهدفات'!B6,"احتياج متوسط","احتياج منخفض"))))</f>
        <v/>
      </c>
      <c r="K39" s="3" t="str">
        <f>IF(C39="","",IF(OR(J39="يحتاج تقييم عاجل",J39="احتياج مرتفع جداً"),"أولوية قصوى (1)",IF(J39="احتياج متوسط","أولوية متوسطة (2)","أولوية عادية (3)")))</f>
        <v/>
      </c>
      <c r="L39" s="3" t="str">
        <f>IF(C39="","",COUNTIF('[1]الخطة التدريبية المعتمدة'!E:E,E39)+COUNTIF('[1]الخطة التدريبية المعتمدة'!E:E,"جميع العاملين بالمنشأة"))</f>
        <v/>
      </c>
      <c r="M39" s="3" t="str">
        <f>IF(C39="","",COUNTIFS('[2]سجل الحضور والتنفيذ'!E:E,B39,'[2]سجل الحضور والتنفيذ'!H:H,"حاضر"))</f>
        <v/>
      </c>
      <c r="N39" s="7" t="str">
        <f>IF(OR(C39="",L39=0),"",M39/L39)</f>
        <v/>
      </c>
      <c r="O39" s="3" t="str">
        <f>IF(C39="","",SUMPRODUCT(('[2]سجل الحضور والتنفيذ'!E:E=B39)*('[2]سجل الحضور والتنفيذ'!H:H="حاضر")*('[2]سجل الحضور والتنفيذ'!G:G)))</f>
        <v/>
      </c>
      <c r="P39" s="3" t="str">
        <f ca="1">IF(C39="","",IF(G39&lt;&gt;"موظف جديد " &amp; 'الإعدادات والمستهدفات'!B4,"—",IF(COUNTIFS('[2]سجل الحضور والتنفيذ'!E:E,B39,'[2]سجل الحضور والتنفيذ'!A:A,"PSY-OR-01",'[2]سجل الحضور والتنفيذ'!H:H,"حاضر")&gt;0,"مستوفى",IF(AND(F39&lt;&gt;"",TODAY()&gt;F39+'الإعدادات والمستهدفات'!B9),"متأخر عن المهلة","خلال المهلة"))))</f>
        <v/>
      </c>
    </row>
    <row r="40" spans="1:16" x14ac:dyDescent="0.2">
      <c r="A40" s="3" t="str">
        <f>IF(C40="","",ROW()-3)</f>
        <v/>
      </c>
      <c r="B40" s="3"/>
      <c r="C40" s="3"/>
      <c r="D40" s="3"/>
      <c r="E40" s="3"/>
      <c r="F40" s="3"/>
      <c r="G40" s="3" t="str">
        <f>IF(C40="","",IF(F40="","موظف قائم",IF(YEAR(F40)&gt;='الإعدادات والمستهدفات'!B4,"موظف جديد " &amp; 'الإعدادات والمستهدفات'!B4,"موظف قائم")))</f>
        <v/>
      </c>
      <c r="H40" s="7"/>
      <c r="I40" s="3" t="str">
        <f>IF(C40="","",IF(OR(H40="",H40=0),"لم يُقيَّم","مُقيَّم"))</f>
        <v/>
      </c>
      <c r="J40" s="3" t="str">
        <f>IF(C40="","",IF(I40="لم يُقيَّم","يحتاج تقييم عاجل",IF(H40&lt;'الإعدادات والمستهدفات'!B5,"احتياج مرتفع جداً",IF(H40&lt;'الإعدادات والمستهدفات'!B6,"احتياج متوسط","احتياج منخفض"))))</f>
        <v/>
      </c>
      <c r="K40" s="3" t="str">
        <f>IF(C40="","",IF(OR(J40="يحتاج تقييم عاجل",J40="احتياج مرتفع جداً"),"أولوية قصوى (1)",IF(J40="احتياج متوسط","أولوية متوسطة (2)","أولوية عادية (3)")))</f>
        <v/>
      </c>
      <c r="L40" s="3" t="str">
        <f>IF(C40="","",COUNTIF('[1]الخطة التدريبية المعتمدة'!E:E,E40)+COUNTIF('[1]الخطة التدريبية المعتمدة'!E:E,"جميع العاملين بالمنشأة"))</f>
        <v/>
      </c>
      <c r="M40" s="3" t="str">
        <f>IF(C40="","",COUNTIFS('[2]سجل الحضور والتنفيذ'!E:E,B40,'[2]سجل الحضور والتنفيذ'!H:H,"حاضر"))</f>
        <v/>
      </c>
      <c r="N40" s="7" t="str">
        <f>IF(OR(C40="",L40=0),"",M40/L40)</f>
        <v/>
      </c>
      <c r="O40" s="3" t="str">
        <f>IF(C40="","",SUMPRODUCT(('[2]سجل الحضور والتنفيذ'!E:E=B40)*('[2]سجل الحضور والتنفيذ'!H:H="حاضر")*('[2]سجل الحضور والتنفيذ'!G:G)))</f>
        <v/>
      </c>
      <c r="P40" s="3" t="str">
        <f ca="1">IF(C40="","",IF(G40&lt;&gt;"موظف جديد " &amp; 'الإعدادات والمستهدفات'!B4,"—",IF(COUNTIFS('[2]سجل الحضور والتنفيذ'!E:E,B40,'[2]سجل الحضور والتنفيذ'!A:A,"PSY-OR-01",'[2]سجل الحضور والتنفيذ'!H:H,"حاضر")&gt;0,"مستوفى",IF(AND(F40&lt;&gt;"",TODAY()&gt;F40+'الإعدادات والمستهدفات'!B9),"متأخر عن المهلة","خلال المهلة"))))</f>
        <v/>
      </c>
    </row>
    <row r="41" spans="1:16" x14ac:dyDescent="0.2">
      <c r="A41" s="3" t="str">
        <f>IF(C41="","",ROW()-3)</f>
        <v/>
      </c>
      <c r="B41" s="3"/>
      <c r="C41" s="3"/>
      <c r="D41" s="3"/>
      <c r="E41" s="3"/>
      <c r="F41" s="3"/>
      <c r="G41" s="3" t="str">
        <f>IF(C41="","",IF(F41="","موظف قائم",IF(YEAR(F41)&gt;='الإعدادات والمستهدفات'!B4,"موظف جديد " &amp; 'الإعدادات والمستهدفات'!B4,"موظف قائم")))</f>
        <v/>
      </c>
      <c r="H41" s="7"/>
      <c r="I41" s="3" t="str">
        <f>IF(C41="","",IF(OR(H41="",H41=0),"لم يُقيَّم","مُقيَّم"))</f>
        <v/>
      </c>
      <c r="J41" s="3" t="str">
        <f>IF(C41="","",IF(I41="لم يُقيَّم","يحتاج تقييم عاجل",IF(H41&lt;'الإعدادات والمستهدفات'!B5,"احتياج مرتفع جداً",IF(H41&lt;'الإعدادات والمستهدفات'!B6,"احتياج متوسط","احتياج منخفض"))))</f>
        <v/>
      </c>
      <c r="K41" s="3" t="str">
        <f>IF(C41="","",IF(OR(J41="يحتاج تقييم عاجل",J41="احتياج مرتفع جداً"),"أولوية قصوى (1)",IF(J41="احتياج متوسط","أولوية متوسطة (2)","أولوية عادية (3)")))</f>
        <v/>
      </c>
      <c r="L41" s="3" t="str">
        <f>IF(C41="","",COUNTIF('[1]الخطة التدريبية المعتمدة'!E:E,E41)+COUNTIF('[1]الخطة التدريبية المعتمدة'!E:E,"جميع العاملين بالمنشأة"))</f>
        <v/>
      </c>
      <c r="M41" s="3" t="str">
        <f>IF(C41="","",COUNTIFS('[2]سجل الحضور والتنفيذ'!E:E,B41,'[2]سجل الحضور والتنفيذ'!H:H,"حاضر"))</f>
        <v/>
      </c>
      <c r="N41" s="7" t="str">
        <f>IF(OR(C41="",L41=0),"",M41/L41)</f>
        <v/>
      </c>
      <c r="O41" s="3" t="str">
        <f>IF(C41="","",SUMPRODUCT(('[2]سجل الحضور والتنفيذ'!E:E=B41)*('[2]سجل الحضور والتنفيذ'!H:H="حاضر")*('[2]سجل الحضور والتنفيذ'!G:G)))</f>
        <v/>
      </c>
      <c r="P41" s="3" t="str">
        <f ca="1">IF(C41="","",IF(G41&lt;&gt;"موظف جديد " &amp; 'الإعدادات والمستهدفات'!B4,"—",IF(COUNTIFS('[2]سجل الحضور والتنفيذ'!E:E,B41,'[2]سجل الحضور والتنفيذ'!A:A,"PSY-OR-01",'[2]سجل الحضور والتنفيذ'!H:H,"حاضر")&gt;0,"مستوفى",IF(AND(F41&lt;&gt;"",TODAY()&gt;F41+'الإعدادات والمستهدفات'!B9),"متأخر عن المهلة","خلال المهلة"))))</f>
        <v/>
      </c>
    </row>
    <row r="42" spans="1:16" x14ac:dyDescent="0.2">
      <c r="A42" s="3" t="str">
        <f>IF(C42="","",ROW()-3)</f>
        <v/>
      </c>
      <c r="B42" s="3"/>
      <c r="C42" s="3"/>
      <c r="D42" s="3"/>
      <c r="E42" s="3"/>
      <c r="F42" s="3"/>
      <c r="G42" s="3" t="str">
        <f>IF(C42="","",IF(F42="","موظف قائم",IF(YEAR(F42)&gt;='الإعدادات والمستهدفات'!B4,"موظف جديد " &amp; 'الإعدادات والمستهدفات'!B4,"موظف قائم")))</f>
        <v/>
      </c>
      <c r="H42" s="7"/>
      <c r="I42" s="3" t="str">
        <f>IF(C42="","",IF(OR(H42="",H42=0),"لم يُقيَّم","مُقيَّم"))</f>
        <v/>
      </c>
      <c r="J42" s="3" t="str">
        <f>IF(C42="","",IF(I42="لم يُقيَّم","يحتاج تقييم عاجل",IF(H42&lt;'الإعدادات والمستهدفات'!B5,"احتياج مرتفع جداً",IF(H42&lt;'الإعدادات والمستهدفات'!B6,"احتياج متوسط","احتياج منخفض"))))</f>
        <v/>
      </c>
      <c r="K42" s="3" t="str">
        <f>IF(C42="","",IF(OR(J42="يحتاج تقييم عاجل",J42="احتياج مرتفع جداً"),"أولوية قصوى (1)",IF(J42="احتياج متوسط","أولوية متوسطة (2)","أولوية عادية (3)")))</f>
        <v/>
      </c>
      <c r="L42" s="3" t="str">
        <f>IF(C42="","",COUNTIF('[1]الخطة التدريبية المعتمدة'!E:E,E42)+COUNTIF('[1]الخطة التدريبية المعتمدة'!E:E,"جميع العاملين بالمنشأة"))</f>
        <v/>
      </c>
      <c r="M42" s="3" t="str">
        <f>IF(C42="","",COUNTIFS('[2]سجل الحضور والتنفيذ'!E:E,B42,'[2]سجل الحضور والتنفيذ'!H:H,"حاضر"))</f>
        <v/>
      </c>
      <c r="N42" s="7" t="str">
        <f>IF(OR(C42="",L42=0),"",M42/L42)</f>
        <v/>
      </c>
      <c r="O42" s="3" t="str">
        <f>IF(C42="","",SUMPRODUCT(('[2]سجل الحضور والتنفيذ'!E:E=B42)*('[2]سجل الحضور والتنفيذ'!H:H="حاضر")*('[2]سجل الحضور والتنفيذ'!G:G)))</f>
        <v/>
      </c>
      <c r="P42" s="3" t="str">
        <f ca="1">IF(C42="","",IF(G42&lt;&gt;"موظف جديد " &amp; 'الإعدادات والمستهدفات'!B4,"—",IF(COUNTIFS('[2]سجل الحضور والتنفيذ'!E:E,B42,'[2]سجل الحضور والتنفيذ'!A:A,"PSY-OR-01",'[2]سجل الحضور والتنفيذ'!H:H,"حاضر")&gt;0,"مستوفى",IF(AND(F42&lt;&gt;"",TODAY()&gt;F42+'الإعدادات والمستهدفات'!B9),"متأخر عن المهلة","خلال المهلة"))))</f>
        <v/>
      </c>
    </row>
    <row r="43" spans="1:16" x14ac:dyDescent="0.2">
      <c r="A43" s="3" t="str">
        <f>IF(C43="","",ROW()-3)</f>
        <v/>
      </c>
      <c r="B43" s="3"/>
      <c r="C43" s="3"/>
      <c r="D43" s="3"/>
      <c r="E43" s="3"/>
      <c r="F43" s="3"/>
      <c r="G43" s="3" t="str">
        <f>IF(C43="","",IF(F43="","موظف قائم",IF(YEAR(F43)&gt;='الإعدادات والمستهدفات'!B4,"موظف جديد " &amp; 'الإعدادات والمستهدفات'!B4,"موظف قائم")))</f>
        <v/>
      </c>
      <c r="H43" s="7"/>
      <c r="I43" s="3" t="str">
        <f>IF(C43="","",IF(OR(H43="",H43=0),"لم يُقيَّم","مُقيَّم"))</f>
        <v/>
      </c>
      <c r="J43" s="3" t="str">
        <f>IF(C43="","",IF(I43="لم يُقيَّم","يحتاج تقييم عاجل",IF(H43&lt;'الإعدادات والمستهدفات'!B5,"احتياج مرتفع جداً",IF(H43&lt;'الإعدادات والمستهدفات'!B6,"احتياج متوسط","احتياج منخفض"))))</f>
        <v/>
      </c>
      <c r="K43" s="3" t="str">
        <f>IF(C43="","",IF(OR(J43="يحتاج تقييم عاجل",J43="احتياج مرتفع جداً"),"أولوية قصوى (1)",IF(J43="احتياج متوسط","أولوية متوسطة (2)","أولوية عادية (3)")))</f>
        <v/>
      </c>
      <c r="L43" s="3" t="str">
        <f>IF(C43="","",COUNTIF('[1]الخطة التدريبية المعتمدة'!E:E,E43)+COUNTIF('[1]الخطة التدريبية المعتمدة'!E:E,"جميع العاملين بالمنشأة"))</f>
        <v/>
      </c>
      <c r="M43" s="3" t="str">
        <f>IF(C43="","",COUNTIFS('[2]سجل الحضور والتنفيذ'!E:E,B43,'[2]سجل الحضور والتنفيذ'!H:H,"حاضر"))</f>
        <v/>
      </c>
      <c r="N43" s="7" t="str">
        <f>IF(OR(C43="",L43=0),"",M43/L43)</f>
        <v/>
      </c>
      <c r="O43" s="3" t="str">
        <f>IF(C43="","",SUMPRODUCT(('[2]سجل الحضور والتنفيذ'!E:E=B43)*('[2]سجل الحضور والتنفيذ'!H:H="حاضر")*('[2]سجل الحضور والتنفيذ'!G:G)))</f>
        <v/>
      </c>
      <c r="P43" s="3" t="str">
        <f ca="1">IF(C43="","",IF(G43&lt;&gt;"موظف جديد " &amp; 'الإعدادات والمستهدفات'!B4,"—",IF(COUNTIFS('[2]سجل الحضور والتنفيذ'!E:E,B43,'[2]سجل الحضور والتنفيذ'!A:A,"PSY-OR-01",'[2]سجل الحضور والتنفيذ'!H:H,"حاضر")&gt;0,"مستوفى",IF(AND(F43&lt;&gt;"",TODAY()&gt;F43+'الإعدادات والمستهدفات'!B9),"متأخر عن المهلة","خلال المهلة"))))</f>
        <v/>
      </c>
    </row>
    <row r="44" spans="1:16" x14ac:dyDescent="0.2">
      <c r="A44" s="3" t="str">
        <f>IF(C44="","",ROW()-3)</f>
        <v/>
      </c>
      <c r="B44" s="3"/>
      <c r="C44" s="3"/>
      <c r="D44" s="3"/>
      <c r="E44" s="3"/>
      <c r="F44" s="3"/>
      <c r="G44" s="3" t="str">
        <f>IF(C44="","",IF(F44="","موظف قائم",IF(YEAR(F44)&gt;='الإعدادات والمستهدفات'!B4,"موظف جديد " &amp; 'الإعدادات والمستهدفات'!B4,"موظف قائم")))</f>
        <v/>
      </c>
      <c r="H44" s="7"/>
      <c r="I44" s="3" t="str">
        <f>IF(C44="","",IF(OR(H44="",H44=0),"لم يُقيَّم","مُقيَّم"))</f>
        <v/>
      </c>
      <c r="J44" s="3" t="str">
        <f>IF(C44="","",IF(I44="لم يُقيَّم","يحتاج تقييم عاجل",IF(H44&lt;'الإعدادات والمستهدفات'!B5,"احتياج مرتفع جداً",IF(H44&lt;'الإعدادات والمستهدفات'!B6,"احتياج متوسط","احتياج منخفض"))))</f>
        <v/>
      </c>
      <c r="K44" s="3" t="str">
        <f>IF(C44="","",IF(OR(J44="يحتاج تقييم عاجل",J44="احتياج مرتفع جداً"),"أولوية قصوى (1)",IF(J44="احتياج متوسط","أولوية متوسطة (2)","أولوية عادية (3)")))</f>
        <v/>
      </c>
      <c r="L44" s="3" t="str">
        <f>IF(C44="","",COUNTIF('[1]الخطة التدريبية المعتمدة'!E:E,E44)+COUNTIF('[1]الخطة التدريبية المعتمدة'!E:E,"جميع العاملين بالمنشأة"))</f>
        <v/>
      </c>
      <c r="M44" s="3" t="str">
        <f>IF(C44="","",COUNTIFS('[2]سجل الحضور والتنفيذ'!E:E,B44,'[2]سجل الحضور والتنفيذ'!H:H,"حاضر"))</f>
        <v/>
      </c>
      <c r="N44" s="7" t="str">
        <f>IF(OR(C44="",L44=0),"",M44/L44)</f>
        <v/>
      </c>
      <c r="O44" s="3" t="str">
        <f>IF(C44="","",SUMPRODUCT(('[2]سجل الحضور والتنفيذ'!E:E=B44)*('[2]سجل الحضور والتنفيذ'!H:H="حاضر")*('[2]سجل الحضور والتنفيذ'!G:G)))</f>
        <v/>
      </c>
      <c r="P44" s="3" t="str">
        <f ca="1">IF(C44="","",IF(G44&lt;&gt;"موظف جديد " &amp; 'الإعدادات والمستهدفات'!B4,"—",IF(COUNTIFS('[2]سجل الحضور والتنفيذ'!E:E,B44,'[2]سجل الحضور والتنفيذ'!A:A,"PSY-OR-01",'[2]سجل الحضور والتنفيذ'!H:H,"حاضر")&gt;0,"مستوفى",IF(AND(F44&lt;&gt;"",TODAY()&gt;F44+'الإعدادات والمستهدفات'!B9),"متأخر عن المهلة","خلال المهلة"))))</f>
        <v/>
      </c>
    </row>
    <row r="45" spans="1:16" x14ac:dyDescent="0.2">
      <c r="A45" s="3" t="str">
        <f>IF(C45="","",ROW()-3)</f>
        <v/>
      </c>
      <c r="B45" s="3"/>
      <c r="C45" s="3"/>
      <c r="D45" s="3"/>
      <c r="E45" s="3"/>
      <c r="F45" s="3"/>
      <c r="G45" s="3" t="str">
        <f>IF(C45="","",IF(F45="","موظف قائم",IF(YEAR(F45)&gt;='الإعدادات والمستهدفات'!B4,"موظف جديد " &amp; 'الإعدادات والمستهدفات'!B4,"موظف قائم")))</f>
        <v/>
      </c>
      <c r="H45" s="7"/>
      <c r="I45" s="3" t="str">
        <f>IF(C45="","",IF(OR(H45="",H45=0),"لم يُقيَّم","مُقيَّم"))</f>
        <v/>
      </c>
      <c r="J45" s="3" t="str">
        <f>IF(C45="","",IF(I45="لم يُقيَّم","يحتاج تقييم عاجل",IF(H45&lt;'الإعدادات والمستهدفات'!B5,"احتياج مرتفع جداً",IF(H45&lt;'الإعدادات والمستهدفات'!B6,"احتياج متوسط","احتياج منخفض"))))</f>
        <v/>
      </c>
      <c r="K45" s="3" t="str">
        <f>IF(C45="","",IF(OR(J45="يحتاج تقييم عاجل",J45="احتياج مرتفع جداً"),"أولوية قصوى (1)",IF(J45="احتياج متوسط","أولوية متوسطة (2)","أولوية عادية (3)")))</f>
        <v/>
      </c>
      <c r="L45" s="3" t="str">
        <f>IF(C45="","",COUNTIF('[1]الخطة التدريبية المعتمدة'!E:E,E45)+COUNTIF('[1]الخطة التدريبية المعتمدة'!E:E,"جميع العاملين بالمنشأة"))</f>
        <v/>
      </c>
      <c r="M45" s="3" t="str">
        <f>IF(C45="","",COUNTIFS('[2]سجل الحضور والتنفيذ'!E:E,B45,'[2]سجل الحضور والتنفيذ'!H:H,"حاضر"))</f>
        <v/>
      </c>
      <c r="N45" s="7" t="str">
        <f>IF(OR(C45="",L45=0),"",M45/L45)</f>
        <v/>
      </c>
      <c r="O45" s="3" t="str">
        <f>IF(C45="","",SUMPRODUCT(('[2]سجل الحضور والتنفيذ'!E:E=B45)*('[2]سجل الحضور والتنفيذ'!H:H="حاضر")*('[2]سجل الحضور والتنفيذ'!G:G)))</f>
        <v/>
      </c>
      <c r="P45" s="3" t="str">
        <f ca="1">IF(C45="","",IF(G45&lt;&gt;"موظف جديد " &amp; 'الإعدادات والمستهدفات'!B4,"—",IF(COUNTIFS('[2]سجل الحضور والتنفيذ'!E:E,B45,'[2]سجل الحضور والتنفيذ'!A:A,"PSY-OR-01",'[2]سجل الحضور والتنفيذ'!H:H,"حاضر")&gt;0,"مستوفى",IF(AND(F45&lt;&gt;"",TODAY()&gt;F45+'الإعدادات والمستهدفات'!B9),"متأخر عن المهلة","خلال المهلة"))))</f>
        <v/>
      </c>
    </row>
    <row r="46" spans="1:16" x14ac:dyDescent="0.2">
      <c r="A46" s="3" t="str">
        <f>IF(C46="","",ROW()-3)</f>
        <v/>
      </c>
      <c r="B46" s="3"/>
      <c r="C46" s="3"/>
      <c r="D46" s="3"/>
      <c r="E46" s="3"/>
      <c r="F46" s="3"/>
      <c r="G46" s="3" t="str">
        <f>IF(C46="","",IF(F46="","موظف قائم",IF(YEAR(F46)&gt;='الإعدادات والمستهدفات'!B4,"موظف جديد " &amp; 'الإعدادات والمستهدفات'!B4,"موظف قائم")))</f>
        <v/>
      </c>
      <c r="H46" s="7"/>
      <c r="I46" s="3" t="str">
        <f>IF(C46="","",IF(OR(H46="",H46=0),"لم يُقيَّم","مُقيَّم"))</f>
        <v/>
      </c>
      <c r="J46" s="3" t="str">
        <f>IF(C46="","",IF(I46="لم يُقيَّم","يحتاج تقييم عاجل",IF(H46&lt;'الإعدادات والمستهدفات'!B5,"احتياج مرتفع جداً",IF(H46&lt;'الإعدادات والمستهدفات'!B6,"احتياج متوسط","احتياج منخفض"))))</f>
        <v/>
      </c>
      <c r="K46" s="3" t="str">
        <f>IF(C46="","",IF(OR(J46="يحتاج تقييم عاجل",J46="احتياج مرتفع جداً"),"أولوية قصوى (1)",IF(J46="احتياج متوسط","أولوية متوسطة (2)","أولوية عادية (3)")))</f>
        <v/>
      </c>
      <c r="L46" s="3" t="str">
        <f>IF(C46="","",COUNTIF('[1]الخطة التدريبية المعتمدة'!E:E,E46)+COUNTIF('[1]الخطة التدريبية المعتمدة'!E:E,"جميع العاملين بالمنشأة"))</f>
        <v/>
      </c>
      <c r="M46" s="3" t="str">
        <f>IF(C46="","",COUNTIFS('[2]سجل الحضور والتنفيذ'!E:E,B46,'[2]سجل الحضور والتنفيذ'!H:H,"حاضر"))</f>
        <v/>
      </c>
      <c r="N46" s="7" t="str">
        <f>IF(OR(C46="",L46=0),"",M46/L46)</f>
        <v/>
      </c>
      <c r="O46" s="3" t="str">
        <f>IF(C46="","",SUMPRODUCT(('[2]سجل الحضور والتنفيذ'!E:E=B46)*('[2]سجل الحضور والتنفيذ'!H:H="حاضر")*('[2]سجل الحضور والتنفيذ'!G:G)))</f>
        <v/>
      </c>
      <c r="P46" s="3" t="str">
        <f ca="1">IF(C46="","",IF(G46&lt;&gt;"موظف جديد " &amp; 'الإعدادات والمستهدفات'!B4,"—",IF(COUNTIFS('[2]سجل الحضور والتنفيذ'!E:E,B46,'[2]سجل الحضور والتنفيذ'!A:A,"PSY-OR-01",'[2]سجل الحضور والتنفيذ'!H:H,"حاضر")&gt;0,"مستوفى",IF(AND(F46&lt;&gt;"",TODAY()&gt;F46+'الإعدادات والمستهدفات'!B9),"متأخر عن المهلة","خلال المهلة"))))</f>
        <v/>
      </c>
    </row>
    <row r="47" spans="1:16" x14ac:dyDescent="0.2">
      <c r="A47" s="3" t="str">
        <f>IF(C47="","",ROW()-3)</f>
        <v/>
      </c>
      <c r="B47" s="3"/>
      <c r="C47" s="3"/>
      <c r="D47" s="3"/>
      <c r="E47" s="3"/>
      <c r="F47" s="3"/>
      <c r="G47" s="3" t="str">
        <f>IF(C47="","",IF(F47="","موظف قائم",IF(YEAR(F47)&gt;='الإعدادات والمستهدفات'!B4,"موظف جديد " &amp; 'الإعدادات والمستهدفات'!B4,"موظف قائم")))</f>
        <v/>
      </c>
      <c r="H47" s="7"/>
      <c r="I47" s="3" t="str">
        <f>IF(C47="","",IF(OR(H47="",H47=0),"لم يُقيَّم","مُقيَّم"))</f>
        <v/>
      </c>
      <c r="J47" s="3" t="str">
        <f>IF(C47="","",IF(I47="لم يُقيَّم","يحتاج تقييم عاجل",IF(H47&lt;'الإعدادات والمستهدفات'!B5,"احتياج مرتفع جداً",IF(H47&lt;'الإعدادات والمستهدفات'!B6,"احتياج متوسط","احتياج منخفض"))))</f>
        <v/>
      </c>
      <c r="K47" s="3" t="str">
        <f>IF(C47="","",IF(OR(J47="يحتاج تقييم عاجل",J47="احتياج مرتفع جداً"),"أولوية قصوى (1)",IF(J47="احتياج متوسط","أولوية متوسطة (2)","أولوية عادية (3)")))</f>
        <v/>
      </c>
      <c r="L47" s="3" t="str">
        <f>IF(C47="","",COUNTIF('[1]الخطة التدريبية المعتمدة'!E:E,E47)+COUNTIF('[1]الخطة التدريبية المعتمدة'!E:E,"جميع العاملين بالمنشأة"))</f>
        <v/>
      </c>
      <c r="M47" s="3" t="str">
        <f>IF(C47="","",COUNTIFS('[2]سجل الحضور والتنفيذ'!E:E,B47,'[2]سجل الحضور والتنفيذ'!H:H,"حاضر"))</f>
        <v/>
      </c>
      <c r="N47" s="7" t="str">
        <f>IF(OR(C47="",L47=0),"",M47/L47)</f>
        <v/>
      </c>
      <c r="O47" s="3" t="str">
        <f>IF(C47="","",SUMPRODUCT(('[2]سجل الحضور والتنفيذ'!E:E=B47)*('[2]سجل الحضور والتنفيذ'!H:H="حاضر")*('[2]سجل الحضور والتنفيذ'!G:G)))</f>
        <v/>
      </c>
      <c r="P47" s="3" t="str">
        <f ca="1">IF(C47="","",IF(G47&lt;&gt;"موظف جديد " &amp; 'الإعدادات والمستهدفات'!B4,"—",IF(COUNTIFS('[2]سجل الحضور والتنفيذ'!E:E,B47,'[2]سجل الحضور والتنفيذ'!A:A,"PSY-OR-01",'[2]سجل الحضور والتنفيذ'!H:H,"حاضر")&gt;0,"مستوفى",IF(AND(F47&lt;&gt;"",TODAY()&gt;F47+'الإعدادات والمستهدفات'!B9),"متأخر عن المهلة","خلال المهلة"))))</f>
        <v/>
      </c>
    </row>
    <row r="48" spans="1:16" x14ac:dyDescent="0.2">
      <c r="A48" s="3" t="str">
        <f>IF(C48="","",ROW()-3)</f>
        <v/>
      </c>
      <c r="B48" s="3"/>
      <c r="C48" s="3"/>
      <c r="D48" s="3"/>
      <c r="E48" s="3"/>
      <c r="F48" s="3"/>
      <c r="G48" s="3" t="str">
        <f>IF(C48="","",IF(F48="","موظف قائم",IF(YEAR(F48)&gt;='الإعدادات والمستهدفات'!B4,"موظف جديد " &amp; 'الإعدادات والمستهدفات'!B4,"موظف قائم")))</f>
        <v/>
      </c>
      <c r="H48" s="7"/>
      <c r="I48" s="3" t="str">
        <f>IF(C48="","",IF(OR(H48="",H48=0),"لم يُقيَّم","مُقيَّم"))</f>
        <v/>
      </c>
      <c r="J48" s="3" t="str">
        <f>IF(C48="","",IF(I48="لم يُقيَّم","يحتاج تقييم عاجل",IF(H48&lt;'الإعدادات والمستهدفات'!B5,"احتياج مرتفع جداً",IF(H48&lt;'الإعدادات والمستهدفات'!B6,"احتياج متوسط","احتياج منخفض"))))</f>
        <v/>
      </c>
      <c r="K48" s="3" t="str">
        <f>IF(C48="","",IF(OR(J48="يحتاج تقييم عاجل",J48="احتياج مرتفع جداً"),"أولوية قصوى (1)",IF(J48="احتياج متوسط","أولوية متوسطة (2)","أولوية عادية (3)")))</f>
        <v/>
      </c>
      <c r="L48" s="3" t="str">
        <f>IF(C48="","",COUNTIF('[1]الخطة التدريبية المعتمدة'!E:E,E48)+COUNTIF('[1]الخطة التدريبية المعتمدة'!E:E,"جميع العاملين بالمنشأة"))</f>
        <v/>
      </c>
      <c r="M48" s="3" t="str">
        <f>IF(C48="","",COUNTIFS('[2]سجل الحضور والتنفيذ'!E:E,B48,'[2]سجل الحضور والتنفيذ'!H:H,"حاضر"))</f>
        <v/>
      </c>
      <c r="N48" s="7" t="str">
        <f>IF(OR(C48="",L48=0),"",M48/L48)</f>
        <v/>
      </c>
      <c r="O48" s="3" t="str">
        <f>IF(C48="","",SUMPRODUCT(('[2]سجل الحضور والتنفيذ'!E:E=B48)*('[2]سجل الحضور والتنفيذ'!H:H="حاضر")*('[2]سجل الحضور والتنفيذ'!G:G)))</f>
        <v/>
      </c>
      <c r="P48" s="3" t="str">
        <f ca="1">IF(C48="","",IF(G48&lt;&gt;"موظف جديد " &amp; 'الإعدادات والمستهدفات'!B4,"—",IF(COUNTIFS('[2]سجل الحضور والتنفيذ'!E:E,B48,'[2]سجل الحضور والتنفيذ'!A:A,"PSY-OR-01",'[2]سجل الحضور والتنفيذ'!H:H,"حاضر")&gt;0,"مستوفى",IF(AND(F48&lt;&gt;"",TODAY()&gt;F48+'الإعدادات والمستهدفات'!B9),"متأخر عن المهلة","خلال المهلة"))))</f>
        <v/>
      </c>
    </row>
    <row r="49" spans="1:16" x14ac:dyDescent="0.2">
      <c r="A49" s="3" t="str">
        <f>IF(C49="","",ROW()-3)</f>
        <v/>
      </c>
      <c r="B49" s="3"/>
      <c r="C49" s="3"/>
      <c r="D49" s="3"/>
      <c r="E49" s="3"/>
      <c r="F49" s="3"/>
      <c r="G49" s="3" t="str">
        <f>IF(C49="","",IF(F49="","موظف قائم",IF(YEAR(F49)&gt;='الإعدادات والمستهدفات'!B4,"موظف جديد " &amp; 'الإعدادات والمستهدفات'!B4,"موظف قائم")))</f>
        <v/>
      </c>
      <c r="H49" s="7"/>
      <c r="I49" s="3" t="str">
        <f>IF(C49="","",IF(OR(H49="",H49=0),"لم يُقيَّم","مُقيَّم"))</f>
        <v/>
      </c>
      <c r="J49" s="3" t="str">
        <f>IF(C49="","",IF(I49="لم يُقيَّم","يحتاج تقييم عاجل",IF(H49&lt;'الإعدادات والمستهدفات'!B5,"احتياج مرتفع جداً",IF(H49&lt;'الإعدادات والمستهدفات'!B6,"احتياج متوسط","احتياج منخفض"))))</f>
        <v/>
      </c>
      <c r="K49" s="3" t="str">
        <f>IF(C49="","",IF(OR(J49="يحتاج تقييم عاجل",J49="احتياج مرتفع جداً"),"أولوية قصوى (1)",IF(J49="احتياج متوسط","أولوية متوسطة (2)","أولوية عادية (3)")))</f>
        <v/>
      </c>
      <c r="L49" s="3" t="str">
        <f>IF(C49="","",COUNTIF('[1]الخطة التدريبية المعتمدة'!E:E,E49)+COUNTIF('[1]الخطة التدريبية المعتمدة'!E:E,"جميع العاملين بالمنشأة"))</f>
        <v/>
      </c>
      <c r="M49" s="3" t="str">
        <f>IF(C49="","",COUNTIFS('[2]سجل الحضور والتنفيذ'!E:E,B49,'[2]سجل الحضور والتنفيذ'!H:H,"حاضر"))</f>
        <v/>
      </c>
      <c r="N49" s="7" t="str">
        <f>IF(OR(C49="",L49=0),"",M49/L49)</f>
        <v/>
      </c>
      <c r="O49" s="3" t="str">
        <f>IF(C49="","",SUMPRODUCT(('[2]سجل الحضور والتنفيذ'!E:E=B49)*('[2]سجل الحضور والتنفيذ'!H:H="حاضر")*('[2]سجل الحضور والتنفيذ'!G:G)))</f>
        <v/>
      </c>
      <c r="P49" s="3" t="str">
        <f ca="1">IF(C49="","",IF(G49&lt;&gt;"موظف جديد " &amp; 'الإعدادات والمستهدفات'!B4,"—",IF(COUNTIFS('[2]سجل الحضور والتنفيذ'!E:E,B49,'[2]سجل الحضور والتنفيذ'!A:A,"PSY-OR-01",'[2]سجل الحضور والتنفيذ'!H:H,"حاضر")&gt;0,"مستوفى",IF(AND(F49&lt;&gt;"",TODAY()&gt;F49+'الإعدادات والمستهدفات'!B9),"متأخر عن المهلة","خلال المهلة"))))</f>
        <v/>
      </c>
    </row>
    <row r="50" spans="1:16" x14ac:dyDescent="0.2">
      <c r="A50" s="3" t="str">
        <f>IF(C50="","",ROW()-3)</f>
        <v/>
      </c>
      <c r="B50" s="3"/>
      <c r="C50" s="3"/>
      <c r="D50" s="3"/>
      <c r="E50" s="3"/>
      <c r="F50" s="3"/>
      <c r="G50" s="3" t="str">
        <f>IF(C50="","",IF(F50="","موظف قائم",IF(YEAR(F50)&gt;='الإعدادات والمستهدفات'!B4,"موظف جديد " &amp; 'الإعدادات والمستهدفات'!B4,"موظف قائم")))</f>
        <v/>
      </c>
      <c r="H50" s="7"/>
      <c r="I50" s="3" t="str">
        <f>IF(C50="","",IF(OR(H50="",H50=0),"لم يُقيَّم","مُقيَّم"))</f>
        <v/>
      </c>
      <c r="J50" s="3" t="str">
        <f>IF(C50="","",IF(I50="لم يُقيَّم","يحتاج تقييم عاجل",IF(H50&lt;'الإعدادات والمستهدفات'!B5,"احتياج مرتفع جداً",IF(H50&lt;'الإعدادات والمستهدفات'!B6,"احتياج متوسط","احتياج منخفض"))))</f>
        <v/>
      </c>
      <c r="K50" s="3" t="str">
        <f>IF(C50="","",IF(OR(J50="يحتاج تقييم عاجل",J50="احتياج مرتفع جداً"),"أولوية قصوى (1)",IF(J50="احتياج متوسط","أولوية متوسطة (2)","أولوية عادية (3)")))</f>
        <v/>
      </c>
      <c r="L50" s="3" t="str">
        <f>IF(C50="","",COUNTIF('[1]الخطة التدريبية المعتمدة'!E:E,E50)+COUNTIF('[1]الخطة التدريبية المعتمدة'!E:E,"جميع العاملين بالمنشأة"))</f>
        <v/>
      </c>
      <c r="M50" s="3" t="str">
        <f>IF(C50="","",COUNTIFS('[2]سجل الحضور والتنفيذ'!E:E,B50,'[2]سجل الحضور والتنفيذ'!H:H,"حاضر"))</f>
        <v/>
      </c>
      <c r="N50" s="7" t="str">
        <f>IF(OR(C50="",L50=0),"",M50/L50)</f>
        <v/>
      </c>
      <c r="O50" s="3" t="str">
        <f>IF(C50="","",SUMPRODUCT(('[2]سجل الحضور والتنفيذ'!E:E=B50)*('[2]سجل الحضور والتنفيذ'!H:H="حاضر")*('[2]سجل الحضور والتنفيذ'!G:G)))</f>
        <v/>
      </c>
      <c r="P50" s="3" t="str">
        <f ca="1">IF(C50="","",IF(G50&lt;&gt;"موظف جديد " &amp; 'الإعدادات والمستهدفات'!B4,"—",IF(COUNTIFS('[2]سجل الحضور والتنفيذ'!E:E,B50,'[2]سجل الحضور والتنفيذ'!A:A,"PSY-OR-01",'[2]سجل الحضور والتنفيذ'!H:H,"حاضر")&gt;0,"مستوفى",IF(AND(F50&lt;&gt;"",TODAY()&gt;F50+'الإعدادات والمستهدفات'!B9),"متأخر عن المهلة","خلال المهلة"))))</f>
        <v/>
      </c>
    </row>
    <row r="51" spans="1:16" x14ac:dyDescent="0.2">
      <c r="A51" s="3" t="str">
        <f>IF(C51="","",ROW()-3)</f>
        <v/>
      </c>
      <c r="B51" s="3"/>
      <c r="C51" s="3"/>
      <c r="D51" s="3"/>
      <c r="E51" s="3"/>
      <c r="F51" s="3"/>
      <c r="G51" s="3" t="str">
        <f>IF(C51="","",IF(F51="","موظف قائم",IF(YEAR(F51)&gt;='الإعدادات والمستهدفات'!B4,"موظف جديد " &amp; 'الإعدادات والمستهدفات'!B4,"موظف قائم")))</f>
        <v/>
      </c>
      <c r="H51" s="7"/>
      <c r="I51" s="3" t="str">
        <f>IF(C51="","",IF(OR(H51="",H51=0),"لم يُقيَّم","مُقيَّم"))</f>
        <v/>
      </c>
      <c r="J51" s="3" t="str">
        <f>IF(C51="","",IF(I51="لم يُقيَّم","يحتاج تقييم عاجل",IF(H51&lt;'الإعدادات والمستهدفات'!B5,"احتياج مرتفع جداً",IF(H51&lt;'الإعدادات والمستهدفات'!B6,"احتياج متوسط","احتياج منخفض"))))</f>
        <v/>
      </c>
      <c r="K51" s="3" t="str">
        <f>IF(C51="","",IF(OR(J51="يحتاج تقييم عاجل",J51="احتياج مرتفع جداً"),"أولوية قصوى (1)",IF(J51="احتياج متوسط","أولوية متوسطة (2)","أولوية عادية (3)")))</f>
        <v/>
      </c>
      <c r="L51" s="3" t="str">
        <f>IF(C51="","",COUNTIF('[1]الخطة التدريبية المعتمدة'!E:E,E51)+COUNTIF('[1]الخطة التدريبية المعتمدة'!E:E,"جميع العاملين بالمنشأة"))</f>
        <v/>
      </c>
      <c r="M51" s="3" t="str">
        <f>IF(C51="","",COUNTIFS('[2]سجل الحضور والتنفيذ'!E:E,B51,'[2]سجل الحضور والتنفيذ'!H:H,"حاضر"))</f>
        <v/>
      </c>
      <c r="N51" s="7" t="str">
        <f>IF(OR(C51="",L51=0),"",M51/L51)</f>
        <v/>
      </c>
      <c r="O51" s="3" t="str">
        <f>IF(C51="","",SUMPRODUCT(('[2]سجل الحضور والتنفيذ'!E:E=B51)*('[2]سجل الحضور والتنفيذ'!H:H="حاضر")*('[2]سجل الحضور والتنفيذ'!G:G)))</f>
        <v/>
      </c>
      <c r="P51" s="3" t="str">
        <f ca="1">IF(C51="","",IF(G51&lt;&gt;"موظف جديد " &amp; 'الإعدادات والمستهدفات'!B4,"—",IF(COUNTIFS('[2]سجل الحضور والتنفيذ'!E:E,B51,'[2]سجل الحضور والتنفيذ'!A:A,"PSY-OR-01",'[2]سجل الحضور والتنفيذ'!H:H,"حاضر")&gt;0,"مستوفى",IF(AND(F51&lt;&gt;"",TODAY()&gt;F51+'الإعدادات والمستهدفات'!B9),"متأخر عن المهلة","خلال المهلة"))))</f>
        <v/>
      </c>
    </row>
    <row r="52" spans="1:16" x14ac:dyDescent="0.2">
      <c r="A52" s="3" t="str">
        <f>IF(C52="","",ROW()-3)</f>
        <v/>
      </c>
      <c r="B52" s="3"/>
      <c r="C52" s="3"/>
      <c r="D52" s="3"/>
      <c r="E52" s="3"/>
      <c r="F52" s="3"/>
      <c r="G52" s="3" t="str">
        <f>IF(C52="","",IF(F52="","موظف قائم",IF(YEAR(F52)&gt;='الإعدادات والمستهدفات'!B4,"موظف جديد " &amp; 'الإعدادات والمستهدفات'!B4,"موظف قائم")))</f>
        <v/>
      </c>
      <c r="H52" s="7"/>
      <c r="I52" s="3" t="str">
        <f>IF(C52="","",IF(OR(H52="",H52=0),"لم يُقيَّم","مُقيَّم"))</f>
        <v/>
      </c>
      <c r="J52" s="3" t="str">
        <f>IF(C52="","",IF(I52="لم يُقيَّم","يحتاج تقييم عاجل",IF(H52&lt;'الإعدادات والمستهدفات'!B5,"احتياج مرتفع جداً",IF(H52&lt;'الإعدادات والمستهدفات'!B6,"احتياج متوسط","احتياج منخفض"))))</f>
        <v/>
      </c>
      <c r="K52" s="3" t="str">
        <f>IF(C52="","",IF(OR(J52="يحتاج تقييم عاجل",J52="احتياج مرتفع جداً"),"أولوية قصوى (1)",IF(J52="احتياج متوسط","أولوية متوسطة (2)","أولوية عادية (3)")))</f>
        <v/>
      </c>
      <c r="L52" s="3" t="str">
        <f>IF(C52="","",COUNTIF('[1]الخطة التدريبية المعتمدة'!E:E,E52)+COUNTIF('[1]الخطة التدريبية المعتمدة'!E:E,"جميع العاملين بالمنشأة"))</f>
        <v/>
      </c>
      <c r="M52" s="3" t="str">
        <f>IF(C52="","",COUNTIFS('[2]سجل الحضور والتنفيذ'!E:E,B52,'[2]سجل الحضور والتنفيذ'!H:H,"حاضر"))</f>
        <v/>
      </c>
      <c r="N52" s="7" t="str">
        <f>IF(OR(C52="",L52=0),"",M52/L52)</f>
        <v/>
      </c>
      <c r="O52" s="3" t="str">
        <f>IF(C52="","",SUMPRODUCT(('[2]سجل الحضور والتنفيذ'!E:E=B52)*('[2]سجل الحضور والتنفيذ'!H:H="حاضر")*('[2]سجل الحضور والتنفيذ'!G:G)))</f>
        <v/>
      </c>
      <c r="P52" s="3" t="str">
        <f ca="1">IF(C52="","",IF(G52&lt;&gt;"موظف جديد " &amp; 'الإعدادات والمستهدفات'!B4,"—",IF(COUNTIFS('[2]سجل الحضور والتنفيذ'!E:E,B52,'[2]سجل الحضور والتنفيذ'!A:A,"PSY-OR-01",'[2]سجل الحضور والتنفيذ'!H:H,"حاضر")&gt;0,"مستوفى",IF(AND(F52&lt;&gt;"",TODAY()&gt;F52+'الإعدادات والمستهدفات'!B9),"متأخر عن المهلة","خلال المهلة"))))</f>
        <v/>
      </c>
    </row>
    <row r="53" spans="1:16" x14ac:dyDescent="0.2">
      <c r="A53" s="3" t="str">
        <f>IF(C53="","",ROW()-3)</f>
        <v/>
      </c>
      <c r="B53" s="3"/>
      <c r="C53" s="3"/>
      <c r="D53" s="3"/>
      <c r="E53" s="3"/>
      <c r="F53" s="3"/>
      <c r="G53" s="3" t="str">
        <f>IF(C53="","",IF(F53="","موظف قائم",IF(YEAR(F53)&gt;='الإعدادات والمستهدفات'!B4,"موظف جديد " &amp; 'الإعدادات والمستهدفات'!B4,"موظف قائم")))</f>
        <v/>
      </c>
      <c r="H53" s="7"/>
      <c r="I53" s="3" t="str">
        <f>IF(C53="","",IF(OR(H53="",H53=0),"لم يُقيَّم","مُقيَّم"))</f>
        <v/>
      </c>
      <c r="J53" s="3" t="str">
        <f>IF(C53="","",IF(I53="لم يُقيَّم","يحتاج تقييم عاجل",IF(H53&lt;'الإعدادات والمستهدفات'!B5,"احتياج مرتفع جداً",IF(H53&lt;'الإعدادات والمستهدفات'!B6,"احتياج متوسط","احتياج منخفض"))))</f>
        <v/>
      </c>
      <c r="K53" s="3" t="str">
        <f>IF(C53="","",IF(OR(J53="يحتاج تقييم عاجل",J53="احتياج مرتفع جداً"),"أولوية قصوى (1)",IF(J53="احتياج متوسط","أولوية متوسطة (2)","أولوية عادية (3)")))</f>
        <v/>
      </c>
      <c r="L53" s="3" t="str">
        <f>IF(C53="","",COUNTIF('[1]الخطة التدريبية المعتمدة'!E:E,E53)+COUNTIF('[1]الخطة التدريبية المعتمدة'!E:E,"جميع العاملين بالمنشأة"))</f>
        <v/>
      </c>
      <c r="M53" s="3" t="str">
        <f>IF(C53="","",COUNTIFS('[2]سجل الحضور والتنفيذ'!E:E,B53,'[2]سجل الحضور والتنفيذ'!H:H,"حاضر"))</f>
        <v/>
      </c>
      <c r="N53" s="7" t="str">
        <f>IF(OR(C53="",L53=0),"",M53/L53)</f>
        <v/>
      </c>
      <c r="O53" s="3" t="str">
        <f>IF(C53="","",SUMPRODUCT(('[2]سجل الحضور والتنفيذ'!E:E=B53)*('[2]سجل الحضور والتنفيذ'!H:H="حاضر")*('[2]سجل الحضور والتنفيذ'!G:G)))</f>
        <v/>
      </c>
      <c r="P53" s="3" t="str">
        <f ca="1">IF(C53="","",IF(G53&lt;&gt;"موظف جديد " &amp; 'الإعدادات والمستهدفات'!B4,"—",IF(COUNTIFS('[2]سجل الحضور والتنفيذ'!E:E,B53,'[2]سجل الحضور والتنفيذ'!A:A,"PSY-OR-01",'[2]سجل الحضور والتنفيذ'!H:H,"حاضر")&gt;0,"مستوفى",IF(AND(F53&lt;&gt;"",TODAY()&gt;F53+'الإعدادات والمستهدفات'!B9),"متأخر عن المهلة","خلال المهلة"))))</f>
        <v/>
      </c>
    </row>
    <row r="54" spans="1:16" x14ac:dyDescent="0.2">
      <c r="A54" s="3" t="str">
        <f>IF(C54="","",ROW()-3)</f>
        <v/>
      </c>
      <c r="B54" s="3"/>
      <c r="C54" s="3"/>
      <c r="D54" s="3"/>
      <c r="E54" s="3"/>
      <c r="F54" s="3"/>
      <c r="G54" s="3" t="str">
        <f>IF(C54="","",IF(F54="","موظف قائم",IF(YEAR(F54)&gt;='الإعدادات والمستهدفات'!B4,"موظف جديد " &amp; 'الإعدادات والمستهدفات'!B4,"موظف قائم")))</f>
        <v/>
      </c>
      <c r="H54" s="7"/>
      <c r="I54" s="3" t="str">
        <f>IF(C54="","",IF(OR(H54="",H54=0),"لم يُقيَّم","مُقيَّم"))</f>
        <v/>
      </c>
      <c r="J54" s="3" t="str">
        <f>IF(C54="","",IF(I54="لم يُقيَّم","يحتاج تقييم عاجل",IF(H54&lt;'الإعدادات والمستهدفات'!B5,"احتياج مرتفع جداً",IF(H54&lt;'الإعدادات والمستهدفات'!B6,"احتياج متوسط","احتياج منخفض"))))</f>
        <v/>
      </c>
      <c r="K54" s="3" t="str">
        <f>IF(C54="","",IF(OR(J54="يحتاج تقييم عاجل",J54="احتياج مرتفع جداً"),"أولوية قصوى (1)",IF(J54="احتياج متوسط","أولوية متوسطة (2)","أولوية عادية (3)")))</f>
        <v/>
      </c>
      <c r="L54" s="3" t="str">
        <f>IF(C54="","",COUNTIF('[1]الخطة التدريبية المعتمدة'!E:E,E54)+COUNTIF('[1]الخطة التدريبية المعتمدة'!E:E,"جميع العاملين بالمنشأة"))</f>
        <v/>
      </c>
      <c r="M54" s="3" t="str">
        <f>IF(C54="","",COUNTIFS('[2]سجل الحضور والتنفيذ'!E:E,B54,'[2]سجل الحضور والتنفيذ'!H:H,"حاضر"))</f>
        <v/>
      </c>
      <c r="N54" s="7" t="str">
        <f>IF(OR(C54="",L54=0),"",M54/L54)</f>
        <v/>
      </c>
      <c r="O54" s="3" t="str">
        <f>IF(C54="","",SUMPRODUCT(('[2]سجل الحضور والتنفيذ'!E:E=B54)*('[2]سجل الحضور والتنفيذ'!H:H="حاضر")*('[2]سجل الحضور والتنفيذ'!G:G)))</f>
        <v/>
      </c>
      <c r="P54" s="3" t="str">
        <f ca="1">IF(C54="","",IF(G54&lt;&gt;"موظف جديد " &amp; 'الإعدادات والمستهدفات'!B4,"—",IF(COUNTIFS('[2]سجل الحضور والتنفيذ'!E:E,B54,'[2]سجل الحضور والتنفيذ'!A:A,"PSY-OR-01",'[2]سجل الحضور والتنفيذ'!H:H,"حاضر")&gt;0,"مستوفى",IF(AND(F54&lt;&gt;"",TODAY()&gt;F54+'الإعدادات والمستهدفات'!B9),"متأخر عن المهلة","خلال المهلة"))))</f>
        <v/>
      </c>
    </row>
    <row r="55" spans="1:16" x14ac:dyDescent="0.2">
      <c r="A55" s="3" t="str">
        <f>IF(C55="","",ROW()-3)</f>
        <v/>
      </c>
      <c r="B55" s="3"/>
      <c r="C55" s="3"/>
      <c r="D55" s="3"/>
      <c r="E55" s="3"/>
      <c r="F55" s="3"/>
      <c r="G55" s="3" t="str">
        <f>IF(C55="","",IF(F55="","موظف قائم",IF(YEAR(F55)&gt;='الإعدادات والمستهدفات'!B4,"موظف جديد " &amp; 'الإعدادات والمستهدفات'!B4,"موظف قائم")))</f>
        <v/>
      </c>
      <c r="H55" s="7"/>
      <c r="I55" s="3" t="str">
        <f>IF(C55="","",IF(OR(H55="",H55=0),"لم يُقيَّم","مُقيَّم"))</f>
        <v/>
      </c>
      <c r="J55" s="3" t="str">
        <f>IF(C55="","",IF(I55="لم يُقيَّم","يحتاج تقييم عاجل",IF(H55&lt;'الإعدادات والمستهدفات'!B5,"احتياج مرتفع جداً",IF(H55&lt;'الإعدادات والمستهدفات'!B6,"احتياج متوسط","احتياج منخفض"))))</f>
        <v/>
      </c>
      <c r="K55" s="3" t="str">
        <f>IF(C55="","",IF(OR(J55="يحتاج تقييم عاجل",J55="احتياج مرتفع جداً"),"أولوية قصوى (1)",IF(J55="احتياج متوسط","أولوية متوسطة (2)","أولوية عادية (3)")))</f>
        <v/>
      </c>
      <c r="L55" s="3" t="str">
        <f>IF(C55="","",COUNTIF('[1]الخطة التدريبية المعتمدة'!E:E,E55)+COUNTIF('[1]الخطة التدريبية المعتمدة'!E:E,"جميع العاملين بالمنشأة"))</f>
        <v/>
      </c>
      <c r="M55" s="3" t="str">
        <f>IF(C55="","",COUNTIFS('[2]سجل الحضور والتنفيذ'!E:E,B55,'[2]سجل الحضور والتنفيذ'!H:H,"حاضر"))</f>
        <v/>
      </c>
      <c r="N55" s="7" t="str">
        <f>IF(OR(C55="",L55=0),"",M55/L55)</f>
        <v/>
      </c>
      <c r="O55" s="3" t="str">
        <f>IF(C55="","",SUMPRODUCT(('[2]سجل الحضور والتنفيذ'!E:E=B55)*('[2]سجل الحضور والتنفيذ'!H:H="حاضر")*('[2]سجل الحضور والتنفيذ'!G:G)))</f>
        <v/>
      </c>
      <c r="P55" s="3" t="str">
        <f ca="1">IF(C55="","",IF(G55&lt;&gt;"موظف جديد " &amp; 'الإعدادات والمستهدفات'!B4,"—",IF(COUNTIFS('[2]سجل الحضور والتنفيذ'!E:E,B55,'[2]سجل الحضور والتنفيذ'!A:A,"PSY-OR-01",'[2]سجل الحضور والتنفيذ'!H:H,"حاضر")&gt;0,"مستوفى",IF(AND(F55&lt;&gt;"",TODAY()&gt;F55+'الإعدادات والمستهدفات'!B9),"متأخر عن المهلة","خلال المهلة"))))</f>
        <v/>
      </c>
    </row>
    <row r="56" spans="1:16" x14ac:dyDescent="0.2">
      <c r="A56" s="3" t="str">
        <f>IF(C56="","",ROW()-3)</f>
        <v/>
      </c>
      <c r="B56" s="3"/>
      <c r="C56" s="3"/>
      <c r="D56" s="3"/>
      <c r="E56" s="3"/>
      <c r="F56" s="3"/>
      <c r="G56" s="3" t="str">
        <f>IF(C56="","",IF(F56="","موظف قائم",IF(YEAR(F56)&gt;='الإعدادات والمستهدفات'!B4,"موظف جديد " &amp; 'الإعدادات والمستهدفات'!B4,"موظف قائم")))</f>
        <v/>
      </c>
      <c r="H56" s="7"/>
      <c r="I56" s="3" t="str">
        <f>IF(C56="","",IF(OR(H56="",H56=0),"لم يُقيَّم","مُقيَّم"))</f>
        <v/>
      </c>
      <c r="J56" s="3" t="str">
        <f>IF(C56="","",IF(I56="لم يُقيَّم","يحتاج تقييم عاجل",IF(H56&lt;'الإعدادات والمستهدفات'!B5,"احتياج مرتفع جداً",IF(H56&lt;'الإعدادات والمستهدفات'!B6,"احتياج متوسط","احتياج منخفض"))))</f>
        <v/>
      </c>
      <c r="K56" s="3" t="str">
        <f>IF(C56="","",IF(OR(J56="يحتاج تقييم عاجل",J56="احتياج مرتفع جداً"),"أولوية قصوى (1)",IF(J56="احتياج متوسط","أولوية متوسطة (2)","أولوية عادية (3)")))</f>
        <v/>
      </c>
      <c r="L56" s="3" t="str">
        <f>IF(C56="","",COUNTIF('[1]الخطة التدريبية المعتمدة'!E:E,E56)+COUNTIF('[1]الخطة التدريبية المعتمدة'!E:E,"جميع العاملين بالمنشأة"))</f>
        <v/>
      </c>
      <c r="M56" s="3" t="str">
        <f>IF(C56="","",COUNTIFS('[2]سجل الحضور والتنفيذ'!E:E,B56,'[2]سجل الحضور والتنفيذ'!H:H,"حاضر"))</f>
        <v/>
      </c>
      <c r="N56" s="7" t="str">
        <f>IF(OR(C56="",L56=0),"",M56/L56)</f>
        <v/>
      </c>
      <c r="O56" s="3" t="str">
        <f>IF(C56="","",SUMPRODUCT(('[2]سجل الحضور والتنفيذ'!E:E=B56)*('[2]سجل الحضور والتنفيذ'!H:H="حاضر")*('[2]سجل الحضور والتنفيذ'!G:G)))</f>
        <v/>
      </c>
      <c r="P56" s="3" t="str">
        <f ca="1">IF(C56="","",IF(G56&lt;&gt;"موظف جديد " &amp; 'الإعدادات والمستهدفات'!B4,"—",IF(COUNTIFS('[2]سجل الحضور والتنفيذ'!E:E,B56,'[2]سجل الحضور والتنفيذ'!A:A,"PSY-OR-01",'[2]سجل الحضور والتنفيذ'!H:H,"حاضر")&gt;0,"مستوفى",IF(AND(F56&lt;&gt;"",TODAY()&gt;F56+'الإعدادات والمستهدفات'!B9),"متأخر عن المهلة","خلال المهلة"))))</f>
        <v/>
      </c>
    </row>
    <row r="57" spans="1:16" x14ac:dyDescent="0.2">
      <c r="A57" s="3" t="str">
        <f>IF(C57="","",ROW()-3)</f>
        <v/>
      </c>
      <c r="B57" s="3"/>
      <c r="C57" s="3"/>
      <c r="D57" s="3"/>
      <c r="E57" s="3"/>
      <c r="F57" s="3"/>
      <c r="G57" s="3" t="str">
        <f>IF(C57="","",IF(F57="","موظف قائم",IF(YEAR(F57)&gt;='الإعدادات والمستهدفات'!B4,"موظف جديد " &amp; 'الإعدادات والمستهدفات'!B4,"موظف قائم")))</f>
        <v/>
      </c>
      <c r="H57" s="7"/>
      <c r="I57" s="3" t="str">
        <f>IF(C57="","",IF(OR(H57="",H57=0),"لم يُقيَّم","مُقيَّم"))</f>
        <v/>
      </c>
      <c r="J57" s="3" t="str">
        <f>IF(C57="","",IF(I57="لم يُقيَّم","يحتاج تقييم عاجل",IF(H57&lt;'الإعدادات والمستهدفات'!B5,"احتياج مرتفع جداً",IF(H57&lt;'الإعدادات والمستهدفات'!B6,"احتياج متوسط","احتياج منخفض"))))</f>
        <v/>
      </c>
      <c r="K57" s="3" t="str">
        <f>IF(C57="","",IF(OR(J57="يحتاج تقييم عاجل",J57="احتياج مرتفع جداً"),"أولوية قصوى (1)",IF(J57="احتياج متوسط","أولوية متوسطة (2)","أولوية عادية (3)")))</f>
        <v/>
      </c>
      <c r="L57" s="3" t="str">
        <f>IF(C57="","",COUNTIF('[1]الخطة التدريبية المعتمدة'!E:E,E57)+COUNTIF('[1]الخطة التدريبية المعتمدة'!E:E,"جميع العاملين بالمنشأة"))</f>
        <v/>
      </c>
      <c r="M57" s="3" t="str">
        <f>IF(C57="","",COUNTIFS('[2]سجل الحضور والتنفيذ'!E:E,B57,'[2]سجل الحضور والتنفيذ'!H:H,"حاضر"))</f>
        <v/>
      </c>
      <c r="N57" s="7" t="str">
        <f>IF(OR(C57="",L57=0),"",M57/L57)</f>
        <v/>
      </c>
      <c r="O57" s="3" t="str">
        <f>IF(C57="","",SUMPRODUCT(('[2]سجل الحضور والتنفيذ'!E:E=B57)*('[2]سجل الحضور والتنفيذ'!H:H="حاضر")*('[2]سجل الحضور والتنفيذ'!G:G)))</f>
        <v/>
      </c>
      <c r="P57" s="3" t="str">
        <f ca="1">IF(C57="","",IF(G57&lt;&gt;"موظف جديد " &amp; 'الإعدادات والمستهدفات'!B4,"—",IF(COUNTIFS('[2]سجل الحضور والتنفيذ'!E:E,B57,'[2]سجل الحضور والتنفيذ'!A:A,"PSY-OR-01",'[2]سجل الحضور والتنفيذ'!H:H,"حاضر")&gt;0,"مستوفى",IF(AND(F57&lt;&gt;"",TODAY()&gt;F57+'الإعدادات والمستهدفات'!B9),"متأخر عن المهلة","خلال المهلة"))))</f>
        <v/>
      </c>
    </row>
    <row r="58" spans="1:16" x14ac:dyDescent="0.2">
      <c r="A58" s="3" t="str">
        <f>IF(C58="","",ROW()-3)</f>
        <v/>
      </c>
      <c r="B58" s="3"/>
      <c r="C58" s="3"/>
      <c r="D58" s="3"/>
      <c r="E58" s="3"/>
      <c r="F58" s="3"/>
      <c r="G58" s="3" t="str">
        <f>IF(C58="","",IF(F58="","موظف قائم",IF(YEAR(F58)&gt;='الإعدادات والمستهدفات'!B4,"موظف جديد " &amp; 'الإعدادات والمستهدفات'!B4,"موظف قائم")))</f>
        <v/>
      </c>
      <c r="H58" s="7"/>
      <c r="I58" s="3" t="str">
        <f>IF(C58="","",IF(OR(H58="",H58=0),"لم يُقيَّم","مُقيَّم"))</f>
        <v/>
      </c>
      <c r="J58" s="3" t="str">
        <f>IF(C58="","",IF(I58="لم يُقيَّم","يحتاج تقييم عاجل",IF(H58&lt;'الإعدادات والمستهدفات'!B5,"احتياج مرتفع جداً",IF(H58&lt;'الإعدادات والمستهدفات'!B6,"احتياج متوسط","احتياج منخفض"))))</f>
        <v/>
      </c>
      <c r="K58" s="3" t="str">
        <f>IF(C58="","",IF(OR(J58="يحتاج تقييم عاجل",J58="احتياج مرتفع جداً"),"أولوية قصوى (1)",IF(J58="احتياج متوسط","أولوية متوسطة (2)","أولوية عادية (3)")))</f>
        <v/>
      </c>
      <c r="L58" s="3" t="str">
        <f>IF(C58="","",COUNTIF('[1]الخطة التدريبية المعتمدة'!E:E,E58)+COUNTIF('[1]الخطة التدريبية المعتمدة'!E:E,"جميع العاملين بالمنشأة"))</f>
        <v/>
      </c>
      <c r="M58" s="3" t="str">
        <f>IF(C58="","",COUNTIFS('[2]سجل الحضور والتنفيذ'!E:E,B58,'[2]سجل الحضور والتنفيذ'!H:H,"حاضر"))</f>
        <v/>
      </c>
      <c r="N58" s="7" t="str">
        <f>IF(OR(C58="",L58=0),"",M58/L58)</f>
        <v/>
      </c>
      <c r="O58" s="3" t="str">
        <f>IF(C58="","",SUMPRODUCT(('[2]سجل الحضور والتنفيذ'!E:E=B58)*('[2]سجل الحضور والتنفيذ'!H:H="حاضر")*('[2]سجل الحضور والتنفيذ'!G:G)))</f>
        <v/>
      </c>
      <c r="P58" s="3" t="str">
        <f ca="1">IF(C58="","",IF(G58&lt;&gt;"موظف جديد " &amp; 'الإعدادات والمستهدفات'!B4,"—",IF(COUNTIFS('[2]سجل الحضور والتنفيذ'!E:E,B58,'[2]سجل الحضور والتنفيذ'!A:A,"PSY-OR-01",'[2]سجل الحضور والتنفيذ'!H:H,"حاضر")&gt;0,"مستوفى",IF(AND(F58&lt;&gt;"",TODAY()&gt;F58+'الإعدادات والمستهدفات'!B9),"متأخر عن المهلة","خلال المهلة"))))</f>
        <v/>
      </c>
    </row>
    <row r="59" spans="1:16" x14ac:dyDescent="0.2">
      <c r="A59" s="3" t="str">
        <f>IF(C59="","",ROW()-3)</f>
        <v/>
      </c>
      <c r="B59" s="3"/>
      <c r="C59" s="3"/>
      <c r="D59" s="3"/>
      <c r="E59" s="3"/>
      <c r="F59" s="3"/>
      <c r="G59" s="3" t="str">
        <f>IF(C59="","",IF(F59="","موظف قائم",IF(YEAR(F59)&gt;='الإعدادات والمستهدفات'!B4,"موظف جديد " &amp; 'الإعدادات والمستهدفات'!B4,"موظف قائم")))</f>
        <v/>
      </c>
      <c r="H59" s="7"/>
      <c r="I59" s="3" t="str">
        <f>IF(C59="","",IF(OR(H59="",H59=0),"لم يُقيَّم","مُقيَّم"))</f>
        <v/>
      </c>
      <c r="J59" s="3" t="str">
        <f>IF(C59="","",IF(I59="لم يُقيَّم","يحتاج تقييم عاجل",IF(H59&lt;'الإعدادات والمستهدفات'!B5,"احتياج مرتفع جداً",IF(H59&lt;'الإعدادات والمستهدفات'!B6,"احتياج متوسط","احتياج منخفض"))))</f>
        <v/>
      </c>
      <c r="K59" s="3" t="str">
        <f>IF(C59="","",IF(OR(J59="يحتاج تقييم عاجل",J59="احتياج مرتفع جداً"),"أولوية قصوى (1)",IF(J59="احتياج متوسط","أولوية متوسطة (2)","أولوية عادية (3)")))</f>
        <v/>
      </c>
      <c r="L59" s="3" t="str">
        <f>IF(C59="","",COUNTIF('[1]الخطة التدريبية المعتمدة'!E:E,E59)+COUNTIF('[1]الخطة التدريبية المعتمدة'!E:E,"جميع العاملين بالمنشأة"))</f>
        <v/>
      </c>
      <c r="M59" s="3" t="str">
        <f>IF(C59="","",COUNTIFS('[2]سجل الحضور والتنفيذ'!E:E,B59,'[2]سجل الحضور والتنفيذ'!H:H,"حاضر"))</f>
        <v/>
      </c>
      <c r="N59" s="7" t="str">
        <f>IF(OR(C59="",L59=0),"",M59/L59)</f>
        <v/>
      </c>
      <c r="O59" s="3" t="str">
        <f>IF(C59="","",SUMPRODUCT(('[2]سجل الحضور والتنفيذ'!E:E=B59)*('[2]سجل الحضور والتنفيذ'!H:H="حاضر")*('[2]سجل الحضور والتنفيذ'!G:G)))</f>
        <v/>
      </c>
      <c r="P59" s="3" t="str">
        <f ca="1">IF(C59="","",IF(G59&lt;&gt;"موظف جديد " &amp; 'الإعدادات والمستهدفات'!B4,"—",IF(COUNTIFS('[2]سجل الحضور والتنفيذ'!E:E,B59,'[2]سجل الحضور والتنفيذ'!A:A,"PSY-OR-01",'[2]سجل الحضور والتنفيذ'!H:H,"حاضر")&gt;0,"مستوفى",IF(AND(F59&lt;&gt;"",TODAY()&gt;F59+'الإعدادات والمستهدفات'!B9),"متأخر عن المهلة","خلال المهلة"))))</f>
        <v/>
      </c>
    </row>
    <row r="60" spans="1:16" x14ac:dyDescent="0.2">
      <c r="A60" s="3" t="str">
        <f>IF(C60="","",ROW()-3)</f>
        <v/>
      </c>
      <c r="B60" s="3"/>
      <c r="C60" s="3"/>
      <c r="D60" s="3"/>
      <c r="E60" s="3"/>
      <c r="F60" s="3"/>
      <c r="G60" s="3" t="str">
        <f>IF(C60="","",IF(F60="","موظف قائم",IF(YEAR(F60)&gt;='الإعدادات والمستهدفات'!B4,"موظف جديد " &amp; 'الإعدادات والمستهدفات'!B4,"موظف قائم")))</f>
        <v/>
      </c>
      <c r="H60" s="7"/>
      <c r="I60" s="3" t="str">
        <f>IF(C60="","",IF(OR(H60="",H60=0),"لم يُقيَّم","مُقيَّم"))</f>
        <v/>
      </c>
      <c r="J60" s="3" t="str">
        <f>IF(C60="","",IF(I60="لم يُقيَّم","يحتاج تقييم عاجل",IF(H60&lt;'الإعدادات والمستهدفات'!B5,"احتياج مرتفع جداً",IF(H60&lt;'الإعدادات والمستهدفات'!B6,"احتياج متوسط","احتياج منخفض"))))</f>
        <v/>
      </c>
      <c r="K60" s="3" t="str">
        <f>IF(C60="","",IF(OR(J60="يحتاج تقييم عاجل",J60="احتياج مرتفع جداً"),"أولوية قصوى (1)",IF(J60="احتياج متوسط","أولوية متوسطة (2)","أولوية عادية (3)")))</f>
        <v/>
      </c>
      <c r="L60" s="3" t="str">
        <f>IF(C60="","",COUNTIF('[1]الخطة التدريبية المعتمدة'!E:E,E60)+COUNTIF('[1]الخطة التدريبية المعتمدة'!E:E,"جميع العاملين بالمنشأة"))</f>
        <v/>
      </c>
      <c r="M60" s="3" t="str">
        <f>IF(C60="","",COUNTIFS('[2]سجل الحضور والتنفيذ'!E:E,B60,'[2]سجل الحضور والتنفيذ'!H:H,"حاضر"))</f>
        <v/>
      </c>
      <c r="N60" s="7" t="str">
        <f>IF(OR(C60="",L60=0),"",M60/L60)</f>
        <v/>
      </c>
      <c r="O60" s="3" t="str">
        <f>IF(C60="","",SUMPRODUCT(('[2]سجل الحضور والتنفيذ'!E:E=B60)*('[2]سجل الحضور والتنفيذ'!H:H="حاضر")*('[2]سجل الحضور والتنفيذ'!G:G)))</f>
        <v/>
      </c>
      <c r="P60" s="3" t="str">
        <f ca="1">IF(C60="","",IF(G60&lt;&gt;"موظف جديد " &amp; 'الإعدادات والمستهدفات'!B4,"—",IF(COUNTIFS('[2]سجل الحضور والتنفيذ'!E:E,B60,'[2]سجل الحضور والتنفيذ'!A:A,"PSY-OR-01",'[2]سجل الحضور والتنفيذ'!H:H,"حاضر")&gt;0,"مستوفى",IF(AND(F60&lt;&gt;"",TODAY()&gt;F60+'الإعدادات والمستهدفات'!B9),"متأخر عن المهلة","خلال المهلة"))))</f>
        <v/>
      </c>
    </row>
    <row r="61" spans="1:16" x14ac:dyDescent="0.2">
      <c r="A61" s="3" t="str">
        <f>IF(C61="","",ROW()-3)</f>
        <v/>
      </c>
      <c r="B61" s="3"/>
      <c r="C61" s="3"/>
      <c r="D61" s="3"/>
      <c r="E61" s="3"/>
      <c r="F61" s="3"/>
      <c r="G61" s="3" t="str">
        <f>IF(C61="","",IF(F61="","موظف قائم",IF(YEAR(F61)&gt;='الإعدادات والمستهدفات'!B4,"موظف جديد " &amp; 'الإعدادات والمستهدفات'!B4,"موظف قائم")))</f>
        <v/>
      </c>
      <c r="H61" s="7"/>
      <c r="I61" s="3" t="str">
        <f>IF(C61="","",IF(OR(H61="",H61=0),"لم يُقيَّم","مُقيَّم"))</f>
        <v/>
      </c>
      <c r="J61" s="3" t="str">
        <f>IF(C61="","",IF(I61="لم يُقيَّم","يحتاج تقييم عاجل",IF(H61&lt;'الإعدادات والمستهدفات'!B5,"احتياج مرتفع جداً",IF(H61&lt;'الإعدادات والمستهدفات'!B6,"احتياج متوسط","احتياج منخفض"))))</f>
        <v/>
      </c>
      <c r="K61" s="3" t="str">
        <f>IF(C61="","",IF(OR(J61="يحتاج تقييم عاجل",J61="احتياج مرتفع جداً"),"أولوية قصوى (1)",IF(J61="احتياج متوسط","أولوية متوسطة (2)","أولوية عادية (3)")))</f>
        <v/>
      </c>
      <c r="L61" s="3" t="str">
        <f>IF(C61="","",COUNTIF('[1]الخطة التدريبية المعتمدة'!E:E,E61)+COUNTIF('[1]الخطة التدريبية المعتمدة'!E:E,"جميع العاملين بالمنشأة"))</f>
        <v/>
      </c>
      <c r="M61" s="3" t="str">
        <f>IF(C61="","",COUNTIFS('[2]سجل الحضور والتنفيذ'!E:E,B61,'[2]سجل الحضور والتنفيذ'!H:H,"حاضر"))</f>
        <v/>
      </c>
      <c r="N61" s="7" t="str">
        <f>IF(OR(C61="",L61=0),"",M61/L61)</f>
        <v/>
      </c>
      <c r="O61" s="3" t="str">
        <f>IF(C61="","",SUMPRODUCT(('[2]سجل الحضور والتنفيذ'!E:E=B61)*('[2]سجل الحضور والتنفيذ'!H:H="حاضر")*('[2]سجل الحضور والتنفيذ'!G:G)))</f>
        <v/>
      </c>
      <c r="P61" s="3" t="str">
        <f ca="1">IF(C61="","",IF(G61&lt;&gt;"موظف جديد " &amp; 'الإعدادات والمستهدفات'!B4,"—",IF(COUNTIFS('[2]سجل الحضور والتنفيذ'!E:E,B61,'[2]سجل الحضور والتنفيذ'!A:A,"PSY-OR-01",'[2]سجل الحضور والتنفيذ'!H:H,"حاضر")&gt;0,"مستوفى",IF(AND(F61&lt;&gt;"",TODAY()&gt;F61+'الإعدادات والمستهدفات'!B9),"متأخر عن المهلة","خلال المهلة"))))</f>
        <v/>
      </c>
    </row>
    <row r="62" spans="1:16" x14ac:dyDescent="0.2">
      <c r="A62" s="3" t="str">
        <f>IF(C62="","",ROW()-3)</f>
        <v/>
      </c>
      <c r="B62" s="3"/>
      <c r="C62" s="3"/>
      <c r="D62" s="3"/>
      <c r="E62" s="3"/>
      <c r="F62" s="3"/>
      <c r="G62" s="3" t="str">
        <f>IF(C62="","",IF(F62="","موظف قائم",IF(YEAR(F62)&gt;='الإعدادات والمستهدفات'!B4,"موظف جديد " &amp; 'الإعدادات والمستهدفات'!B4,"موظف قائم")))</f>
        <v/>
      </c>
      <c r="H62" s="7"/>
      <c r="I62" s="3" t="str">
        <f>IF(C62="","",IF(OR(H62="",H62=0),"لم يُقيَّم","مُقيَّم"))</f>
        <v/>
      </c>
      <c r="J62" s="3" t="str">
        <f>IF(C62="","",IF(I62="لم يُقيَّم","يحتاج تقييم عاجل",IF(H62&lt;'الإعدادات والمستهدفات'!B5,"احتياج مرتفع جداً",IF(H62&lt;'الإعدادات والمستهدفات'!B6,"احتياج متوسط","احتياج منخفض"))))</f>
        <v/>
      </c>
      <c r="K62" s="3" t="str">
        <f>IF(C62="","",IF(OR(J62="يحتاج تقييم عاجل",J62="احتياج مرتفع جداً"),"أولوية قصوى (1)",IF(J62="احتياج متوسط","أولوية متوسطة (2)","أولوية عادية (3)")))</f>
        <v/>
      </c>
      <c r="L62" s="3" t="str">
        <f>IF(C62="","",COUNTIF('[1]الخطة التدريبية المعتمدة'!E:E,E62)+COUNTIF('[1]الخطة التدريبية المعتمدة'!E:E,"جميع العاملين بالمنشأة"))</f>
        <v/>
      </c>
      <c r="M62" s="3" t="str">
        <f>IF(C62="","",COUNTIFS('[2]سجل الحضور والتنفيذ'!E:E,B62,'[2]سجل الحضور والتنفيذ'!H:H,"حاضر"))</f>
        <v/>
      </c>
      <c r="N62" s="7" t="str">
        <f>IF(OR(C62="",L62=0),"",M62/L62)</f>
        <v/>
      </c>
      <c r="O62" s="3" t="str">
        <f>IF(C62="","",SUMPRODUCT(('[2]سجل الحضور والتنفيذ'!E:E=B62)*('[2]سجل الحضور والتنفيذ'!H:H="حاضر")*('[2]سجل الحضور والتنفيذ'!G:G)))</f>
        <v/>
      </c>
      <c r="P62" s="3" t="str">
        <f ca="1">IF(C62="","",IF(G62&lt;&gt;"موظف جديد " &amp; 'الإعدادات والمستهدفات'!B4,"—",IF(COUNTIFS('[2]سجل الحضور والتنفيذ'!E:E,B62,'[2]سجل الحضور والتنفيذ'!A:A,"PSY-OR-01",'[2]سجل الحضور والتنفيذ'!H:H,"حاضر")&gt;0,"مستوفى",IF(AND(F62&lt;&gt;"",TODAY()&gt;F62+'الإعدادات والمستهدفات'!B9),"متأخر عن المهلة","خلال المهلة"))))</f>
        <v/>
      </c>
    </row>
    <row r="63" spans="1:16" x14ac:dyDescent="0.2">
      <c r="A63" s="3" t="str">
        <f>IF(C63="","",ROW()-3)</f>
        <v/>
      </c>
      <c r="B63" s="3"/>
      <c r="C63" s="3"/>
      <c r="D63" s="3"/>
      <c r="E63" s="3"/>
      <c r="F63" s="3"/>
      <c r="G63" s="3" t="str">
        <f>IF(C63="","",IF(F63="","موظف قائم",IF(YEAR(F63)&gt;='الإعدادات والمستهدفات'!B4,"موظف جديد " &amp; 'الإعدادات والمستهدفات'!B4,"موظف قائم")))</f>
        <v/>
      </c>
      <c r="H63" s="7"/>
      <c r="I63" s="3" t="str">
        <f>IF(C63="","",IF(OR(H63="",H63=0),"لم يُقيَّم","مُقيَّم"))</f>
        <v/>
      </c>
      <c r="J63" s="3" t="str">
        <f>IF(C63="","",IF(I63="لم يُقيَّم","يحتاج تقييم عاجل",IF(H63&lt;'الإعدادات والمستهدفات'!B5,"احتياج مرتفع جداً",IF(H63&lt;'الإعدادات والمستهدفات'!B6,"احتياج متوسط","احتياج منخفض"))))</f>
        <v/>
      </c>
      <c r="K63" s="3" t="str">
        <f>IF(C63="","",IF(OR(J63="يحتاج تقييم عاجل",J63="احتياج مرتفع جداً"),"أولوية قصوى (1)",IF(J63="احتياج متوسط","أولوية متوسطة (2)","أولوية عادية (3)")))</f>
        <v/>
      </c>
      <c r="L63" s="3" t="str">
        <f>IF(C63="","",COUNTIF('[1]الخطة التدريبية المعتمدة'!E:E,E63)+COUNTIF('[1]الخطة التدريبية المعتمدة'!E:E,"جميع العاملين بالمنشأة"))</f>
        <v/>
      </c>
      <c r="M63" s="3" t="str">
        <f>IF(C63="","",COUNTIFS('[2]سجل الحضور والتنفيذ'!E:E,B63,'[2]سجل الحضور والتنفيذ'!H:H,"حاضر"))</f>
        <v/>
      </c>
      <c r="N63" s="7" t="str">
        <f>IF(OR(C63="",L63=0),"",M63/L63)</f>
        <v/>
      </c>
      <c r="O63" s="3" t="str">
        <f>IF(C63="","",SUMPRODUCT(('[2]سجل الحضور والتنفيذ'!E:E=B63)*('[2]سجل الحضور والتنفيذ'!H:H="حاضر")*('[2]سجل الحضور والتنفيذ'!G:G)))</f>
        <v/>
      </c>
      <c r="P63" s="3" t="str">
        <f ca="1">IF(C63="","",IF(G63&lt;&gt;"موظف جديد " &amp; 'الإعدادات والمستهدفات'!B4,"—",IF(COUNTIFS('[2]سجل الحضور والتنفيذ'!E:E,B63,'[2]سجل الحضور والتنفيذ'!A:A,"PSY-OR-01",'[2]سجل الحضور والتنفيذ'!H:H,"حاضر")&gt;0,"مستوفى",IF(AND(F63&lt;&gt;"",TODAY()&gt;F63+'الإعدادات والمستهدفات'!B9),"متأخر عن المهلة","خلال المهلة"))))</f>
        <v/>
      </c>
    </row>
    <row r="64" spans="1:16" x14ac:dyDescent="0.2">
      <c r="A64" s="3" t="str">
        <f>IF(C64="","",ROW()-3)</f>
        <v/>
      </c>
      <c r="B64" s="3"/>
      <c r="C64" s="3"/>
      <c r="D64" s="3"/>
      <c r="E64" s="3"/>
      <c r="F64" s="3"/>
      <c r="G64" s="3" t="str">
        <f>IF(C64="","",IF(F64="","موظف قائم",IF(YEAR(F64)&gt;='الإعدادات والمستهدفات'!B4,"موظف جديد " &amp; 'الإعدادات والمستهدفات'!B4,"موظف قائم")))</f>
        <v/>
      </c>
      <c r="H64" s="7"/>
      <c r="I64" s="3" t="str">
        <f>IF(C64="","",IF(OR(H64="",H64=0),"لم يُقيَّم","مُقيَّم"))</f>
        <v/>
      </c>
      <c r="J64" s="3" t="str">
        <f>IF(C64="","",IF(I64="لم يُقيَّم","يحتاج تقييم عاجل",IF(H64&lt;'الإعدادات والمستهدفات'!B5,"احتياج مرتفع جداً",IF(H64&lt;'الإعدادات والمستهدفات'!B6,"احتياج متوسط","احتياج منخفض"))))</f>
        <v/>
      </c>
      <c r="K64" s="3" t="str">
        <f>IF(C64="","",IF(OR(J64="يحتاج تقييم عاجل",J64="احتياج مرتفع جداً"),"أولوية قصوى (1)",IF(J64="احتياج متوسط","أولوية متوسطة (2)","أولوية عادية (3)")))</f>
        <v/>
      </c>
      <c r="L64" s="3" t="str">
        <f>IF(C64="","",COUNTIF('[1]الخطة التدريبية المعتمدة'!E:E,E64)+COUNTIF('[1]الخطة التدريبية المعتمدة'!E:E,"جميع العاملين بالمنشأة"))</f>
        <v/>
      </c>
      <c r="M64" s="3" t="str">
        <f>IF(C64="","",COUNTIFS('[2]سجل الحضور والتنفيذ'!E:E,B64,'[2]سجل الحضور والتنفيذ'!H:H,"حاضر"))</f>
        <v/>
      </c>
      <c r="N64" s="7" t="str">
        <f>IF(OR(C64="",L64=0),"",M64/L64)</f>
        <v/>
      </c>
      <c r="O64" s="3" t="str">
        <f>IF(C64="","",SUMPRODUCT(('[2]سجل الحضور والتنفيذ'!E:E=B64)*('[2]سجل الحضور والتنفيذ'!H:H="حاضر")*('[2]سجل الحضور والتنفيذ'!G:G)))</f>
        <v/>
      </c>
      <c r="P64" s="3" t="str">
        <f ca="1">IF(C64="","",IF(G64&lt;&gt;"موظف جديد " &amp; 'الإعدادات والمستهدفات'!B4,"—",IF(COUNTIFS('[2]سجل الحضور والتنفيذ'!E:E,B64,'[2]سجل الحضور والتنفيذ'!A:A,"PSY-OR-01",'[2]سجل الحضور والتنفيذ'!H:H,"حاضر")&gt;0,"مستوفى",IF(AND(F64&lt;&gt;"",TODAY()&gt;F64+'الإعدادات والمستهدفات'!B9),"متأخر عن المهلة","خلال المهلة"))))</f>
        <v/>
      </c>
    </row>
    <row r="65" spans="1:16" x14ac:dyDescent="0.2">
      <c r="A65" s="3" t="str">
        <f>IF(C65="","",ROW()-3)</f>
        <v/>
      </c>
      <c r="B65" s="3"/>
      <c r="C65" s="3"/>
      <c r="D65" s="3"/>
      <c r="E65" s="3"/>
      <c r="F65" s="3"/>
      <c r="G65" s="3" t="str">
        <f>IF(C65="","",IF(F65="","موظف قائم",IF(YEAR(F65)&gt;='الإعدادات والمستهدفات'!B4,"موظف جديد " &amp; 'الإعدادات والمستهدفات'!B4,"موظف قائم")))</f>
        <v/>
      </c>
      <c r="H65" s="7"/>
      <c r="I65" s="3" t="str">
        <f>IF(C65="","",IF(OR(H65="",H65=0),"لم يُقيَّم","مُقيَّم"))</f>
        <v/>
      </c>
      <c r="J65" s="3" t="str">
        <f>IF(C65="","",IF(I65="لم يُقيَّم","يحتاج تقييم عاجل",IF(H65&lt;'الإعدادات والمستهدفات'!B5,"احتياج مرتفع جداً",IF(H65&lt;'الإعدادات والمستهدفات'!B6,"احتياج متوسط","احتياج منخفض"))))</f>
        <v/>
      </c>
      <c r="K65" s="3" t="str">
        <f>IF(C65="","",IF(OR(J65="يحتاج تقييم عاجل",J65="احتياج مرتفع جداً"),"أولوية قصوى (1)",IF(J65="احتياج متوسط","أولوية متوسطة (2)","أولوية عادية (3)")))</f>
        <v/>
      </c>
      <c r="L65" s="3" t="str">
        <f>IF(C65="","",COUNTIF('[1]الخطة التدريبية المعتمدة'!E:E,E65)+COUNTIF('[1]الخطة التدريبية المعتمدة'!E:E,"جميع العاملين بالمنشأة"))</f>
        <v/>
      </c>
      <c r="M65" s="3" t="str">
        <f>IF(C65="","",COUNTIFS('[2]سجل الحضور والتنفيذ'!E:E,B65,'[2]سجل الحضور والتنفيذ'!H:H,"حاضر"))</f>
        <v/>
      </c>
      <c r="N65" s="7" t="str">
        <f>IF(OR(C65="",L65=0),"",M65/L65)</f>
        <v/>
      </c>
      <c r="O65" s="3" t="str">
        <f>IF(C65="","",SUMPRODUCT(('[2]سجل الحضور والتنفيذ'!E:E=B65)*('[2]سجل الحضور والتنفيذ'!H:H="حاضر")*('[2]سجل الحضور والتنفيذ'!G:G)))</f>
        <v/>
      </c>
      <c r="P65" s="3" t="str">
        <f ca="1">IF(C65="","",IF(G65&lt;&gt;"موظف جديد " &amp; 'الإعدادات والمستهدفات'!B4,"—",IF(COUNTIFS('[2]سجل الحضور والتنفيذ'!E:E,B65,'[2]سجل الحضور والتنفيذ'!A:A,"PSY-OR-01",'[2]سجل الحضور والتنفيذ'!H:H,"حاضر")&gt;0,"مستوفى",IF(AND(F65&lt;&gt;"",TODAY()&gt;F65+'الإعدادات والمستهدفات'!B9),"متأخر عن المهلة","خلال المهلة"))))</f>
        <v/>
      </c>
    </row>
    <row r="66" spans="1:16" x14ac:dyDescent="0.2">
      <c r="A66" s="3" t="str">
        <f>IF(C66="","",ROW()-3)</f>
        <v/>
      </c>
      <c r="B66" s="3"/>
      <c r="C66" s="3"/>
      <c r="D66" s="3"/>
      <c r="E66" s="3"/>
      <c r="F66" s="3"/>
      <c r="G66" s="3" t="str">
        <f>IF(C66="","",IF(F66="","موظف قائم",IF(YEAR(F66)&gt;='الإعدادات والمستهدفات'!B4,"موظف جديد " &amp; 'الإعدادات والمستهدفات'!B4,"موظف قائم")))</f>
        <v/>
      </c>
      <c r="H66" s="7"/>
      <c r="I66" s="3" t="str">
        <f>IF(C66="","",IF(OR(H66="",H66=0),"لم يُقيَّم","مُقيَّم"))</f>
        <v/>
      </c>
      <c r="J66" s="3" t="str">
        <f>IF(C66="","",IF(I66="لم يُقيَّم","يحتاج تقييم عاجل",IF(H66&lt;'الإعدادات والمستهدفات'!B5,"احتياج مرتفع جداً",IF(H66&lt;'الإعدادات والمستهدفات'!B6,"احتياج متوسط","احتياج منخفض"))))</f>
        <v/>
      </c>
      <c r="K66" s="3" t="str">
        <f>IF(C66="","",IF(OR(J66="يحتاج تقييم عاجل",J66="احتياج مرتفع جداً"),"أولوية قصوى (1)",IF(J66="احتياج متوسط","أولوية متوسطة (2)","أولوية عادية (3)")))</f>
        <v/>
      </c>
      <c r="L66" s="3" t="str">
        <f>IF(C66="","",COUNTIF('[1]الخطة التدريبية المعتمدة'!E:E,E66)+COUNTIF('[1]الخطة التدريبية المعتمدة'!E:E,"جميع العاملين بالمنشأة"))</f>
        <v/>
      </c>
      <c r="M66" s="3" t="str">
        <f>IF(C66="","",COUNTIFS('[2]سجل الحضور والتنفيذ'!E:E,B66,'[2]سجل الحضور والتنفيذ'!H:H,"حاضر"))</f>
        <v/>
      </c>
      <c r="N66" s="7" t="str">
        <f>IF(OR(C66="",L66=0),"",M66/L66)</f>
        <v/>
      </c>
      <c r="O66" s="3" t="str">
        <f>IF(C66="","",SUMPRODUCT(('[2]سجل الحضور والتنفيذ'!E:E=B66)*('[2]سجل الحضور والتنفيذ'!H:H="حاضر")*('[2]سجل الحضور والتنفيذ'!G:G)))</f>
        <v/>
      </c>
      <c r="P66" s="3" t="str">
        <f ca="1">IF(C66="","",IF(G66&lt;&gt;"موظف جديد " &amp; 'الإعدادات والمستهدفات'!B4,"—",IF(COUNTIFS('[2]سجل الحضور والتنفيذ'!E:E,B66,'[2]سجل الحضور والتنفيذ'!A:A,"PSY-OR-01",'[2]سجل الحضور والتنفيذ'!H:H,"حاضر")&gt;0,"مستوفى",IF(AND(F66&lt;&gt;"",TODAY()&gt;F66+'الإعدادات والمستهدفات'!B9),"متأخر عن المهلة","خلال المهلة"))))</f>
        <v/>
      </c>
    </row>
    <row r="67" spans="1:16" x14ac:dyDescent="0.2">
      <c r="A67" s="3" t="str">
        <f>IF(C67="","",ROW()-3)</f>
        <v/>
      </c>
      <c r="B67" s="3"/>
      <c r="C67" s="3"/>
      <c r="D67" s="3"/>
      <c r="E67" s="3"/>
      <c r="F67" s="3"/>
      <c r="G67" s="3" t="str">
        <f>IF(C67="","",IF(F67="","موظف قائم",IF(YEAR(F67)&gt;='الإعدادات والمستهدفات'!B4,"موظف جديد " &amp; 'الإعدادات والمستهدفات'!B4,"موظف قائم")))</f>
        <v/>
      </c>
      <c r="H67" s="7"/>
      <c r="I67" s="3" t="str">
        <f>IF(C67="","",IF(OR(H67="",H67=0),"لم يُقيَّم","مُقيَّم"))</f>
        <v/>
      </c>
      <c r="J67" s="3" t="str">
        <f>IF(C67="","",IF(I67="لم يُقيَّم","يحتاج تقييم عاجل",IF(H67&lt;'الإعدادات والمستهدفات'!B5,"احتياج مرتفع جداً",IF(H67&lt;'الإعدادات والمستهدفات'!B6,"احتياج متوسط","احتياج منخفض"))))</f>
        <v/>
      </c>
      <c r="K67" s="3" t="str">
        <f>IF(C67="","",IF(OR(J67="يحتاج تقييم عاجل",J67="احتياج مرتفع جداً"),"أولوية قصوى (1)",IF(J67="احتياج متوسط","أولوية متوسطة (2)","أولوية عادية (3)")))</f>
        <v/>
      </c>
      <c r="L67" s="3" t="str">
        <f>IF(C67="","",COUNTIF('[1]الخطة التدريبية المعتمدة'!E:E,E67)+COUNTIF('[1]الخطة التدريبية المعتمدة'!E:E,"جميع العاملين بالمنشأة"))</f>
        <v/>
      </c>
      <c r="M67" s="3" t="str">
        <f>IF(C67="","",COUNTIFS('[2]سجل الحضور والتنفيذ'!E:E,B67,'[2]سجل الحضور والتنفيذ'!H:H,"حاضر"))</f>
        <v/>
      </c>
      <c r="N67" s="7" t="str">
        <f>IF(OR(C67="",L67=0),"",M67/L67)</f>
        <v/>
      </c>
      <c r="O67" s="3" t="str">
        <f>IF(C67="","",SUMPRODUCT(('[2]سجل الحضور والتنفيذ'!E:E=B67)*('[2]سجل الحضور والتنفيذ'!H:H="حاضر")*('[2]سجل الحضور والتنفيذ'!G:G)))</f>
        <v/>
      </c>
      <c r="P67" s="3" t="str">
        <f ca="1">IF(C67="","",IF(G67&lt;&gt;"موظف جديد " &amp; 'الإعدادات والمستهدفات'!B4,"—",IF(COUNTIFS('[2]سجل الحضور والتنفيذ'!E:E,B67,'[2]سجل الحضور والتنفيذ'!A:A,"PSY-OR-01",'[2]سجل الحضور والتنفيذ'!H:H,"حاضر")&gt;0,"مستوفى",IF(AND(F67&lt;&gt;"",TODAY()&gt;F67+'الإعدادات والمستهدفات'!B9),"متأخر عن المهلة","خلال المهلة"))))</f>
        <v/>
      </c>
    </row>
    <row r="68" spans="1:16" x14ac:dyDescent="0.2">
      <c r="A68" s="3" t="str">
        <f>IF(C68="","",ROW()-3)</f>
        <v/>
      </c>
      <c r="B68" s="3"/>
      <c r="C68" s="3"/>
      <c r="D68" s="3"/>
      <c r="E68" s="3"/>
      <c r="F68" s="3"/>
      <c r="G68" s="3" t="str">
        <f>IF(C68="","",IF(F68="","موظف قائم",IF(YEAR(F68)&gt;='الإعدادات والمستهدفات'!B4,"موظف جديد " &amp; 'الإعدادات والمستهدفات'!B4,"موظف قائم")))</f>
        <v/>
      </c>
      <c r="H68" s="7"/>
      <c r="I68" s="3" t="str">
        <f>IF(C68="","",IF(OR(H68="",H68=0),"لم يُقيَّم","مُقيَّم"))</f>
        <v/>
      </c>
      <c r="J68" s="3" t="str">
        <f>IF(C68="","",IF(I68="لم يُقيَّم","يحتاج تقييم عاجل",IF(H68&lt;'الإعدادات والمستهدفات'!B5,"احتياج مرتفع جداً",IF(H68&lt;'الإعدادات والمستهدفات'!B6,"احتياج متوسط","احتياج منخفض"))))</f>
        <v/>
      </c>
      <c r="K68" s="3" t="str">
        <f>IF(C68="","",IF(OR(J68="يحتاج تقييم عاجل",J68="احتياج مرتفع جداً"),"أولوية قصوى (1)",IF(J68="احتياج متوسط","أولوية متوسطة (2)","أولوية عادية (3)")))</f>
        <v/>
      </c>
      <c r="L68" s="3" t="str">
        <f>IF(C68="","",COUNTIF('[1]الخطة التدريبية المعتمدة'!E:E,E68)+COUNTIF('[1]الخطة التدريبية المعتمدة'!E:E,"جميع العاملين بالمنشأة"))</f>
        <v/>
      </c>
      <c r="M68" s="3" t="str">
        <f>IF(C68="","",COUNTIFS('[2]سجل الحضور والتنفيذ'!E:E,B68,'[2]سجل الحضور والتنفيذ'!H:H,"حاضر"))</f>
        <v/>
      </c>
      <c r="N68" s="7" t="str">
        <f>IF(OR(C68="",L68=0),"",M68/L68)</f>
        <v/>
      </c>
      <c r="O68" s="3" t="str">
        <f>IF(C68="","",SUMPRODUCT(('[2]سجل الحضور والتنفيذ'!E:E=B68)*('[2]سجل الحضور والتنفيذ'!H:H="حاضر")*('[2]سجل الحضور والتنفيذ'!G:G)))</f>
        <v/>
      </c>
      <c r="P68" s="3" t="str">
        <f ca="1">IF(C68="","",IF(G68&lt;&gt;"موظف جديد " &amp; 'الإعدادات والمستهدفات'!B4,"—",IF(COUNTIFS('[2]سجل الحضور والتنفيذ'!E:E,B68,'[2]سجل الحضور والتنفيذ'!A:A,"PSY-OR-01",'[2]سجل الحضور والتنفيذ'!H:H,"حاضر")&gt;0,"مستوفى",IF(AND(F68&lt;&gt;"",TODAY()&gt;F68+'الإعدادات والمستهدفات'!B9),"متأخر عن المهلة","خلال المهلة"))))</f>
        <v/>
      </c>
    </row>
    <row r="69" spans="1:16" x14ac:dyDescent="0.2">
      <c r="A69" s="3" t="str">
        <f>IF(C69="","",ROW()-3)</f>
        <v/>
      </c>
      <c r="B69" s="3"/>
      <c r="C69" s="3"/>
      <c r="D69" s="3"/>
      <c r="E69" s="3"/>
      <c r="F69" s="3"/>
      <c r="G69" s="3" t="str">
        <f>IF(C69="","",IF(F69="","موظف قائم",IF(YEAR(F69)&gt;='الإعدادات والمستهدفات'!B4,"موظف جديد " &amp; 'الإعدادات والمستهدفات'!B4,"موظف قائم")))</f>
        <v/>
      </c>
      <c r="H69" s="7"/>
      <c r="I69" s="3" t="str">
        <f>IF(C69="","",IF(OR(H69="",H69=0),"لم يُقيَّم","مُقيَّم"))</f>
        <v/>
      </c>
      <c r="J69" s="3" t="str">
        <f>IF(C69="","",IF(I69="لم يُقيَّم","يحتاج تقييم عاجل",IF(H69&lt;'الإعدادات والمستهدفات'!B5,"احتياج مرتفع جداً",IF(H69&lt;'الإعدادات والمستهدفات'!B6,"احتياج متوسط","احتياج منخفض"))))</f>
        <v/>
      </c>
      <c r="K69" s="3" t="str">
        <f>IF(C69="","",IF(OR(J69="يحتاج تقييم عاجل",J69="احتياج مرتفع جداً"),"أولوية قصوى (1)",IF(J69="احتياج متوسط","أولوية متوسطة (2)","أولوية عادية (3)")))</f>
        <v/>
      </c>
      <c r="L69" s="3" t="str">
        <f>IF(C69="","",COUNTIF('[1]الخطة التدريبية المعتمدة'!E:E,E69)+COUNTIF('[1]الخطة التدريبية المعتمدة'!E:E,"جميع العاملين بالمنشأة"))</f>
        <v/>
      </c>
      <c r="M69" s="3" t="str">
        <f>IF(C69="","",COUNTIFS('[2]سجل الحضور والتنفيذ'!E:E,B69,'[2]سجل الحضور والتنفيذ'!H:H,"حاضر"))</f>
        <v/>
      </c>
      <c r="N69" s="7" t="str">
        <f>IF(OR(C69="",L69=0),"",M69/L69)</f>
        <v/>
      </c>
      <c r="O69" s="3" t="str">
        <f>IF(C69="","",SUMPRODUCT(('[2]سجل الحضور والتنفيذ'!E:E=B69)*('[2]سجل الحضور والتنفيذ'!H:H="حاضر")*('[2]سجل الحضور والتنفيذ'!G:G)))</f>
        <v/>
      </c>
      <c r="P69" s="3" t="str">
        <f ca="1">IF(C69="","",IF(G69&lt;&gt;"موظف جديد " &amp; 'الإعدادات والمستهدفات'!B4,"—",IF(COUNTIFS('[2]سجل الحضور والتنفيذ'!E:E,B69,'[2]سجل الحضور والتنفيذ'!A:A,"PSY-OR-01",'[2]سجل الحضور والتنفيذ'!H:H,"حاضر")&gt;0,"مستوفى",IF(AND(F69&lt;&gt;"",TODAY()&gt;F69+'الإعدادات والمستهدفات'!B9),"متأخر عن المهلة","خلال المهلة"))))</f>
        <v/>
      </c>
    </row>
    <row r="70" spans="1:16" x14ac:dyDescent="0.2">
      <c r="A70" s="3" t="str">
        <f>IF(C70="","",ROW()-3)</f>
        <v/>
      </c>
      <c r="B70" s="3"/>
      <c r="C70" s="3"/>
      <c r="D70" s="3"/>
      <c r="E70" s="3"/>
      <c r="F70" s="3"/>
      <c r="G70" s="3" t="str">
        <f>IF(C70="","",IF(F70="","موظف قائم",IF(YEAR(F70)&gt;='الإعدادات والمستهدفات'!B4,"موظف جديد " &amp; 'الإعدادات والمستهدفات'!B4,"موظف قائم")))</f>
        <v/>
      </c>
      <c r="H70" s="7"/>
      <c r="I70" s="3" t="str">
        <f>IF(C70="","",IF(OR(H70="",H70=0),"لم يُقيَّم","مُقيَّم"))</f>
        <v/>
      </c>
      <c r="J70" s="3" t="str">
        <f>IF(C70="","",IF(I70="لم يُقيَّم","يحتاج تقييم عاجل",IF(H70&lt;'الإعدادات والمستهدفات'!B5,"احتياج مرتفع جداً",IF(H70&lt;'الإعدادات والمستهدفات'!B6,"احتياج متوسط","احتياج منخفض"))))</f>
        <v/>
      </c>
      <c r="K70" s="3" t="str">
        <f>IF(C70="","",IF(OR(J70="يحتاج تقييم عاجل",J70="احتياج مرتفع جداً"),"أولوية قصوى (1)",IF(J70="احتياج متوسط","أولوية متوسطة (2)","أولوية عادية (3)")))</f>
        <v/>
      </c>
      <c r="L70" s="3" t="str">
        <f>IF(C70="","",COUNTIF('[1]الخطة التدريبية المعتمدة'!E:E,E70)+COUNTIF('[1]الخطة التدريبية المعتمدة'!E:E,"جميع العاملين بالمنشأة"))</f>
        <v/>
      </c>
      <c r="M70" s="3" t="str">
        <f>IF(C70="","",COUNTIFS('[2]سجل الحضور والتنفيذ'!E:E,B70,'[2]سجل الحضور والتنفيذ'!H:H,"حاضر"))</f>
        <v/>
      </c>
      <c r="N70" s="7" t="str">
        <f>IF(OR(C70="",L70=0),"",M70/L70)</f>
        <v/>
      </c>
      <c r="O70" s="3" t="str">
        <f>IF(C70="","",SUMPRODUCT(('[2]سجل الحضور والتنفيذ'!E:E=B70)*('[2]سجل الحضور والتنفيذ'!H:H="حاضر")*('[2]سجل الحضور والتنفيذ'!G:G)))</f>
        <v/>
      </c>
      <c r="P70" s="3" t="str">
        <f ca="1">IF(C70="","",IF(G70&lt;&gt;"موظف جديد " &amp; 'الإعدادات والمستهدفات'!B4,"—",IF(COUNTIFS('[2]سجل الحضور والتنفيذ'!E:E,B70,'[2]سجل الحضور والتنفيذ'!A:A,"PSY-OR-01",'[2]سجل الحضور والتنفيذ'!H:H,"حاضر")&gt;0,"مستوفى",IF(AND(F70&lt;&gt;"",TODAY()&gt;F70+'الإعدادات والمستهدفات'!B9),"متأخر عن المهلة","خلال المهلة"))))</f>
        <v/>
      </c>
    </row>
    <row r="71" spans="1:16" x14ac:dyDescent="0.2">
      <c r="A71" s="3" t="str">
        <f>IF(C71="","",ROW()-3)</f>
        <v/>
      </c>
      <c r="B71" s="3"/>
      <c r="C71" s="3"/>
      <c r="D71" s="3"/>
      <c r="E71" s="3"/>
      <c r="F71" s="3"/>
      <c r="G71" s="3" t="str">
        <f>IF(C71="","",IF(F71="","موظف قائم",IF(YEAR(F71)&gt;='الإعدادات والمستهدفات'!B4,"موظف جديد " &amp; 'الإعدادات والمستهدفات'!B4,"موظف قائم")))</f>
        <v/>
      </c>
      <c r="H71" s="7"/>
      <c r="I71" s="3" t="str">
        <f>IF(C71="","",IF(OR(H71="",H71=0),"لم يُقيَّم","مُقيَّم"))</f>
        <v/>
      </c>
      <c r="J71" s="3" t="str">
        <f>IF(C71="","",IF(I71="لم يُقيَّم","يحتاج تقييم عاجل",IF(H71&lt;'الإعدادات والمستهدفات'!B5,"احتياج مرتفع جداً",IF(H71&lt;'الإعدادات والمستهدفات'!B6,"احتياج متوسط","احتياج منخفض"))))</f>
        <v/>
      </c>
      <c r="K71" s="3" t="str">
        <f>IF(C71="","",IF(OR(J71="يحتاج تقييم عاجل",J71="احتياج مرتفع جداً"),"أولوية قصوى (1)",IF(J71="احتياج متوسط","أولوية متوسطة (2)","أولوية عادية (3)")))</f>
        <v/>
      </c>
      <c r="L71" s="3" t="str">
        <f>IF(C71="","",COUNTIF('[1]الخطة التدريبية المعتمدة'!E:E,E71)+COUNTIF('[1]الخطة التدريبية المعتمدة'!E:E,"جميع العاملين بالمنشأة"))</f>
        <v/>
      </c>
      <c r="M71" s="3" t="str">
        <f>IF(C71="","",COUNTIFS('[2]سجل الحضور والتنفيذ'!E:E,B71,'[2]سجل الحضور والتنفيذ'!H:H,"حاضر"))</f>
        <v/>
      </c>
      <c r="N71" s="7" t="str">
        <f>IF(OR(C71="",L71=0),"",M71/L71)</f>
        <v/>
      </c>
      <c r="O71" s="3" t="str">
        <f>IF(C71="","",SUMPRODUCT(('[2]سجل الحضور والتنفيذ'!E:E=B71)*('[2]سجل الحضور والتنفيذ'!H:H="حاضر")*('[2]سجل الحضور والتنفيذ'!G:G)))</f>
        <v/>
      </c>
      <c r="P71" s="3" t="str">
        <f ca="1">IF(C71="","",IF(G71&lt;&gt;"موظف جديد " &amp; 'الإعدادات والمستهدفات'!B4,"—",IF(COUNTIFS('[2]سجل الحضور والتنفيذ'!E:E,B71,'[2]سجل الحضور والتنفيذ'!A:A,"PSY-OR-01",'[2]سجل الحضور والتنفيذ'!H:H,"حاضر")&gt;0,"مستوفى",IF(AND(F71&lt;&gt;"",TODAY()&gt;F71+'الإعدادات والمستهدفات'!B9),"متأخر عن المهلة","خلال المهلة"))))</f>
        <v/>
      </c>
    </row>
    <row r="72" spans="1:16" x14ac:dyDescent="0.2">
      <c r="A72" s="3" t="str">
        <f>IF(C72="","",ROW()-3)</f>
        <v/>
      </c>
      <c r="B72" s="3"/>
      <c r="C72" s="3"/>
      <c r="D72" s="3"/>
      <c r="E72" s="3"/>
      <c r="F72" s="3"/>
      <c r="G72" s="3" t="str">
        <f>IF(C72="","",IF(F72="","موظف قائم",IF(YEAR(F72)&gt;='الإعدادات والمستهدفات'!B4,"موظف جديد " &amp; 'الإعدادات والمستهدفات'!B4,"موظف قائم")))</f>
        <v/>
      </c>
      <c r="H72" s="7"/>
      <c r="I72" s="3" t="str">
        <f>IF(C72="","",IF(OR(H72="",H72=0),"لم يُقيَّم","مُقيَّم"))</f>
        <v/>
      </c>
      <c r="J72" s="3" t="str">
        <f>IF(C72="","",IF(I72="لم يُقيَّم","يحتاج تقييم عاجل",IF(H72&lt;'الإعدادات والمستهدفات'!B5,"احتياج مرتفع جداً",IF(H72&lt;'الإعدادات والمستهدفات'!B6,"احتياج متوسط","احتياج منخفض"))))</f>
        <v/>
      </c>
      <c r="K72" s="3" t="str">
        <f>IF(C72="","",IF(OR(J72="يحتاج تقييم عاجل",J72="احتياج مرتفع جداً"),"أولوية قصوى (1)",IF(J72="احتياج متوسط","أولوية متوسطة (2)","أولوية عادية (3)")))</f>
        <v/>
      </c>
      <c r="L72" s="3" t="str">
        <f>IF(C72="","",COUNTIF('[1]الخطة التدريبية المعتمدة'!E:E,E72)+COUNTIF('[1]الخطة التدريبية المعتمدة'!E:E,"جميع العاملين بالمنشأة"))</f>
        <v/>
      </c>
      <c r="M72" s="3" t="str">
        <f>IF(C72="","",COUNTIFS('[2]سجل الحضور والتنفيذ'!E:E,B72,'[2]سجل الحضور والتنفيذ'!H:H,"حاضر"))</f>
        <v/>
      </c>
      <c r="N72" s="7" t="str">
        <f>IF(OR(C72="",L72=0),"",M72/L72)</f>
        <v/>
      </c>
      <c r="O72" s="3" t="str">
        <f>IF(C72="","",SUMPRODUCT(('[2]سجل الحضور والتنفيذ'!E:E=B72)*('[2]سجل الحضور والتنفيذ'!H:H="حاضر")*('[2]سجل الحضور والتنفيذ'!G:G)))</f>
        <v/>
      </c>
      <c r="P72" s="3" t="str">
        <f ca="1">IF(C72="","",IF(G72&lt;&gt;"موظف جديد " &amp; 'الإعدادات والمستهدفات'!B4,"—",IF(COUNTIFS('[2]سجل الحضور والتنفيذ'!E:E,B72,'[2]سجل الحضور والتنفيذ'!A:A,"PSY-OR-01",'[2]سجل الحضور والتنفيذ'!H:H,"حاضر")&gt;0,"مستوفى",IF(AND(F72&lt;&gt;"",TODAY()&gt;F72+'الإعدادات والمستهدفات'!B9),"متأخر عن المهلة","خلال المهلة"))))</f>
        <v/>
      </c>
    </row>
    <row r="73" spans="1:16" x14ac:dyDescent="0.2">
      <c r="A73" s="3" t="str">
        <f>IF(C73="","",ROW()-3)</f>
        <v/>
      </c>
      <c r="B73" s="3"/>
      <c r="C73" s="3"/>
      <c r="D73" s="3"/>
      <c r="E73" s="3"/>
      <c r="F73" s="3"/>
      <c r="G73" s="3" t="str">
        <f>IF(C73="","",IF(F73="","موظف قائم",IF(YEAR(F73)&gt;='الإعدادات والمستهدفات'!B4,"موظف جديد " &amp; 'الإعدادات والمستهدفات'!B4,"موظف قائم")))</f>
        <v/>
      </c>
      <c r="H73" s="7"/>
      <c r="I73" s="3" t="str">
        <f>IF(C73="","",IF(OR(H73="",H73=0),"لم يُقيَّم","مُقيَّم"))</f>
        <v/>
      </c>
      <c r="J73" s="3" t="str">
        <f>IF(C73="","",IF(I73="لم يُقيَّم","يحتاج تقييم عاجل",IF(H73&lt;'الإعدادات والمستهدفات'!B5,"احتياج مرتفع جداً",IF(H73&lt;'الإعدادات والمستهدفات'!B6,"احتياج متوسط","احتياج منخفض"))))</f>
        <v/>
      </c>
      <c r="K73" s="3" t="str">
        <f>IF(C73="","",IF(OR(J73="يحتاج تقييم عاجل",J73="احتياج مرتفع جداً"),"أولوية قصوى (1)",IF(J73="احتياج متوسط","أولوية متوسطة (2)","أولوية عادية (3)")))</f>
        <v/>
      </c>
      <c r="L73" s="3" t="str">
        <f>IF(C73="","",COUNTIF('[1]الخطة التدريبية المعتمدة'!E:E,E73)+COUNTIF('[1]الخطة التدريبية المعتمدة'!E:E,"جميع العاملين بالمنشأة"))</f>
        <v/>
      </c>
      <c r="M73" s="3" t="str">
        <f>IF(C73="","",COUNTIFS('[2]سجل الحضور والتنفيذ'!E:E,B73,'[2]سجل الحضور والتنفيذ'!H:H,"حاضر"))</f>
        <v/>
      </c>
      <c r="N73" s="7" t="str">
        <f>IF(OR(C73="",L73=0),"",M73/L73)</f>
        <v/>
      </c>
      <c r="O73" s="3" t="str">
        <f>IF(C73="","",SUMPRODUCT(('[2]سجل الحضور والتنفيذ'!E:E=B73)*('[2]سجل الحضور والتنفيذ'!H:H="حاضر")*('[2]سجل الحضور والتنفيذ'!G:G)))</f>
        <v/>
      </c>
      <c r="P73" s="3" t="str">
        <f ca="1">IF(C73="","",IF(G73&lt;&gt;"موظف جديد " &amp; 'الإعدادات والمستهدفات'!B4,"—",IF(COUNTIFS('[2]سجل الحضور والتنفيذ'!E:E,B73,'[2]سجل الحضور والتنفيذ'!A:A,"PSY-OR-01",'[2]سجل الحضور والتنفيذ'!H:H,"حاضر")&gt;0,"مستوفى",IF(AND(F73&lt;&gt;"",TODAY()&gt;F73+'الإعدادات والمستهدفات'!B9),"متأخر عن المهلة","خلال المهلة"))))</f>
        <v/>
      </c>
    </row>
    <row r="74" spans="1:16" x14ac:dyDescent="0.2">
      <c r="A74" s="3" t="str">
        <f>IF(C74="","",ROW()-3)</f>
        <v/>
      </c>
      <c r="B74" s="3"/>
      <c r="C74" s="3"/>
      <c r="D74" s="3"/>
      <c r="E74" s="3"/>
      <c r="F74" s="3"/>
      <c r="G74" s="3" t="str">
        <f>IF(C74="","",IF(F74="","موظف قائم",IF(YEAR(F74)&gt;='الإعدادات والمستهدفات'!B4,"موظف جديد " &amp; 'الإعدادات والمستهدفات'!B4,"موظف قائم")))</f>
        <v/>
      </c>
      <c r="H74" s="7"/>
      <c r="I74" s="3" t="str">
        <f>IF(C74="","",IF(OR(H74="",H74=0),"لم يُقيَّم","مُقيَّم"))</f>
        <v/>
      </c>
      <c r="J74" s="3" t="str">
        <f>IF(C74="","",IF(I74="لم يُقيَّم","يحتاج تقييم عاجل",IF(H74&lt;'الإعدادات والمستهدفات'!B5,"احتياج مرتفع جداً",IF(H74&lt;'الإعدادات والمستهدفات'!B6,"احتياج متوسط","احتياج منخفض"))))</f>
        <v/>
      </c>
      <c r="K74" s="3" t="str">
        <f>IF(C74="","",IF(OR(J74="يحتاج تقييم عاجل",J74="احتياج مرتفع جداً"),"أولوية قصوى (1)",IF(J74="احتياج متوسط","أولوية متوسطة (2)","أولوية عادية (3)")))</f>
        <v/>
      </c>
      <c r="L74" s="3" t="str">
        <f>IF(C74="","",COUNTIF('[1]الخطة التدريبية المعتمدة'!E:E,E74)+COUNTIF('[1]الخطة التدريبية المعتمدة'!E:E,"جميع العاملين بالمنشأة"))</f>
        <v/>
      </c>
      <c r="M74" s="3" t="str">
        <f>IF(C74="","",COUNTIFS('[2]سجل الحضور والتنفيذ'!E:E,B74,'[2]سجل الحضور والتنفيذ'!H:H,"حاضر"))</f>
        <v/>
      </c>
      <c r="N74" s="7" t="str">
        <f>IF(OR(C74="",L74=0),"",M74/L74)</f>
        <v/>
      </c>
      <c r="O74" s="3" t="str">
        <f>IF(C74="","",SUMPRODUCT(('[2]سجل الحضور والتنفيذ'!E:E=B74)*('[2]سجل الحضور والتنفيذ'!H:H="حاضر")*('[2]سجل الحضور والتنفيذ'!G:G)))</f>
        <v/>
      </c>
      <c r="P74" s="3" t="str">
        <f ca="1">IF(C74="","",IF(G74&lt;&gt;"موظف جديد " &amp; 'الإعدادات والمستهدفات'!B4,"—",IF(COUNTIFS('[2]سجل الحضور والتنفيذ'!E:E,B74,'[2]سجل الحضور والتنفيذ'!A:A,"PSY-OR-01",'[2]سجل الحضور والتنفيذ'!H:H,"حاضر")&gt;0,"مستوفى",IF(AND(F74&lt;&gt;"",TODAY()&gt;F74+'الإعدادات والمستهدفات'!B9),"متأخر عن المهلة","خلال المهلة"))))</f>
        <v/>
      </c>
    </row>
    <row r="75" spans="1:16" x14ac:dyDescent="0.2">
      <c r="A75" s="3" t="str">
        <f>IF(C75="","",ROW()-3)</f>
        <v/>
      </c>
      <c r="B75" s="3"/>
      <c r="C75" s="3"/>
      <c r="D75" s="3"/>
      <c r="E75" s="3"/>
      <c r="F75" s="3"/>
      <c r="G75" s="3" t="str">
        <f>IF(C75="","",IF(F75="","موظف قائم",IF(YEAR(F75)&gt;='الإعدادات والمستهدفات'!B4,"موظف جديد " &amp; 'الإعدادات والمستهدفات'!B4,"موظف قائم")))</f>
        <v/>
      </c>
      <c r="H75" s="7"/>
      <c r="I75" s="3" t="str">
        <f>IF(C75="","",IF(OR(H75="",H75=0),"لم يُقيَّم","مُقيَّم"))</f>
        <v/>
      </c>
      <c r="J75" s="3" t="str">
        <f>IF(C75="","",IF(I75="لم يُقيَّم","يحتاج تقييم عاجل",IF(H75&lt;'الإعدادات والمستهدفات'!B5,"احتياج مرتفع جداً",IF(H75&lt;'الإعدادات والمستهدفات'!B6,"احتياج متوسط","احتياج منخفض"))))</f>
        <v/>
      </c>
      <c r="K75" s="3" t="str">
        <f>IF(C75="","",IF(OR(J75="يحتاج تقييم عاجل",J75="احتياج مرتفع جداً"),"أولوية قصوى (1)",IF(J75="احتياج متوسط","أولوية متوسطة (2)","أولوية عادية (3)")))</f>
        <v/>
      </c>
      <c r="L75" s="3" t="str">
        <f>IF(C75="","",COUNTIF('[1]الخطة التدريبية المعتمدة'!E:E,E75)+COUNTIF('[1]الخطة التدريبية المعتمدة'!E:E,"جميع العاملين بالمنشأة"))</f>
        <v/>
      </c>
      <c r="M75" s="3" t="str">
        <f>IF(C75="","",COUNTIFS('[2]سجل الحضور والتنفيذ'!E:E,B75,'[2]سجل الحضور والتنفيذ'!H:H,"حاضر"))</f>
        <v/>
      </c>
      <c r="N75" s="7" t="str">
        <f>IF(OR(C75="",L75=0),"",M75/L75)</f>
        <v/>
      </c>
      <c r="O75" s="3" t="str">
        <f>IF(C75="","",SUMPRODUCT(('[2]سجل الحضور والتنفيذ'!E:E=B75)*('[2]سجل الحضور والتنفيذ'!H:H="حاضر")*('[2]سجل الحضور والتنفيذ'!G:G)))</f>
        <v/>
      </c>
      <c r="P75" s="3" t="str">
        <f ca="1">IF(C75="","",IF(G75&lt;&gt;"موظف جديد " &amp; 'الإعدادات والمستهدفات'!B4,"—",IF(COUNTIFS('[2]سجل الحضور والتنفيذ'!E:E,B75,'[2]سجل الحضور والتنفيذ'!A:A,"PSY-OR-01",'[2]سجل الحضور والتنفيذ'!H:H,"حاضر")&gt;0,"مستوفى",IF(AND(F75&lt;&gt;"",TODAY()&gt;F75+'الإعدادات والمستهدفات'!B9),"متأخر عن المهلة","خلال المهلة"))))</f>
        <v/>
      </c>
    </row>
    <row r="76" spans="1:16" x14ac:dyDescent="0.2">
      <c r="A76" s="3" t="str">
        <f>IF(C76="","",ROW()-3)</f>
        <v/>
      </c>
      <c r="B76" s="3"/>
      <c r="C76" s="3"/>
      <c r="D76" s="3"/>
      <c r="E76" s="3"/>
      <c r="F76" s="3"/>
      <c r="G76" s="3" t="str">
        <f>IF(C76="","",IF(F76="","موظف قائم",IF(YEAR(F76)&gt;='الإعدادات والمستهدفات'!B4,"موظف جديد " &amp; 'الإعدادات والمستهدفات'!B4,"موظف قائم")))</f>
        <v/>
      </c>
      <c r="H76" s="7"/>
      <c r="I76" s="3" t="str">
        <f>IF(C76="","",IF(OR(H76="",H76=0),"لم يُقيَّم","مُقيَّم"))</f>
        <v/>
      </c>
      <c r="J76" s="3" t="str">
        <f>IF(C76="","",IF(I76="لم يُقيَّم","يحتاج تقييم عاجل",IF(H76&lt;'الإعدادات والمستهدفات'!B5,"احتياج مرتفع جداً",IF(H76&lt;'الإعدادات والمستهدفات'!B6,"احتياج متوسط","احتياج منخفض"))))</f>
        <v/>
      </c>
      <c r="K76" s="3" t="str">
        <f>IF(C76="","",IF(OR(J76="يحتاج تقييم عاجل",J76="احتياج مرتفع جداً"),"أولوية قصوى (1)",IF(J76="احتياج متوسط","أولوية متوسطة (2)","أولوية عادية (3)")))</f>
        <v/>
      </c>
      <c r="L76" s="3" t="str">
        <f>IF(C76="","",COUNTIF('[1]الخطة التدريبية المعتمدة'!E:E,E76)+COUNTIF('[1]الخطة التدريبية المعتمدة'!E:E,"جميع العاملين بالمنشأة"))</f>
        <v/>
      </c>
      <c r="M76" s="3" t="str">
        <f>IF(C76="","",COUNTIFS('[2]سجل الحضور والتنفيذ'!E:E,B76,'[2]سجل الحضور والتنفيذ'!H:H,"حاضر"))</f>
        <v/>
      </c>
      <c r="N76" s="7" t="str">
        <f>IF(OR(C76="",L76=0),"",M76/L76)</f>
        <v/>
      </c>
      <c r="O76" s="3" t="str">
        <f>IF(C76="","",SUMPRODUCT(('[2]سجل الحضور والتنفيذ'!E:E=B76)*('[2]سجل الحضور والتنفيذ'!H:H="حاضر")*('[2]سجل الحضور والتنفيذ'!G:G)))</f>
        <v/>
      </c>
      <c r="P76" s="3" t="str">
        <f ca="1">IF(C76="","",IF(G76&lt;&gt;"موظف جديد " &amp; 'الإعدادات والمستهدفات'!B4,"—",IF(COUNTIFS('[2]سجل الحضور والتنفيذ'!E:E,B76,'[2]سجل الحضور والتنفيذ'!A:A,"PSY-OR-01",'[2]سجل الحضور والتنفيذ'!H:H,"حاضر")&gt;0,"مستوفى",IF(AND(F76&lt;&gt;"",TODAY()&gt;F76+'الإعدادات والمستهدفات'!B9),"متأخر عن المهلة","خلال المهلة"))))</f>
        <v/>
      </c>
    </row>
    <row r="77" spans="1:16" x14ac:dyDescent="0.2">
      <c r="A77" s="3" t="str">
        <f>IF(C77="","",ROW()-3)</f>
        <v/>
      </c>
      <c r="B77" s="3"/>
      <c r="C77" s="3"/>
      <c r="D77" s="3"/>
      <c r="E77" s="3"/>
      <c r="F77" s="3"/>
      <c r="G77" s="3" t="str">
        <f>IF(C77="","",IF(F77="","موظف قائم",IF(YEAR(F77)&gt;='الإعدادات والمستهدفات'!B4,"موظف جديد " &amp; 'الإعدادات والمستهدفات'!B4,"موظف قائم")))</f>
        <v/>
      </c>
      <c r="H77" s="7"/>
      <c r="I77" s="3" t="str">
        <f>IF(C77="","",IF(OR(H77="",H77=0),"لم يُقيَّم","مُقيَّم"))</f>
        <v/>
      </c>
      <c r="J77" s="3" t="str">
        <f>IF(C77="","",IF(I77="لم يُقيَّم","يحتاج تقييم عاجل",IF(H77&lt;'الإعدادات والمستهدفات'!B5,"احتياج مرتفع جداً",IF(H77&lt;'الإعدادات والمستهدفات'!B6,"احتياج متوسط","احتياج منخفض"))))</f>
        <v/>
      </c>
      <c r="K77" s="3" t="str">
        <f>IF(C77="","",IF(OR(J77="يحتاج تقييم عاجل",J77="احتياج مرتفع جداً"),"أولوية قصوى (1)",IF(J77="احتياج متوسط","أولوية متوسطة (2)","أولوية عادية (3)")))</f>
        <v/>
      </c>
      <c r="L77" s="3" t="str">
        <f>IF(C77="","",COUNTIF('[1]الخطة التدريبية المعتمدة'!E:E,E77)+COUNTIF('[1]الخطة التدريبية المعتمدة'!E:E,"جميع العاملين بالمنشأة"))</f>
        <v/>
      </c>
      <c r="M77" s="3" t="str">
        <f>IF(C77="","",COUNTIFS('[2]سجل الحضور والتنفيذ'!E:E,B77,'[2]سجل الحضور والتنفيذ'!H:H,"حاضر"))</f>
        <v/>
      </c>
      <c r="N77" s="7" t="str">
        <f>IF(OR(C77="",L77=0),"",M77/L77)</f>
        <v/>
      </c>
      <c r="O77" s="3" t="str">
        <f>IF(C77="","",SUMPRODUCT(('[2]سجل الحضور والتنفيذ'!E:E=B77)*('[2]سجل الحضور والتنفيذ'!H:H="حاضر")*('[2]سجل الحضور والتنفيذ'!G:G)))</f>
        <v/>
      </c>
      <c r="P77" s="3" t="str">
        <f ca="1">IF(C77="","",IF(G77&lt;&gt;"موظف جديد " &amp; 'الإعدادات والمستهدفات'!B4,"—",IF(COUNTIFS('[2]سجل الحضور والتنفيذ'!E:E,B77,'[2]سجل الحضور والتنفيذ'!A:A,"PSY-OR-01",'[2]سجل الحضور والتنفيذ'!H:H,"حاضر")&gt;0,"مستوفى",IF(AND(F77&lt;&gt;"",TODAY()&gt;F77+'الإعدادات والمستهدفات'!B9),"متأخر عن المهلة","خلال المهلة"))))</f>
        <v/>
      </c>
    </row>
    <row r="78" spans="1:16" x14ac:dyDescent="0.2">
      <c r="A78" s="3" t="str">
        <f>IF(C78="","",ROW()-3)</f>
        <v/>
      </c>
      <c r="B78" s="3"/>
      <c r="C78" s="3"/>
      <c r="D78" s="3"/>
      <c r="E78" s="3"/>
      <c r="F78" s="3"/>
      <c r="G78" s="3" t="str">
        <f>IF(C78="","",IF(F78="","موظف قائم",IF(YEAR(F78)&gt;='الإعدادات والمستهدفات'!B4,"موظف جديد " &amp; 'الإعدادات والمستهدفات'!B4,"موظف قائم")))</f>
        <v/>
      </c>
      <c r="H78" s="7"/>
      <c r="I78" s="3" t="str">
        <f>IF(C78="","",IF(OR(H78="",H78=0),"لم يُقيَّم","مُقيَّم"))</f>
        <v/>
      </c>
      <c r="J78" s="3" t="str">
        <f>IF(C78="","",IF(I78="لم يُقيَّم","يحتاج تقييم عاجل",IF(H78&lt;'الإعدادات والمستهدفات'!B5,"احتياج مرتفع جداً",IF(H78&lt;'الإعدادات والمستهدفات'!B6,"احتياج متوسط","احتياج منخفض"))))</f>
        <v/>
      </c>
      <c r="K78" s="3" t="str">
        <f>IF(C78="","",IF(OR(J78="يحتاج تقييم عاجل",J78="احتياج مرتفع جداً"),"أولوية قصوى (1)",IF(J78="احتياج متوسط","أولوية متوسطة (2)","أولوية عادية (3)")))</f>
        <v/>
      </c>
      <c r="L78" s="3" t="str">
        <f>IF(C78="","",COUNTIF('[1]الخطة التدريبية المعتمدة'!E:E,E78)+COUNTIF('[1]الخطة التدريبية المعتمدة'!E:E,"جميع العاملين بالمنشأة"))</f>
        <v/>
      </c>
      <c r="M78" s="3" t="str">
        <f>IF(C78="","",COUNTIFS('[2]سجل الحضور والتنفيذ'!E:E,B78,'[2]سجل الحضور والتنفيذ'!H:H,"حاضر"))</f>
        <v/>
      </c>
      <c r="N78" s="7" t="str">
        <f>IF(OR(C78="",L78=0),"",M78/L78)</f>
        <v/>
      </c>
      <c r="O78" s="3" t="str">
        <f>IF(C78="","",SUMPRODUCT(('[2]سجل الحضور والتنفيذ'!E:E=B78)*('[2]سجل الحضور والتنفيذ'!H:H="حاضر")*('[2]سجل الحضور والتنفيذ'!G:G)))</f>
        <v/>
      </c>
      <c r="P78" s="3" t="str">
        <f ca="1">IF(C78="","",IF(G78&lt;&gt;"موظف جديد " &amp; 'الإعدادات والمستهدفات'!B4,"—",IF(COUNTIFS('[2]سجل الحضور والتنفيذ'!E:E,B78,'[2]سجل الحضور والتنفيذ'!A:A,"PSY-OR-01",'[2]سجل الحضور والتنفيذ'!H:H,"حاضر")&gt;0,"مستوفى",IF(AND(F78&lt;&gt;"",TODAY()&gt;F78+'الإعدادات والمستهدفات'!B9),"متأخر عن المهلة","خلال المهلة"))))</f>
        <v/>
      </c>
    </row>
    <row r="79" spans="1:16" x14ac:dyDescent="0.2">
      <c r="A79" s="3" t="str">
        <f>IF(C79="","",ROW()-3)</f>
        <v/>
      </c>
      <c r="B79" s="3"/>
      <c r="C79" s="3"/>
      <c r="D79" s="3"/>
      <c r="E79" s="3"/>
      <c r="F79" s="3"/>
      <c r="G79" s="3" t="str">
        <f>IF(C79="","",IF(F79="","موظف قائم",IF(YEAR(F79)&gt;='الإعدادات والمستهدفات'!B4,"موظف جديد " &amp; 'الإعدادات والمستهدفات'!B4,"موظف قائم")))</f>
        <v/>
      </c>
      <c r="H79" s="7"/>
      <c r="I79" s="3" t="str">
        <f>IF(C79="","",IF(OR(H79="",H79=0),"لم يُقيَّم","مُقيَّم"))</f>
        <v/>
      </c>
      <c r="J79" s="3" t="str">
        <f>IF(C79="","",IF(I79="لم يُقيَّم","يحتاج تقييم عاجل",IF(H79&lt;'الإعدادات والمستهدفات'!B5,"احتياج مرتفع جداً",IF(H79&lt;'الإعدادات والمستهدفات'!B6,"احتياج متوسط","احتياج منخفض"))))</f>
        <v/>
      </c>
      <c r="K79" s="3" t="str">
        <f>IF(C79="","",IF(OR(J79="يحتاج تقييم عاجل",J79="احتياج مرتفع جداً"),"أولوية قصوى (1)",IF(J79="احتياج متوسط","أولوية متوسطة (2)","أولوية عادية (3)")))</f>
        <v/>
      </c>
      <c r="L79" s="3" t="str">
        <f>IF(C79="","",COUNTIF('[1]الخطة التدريبية المعتمدة'!E:E,E79)+COUNTIF('[1]الخطة التدريبية المعتمدة'!E:E,"جميع العاملين بالمنشأة"))</f>
        <v/>
      </c>
      <c r="M79" s="3" t="str">
        <f>IF(C79="","",COUNTIFS('[2]سجل الحضور والتنفيذ'!E:E,B79,'[2]سجل الحضور والتنفيذ'!H:H,"حاضر"))</f>
        <v/>
      </c>
      <c r="N79" s="7" t="str">
        <f>IF(OR(C79="",L79=0),"",M79/L79)</f>
        <v/>
      </c>
      <c r="O79" s="3" t="str">
        <f>IF(C79="","",SUMPRODUCT(('[2]سجل الحضور والتنفيذ'!E:E=B79)*('[2]سجل الحضور والتنفيذ'!H:H="حاضر")*('[2]سجل الحضور والتنفيذ'!G:G)))</f>
        <v/>
      </c>
      <c r="P79" s="3" t="str">
        <f ca="1">IF(C79="","",IF(G79&lt;&gt;"موظف جديد " &amp; 'الإعدادات والمستهدفات'!B4,"—",IF(COUNTIFS('[2]سجل الحضور والتنفيذ'!E:E,B79,'[2]سجل الحضور والتنفيذ'!A:A,"PSY-OR-01",'[2]سجل الحضور والتنفيذ'!H:H,"حاضر")&gt;0,"مستوفى",IF(AND(F79&lt;&gt;"",TODAY()&gt;F79+'الإعدادات والمستهدفات'!B9),"متأخر عن المهلة","خلال المهلة"))))</f>
        <v/>
      </c>
    </row>
    <row r="80" spans="1:16" x14ac:dyDescent="0.2">
      <c r="A80" s="3" t="str">
        <f>IF(C80="","",ROW()-3)</f>
        <v/>
      </c>
      <c r="B80" s="3"/>
      <c r="C80" s="3"/>
      <c r="D80" s="3"/>
      <c r="E80" s="3"/>
      <c r="F80" s="3"/>
      <c r="G80" s="3" t="str">
        <f>IF(C80="","",IF(F80="","موظف قائم",IF(YEAR(F80)&gt;='الإعدادات والمستهدفات'!B4,"موظف جديد " &amp; 'الإعدادات والمستهدفات'!B4,"موظف قائم")))</f>
        <v/>
      </c>
      <c r="H80" s="7"/>
      <c r="I80" s="3" t="str">
        <f>IF(C80="","",IF(OR(H80="",H80=0),"لم يُقيَّم","مُقيَّم"))</f>
        <v/>
      </c>
      <c r="J80" s="3" t="str">
        <f>IF(C80="","",IF(I80="لم يُقيَّم","يحتاج تقييم عاجل",IF(H80&lt;'الإعدادات والمستهدفات'!B5,"احتياج مرتفع جداً",IF(H80&lt;'الإعدادات والمستهدفات'!B6,"احتياج متوسط","احتياج منخفض"))))</f>
        <v/>
      </c>
      <c r="K80" s="3" t="str">
        <f>IF(C80="","",IF(OR(J80="يحتاج تقييم عاجل",J80="احتياج مرتفع جداً"),"أولوية قصوى (1)",IF(J80="احتياج متوسط","أولوية متوسطة (2)","أولوية عادية (3)")))</f>
        <v/>
      </c>
      <c r="L80" s="3" t="str">
        <f>IF(C80="","",COUNTIF('[1]الخطة التدريبية المعتمدة'!E:E,E80)+COUNTIF('[1]الخطة التدريبية المعتمدة'!E:E,"جميع العاملين بالمنشأة"))</f>
        <v/>
      </c>
      <c r="M80" s="3" t="str">
        <f>IF(C80="","",COUNTIFS('[2]سجل الحضور والتنفيذ'!E:E,B80,'[2]سجل الحضور والتنفيذ'!H:H,"حاضر"))</f>
        <v/>
      </c>
      <c r="N80" s="7" t="str">
        <f>IF(OR(C80="",L80=0),"",M80/L80)</f>
        <v/>
      </c>
      <c r="O80" s="3" t="str">
        <f>IF(C80="","",SUMPRODUCT(('[2]سجل الحضور والتنفيذ'!E:E=B80)*('[2]سجل الحضور والتنفيذ'!H:H="حاضر")*('[2]سجل الحضور والتنفيذ'!G:G)))</f>
        <v/>
      </c>
      <c r="P80" s="3" t="str">
        <f ca="1">IF(C80="","",IF(G80&lt;&gt;"موظف جديد " &amp; 'الإعدادات والمستهدفات'!B4,"—",IF(COUNTIFS('[2]سجل الحضور والتنفيذ'!E:E,B80,'[2]سجل الحضور والتنفيذ'!A:A,"PSY-OR-01",'[2]سجل الحضور والتنفيذ'!H:H,"حاضر")&gt;0,"مستوفى",IF(AND(F80&lt;&gt;"",TODAY()&gt;F80+'الإعدادات والمستهدفات'!B9),"متأخر عن المهلة","خلال المهلة"))))</f>
        <v/>
      </c>
    </row>
    <row r="81" spans="1:16" x14ac:dyDescent="0.2">
      <c r="A81" s="3" t="str">
        <f>IF(C81="","",ROW()-3)</f>
        <v/>
      </c>
      <c r="B81" s="3"/>
      <c r="C81" s="3"/>
      <c r="D81" s="3"/>
      <c r="E81" s="3"/>
      <c r="F81" s="3"/>
      <c r="G81" s="3" t="str">
        <f>IF(C81="","",IF(F81="","موظف قائم",IF(YEAR(F81)&gt;='الإعدادات والمستهدفات'!B4,"موظف جديد " &amp; 'الإعدادات والمستهدفات'!B4,"موظف قائم")))</f>
        <v/>
      </c>
      <c r="H81" s="7"/>
      <c r="I81" s="3" t="str">
        <f>IF(C81="","",IF(OR(H81="",H81=0),"لم يُقيَّم","مُقيَّم"))</f>
        <v/>
      </c>
      <c r="J81" s="3" t="str">
        <f>IF(C81="","",IF(I81="لم يُقيَّم","يحتاج تقييم عاجل",IF(H81&lt;'الإعدادات والمستهدفات'!B5,"احتياج مرتفع جداً",IF(H81&lt;'الإعدادات والمستهدفات'!B6,"احتياج متوسط","احتياج منخفض"))))</f>
        <v/>
      </c>
      <c r="K81" s="3" t="str">
        <f>IF(C81="","",IF(OR(J81="يحتاج تقييم عاجل",J81="احتياج مرتفع جداً"),"أولوية قصوى (1)",IF(J81="احتياج متوسط","أولوية متوسطة (2)","أولوية عادية (3)")))</f>
        <v/>
      </c>
      <c r="L81" s="3" t="str">
        <f>IF(C81="","",COUNTIF('[1]الخطة التدريبية المعتمدة'!E:E,E81)+COUNTIF('[1]الخطة التدريبية المعتمدة'!E:E,"جميع العاملين بالمنشأة"))</f>
        <v/>
      </c>
      <c r="M81" s="3" t="str">
        <f>IF(C81="","",COUNTIFS('[2]سجل الحضور والتنفيذ'!E:E,B81,'[2]سجل الحضور والتنفيذ'!H:H,"حاضر"))</f>
        <v/>
      </c>
      <c r="N81" s="7" t="str">
        <f>IF(OR(C81="",L81=0),"",M81/L81)</f>
        <v/>
      </c>
      <c r="O81" s="3" t="str">
        <f>IF(C81="","",SUMPRODUCT(('[2]سجل الحضور والتنفيذ'!E:E=B81)*('[2]سجل الحضور والتنفيذ'!H:H="حاضر")*('[2]سجل الحضور والتنفيذ'!G:G)))</f>
        <v/>
      </c>
      <c r="P81" s="3" t="str">
        <f ca="1">IF(C81="","",IF(G81&lt;&gt;"موظف جديد " &amp; 'الإعدادات والمستهدفات'!B4,"—",IF(COUNTIFS('[2]سجل الحضور والتنفيذ'!E:E,B81,'[2]سجل الحضور والتنفيذ'!A:A,"PSY-OR-01",'[2]سجل الحضور والتنفيذ'!H:H,"حاضر")&gt;0,"مستوفى",IF(AND(F81&lt;&gt;"",TODAY()&gt;F81+'الإعدادات والمستهدفات'!B9),"متأخر عن المهلة","خلال المهلة"))))</f>
        <v/>
      </c>
    </row>
    <row r="82" spans="1:16" x14ac:dyDescent="0.2">
      <c r="A82" s="3" t="str">
        <f>IF(C82="","",ROW()-3)</f>
        <v/>
      </c>
      <c r="B82" s="3"/>
      <c r="C82" s="3"/>
      <c r="D82" s="3"/>
      <c r="E82" s="3"/>
      <c r="F82" s="3"/>
      <c r="G82" s="3" t="str">
        <f>IF(C82="","",IF(F82="","موظف قائم",IF(YEAR(F82)&gt;='الإعدادات والمستهدفات'!B4,"موظف جديد " &amp; 'الإعدادات والمستهدفات'!B4,"موظف قائم")))</f>
        <v/>
      </c>
      <c r="H82" s="7"/>
      <c r="I82" s="3" t="str">
        <f>IF(C82="","",IF(OR(H82="",H82=0),"لم يُقيَّم","مُقيَّم"))</f>
        <v/>
      </c>
      <c r="J82" s="3" t="str">
        <f>IF(C82="","",IF(I82="لم يُقيَّم","يحتاج تقييم عاجل",IF(H82&lt;'الإعدادات والمستهدفات'!B5,"احتياج مرتفع جداً",IF(H82&lt;'الإعدادات والمستهدفات'!B6,"احتياج متوسط","احتياج منخفض"))))</f>
        <v/>
      </c>
      <c r="K82" s="3" t="str">
        <f>IF(C82="","",IF(OR(J82="يحتاج تقييم عاجل",J82="احتياج مرتفع جداً"),"أولوية قصوى (1)",IF(J82="احتياج متوسط","أولوية متوسطة (2)","أولوية عادية (3)")))</f>
        <v/>
      </c>
      <c r="L82" s="3" t="str">
        <f>IF(C82="","",COUNTIF('[1]الخطة التدريبية المعتمدة'!E:E,E82)+COUNTIF('[1]الخطة التدريبية المعتمدة'!E:E,"جميع العاملين بالمنشأة"))</f>
        <v/>
      </c>
      <c r="M82" s="3" t="str">
        <f>IF(C82="","",COUNTIFS('[2]سجل الحضور والتنفيذ'!E:E,B82,'[2]سجل الحضور والتنفيذ'!H:H,"حاضر"))</f>
        <v/>
      </c>
      <c r="N82" s="7" t="str">
        <f>IF(OR(C82="",L82=0),"",M82/L82)</f>
        <v/>
      </c>
      <c r="O82" s="3" t="str">
        <f>IF(C82="","",SUMPRODUCT(('[2]سجل الحضور والتنفيذ'!E:E=B82)*('[2]سجل الحضور والتنفيذ'!H:H="حاضر")*('[2]سجل الحضور والتنفيذ'!G:G)))</f>
        <v/>
      </c>
      <c r="P82" s="3" t="str">
        <f ca="1">IF(C82="","",IF(G82&lt;&gt;"موظف جديد " &amp; 'الإعدادات والمستهدفات'!B4,"—",IF(COUNTIFS('[2]سجل الحضور والتنفيذ'!E:E,B82,'[2]سجل الحضور والتنفيذ'!A:A,"PSY-OR-01",'[2]سجل الحضور والتنفيذ'!H:H,"حاضر")&gt;0,"مستوفى",IF(AND(F82&lt;&gt;"",TODAY()&gt;F82+'الإعدادات والمستهدفات'!B9),"متأخر عن المهلة","خلال المهلة"))))</f>
        <v/>
      </c>
    </row>
    <row r="83" spans="1:16" x14ac:dyDescent="0.2">
      <c r="A83" s="3" t="str">
        <f>IF(C83="","",ROW()-3)</f>
        <v/>
      </c>
      <c r="B83" s="3"/>
      <c r="C83" s="3"/>
      <c r="D83" s="3"/>
      <c r="E83" s="3"/>
      <c r="F83" s="3"/>
      <c r="G83" s="3" t="str">
        <f>IF(C83="","",IF(F83="","موظف قائم",IF(YEAR(F83)&gt;='الإعدادات والمستهدفات'!B4,"موظف جديد " &amp; 'الإعدادات والمستهدفات'!B4,"موظف قائم")))</f>
        <v/>
      </c>
      <c r="H83" s="7"/>
      <c r="I83" s="3" t="str">
        <f>IF(C83="","",IF(OR(H83="",H83=0),"لم يُقيَّم","مُقيَّم"))</f>
        <v/>
      </c>
      <c r="J83" s="3" t="str">
        <f>IF(C83="","",IF(I83="لم يُقيَّم","يحتاج تقييم عاجل",IF(H83&lt;'الإعدادات والمستهدفات'!B5,"احتياج مرتفع جداً",IF(H83&lt;'الإعدادات والمستهدفات'!B6,"احتياج متوسط","احتياج منخفض"))))</f>
        <v/>
      </c>
      <c r="K83" s="3" t="str">
        <f>IF(C83="","",IF(OR(J83="يحتاج تقييم عاجل",J83="احتياج مرتفع جداً"),"أولوية قصوى (1)",IF(J83="احتياج متوسط","أولوية متوسطة (2)","أولوية عادية (3)")))</f>
        <v/>
      </c>
      <c r="L83" s="3" t="str">
        <f>IF(C83="","",COUNTIF('[1]الخطة التدريبية المعتمدة'!E:E,E83)+COUNTIF('[1]الخطة التدريبية المعتمدة'!E:E,"جميع العاملين بالمنشأة"))</f>
        <v/>
      </c>
      <c r="M83" s="3" t="str">
        <f>IF(C83="","",COUNTIFS('[2]سجل الحضور والتنفيذ'!E:E,B83,'[2]سجل الحضور والتنفيذ'!H:H,"حاضر"))</f>
        <v/>
      </c>
      <c r="N83" s="7" t="str">
        <f>IF(OR(C83="",L83=0),"",M83/L83)</f>
        <v/>
      </c>
      <c r="O83" s="3" t="str">
        <f>IF(C83="","",SUMPRODUCT(('[2]سجل الحضور والتنفيذ'!E:E=B83)*('[2]سجل الحضور والتنفيذ'!H:H="حاضر")*('[2]سجل الحضور والتنفيذ'!G:G)))</f>
        <v/>
      </c>
      <c r="P83" s="3" t="str">
        <f ca="1">IF(C83="","",IF(G83&lt;&gt;"موظف جديد " &amp; 'الإعدادات والمستهدفات'!B4,"—",IF(COUNTIFS('[2]سجل الحضور والتنفيذ'!E:E,B83,'[2]سجل الحضور والتنفيذ'!A:A,"PSY-OR-01",'[2]سجل الحضور والتنفيذ'!H:H,"حاضر")&gt;0,"مستوفى",IF(AND(F83&lt;&gt;"",TODAY()&gt;F83+'الإعدادات والمستهدفات'!B9),"متأخر عن المهلة","خلال المهلة"))))</f>
        <v/>
      </c>
    </row>
    <row r="84" spans="1:16" x14ac:dyDescent="0.2">
      <c r="A84" s="3" t="str">
        <f>IF(C84="","",ROW()-3)</f>
        <v/>
      </c>
      <c r="B84" s="3"/>
      <c r="C84" s="3"/>
      <c r="D84" s="3"/>
      <c r="E84" s="3"/>
      <c r="F84" s="3"/>
      <c r="G84" s="3" t="str">
        <f>IF(C84="","",IF(F84="","موظف قائم",IF(YEAR(F84)&gt;='الإعدادات والمستهدفات'!B4,"موظف جديد " &amp; 'الإعدادات والمستهدفات'!B4,"موظف قائم")))</f>
        <v/>
      </c>
      <c r="H84" s="7"/>
      <c r="I84" s="3" t="str">
        <f>IF(C84="","",IF(OR(H84="",H84=0),"لم يُقيَّم","مُقيَّم"))</f>
        <v/>
      </c>
      <c r="J84" s="3" t="str">
        <f>IF(C84="","",IF(I84="لم يُقيَّم","يحتاج تقييم عاجل",IF(H84&lt;'الإعدادات والمستهدفات'!B5,"احتياج مرتفع جداً",IF(H84&lt;'الإعدادات والمستهدفات'!B6,"احتياج متوسط","احتياج منخفض"))))</f>
        <v/>
      </c>
      <c r="K84" s="3" t="str">
        <f>IF(C84="","",IF(OR(J84="يحتاج تقييم عاجل",J84="احتياج مرتفع جداً"),"أولوية قصوى (1)",IF(J84="احتياج متوسط","أولوية متوسطة (2)","أولوية عادية (3)")))</f>
        <v/>
      </c>
      <c r="L84" s="3" t="str">
        <f>IF(C84="","",COUNTIF('[1]الخطة التدريبية المعتمدة'!E:E,E84)+COUNTIF('[1]الخطة التدريبية المعتمدة'!E:E,"جميع العاملين بالمنشأة"))</f>
        <v/>
      </c>
      <c r="M84" s="3" t="str">
        <f>IF(C84="","",COUNTIFS('[2]سجل الحضور والتنفيذ'!E:E,B84,'[2]سجل الحضور والتنفيذ'!H:H,"حاضر"))</f>
        <v/>
      </c>
      <c r="N84" s="7" t="str">
        <f>IF(OR(C84="",L84=0),"",M84/L84)</f>
        <v/>
      </c>
      <c r="O84" s="3" t="str">
        <f>IF(C84="","",SUMPRODUCT(('[2]سجل الحضور والتنفيذ'!E:E=B84)*('[2]سجل الحضور والتنفيذ'!H:H="حاضر")*('[2]سجل الحضور والتنفيذ'!G:G)))</f>
        <v/>
      </c>
      <c r="P84" s="3" t="str">
        <f ca="1">IF(C84="","",IF(G84&lt;&gt;"موظف جديد " &amp; 'الإعدادات والمستهدفات'!B4,"—",IF(COUNTIFS('[2]سجل الحضور والتنفيذ'!E:E,B84,'[2]سجل الحضور والتنفيذ'!A:A,"PSY-OR-01",'[2]سجل الحضور والتنفيذ'!H:H,"حاضر")&gt;0,"مستوفى",IF(AND(F84&lt;&gt;"",TODAY()&gt;F84+'الإعدادات والمستهدفات'!B9),"متأخر عن المهلة","خلال المهلة"))))</f>
        <v/>
      </c>
    </row>
    <row r="85" spans="1:16" x14ac:dyDescent="0.2">
      <c r="A85" s="3" t="str">
        <f>IF(C85="","",ROW()-3)</f>
        <v/>
      </c>
      <c r="B85" s="3"/>
      <c r="C85" s="3"/>
      <c r="D85" s="3"/>
      <c r="E85" s="3"/>
      <c r="F85" s="3"/>
      <c r="G85" s="3" t="str">
        <f>IF(C85="","",IF(F85="","موظف قائم",IF(YEAR(F85)&gt;='الإعدادات والمستهدفات'!B4,"موظف جديد " &amp; 'الإعدادات والمستهدفات'!B4,"موظف قائم")))</f>
        <v/>
      </c>
      <c r="H85" s="7"/>
      <c r="I85" s="3" t="str">
        <f>IF(C85="","",IF(OR(H85="",H85=0),"لم يُقيَّم","مُقيَّم"))</f>
        <v/>
      </c>
      <c r="J85" s="3" t="str">
        <f>IF(C85="","",IF(I85="لم يُقيَّم","يحتاج تقييم عاجل",IF(H85&lt;'الإعدادات والمستهدفات'!B5,"احتياج مرتفع جداً",IF(H85&lt;'الإعدادات والمستهدفات'!B6,"احتياج متوسط","احتياج منخفض"))))</f>
        <v/>
      </c>
      <c r="K85" s="3" t="str">
        <f>IF(C85="","",IF(OR(J85="يحتاج تقييم عاجل",J85="احتياج مرتفع جداً"),"أولوية قصوى (1)",IF(J85="احتياج متوسط","أولوية متوسطة (2)","أولوية عادية (3)")))</f>
        <v/>
      </c>
      <c r="L85" s="3" t="str">
        <f>IF(C85="","",COUNTIF('[1]الخطة التدريبية المعتمدة'!E:E,E85)+COUNTIF('[1]الخطة التدريبية المعتمدة'!E:E,"جميع العاملين بالمنشأة"))</f>
        <v/>
      </c>
      <c r="M85" s="3" t="str">
        <f>IF(C85="","",COUNTIFS('[2]سجل الحضور والتنفيذ'!E:E,B85,'[2]سجل الحضور والتنفيذ'!H:H,"حاضر"))</f>
        <v/>
      </c>
      <c r="N85" s="7" t="str">
        <f>IF(OR(C85="",L85=0),"",M85/L85)</f>
        <v/>
      </c>
      <c r="O85" s="3" t="str">
        <f>IF(C85="","",SUMPRODUCT(('[2]سجل الحضور والتنفيذ'!E:E=B85)*('[2]سجل الحضور والتنفيذ'!H:H="حاضر")*('[2]سجل الحضور والتنفيذ'!G:G)))</f>
        <v/>
      </c>
      <c r="P85" s="3" t="str">
        <f ca="1">IF(C85="","",IF(G85&lt;&gt;"موظف جديد " &amp; 'الإعدادات والمستهدفات'!B4,"—",IF(COUNTIFS('[2]سجل الحضور والتنفيذ'!E:E,B85,'[2]سجل الحضور والتنفيذ'!A:A,"PSY-OR-01",'[2]سجل الحضور والتنفيذ'!H:H,"حاضر")&gt;0,"مستوفى",IF(AND(F85&lt;&gt;"",TODAY()&gt;F85+'الإعدادات والمستهدفات'!B9),"متأخر عن المهلة","خلال المهلة"))))</f>
        <v/>
      </c>
    </row>
    <row r="86" spans="1:16" x14ac:dyDescent="0.2">
      <c r="A86" s="3" t="str">
        <f>IF(C86="","",ROW()-3)</f>
        <v/>
      </c>
      <c r="B86" s="3"/>
      <c r="C86" s="3"/>
      <c r="D86" s="3"/>
      <c r="E86" s="3"/>
      <c r="F86" s="3"/>
      <c r="G86" s="3" t="str">
        <f>IF(C86="","",IF(F86="","موظف قائم",IF(YEAR(F86)&gt;='الإعدادات والمستهدفات'!B4,"موظف جديد " &amp; 'الإعدادات والمستهدفات'!B4,"موظف قائم")))</f>
        <v/>
      </c>
      <c r="H86" s="7"/>
      <c r="I86" s="3" t="str">
        <f>IF(C86="","",IF(OR(H86="",H86=0),"لم يُقيَّم","مُقيَّم"))</f>
        <v/>
      </c>
      <c r="J86" s="3" t="str">
        <f>IF(C86="","",IF(I86="لم يُقيَّم","يحتاج تقييم عاجل",IF(H86&lt;'الإعدادات والمستهدفات'!B5,"احتياج مرتفع جداً",IF(H86&lt;'الإعدادات والمستهدفات'!B6,"احتياج متوسط","احتياج منخفض"))))</f>
        <v/>
      </c>
      <c r="K86" s="3" t="str">
        <f>IF(C86="","",IF(OR(J86="يحتاج تقييم عاجل",J86="احتياج مرتفع جداً"),"أولوية قصوى (1)",IF(J86="احتياج متوسط","أولوية متوسطة (2)","أولوية عادية (3)")))</f>
        <v/>
      </c>
      <c r="L86" s="3" t="str">
        <f>IF(C86="","",COUNTIF('[1]الخطة التدريبية المعتمدة'!E:E,E86)+COUNTIF('[1]الخطة التدريبية المعتمدة'!E:E,"جميع العاملين بالمنشأة"))</f>
        <v/>
      </c>
      <c r="M86" s="3" t="str">
        <f>IF(C86="","",COUNTIFS('[2]سجل الحضور والتنفيذ'!E:E,B86,'[2]سجل الحضور والتنفيذ'!H:H,"حاضر"))</f>
        <v/>
      </c>
      <c r="N86" s="7" t="str">
        <f>IF(OR(C86="",L86=0),"",M86/L86)</f>
        <v/>
      </c>
      <c r="O86" s="3" t="str">
        <f>IF(C86="","",SUMPRODUCT(('[2]سجل الحضور والتنفيذ'!E:E=B86)*('[2]سجل الحضور والتنفيذ'!H:H="حاضر")*('[2]سجل الحضور والتنفيذ'!G:G)))</f>
        <v/>
      </c>
      <c r="P86" s="3" t="str">
        <f ca="1">IF(C86="","",IF(G86&lt;&gt;"موظف جديد " &amp; 'الإعدادات والمستهدفات'!B4,"—",IF(COUNTIFS('[2]سجل الحضور والتنفيذ'!E:E,B86,'[2]سجل الحضور والتنفيذ'!A:A,"PSY-OR-01",'[2]سجل الحضور والتنفيذ'!H:H,"حاضر")&gt;0,"مستوفى",IF(AND(F86&lt;&gt;"",TODAY()&gt;F86+'الإعدادات والمستهدفات'!B9),"متأخر عن المهلة","خلال المهلة"))))</f>
        <v/>
      </c>
    </row>
    <row r="87" spans="1:16" x14ac:dyDescent="0.2">
      <c r="A87" s="3" t="str">
        <f>IF(C87="","",ROW()-3)</f>
        <v/>
      </c>
      <c r="B87" s="3"/>
      <c r="C87" s="3"/>
      <c r="D87" s="3"/>
      <c r="E87" s="3"/>
      <c r="F87" s="3"/>
      <c r="G87" s="3" t="str">
        <f>IF(C87="","",IF(F87="","موظف قائم",IF(YEAR(F87)&gt;='الإعدادات والمستهدفات'!B4,"موظف جديد " &amp; 'الإعدادات والمستهدفات'!B4,"موظف قائم")))</f>
        <v/>
      </c>
      <c r="H87" s="7"/>
      <c r="I87" s="3" t="str">
        <f>IF(C87="","",IF(OR(H87="",H87=0),"لم يُقيَّم","مُقيَّم"))</f>
        <v/>
      </c>
      <c r="J87" s="3" t="str">
        <f>IF(C87="","",IF(I87="لم يُقيَّم","يحتاج تقييم عاجل",IF(H87&lt;'الإعدادات والمستهدفات'!B5,"احتياج مرتفع جداً",IF(H87&lt;'الإعدادات والمستهدفات'!B6,"احتياج متوسط","احتياج منخفض"))))</f>
        <v/>
      </c>
      <c r="K87" s="3" t="str">
        <f>IF(C87="","",IF(OR(J87="يحتاج تقييم عاجل",J87="احتياج مرتفع جداً"),"أولوية قصوى (1)",IF(J87="احتياج متوسط","أولوية متوسطة (2)","أولوية عادية (3)")))</f>
        <v/>
      </c>
      <c r="L87" s="3" t="str">
        <f>IF(C87="","",COUNTIF('[1]الخطة التدريبية المعتمدة'!E:E,E87)+COUNTIF('[1]الخطة التدريبية المعتمدة'!E:E,"جميع العاملين بالمنشأة"))</f>
        <v/>
      </c>
      <c r="M87" s="3" t="str">
        <f>IF(C87="","",COUNTIFS('[2]سجل الحضور والتنفيذ'!E:E,B87,'[2]سجل الحضور والتنفيذ'!H:H,"حاضر"))</f>
        <v/>
      </c>
      <c r="N87" s="7" t="str">
        <f>IF(OR(C87="",L87=0),"",M87/L87)</f>
        <v/>
      </c>
      <c r="O87" s="3" t="str">
        <f>IF(C87="","",SUMPRODUCT(('[2]سجل الحضور والتنفيذ'!E:E=B87)*('[2]سجل الحضور والتنفيذ'!H:H="حاضر")*('[2]سجل الحضور والتنفيذ'!G:G)))</f>
        <v/>
      </c>
      <c r="P87" s="3" t="str">
        <f ca="1">IF(C87="","",IF(G87&lt;&gt;"موظف جديد " &amp; 'الإعدادات والمستهدفات'!B4,"—",IF(COUNTIFS('[2]سجل الحضور والتنفيذ'!E:E,B87,'[2]سجل الحضور والتنفيذ'!A:A,"PSY-OR-01",'[2]سجل الحضور والتنفيذ'!H:H,"حاضر")&gt;0,"مستوفى",IF(AND(F87&lt;&gt;"",TODAY()&gt;F87+'الإعدادات والمستهدفات'!B9),"متأخر عن المهلة","خلال المهلة"))))</f>
        <v/>
      </c>
    </row>
    <row r="88" spans="1:16" x14ac:dyDescent="0.2">
      <c r="A88" s="3" t="str">
        <f>IF(C88="","",ROW()-3)</f>
        <v/>
      </c>
      <c r="B88" s="3"/>
      <c r="C88" s="3"/>
      <c r="D88" s="3"/>
      <c r="E88" s="3"/>
      <c r="F88" s="3"/>
      <c r="G88" s="3" t="str">
        <f>IF(C88="","",IF(F88="","موظف قائم",IF(YEAR(F88)&gt;='الإعدادات والمستهدفات'!B4,"موظف جديد " &amp; 'الإعدادات والمستهدفات'!B4,"موظف قائم")))</f>
        <v/>
      </c>
      <c r="H88" s="7"/>
      <c r="I88" s="3" t="str">
        <f>IF(C88="","",IF(OR(H88="",H88=0),"لم يُقيَّم","مُقيَّم"))</f>
        <v/>
      </c>
      <c r="J88" s="3" t="str">
        <f>IF(C88="","",IF(I88="لم يُقيَّم","يحتاج تقييم عاجل",IF(H88&lt;'الإعدادات والمستهدفات'!B5,"احتياج مرتفع جداً",IF(H88&lt;'الإعدادات والمستهدفات'!B6,"احتياج متوسط","احتياج منخفض"))))</f>
        <v/>
      </c>
      <c r="K88" s="3" t="str">
        <f>IF(C88="","",IF(OR(J88="يحتاج تقييم عاجل",J88="احتياج مرتفع جداً"),"أولوية قصوى (1)",IF(J88="احتياج متوسط","أولوية متوسطة (2)","أولوية عادية (3)")))</f>
        <v/>
      </c>
      <c r="L88" s="3" t="str">
        <f>IF(C88="","",COUNTIF('[1]الخطة التدريبية المعتمدة'!E:E,E88)+COUNTIF('[1]الخطة التدريبية المعتمدة'!E:E,"جميع العاملين بالمنشأة"))</f>
        <v/>
      </c>
      <c r="M88" s="3" t="str">
        <f>IF(C88="","",COUNTIFS('[2]سجل الحضور والتنفيذ'!E:E,B88,'[2]سجل الحضور والتنفيذ'!H:H,"حاضر"))</f>
        <v/>
      </c>
      <c r="N88" s="7" t="str">
        <f>IF(OR(C88="",L88=0),"",M88/L88)</f>
        <v/>
      </c>
      <c r="O88" s="3" t="str">
        <f>IF(C88="","",SUMPRODUCT(('[2]سجل الحضور والتنفيذ'!E:E=B88)*('[2]سجل الحضور والتنفيذ'!H:H="حاضر")*('[2]سجل الحضور والتنفيذ'!G:G)))</f>
        <v/>
      </c>
      <c r="P88" s="3" t="str">
        <f ca="1">IF(C88="","",IF(G88&lt;&gt;"موظف جديد " &amp; 'الإعدادات والمستهدفات'!B4,"—",IF(COUNTIFS('[2]سجل الحضور والتنفيذ'!E:E,B88,'[2]سجل الحضور والتنفيذ'!A:A,"PSY-OR-01",'[2]سجل الحضور والتنفيذ'!H:H,"حاضر")&gt;0,"مستوفى",IF(AND(F88&lt;&gt;"",TODAY()&gt;F88+'الإعدادات والمستهدفات'!B9),"متأخر عن المهلة","خلال المهلة"))))</f>
        <v/>
      </c>
    </row>
    <row r="89" spans="1:16" x14ac:dyDescent="0.2">
      <c r="A89" s="3" t="str">
        <f>IF(C89="","",ROW()-3)</f>
        <v/>
      </c>
      <c r="B89" s="3"/>
      <c r="C89" s="3"/>
      <c r="D89" s="3"/>
      <c r="E89" s="3"/>
      <c r="F89" s="3"/>
      <c r="G89" s="3" t="str">
        <f>IF(C89="","",IF(F89="","موظف قائم",IF(YEAR(F89)&gt;='الإعدادات والمستهدفات'!B4,"موظف جديد " &amp; 'الإعدادات والمستهدفات'!B4,"موظف قائم")))</f>
        <v/>
      </c>
      <c r="H89" s="7"/>
      <c r="I89" s="3" t="str">
        <f>IF(C89="","",IF(OR(H89="",H89=0),"لم يُقيَّم","مُقيَّم"))</f>
        <v/>
      </c>
      <c r="J89" s="3" t="str">
        <f>IF(C89="","",IF(I89="لم يُقيَّم","يحتاج تقييم عاجل",IF(H89&lt;'الإعدادات والمستهدفات'!B5,"احتياج مرتفع جداً",IF(H89&lt;'الإعدادات والمستهدفات'!B6,"احتياج متوسط","احتياج منخفض"))))</f>
        <v/>
      </c>
      <c r="K89" s="3" t="str">
        <f>IF(C89="","",IF(OR(J89="يحتاج تقييم عاجل",J89="احتياج مرتفع جداً"),"أولوية قصوى (1)",IF(J89="احتياج متوسط","أولوية متوسطة (2)","أولوية عادية (3)")))</f>
        <v/>
      </c>
      <c r="L89" s="3" t="str">
        <f>IF(C89="","",COUNTIF('[1]الخطة التدريبية المعتمدة'!E:E,E89)+COUNTIF('[1]الخطة التدريبية المعتمدة'!E:E,"جميع العاملين بالمنشأة"))</f>
        <v/>
      </c>
      <c r="M89" s="3" t="str">
        <f>IF(C89="","",COUNTIFS('[2]سجل الحضور والتنفيذ'!E:E,B89,'[2]سجل الحضور والتنفيذ'!H:H,"حاضر"))</f>
        <v/>
      </c>
      <c r="N89" s="7" t="str">
        <f>IF(OR(C89="",L89=0),"",M89/L89)</f>
        <v/>
      </c>
      <c r="O89" s="3" t="str">
        <f>IF(C89="","",SUMPRODUCT(('[2]سجل الحضور والتنفيذ'!E:E=B89)*('[2]سجل الحضور والتنفيذ'!H:H="حاضر")*('[2]سجل الحضور والتنفيذ'!G:G)))</f>
        <v/>
      </c>
      <c r="P89" s="3" t="str">
        <f ca="1">IF(C89="","",IF(G89&lt;&gt;"موظف جديد " &amp; 'الإعدادات والمستهدفات'!B4,"—",IF(COUNTIFS('[2]سجل الحضور والتنفيذ'!E:E,B89,'[2]سجل الحضور والتنفيذ'!A:A,"PSY-OR-01",'[2]سجل الحضور والتنفيذ'!H:H,"حاضر")&gt;0,"مستوفى",IF(AND(F89&lt;&gt;"",TODAY()&gt;F89+'الإعدادات والمستهدفات'!B9),"متأخر عن المهلة","خلال المهلة"))))</f>
        <v/>
      </c>
    </row>
    <row r="90" spans="1:16" x14ac:dyDescent="0.2">
      <c r="A90" s="3" t="str">
        <f>IF(C90="","",ROW()-3)</f>
        <v/>
      </c>
      <c r="B90" s="3"/>
      <c r="C90" s="3"/>
      <c r="D90" s="3"/>
      <c r="E90" s="3"/>
      <c r="F90" s="3"/>
      <c r="G90" s="3" t="str">
        <f>IF(C90="","",IF(F90="","موظف قائم",IF(YEAR(F90)&gt;='الإعدادات والمستهدفات'!B4,"موظف جديد " &amp; 'الإعدادات والمستهدفات'!B4,"موظف قائم")))</f>
        <v/>
      </c>
      <c r="H90" s="7"/>
      <c r="I90" s="3" t="str">
        <f>IF(C90="","",IF(OR(H90="",H90=0),"لم يُقيَّم","مُقيَّم"))</f>
        <v/>
      </c>
      <c r="J90" s="3" t="str">
        <f>IF(C90="","",IF(I90="لم يُقيَّم","يحتاج تقييم عاجل",IF(H90&lt;'الإعدادات والمستهدفات'!B5,"احتياج مرتفع جداً",IF(H90&lt;'الإعدادات والمستهدفات'!B6,"احتياج متوسط","احتياج منخفض"))))</f>
        <v/>
      </c>
      <c r="K90" s="3" t="str">
        <f>IF(C90="","",IF(OR(J90="يحتاج تقييم عاجل",J90="احتياج مرتفع جداً"),"أولوية قصوى (1)",IF(J90="احتياج متوسط","أولوية متوسطة (2)","أولوية عادية (3)")))</f>
        <v/>
      </c>
      <c r="L90" s="3" t="str">
        <f>IF(C90="","",COUNTIF('[1]الخطة التدريبية المعتمدة'!E:E,E90)+COUNTIF('[1]الخطة التدريبية المعتمدة'!E:E,"جميع العاملين بالمنشأة"))</f>
        <v/>
      </c>
      <c r="M90" s="3" t="str">
        <f>IF(C90="","",COUNTIFS('[2]سجل الحضور والتنفيذ'!E:E,B90,'[2]سجل الحضور والتنفيذ'!H:H,"حاضر"))</f>
        <v/>
      </c>
      <c r="N90" s="7" t="str">
        <f>IF(OR(C90="",L90=0),"",M90/L90)</f>
        <v/>
      </c>
      <c r="O90" s="3" t="str">
        <f>IF(C90="","",SUMPRODUCT(('[2]سجل الحضور والتنفيذ'!E:E=B90)*('[2]سجل الحضور والتنفيذ'!H:H="حاضر")*('[2]سجل الحضور والتنفيذ'!G:G)))</f>
        <v/>
      </c>
      <c r="P90" s="3" t="str">
        <f ca="1">IF(C90="","",IF(G90&lt;&gt;"موظف جديد " &amp; 'الإعدادات والمستهدفات'!B4,"—",IF(COUNTIFS('[2]سجل الحضور والتنفيذ'!E:E,B90,'[2]سجل الحضور والتنفيذ'!A:A,"PSY-OR-01",'[2]سجل الحضور والتنفيذ'!H:H,"حاضر")&gt;0,"مستوفى",IF(AND(F90&lt;&gt;"",TODAY()&gt;F90+'الإعدادات والمستهدفات'!B9),"متأخر عن المهلة","خلال المهلة"))))</f>
        <v/>
      </c>
    </row>
    <row r="91" spans="1:16" x14ac:dyDescent="0.2">
      <c r="A91" s="3" t="str">
        <f>IF(C91="","",ROW()-3)</f>
        <v/>
      </c>
      <c r="B91" s="3"/>
      <c r="C91" s="3"/>
      <c r="D91" s="3"/>
      <c r="E91" s="3"/>
      <c r="F91" s="3"/>
      <c r="G91" s="3" t="str">
        <f>IF(C91="","",IF(F91="","موظف قائم",IF(YEAR(F91)&gt;='الإعدادات والمستهدفات'!B4,"موظف جديد " &amp; 'الإعدادات والمستهدفات'!B4,"موظف قائم")))</f>
        <v/>
      </c>
      <c r="H91" s="7"/>
      <c r="I91" s="3" t="str">
        <f>IF(C91="","",IF(OR(H91="",H91=0),"لم يُقيَّم","مُقيَّم"))</f>
        <v/>
      </c>
      <c r="J91" s="3" t="str">
        <f>IF(C91="","",IF(I91="لم يُقيَّم","يحتاج تقييم عاجل",IF(H91&lt;'الإعدادات والمستهدفات'!B5,"احتياج مرتفع جداً",IF(H91&lt;'الإعدادات والمستهدفات'!B6,"احتياج متوسط","احتياج منخفض"))))</f>
        <v/>
      </c>
      <c r="K91" s="3" t="str">
        <f>IF(C91="","",IF(OR(J91="يحتاج تقييم عاجل",J91="احتياج مرتفع جداً"),"أولوية قصوى (1)",IF(J91="احتياج متوسط","أولوية متوسطة (2)","أولوية عادية (3)")))</f>
        <v/>
      </c>
      <c r="L91" s="3" t="str">
        <f>IF(C91="","",COUNTIF('[1]الخطة التدريبية المعتمدة'!E:E,E91)+COUNTIF('[1]الخطة التدريبية المعتمدة'!E:E,"جميع العاملين بالمنشأة"))</f>
        <v/>
      </c>
      <c r="M91" s="3" t="str">
        <f>IF(C91="","",COUNTIFS('[2]سجل الحضور والتنفيذ'!E:E,B91,'[2]سجل الحضور والتنفيذ'!H:H,"حاضر"))</f>
        <v/>
      </c>
      <c r="N91" s="7" t="str">
        <f>IF(OR(C91="",L91=0),"",M91/L91)</f>
        <v/>
      </c>
      <c r="O91" s="3" t="str">
        <f>IF(C91="","",SUMPRODUCT(('[2]سجل الحضور والتنفيذ'!E:E=B91)*('[2]سجل الحضور والتنفيذ'!H:H="حاضر")*('[2]سجل الحضور والتنفيذ'!G:G)))</f>
        <v/>
      </c>
      <c r="P91" s="3" t="str">
        <f ca="1">IF(C91="","",IF(G91&lt;&gt;"موظف جديد " &amp; 'الإعدادات والمستهدفات'!B4,"—",IF(COUNTIFS('[2]سجل الحضور والتنفيذ'!E:E,B91,'[2]سجل الحضور والتنفيذ'!A:A,"PSY-OR-01",'[2]سجل الحضور والتنفيذ'!H:H,"حاضر")&gt;0,"مستوفى",IF(AND(F91&lt;&gt;"",TODAY()&gt;F91+'الإعدادات والمستهدفات'!B9),"متأخر عن المهلة","خلال المهلة"))))</f>
        <v/>
      </c>
    </row>
    <row r="92" spans="1:16" x14ac:dyDescent="0.2">
      <c r="A92" s="3" t="str">
        <f>IF(C92="","",ROW()-3)</f>
        <v/>
      </c>
      <c r="B92" s="3"/>
      <c r="C92" s="3"/>
      <c r="D92" s="3"/>
      <c r="E92" s="3"/>
      <c r="F92" s="3"/>
      <c r="G92" s="3" t="str">
        <f>IF(C92="","",IF(F92="","موظف قائم",IF(YEAR(F92)&gt;='الإعدادات والمستهدفات'!B4,"موظف جديد " &amp; 'الإعدادات والمستهدفات'!B4,"موظف قائم")))</f>
        <v/>
      </c>
      <c r="H92" s="7"/>
      <c r="I92" s="3" t="str">
        <f>IF(C92="","",IF(OR(H92="",H92=0),"لم يُقيَّم","مُقيَّم"))</f>
        <v/>
      </c>
      <c r="J92" s="3" t="str">
        <f>IF(C92="","",IF(I92="لم يُقيَّم","يحتاج تقييم عاجل",IF(H92&lt;'الإعدادات والمستهدفات'!B5,"احتياج مرتفع جداً",IF(H92&lt;'الإعدادات والمستهدفات'!B6,"احتياج متوسط","احتياج منخفض"))))</f>
        <v/>
      </c>
      <c r="K92" s="3" t="str">
        <f>IF(C92="","",IF(OR(J92="يحتاج تقييم عاجل",J92="احتياج مرتفع جداً"),"أولوية قصوى (1)",IF(J92="احتياج متوسط","أولوية متوسطة (2)","أولوية عادية (3)")))</f>
        <v/>
      </c>
      <c r="L92" s="3" t="str">
        <f>IF(C92="","",COUNTIF('[1]الخطة التدريبية المعتمدة'!E:E,E92)+COUNTIF('[1]الخطة التدريبية المعتمدة'!E:E,"جميع العاملين بالمنشأة"))</f>
        <v/>
      </c>
      <c r="M92" s="3" t="str">
        <f>IF(C92="","",COUNTIFS('[2]سجل الحضور والتنفيذ'!E:E,B92,'[2]سجل الحضور والتنفيذ'!H:H,"حاضر"))</f>
        <v/>
      </c>
      <c r="N92" s="7" t="str">
        <f>IF(OR(C92="",L92=0),"",M92/L92)</f>
        <v/>
      </c>
      <c r="O92" s="3" t="str">
        <f>IF(C92="","",SUMPRODUCT(('[2]سجل الحضور والتنفيذ'!E:E=B92)*('[2]سجل الحضور والتنفيذ'!H:H="حاضر")*('[2]سجل الحضور والتنفيذ'!G:G)))</f>
        <v/>
      </c>
      <c r="P92" s="3" t="str">
        <f ca="1">IF(C92="","",IF(G92&lt;&gt;"موظف جديد " &amp; 'الإعدادات والمستهدفات'!B4,"—",IF(COUNTIFS('[2]سجل الحضور والتنفيذ'!E:E,B92,'[2]سجل الحضور والتنفيذ'!A:A,"PSY-OR-01",'[2]سجل الحضور والتنفيذ'!H:H,"حاضر")&gt;0,"مستوفى",IF(AND(F92&lt;&gt;"",TODAY()&gt;F92+'الإعدادات والمستهدفات'!B9),"متأخر عن المهلة","خلال المهلة"))))</f>
        <v/>
      </c>
    </row>
    <row r="93" spans="1:16" x14ac:dyDescent="0.2">
      <c r="A93" s="3" t="str">
        <f>IF(C93="","",ROW()-3)</f>
        <v/>
      </c>
      <c r="B93" s="3"/>
      <c r="C93" s="3"/>
      <c r="D93" s="3"/>
      <c r="E93" s="3"/>
      <c r="F93" s="3"/>
      <c r="G93" s="3" t="str">
        <f>IF(C93="","",IF(F93="","موظف قائم",IF(YEAR(F93)&gt;='الإعدادات والمستهدفات'!B4,"موظف جديد " &amp; 'الإعدادات والمستهدفات'!B4,"موظف قائم")))</f>
        <v/>
      </c>
      <c r="H93" s="7"/>
      <c r="I93" s="3" t="str">
        <f>IF(C93="","",IF(OR(H93="",H93=0),"لم يُقيَّم","مُقيَّم"))</f>
        <v/>
      </c>
      <c r="J93" s="3" t="str">
        <f>IF(C93="","",IF(I93="لم يُقيَّم","يحتاج تقييم عاجل",IF(H93&lt;'الإعدادات والمستهدفات'!B5,"احتياج مرتفع جداً",IF(H93&lt;'الإعدادات والمستهدفات'!B6,"احتياج متوسط","احتياج منخفض"))))</f>
        <v/>
      </c>
      <c r="K93" s="3" t="str">
        <f>IF(C93="","",IF(OR(J93="يحتاج تقييم عاجل",J93="احتياج مرتفع جداً"),"أولوية قصوى (1)",IF(J93="احتياج متوسط","أولوية متوسطة (2)","أولوية عادية (3)")))</f>
        <v/>
      </c>
      <c r="L93" s="3" t="str">
        <f>IF(C93="","",COUNTIF('[1]الخطة التدريبية المعتمدة'!E:E,E93)+COUNTIF('[1]الخطة التدريبية المعتمدة'!E:E,"جميع العاملين بالمنشأة"))</f>
        <v/>
      </c>
      <c r="M93" s="3" t="str">
        <f>IF(C93="","",COUNTIFS('[2]سجل الحضور والتنفيذ'!E:E,B93,'[2]سجل الحضور والتنفيذ'!H:H,"حاضر"))</f>
        <v/>
      </c>
      <c r="N93" s="7" t="str">
        <f>IF(OR(C93="",L93=0),"",M93/L93)</f>
        <v/>
      </c>
      <c r="O93" s="3" t="str">
        <f>IF(C93="","",SUMPRODUCT(('[2]سجل الحضور والتنفيذ'!E:E=B93)*('[2]سجل الحضور والتنفيذ'!H:H="حاضر")*('[2]سجل الحضور والتنفيذ'!G:G)))</f>
        <v/>
      </c>
      <c r="P93" s="3" t="str">
        <f ca="1">IF(C93="","",IF(G93&lt;&gt;"موظف جديد " &amp; 'الإعدادات والمستهدفات'!B4,"—",IF(COUNTIFS('[2]سجل الحضور والتنفيذ'!E:E,B93,'[2]سجل الحضور والتنفيذ'!A:A,"PSY-OR-01",'[2]سجل الحضور والتنفيذ'!H:H,"حاضر")&gt;0,"مستوفى",IF(AND(F93&lt;&gt;"",TODAY()&gt;F93+'الإعدادات والمستهدفات'!B9),"متأخر عن المهلة","خلال المهلة"))))</f>
        <v/>
      </c>
    </row>
    <row r="94" spans="1:16" x14ac:dyDescent="0.2">
      <c r="A94" s="3" t="str">
        <f>IF(C94="","",ROW()-3)</f>
        <v/>
      </c>
      <c r="B94" s="3"/>
      <c r="C94" s="3"/>
      <c r="D94" s="3"/>
      <c r="E94" s="3"/>
      <c r="F94" s="3"/>
      <c r="G94" s="3" t="str">
        <f>IF(C94="","",IF(F94="","موظف قائم",IF(YEAR(F94)&gt;='الإعدادات والمستهدفات'!B4,"موظف جديد " &amp; 'الإعدادات والمستهدفات'!B4,"موظف قائم")))</f>
        <v/>
      </c>
      <c r="H94" s="7"/>
      <c r="I94" s="3" t="str">
        <f>IF(C94="","",IF(OR(H94="",H94=0),"لم يُقيَّم","مُقيَّم"))</f>
        <v/>
      </c>
      <c r="J94" s="3" t="str">
        <f>IF(C94="","",IF(I94="لم يُقيَّم","يحتاج تقييم عاجل",IF(H94&lt;'الإعدادات والمستهدفات'!B5,"احتياج مرتفع جداً",IF(H94&lt;'الإعدادات والمستهدفات'!B6,"احتياج متوسط","احتياج منخفض"))))</f>
        <v/>
      </c>
      <c r="K94" s="3" t="str">
        <f>IF(C94="","",IF(OR(J94="يحتاج تقييم عاجل",J94="احتياج مرتفع جداً"),"أولوية قصوى (1)",IF(J94="احتياج متوسط","أولوية متوسطة (2)","أولوية عادية (3)")))</f>
        <v/>
      </c>
      <c r="L94" s="3" t="str">
        <f>IF(C94="","",COUNTIF('[1]الخطة التدريبية المعتمدة'!E:E,E94)+COUNTIF('[1]الخطة التدريبية المعتمدة'!E:E,"جميع العاملين بالمنشأة"))</f>
        <v/>
      </c>
      <c r="M94" s="3" t="str">
        <f>IF(C94="","",COUNTIFS('[2]سجل الحضور والتنفيذ'!E:E,B94,'[2]سجل الحضور والتنفيذ'!H:H,"حاضر"))</f>
        <v/>
      </c>
      <c r="N94" s="7" t="str">
        <f>IF(OR(C94="",L94=0),"",M94/L94)</f>
        <v/>
      </c>
      <c r="O94" s="3" t="str">
        <f>IF(C94="","",SUMPRODUCT(('[2]سجل الحضور والتنفيذ'!E:E=B94)*('[2]سجل الحضور والتنفيذ'!H:H="حاضر")*('[2]سجل الحضور والتنفيذ'!G:G)))</f>
        <v/>
      </c>
      <c r="P94" s="3" t="str">
        <f ca="1">IF(C94="","",IF(G94&lt;&gt;"موظف جديد " &amp; 'الإعدادات والمستهدفات'!B4,"—",IF(COUNTIFS('[2]سجل الحضور والتنفيذ'!E:E,B94,'[2]سجل الحضور والتنفيذ'!A:A,"PSY-OR-01",'[2]سجل الحضور والتنفيذ'!H:H,"حاضر")&gt;0,"مستوفى",IF(AND(F94&lt;&gt;"",TODAY()&gt;F94+'الإعدادات والمستهدفات'!B9),"متأخر عن المهلة","خلال المهلة"))))</f>
        <v/>
      </c>
    </row>
    <row r="95" spans="1:16" x14ac:dyDescent="0.2">
      <c r="A95" s="3" t="str">
        <f>IF(C95="","",ROW()-3)</f>
        <v/>
      </c>
      <c r="B95" s="3"/>
      <c r="C95" s="3"/>
      <c r="D95" s="3"/>
      <c r="E95" s="3"/>
      <c r="F95" s="3"/>
      <c r="G95" s="3" t="str">
        <f>IF(C95="","",IF(F95="","موظف قائم",IF(YEAR(F95)&gt;='الإعدادات والمستهدفات'!B4,"موظف جديد " &amp; 'الإعدادات والمستهدفات'!B4,"موظف قائم")))</f>
        <v/>
      </c>
      <c r="H95" s="7"/>
      <c r="I95" s="3" t="str">
        <f>IF(C95="","",IF(OR(H95="",H95=0),"لم يُقيَّم","مُقيَّم"))</f>
        <v/>
      </c>
      <c r="J95" s="3" t="str">
        <f>IF(C95="","",IF(I95="لم يُقيَّم","يحتاج تقييم عاجل",IF(H95&lt;'الإعدادات والمستهدفات'!B5,"احتياج مرتفع جداً",IF(H95&lt;'الإعدادات والمستهدفات'!B6,"احتياج متوسط","احتياج منخفض"))))</f>
        <v/>
      </c>
      <c r="K95" s="3" t="str">
        <f>IF(C95="","",IF(OR(J95="يحتاج تقييم عاجل",J95="احتياج مرتفع جداً"),"أولوية قصوى (1)",IF(J95="احتياج متوسط","أولوية متوسطة (2)","أولوية عادية (3)")))</f>
        <v/>
      </c>
      <c r="L95" s="3" t="str">
        <f>IF(C95="","",COUNTIF('[1]الخطة التدريبية المعتمدة'!E:E,E95)+COUNTIF('[1]الخطة التدريبية المعتمدة'!E:E,"جميع العاملين بالمنشأة"))</f>
        <v/>
      </c>
      <c r="M95" s="3" t="str">
        <f>IF(C95="","",COUNTIFS('[2]سجل الحضور والتنفيذ'!E:E,B95,'[2]سجل الحضور والتنفيذ'!H:H,"حاضر"))</f>
        <v/>
      </c>
      <c r="N95" s="7" t="str">
        <f>IF(OR(C95="",L95=0),"",M95/L95)</f>
        <v/>
      </c>
      <c r="O95" s="3" t="str">
        <f>IF(C95="","",SUMPRODUCT(('[2]سجل الحضور والتنفيذ'!E:E=B95)*('[2]سجل الحضور والتنفيذ'!H:H="حاضر")*('[2]سجل الحضور والتنفيذ'!G:G)))</f>
        <v/>
      </c>
      <c r="P95" s="3" t="str">
        <f ca="1">IF(C95="","",IF(G95&lt;&gt;"موظف جديد " &amp; 'الإعدادات والمستهدفات'!B4,"—",IF(COUNTIFS('[2]سجل الحضور والتنفيذ'!E:E,B95,'[2]سجل الحضور والتنفيذ'!A:A,"PSY-OR-01",'[2]سجل الحضور والتنفيذ'!H:H,"حاضر")&gt;0,"مستوفى",IF(AND(F95&lt;&gt;"",TODAY()&gt;F95+'الإعدادات والمستهدفات'!B9),"متأخر عن المهلة","خلال المهلة"))))</f>
        <v/>
      </c>
    </row>
    <row r="96" spans="1:16" x14ac:dyDescent="0.2">
      <c r="A96" s="3" t="str">
        <f>IF(C96="","",ROW()-3)</f>
        <v/>
      </c>
      <c r="B96" s="3"/>
      <c r="C96" s="3"/>
      <c r="D96" s="3"/>
      <c r="E96" s="3"/>
      <c r="F96" s="3"/>
      <c r="G96" s="3" t="str">
        <f>IF(C96="","",IF(F96="","موظف قائم",IF(YEAR(F96)&gt;='الإعدادات والمستهدفات'!B4,"موظف جديد " &amp; 'الإعدادات والمستهدفات'!B4,"موظف قائم")))</f>
        <v/>
      </c>
      <c r="H96" s="7"/>
      <c r="I96" s="3" t="str">
        <f>IF(C96="","",IF(OR(H96="",H96=0),"لم يُقيَّم","مُقيَّم"))</f>
        <v/>
      </c>
      <c r="J96" s="3" t="str">
        <f>IF(C96="","",IF(I96="لم يُقيَّم","يحتاج تقييم عاجل",IF(H96&lt;'الإعدادات والمستهدفات'!B5,"احتياج مرتفع جداً",IF(H96&lt;'الإعدادات والمستهدفات'!B6,"احتياج متوسط","احتياج منخفض"))))</f>
        <v/>
      </c>
      <c r="K96" s="3" t="str">
        <f>IF(C96="","",IF(OR(J96="يحتاج تقييم عاجل",J96="احتياج مرتفع جداً"),"أولوية قصوى (1)",IF(J96="احتياج متوسط","أولوية متوسطة (2)","أولوية عادية (3)")))</f>
        <v/>
      </c>
      <c r="L96" s="3" t="str">
        <f>IF(C96="","",COUNTIF('[1]الخطة التدريبية المعتمدة'!E:E,E96)+COUNTIF('[1]الخطة التدريبية المعتمدة'!E:E,"جميع العاملين بالمنشأة"))</f>
        <v/>
      </c>
      <c r="M96" s="3" t="str">
        <f>IF(C96="","",COUNTIFS('[2]سجل الحضور والتنفيذ'!E:E,B96,'[2]سجل الحضور والتنفيذ'!H:H,"حاضر"))</f>
        <v/>
      </c>
      <c r="N96" s="7" t="str">
        <f>IF(OR(C96="",L96=0),"",M96/L96)</f>
        <v/>
      </c>
      <c r="O96" s="3" t="str">
        <f>IF(C96="","",SUMPRODUCT(('[2]سجل الحضور والتنفيذ'!E:E=B96)*('[2]سجل الحضور والتنفيذ'!H:H="حاضر")*('[2]سجل الحضور والتنفيذ'!G:G)))</f>
        <v/>
      </c>
      <c r="P96" s="3" t="str">
        <f ca="1">IF(C96="","",IF(G96&lt;&gt;"موظف جديد " &amp; 'الإعدادات والمستهدفات'!B4,"—",IF(COUNTIFS('[2]سجل الحضور والتنفيذ'!E:E,B96,'[2]سجل الحضور والتنفيذ'!A:A,"PSY-OR-01",'[2]سجل الحضور والتنفيذ'!H:H,"حاضر")&gt;0,"مستوفى",IF(AND(F96&lt;&gt;"",TODAY()&gt;F96+'الإعدادات والمستهدفات'!B9),"متأخر عن المهلة","خلال المهلة"))))</f>
        <v/>
      </c>
    </row>
    <row r="97" spans="1:16" x14ac:dyDescent="0.2">
      <c r="A97" s="3" t="str">
        <f>IF(C97="","",ROW()-3)</f>
        <v/>
      </c>
      <c r="B97" s="3"/>
      <c r="C97" s="3"/>
      <c r="D97" s="3"/>
      <c r="E97" s="3"/>
      <c r="F97" s="3"/>
      <c r="G97" s="3" t="str">
        <f>IF(C97="","",IF(F97="","موظف قائم",IF(YEAR(F97)&gt;='الإعدادات والمستهدفات'!B4,"موظف جديد " &amp; 'الإعدادات والمستهدفات'!B4,"موظف قائم")))</f>
        <v/>
      </c>
      <c r="H97" s="7"/>
      <c r="I97" s="3" t="str">
        <f>IF(C97="","",IF(OR(H97="",H97=0),"لم يُقيَّم","مُقيَّم"))</f>
        <v/>
      </c>
      <c r="J97" s="3" t="str">
        <f>IF(C97="","",IF(I97="لم يُقيَّم","يحتاج تقييم عاجل",IF(H97&lt;'الإعدادات والمستهدفات'!B5,"احتياج مرتفع جداً",IF(H97&lt;'الإعدادات والمستهدفات'!B6,"احتياج متوسط","احتياج منخفض"))))</f>
        <v/>
      </c>
      <c r="K97" s="3" t="str">
        <f>IF(C97="","",IF(OR(J97="يحتاج تقييم عاجل",J97="احتياج مرتفع جداً"),"أولوية قصوى (1)",IF(J97="احتياج متوسط","أولوية متوسطة (2)","أولوية عادية (3)")))</f>
        <v/>
      </c>
      <c r="L97" s="3" t="str">
        <f>IF(C97="","",COUNTIF('[1]الخطة التدريبية المعتمدة'!E:E,E97)+COUNTIF('[1]الخطة التدريبية المعتمدة'!E:E,"جميع العاملين بالمنشأة"))</f>
        <v/>
      </c>
      <c r="M97" s="3" t="str">
        <f>IF(C97="","",COUNTIFS('[2]سجل الحضور والتنفيذ'!E:E,B97,'[2]سجل الحضور والتنفيذ'!H:H,"حاضر"))</f>
        <v/>
      </c>
      <c r="N97" s="7" t="str">
        <f>IF(OR(C97="",L97=0),"",M97/L97)</f>
        <v/>
      </c>
      <c r="O97" s="3" t="str">
        <f>IF(C97="","",SUMPRODUCT(('[2]سجل الحضور والتنفيذ'!E:E=B97)*('[2]سجل الحضور والتنفيذ'!H:H="حاضر")*('[2]سجل الحضور والتنفيذ'!G:G)))</f>
        <v/>
      </c>
      <c r="P97" s="3" t="str">
        <f ca="1">IF(C97="","",IF(G97&lt;&gt;"موظف جديد " &amp; 'الإعدادات والمستهدفات'!B4,"—",IF(COUNTIFS('[2]سجل الحضور والتنفيذ'!E:E,B97,'[2]سجل الحضور والتنفيذ'!A:A,"PSY-OR-01",'[2]سجل الحضور والتنفيذ'!H:H,"حاضر")&gt;0,"مستوفى",IF(AND(F97&lt;&gt;"",TODAY()&gt;F97+'الإعدادات والمستهدفات'!B9),"متأخر عن المهلة","خلال المهلة"))))</f>
        <v/>
      </c>
    </row>
    <row r="98" spans="1:16" x14ac:dyDescent="0.2">
      <c r="A98" s="3" t="str">
        <f>IF(C98="","",ROW()-3)</f>
        <v/>
      </c>
      <c r="B98" s="3"/>
      <c r="C98" s="3"/>
      <c r="D98" s="3"/>
      <c r="E98" s="3"/>
      <c r="F98" s="3"/>
      <c r="G98" s="3" t="str">
        <f>IF(C98="","",IF(F98="","موظف قائم",IF(YEAR(F98)&gt;='الإعدادات والمستهدفات'!B4,"موظف جديد " &amp; 'الإعدادات والمستهدفات'!B4,"موظف قائم")))</f>
        <v/>
      </c>
      <c r="H98" s="7"/>
      <c r="I98" s="3" t="str">
        <f>IF(C98="","",IF(OR(H98="",H98=0),"لم يُقيَّم","مُقيَّم"))</f>
        <v/>
      </c>
      <c r="J98" s="3" t="str">
        <f>IF(C98="","",IF(I98="لم يُقيَّم","يحتاج تقييم عاجل",IF(H98&lt;'الإعدادات والمستهدفات'!B5,"احتياج مرتفع جداً",IF(H98&lt;'الإعدادات والمستهدفات'!B6,"احتياج متوسط","احتياج منخفض"))))</f>
        <v/>
      </c>
      <c r="K98" s="3" t="str">
        <f>IF(C98="","",IF(OR(J98="يحتاج تقييم عاجل",J98="احتياج مرتفع جداً"),"أولوية قصوى (1)",IF(J98="احتياج متوسط","أولوية متوسطة (2)","أولوية عادية (3)")))</f>
        <v/>
      </c>
      <c r="L98" s="3" t="str">
        <f>IF(C98="","",COUNTIF('[1]الخطة التدريبية المعتمدة'!E:E,E98)+COUNTIF('[1]الخطة التدريبية المعتمدة'!E:E,"جميع العاملين بالمنشأة"))</f>
        <v/>
      </c>
      <c r="M98" s="3" t="str">
        <f>IF(C98="","",COUNTIFS('[2]سجل الحضور والتنفيذ'!E:E,B98,'[2]سجل الحضور والتنفيذ'!H:H,"حاضر"))</f>
        <v/>
      </c>
      <c r="N98" s="7" t="str">
        <f>IF(OR(C98="",L98=0),"",M98/L98)</f>
        <v/>
      </c>
      <c r="O98" s="3" t="str">
        <f>IF(C98="","",SUMPRODUCT(('[2]سجل الحضور والتنفيذ'!E:E=B98)*('[2]سجل الحضور والتنفيذ'!H:H="حاضر")*('[2]سجل الحضور والتنفيذ'!G:G)))</f>
        <v/>
      </c>
      <c r="P98" s="3" t="str">
        <f ca="1">IF(C98="","",IF(G98&lt;&gt;"موظف جديد " &amp; 'الإعدادات والمستهدفات'!B4,"—",IF(COUNTIFS('[2]سجل الحضور والتنفيذ'!E:E,B98,'[2]سجل الحضور والتنفيذ'!A:A,"PSY-OR-01",'[2]سجل الحضور والتنفيذ'!H:H,"حاضر")&gt;0,"مستوفى",IF(AND(F98&lt;&gt;"",TODAY()&gt;F98+'الإعدادات والمستهدفات'!B9),"متأخر عن المهلة","خلال المهلة"))))</f>
        <v/>
      </c>
    </row>
    <row r="99" spans="1:16" x14ac:dyDescent="0.2">
      <c r="A99" s="3" t="str">
        <f>IF(C99="","",ROW()-3)</f>
        <v/>
      </c>
      <c r="B99" s="3"/>
      <c r="C99" s="3"/>
      <c r="D99" s="3"/>
      <c r="E99" s="3"/>
      <c r="F99" s="3"/>
      <c r="G99" s="3" t="str">
        <f>IF(C99="","",IF(F99="","موظف قائم",IF(YEAR(F99)&gt;='الإعدادات والمستهدفات'!B4,"موظف جديد " &amp; 'الإعدادات والمستهدفات'!B4,"موظف قائم")))</f>
        <v/>
      </c>
      <c r="H99" s="7"/>
      <c r="I99" s="3" t="str">
        <f>IF(C99="","",IF(OR(H99="",H99=0),"لم يُقيَّم","مُقيَّم"))</f>
        <v/>
      </c>
      <c r="J99" s="3" t="str">
        <f>IF(C99="","",IF(I99="لم يُقيَّم","يحتاج تقييم عاجل",IF(H99&lt;'الإعدادات والمستهدفات'!B5,"احتياج مرتفع جداً",IF(H99&lt;'الإعدادات والمستهدفات'!B6,"احتياج متوسط","احتياج منخفض"))))</f>
        <v/>
      </c>
      <c r="K99" s="3" t="str">
        <f>IF(C99="","",IF(OR(J99="يحتاج تقييم عاجل",J99="احتياج مرتفع جداً"),"أولوية قصوى (1)",IF(J99="احتياج متوسط","أولوية متوسطة (2)","أولوية عادية (3)")))</f>
        <v/>
      </c>
      <c r="L99" s="3" t="str">
        <f>IF(C99="","",COUNTIF('[1]الخطة التدريبية المعتمدة'!E:E,E99)+COUNTIF('[1]الخطة التدريبية المعتمدة'!E:E,"جميع العاملين بالمنشأة"))</f>
        <v/>
      </c>
      <c r="M99" s="3" t="str">
        <f>IF(C99="","",COUNTIFS('[2]سجل الحضور والتنفيذ'!E:E,B99,'[2]سجل الحضور والتنفيذ'!H:H,"حاضر"))</f>
        <v/>
      </c>
      <c r="N99" s="7" t="str">
        <f>IF(OR(C99="",L99=0),"",M99/L99)</f>
        <v/>
      </c>
      <c r="O99" s="3" t="str">
        <f>IF(C99="","",SUMPRODUCT(('[2]سجل الحضور والتنفيذ'!E:E=B99)*('[2]سجل الحضور والتنفيذ'!H:H="حاضر")*('[2]سجل الحضور والتنفيذ'!G:G)))</f>
        <v/>
      </c>
      <c r="P99" s="3" t="str">
        <f ca="1">IF(C99="","",IF(G99&lt;&gt;"موظف جديد " &amp; 'الإعدادات والمستهدفات'!B4,"—",IF(COUNTIFS('[2]سجل الحضور والتنفيذ'!E:E,B99,'[2]سجل الحضور والتنفيذ'!A:A,"PSY-OR-01",'[2]سجل الحضور والتنفيذ'!H:H,"حاضر")&gt;0,"مستوفى",IF(AND(F99&lt;&gt;"",TODAY()&gt;F99+'الإعدادات والمستهدفات'!B9),"متأخر عن المهلة","خلال المهلة"))))</f>
        <v/>
      </c>
    </row>
    <row r="100" spans="1:16" x14ac:dyDescent="0.2">
      <c r="A100" s="3" t="str">
        <f>IF(C100="","",ROW()-3)</f>
        <v/>
      </c>
      <c r="B100" s="3"/>
      <c r="C100" s="3"/>
      <c r="D100" s="3"/>
      <c r="E100" s="3"/>
      <c r="F100" s="3"/>
      <c r="G100" s="3" t="str">
        <f>IF(C100="","",IF(F100="","موظف قائم",IF(YEAR(F100)&gt;='الإعدادات والمستهدفات'!B4,"موظف جديد " &amp; 'الإعدادات والمستهدفات'!B4,"موظف قائم")))</f>
        <v/>
      </c>
      <c r="H100" s="7"/>
      <c r="I100" s="3" t="str">
        <f>IF(C100="","",IF(OR(H100="",H100=0),"لم يُقيَّم","مُقيَّم"))</f>
        <v/>
      </c>
      <c r="J100" s="3" t="str">
        <f>IF(C100="","",IF(I100="لم يُقيَّم","يحتاج تقييم عاجل",IF(H100&lt;'الإعدادات والمستهدفات'!B5,"احتياج مرتفع جداً",IF(H100&lt;'الإعدادات والمستهدفات'!B6,"احتياج متوسط","احتياج منخفض"))))</f>
        <v/>
      </c>
      <c r="K100" s="3" t="str">
        <f>IF(C100="","",IF(OR(J100="يحتاج تقييم عاجل",J100="احتياج مرتفع جداً"),"أولوية قصوى (1)",IF(J100="احتياج متوسط","أولوية متوسطة (2)","أولوية عادية (3)")))</f>
        <v/>
      </c>
      <c r="L100" s="3" t="str">
        <f>IF(C100="","",COUNTIF('[1]الخطة التدريبية المعتمدة'!E:E,E100)+COUNTIF('[1]الخطة التدريبية المعتمدة'!E:E,"جميع العاملين بالمنشأة"))</f>
        <v/>
      </c>
      <c r="M100" s="3" t="str">
        <f>IF(C100="","",COUNTIFS('[2]سجل الحضور والتنفيذ'!E:E,B100,'[2]سجل الحضور والتنفيذ'!H:H,"حاضر"))</f>
        <v/>
      </c>
      <c r="N100" s="7" t="str">
        <f>IF(OR(C100="",L100=0),"",M100/L100)</f>
        <v/>
      </c>
      <c r="O100" s="3" t="str">
        <f>IF(C100="","",SUMPRODUCT(('[2]سجل الحضور والتنفيذ'!E:E=B100)*('[2]سجل الحضور والتنفيذ'!H:H="حاضر")*('[2]سجل الحضور والتنفيذ'!G:G)))</f>
        <v/>
      </c>
      <c r="P100" s="3" t="str">
        <f ca="1">IF(C100="","",IF(G100&lt;&gt;"موظف جديد " &amp; 'الإعدادات والمستهدفات'!B4,"—",IF(COUNTIFS('[2]سجل الحضور والتنفيذ'!E:E,B100,'[2]سجل الحضور والتنفيذ'!A:A,"PSY-OR-01",'[2]سجل الحضور والتنفيذ'!H:H,"حاضر")&gt;0,"مستوفى",IF(AND(F100&lt;&gt;"",TODAY()&gt;F100+'الإعدادات والمستهدفات'!B9),"متأخر عن المهلة","خلال المهلة"))))</f>
        <v/>
      </c>
    </row>
    <row r="101" spans="1:16" x14ac:dyDescent="0.2">
      <c r="A101" s="3" t="str">
        <f>IF(C101="","",ROW()-3)</f>
        <v/>
      </c>
      <c r="B101" s="3"/>
      <c r="C101" s="3"/>
      <c r="D101" s="3"/>
      <c r="E101" s="3"/>
      <c r="F101" s="3"/>
      <c r="G101" s="3" t="str">
        <f>IF(C101="","",IF(F101="","موظف قائم",IF(YEAR(F101)&gt;='الإعدادات والمستهدفات'!B4,"موظف جديد " &amp; 'الإعدادات والمستهدفات'!B4,"موظف قائم")))</f>
        <v/>
      </c>
      <c r="H101" s="7"/>
      <c r="I101" s="3" t="str">
        <f>IF(C101="","",IF(OR(H101="",H101=0),"لم يُقيَّم","مُقيَّم"))</f>
        <v/>
      </c>
      <c r="J101" s="3" t="str">
        <f>IF(C101="","",IF(I101="لم يُقيَّم","يحتاج تقييم عاجل",IF(H101&lt;'الإعدادات والمستهدفات'!B5,"احتياج مرتفع جداً",IF(H101&lt;'الإعدادات والمستهدفات'!B6,"احتياج متوسط","احتياج منخفض"))))</f>
        <v/>
      </c>
      <c r="K101" s="3" t="str">
        <f>IF(C101="","",IF(OR(J101="يحتاج تقييم عاجل",J101="احتياج مرتفع جداً"),"أولوية قصوى (1)",IF(J101="احتياج متوسط","أولوية متوسطة (2)","أولوية عادية (3)")))</f>
        <v/>
      </c>
      <c r="L101" s="3" t="str">
        <f>IF(C101="","",COUNTIF('[1]الخطة التدريبية المعتمدة'!E:E,E101)+COUNTIF('[1]الخطة التدريبية المعتمدة'!E:E,"جميع العاملين بالمنشأة"))</f>
        <v/>
      </c>
      <c r="M101" s="3" t="str">
        <f>IF(C101="","",COUNTIFS('[2]سجل الحضور والتنفيذ'!E:E,B101,'[2]سجل الحضور والتنفيذ'!H:H,"حاضر"))</f>
        <v/>
      </c>
      <c r="N101" s="7" t="str">
        <f>IF(OR(C101="",L101=0),"",M101/L101)</f>
        <v/>
      </c>
      <c r="O101" s="3" t="str">
        <f>IF(C101="","",SUMPRODUCT(('[2]سجل الحضور والتنفيذ'!E:E=B101)*('[2]سجل الحضور والتنفيذ'!H:H="حاضر")*('[2]سجل الحضور والتنفيذ'!G:G)))</f>
        <v/>
      </c>
      <c r="P101" s="3" t="str">
        <f ca="1">IF(C101="","",IF(G101&lt;&gt;"موظف جديد " &amp; 'الإعدادات والمستهدفات'!B4,"—",IF(COUNTIFS('[2]سجل الحضور والتنفيذ'!E:E,B101,'[2]سجل الحضور والتنفيذ'!A:A,"PSY-OR-01",'[2]سجل الحضور والتنفيذ'!H:H,"حاضر")&gt;0,"مستوفى",IF(AND(F101&lt;&gt;"",TODAY()&gt;F101+'الإعدادات والمستهدفات'!B9),"متأخر عن المهلة","خلال المهلة"))))</f>
        <v/>
      </c>
    </row>
    <row r="102" spans="1:16" x14ac:dyDescent="0.2">
      <c r="A102" s="3" t="str">
        <f>IF(C102="","",ROW()-3)</f>
        <v/>
      </c>
      <c r="B102" s="3"/>
      <c r="C102" s="3"/>
      <c r="D102" s="3"/>
      <c r="E102" s="3"/>
      <c r="F102" s="3"/>
      <c r="G102" s="3" t="str">
        <f>IF(C102="","",IF(F102="","موظف قائم",IF(YEAR(F102)&gt;='الإعدادات والمستهدفات'!B4,"موظف جديد " &amp; 'الإعدادات والمستهدفات'!B4,"موظف قائم")))</f>
        <v/>
      </c>
      <c r="H102" s="7"/>
      <c r="I102" s="3" t="str">
        <f>IF(C102="","",IF(OR(H102="",H102=0),"لم يُقيَّم","مُقيَّم"))</f>
        <v/>
      </c>
      <c r="J102" s="3" t="str">
        <f>IF(C102="","",IF(I102="لم يُقيَّم","يحتاج تقييم عاجل",IF(H102&lt;'الإعدادات والمستهدفات'!B5,"احتياج مرتفع جداً",IF(H102&lt;'الإعدادات والمستهدفات'!B6,"احتياج متوسط","احتياج منخفض"))))</f>
        <v/>
      </c>
      <c r="K102" s="3" t="str">
        <f>IF(C102="","",IF(OR(J102="يحتاج تقييم عاجل",J102="احتياج مرتفع جداً"),"أولوية قصوى (1)",IF(J102="احتياج متوسط","أولوية متوسطة (2)","أولوية عادية (3)")))</f>
        <v/>
      </c>
      <c r="L102" s="3" t="str">
        <f>IF(C102="","",COUNTIF('[1]الخطة التدريبية المعتمدة'!E:E,E102)+COUNTIF('[1]الخطة التدريبية المعتمدة'!E:E,"جميع العاملين بالمنشأة"))</f>
        <v/>
      </c>
      <c r="M102" s="3" t="str">
        <f>IF(C102="","",COUNTIFS('[2]سجل الحضور والتنفيذ'!E:E,B102,'[2]سجل الحضور والتنفيذ'!H:H,"حاضر"))</f>
        <v/>
      </c>
      <c r="N102" s="7" t="str">
        <f>IF(OR(C102="",L102=0),"",M102/L102)</f>
        <v/>
      </c>
      <c r="O102" s="3" t="str">
        <f>IF(C102="","",SUMPRODUCT(('[2]سجل الحضور والتنفيذ'!E:E=B102)*('[2]سجل الحضور والتنفيذ'!H:H="حاضر")*('[2]سجل الحضور والتنفيذ'!G:G)))</f>
        <v/>
      </c>
      <c r="P102" s="3" t="str">
        <f ca="1">IF(C102="","",IF(G102&lt;&gt;"موظف جديد " &amp; 'الإعدادات والمستهدفات'!B4,"—",IF(COUNTIFS('[2]سجل الحضور والتنفيذ'!E:E,B102,'[2]سجل الحضور والتنفيذ'!A:A,"PSY-OR-01",'[2]سجل الحضور والتنفيذ'!H:H,"حاضر")&gt;0,"مستوفى",IF(AND(F102&lt;&gt;"",TODAY()&gt;F102+'الإعدادات والمستهدفات'!B9),"متأخر عن المهلة","خلال المهلة"))))</f>
        <v/>
      </c>
    </row>
    <row r="103" spans="1:16" x14ac:dyDescent="0.2">
      <c r="A103" s="3" t="str">
        <f>IF(C103="","",ROW()-3)</f>
        <v/>
      </c>
      <c r="B103" s="3"/>
      <c r="C103" s="3"/>
      <c r="D103" s="3"/>
      <c r="E103" s="3"/>
      <c r="F103" s="3"/>
      <c r="G103" s="3" t="str">
        <f>IF(C103="","",IF(F103="","موظف قائم",IF(YEAR(F103)&gt;='الإعدادات والمستهدفات'!B4,"موظف جديد " &amp; 'الإعدادات والمستهدفات'!B4,"موظف قائم")))</f>
        <v/>
      </c>
      <c r="H103" s="7"/>
      <c r="I103" s="3" t="str">
        <f>IF(C103="","",IF(OR(H103="",H103=0),"لم يُقيَّم","مُقيَّم"))</f>
        <v/>
      </c>
      <c r="J103" s="3" t="str">
        <f>IF(C103="","",IF(I103="لم يُقيَّم","يحتاج تقييم عاجل",IF(H103&lt;'الإعدادات والمستهدفات'!B5,"احتياج مرتفع جداً",IF(H103&lt;'الإعدادات والمستهدفات'!B6,"احتياج متوسط","احتياج منخفض"))))</f>
        <v/>
      </c>
      <c r="K103" s="3" t="str">
        <f>IF(C103="","",IF(OR(J103="يحتاج تقييم عاجل",J103="احتياج مرتفع جداً"),"أولوية قصوى (1)",IF(J103="احتياج متوسط","أولوية متوسطة (2)","أولوية عادية (3)")))</f>
        <v/>
      </c>
      <c r="L103" s="3" t="str">
        <f>IF(C103="","",COUNTIF('[1]الخطة التدريبية المعتمدة'!E:E,E103)+COUNTIF('[1]الخطة التدريبية المعتمدة'!E:E,"جميع العاملين بالمنشأة"))</f>
        <v/>
      </c>
      <c r="M103" s="3" t="str">
        <f>IF(C103="","",COUNTIFS('[2]سجل الحضور والتنفيذ'!E:E,B103,'[2]سجل الحضور والتنفيذ'!H:H,"حاضر"))</f>
        <v/>
      </c>
      <c r="N103" s="7" t="str">
        <f>IF(OR(C103="",L103=0),"",M103/L103)</f>
        <v/>
      </c>
      <c r="O103" s="3" t="str">
        <f>IF(C103="","",SUMPRODUCT(('[2]سجل الحضور والتنفيذ'!E:E=B103)*('[2]سجل الحضور والتنفيذ'!H:H="حاضر")*('[2]سجل الحضور والتنفيذ'!G:G)))</f>
        <v/>
      </c>
      <c r="P103" s="3" t="str">
        <f ca="1">IF(C103="","",IF(G103&lt;&gt;"موظف جديد " &amp; 'الإعدادات والمستهدفات'!B4,"—",IF(COUNTIFS('[2]سجل الحضور والتنفيذ'!E:E,B103,'[2]سجل الحضور والتنفيذ'!A:A,"PSY-OR-01",'[2]سجل الحضور والتنفيذ'!H:H,"حاضر")&gt;0,"مستوفى",IF(AND(F103&lt;&gt;"",TODAY()&gt;F103+'الإعدادات والمستهدفات'!B9),"متأخر عن المهلة","خلال المهلة"))))</f>
        <v/>
      </c>
    </row>
    <row r="104" spans="1:16" x14ac:dyDescent="0.2">
      <c r="A104" s="3" t="str">
        <f>IF(C104="","",ROW()-3)</f>
        <v/>
      </c>
      <c r="B104" s="3"/>
      <c r="C104" s="3"/>
      <c r="D104" s="3"/>
      <c r="E104" s="3"/>
      <c r="F104" s="3"/>
      <c r="G104" s="3" t="str">
        <f>IF(C104="","",IF(F104="","موظف قائم",IF(YEAR(F104)&gt;='الإعدادات والمستهدفات'!B4,"موظف جديد " &amp; 'الإعدادات والمستهدفات'!B4,"موظف قائم")))</f>
        <v/>
      </c>
      <c r="H104" s="7"/>
      <c r="I104" s="3" t="str">
        <f>IF(C104="","",IF(OR(H104="",H104=0),"لم يُقيَّم","مُقيَّم"))</f>
        <v/>
      </c>
      <c r="J104" s="3" t="str">
        <f>IF(C104="","",IF(I104="لم يُقيَّم","يحتاج تقييم عاجل",IF(H104&lt;'الإعدادات والمستهدفات'!B5,"احتياج مرتفع جداً",IF(H104&lt;'الإعدادات والمستهدفات'!B6,"احتياج متوسط","احتياج منخفض"))))</f>
        <v/>
      </c>
      <c r="K104" s="3" t="str">
        <f>IF(C104="","",IF(OR(J104="يحتاج تقييم عاجل",J104="احتياج مرتفع جداً"),"أولوية قصوى (1)",IF(J104="احتياج متوسط","أولوية متوسطة (2)","أولوية عادية (3)")))</f>
        <v/>
      </c>
      <c r="L104" s="3" t="str">
        <f>IF(C104="","",COUNTIF('[1]الخطة التدريبية المعتمدة'!E:E,E104)+COUNTIF('[1]الخطة التدريبية المعتمدة'!E:E,"جميع العاملين بالمنشأة"))</f>
        <v/>
      </c>
      <c r="M104" s="3" t="str">
        <f>IF(C104="","",COUNTIFS('[2]سجل الحضور والتنفيذ'!E:E,B104,'[2]سجل الحضور والتنفيذ'!H:H,"حاضر"))</f>
        <v/>
      </c>
      <c r="N104" s="7" t="str">
        <f>IF(OR(C104="",L104=0),"",M104/L104)</f>
        <v/>
      </c>
      <c r="O104" s="3" t="str">
        <f>IF(C104="","",SUMPRODUCT(('[2]سجل الحضور والتنفيذ'!E:E=B104)*('[2]سجل الحضور والتنفيذ'!H:H="حاضر")*('[2]سجل الحضور والتنفيذ'!G:G)))</f>
        <v/>
      </c>
      <c r="P104" s="3" t="str">
        <f ca="1">IF(C104="","",IF(G104&lt;&gt;"موظف جديد " &amp; 'الإعدادات والمستهدفات'!B4,"—",IF(COUNTIFS('[2]سجل الحضور والتنفيذ'!E:E,B104,'[2]سجل الحضور والتنفيذ'!A:A,"PSY-OR-01",'[2]سجل الحضور والتنفيذ'!H:H,"حاضر")&gt;0,"مستوفى",IF(AND(F104&lt;&gt;"",TODAY()&gt;F104+'الإعدادات والمستهدفات'!B9),"متأخر عن المهلة","خلال المهلة"))))</f>
        <v/>
      </c>
    </row>
    <row r="105" spans="1:16" x14ac:dyDescent="0.2">
      <c r="A105" s="3" t="str">
        <f>IF(C105="","",ROW()-3)</f>
        <v/>
      </c>
      <c r="B105" s="3"/>
      <c r="C105" s="3"/>
      <c r="D105" s="3"/>
      <c r="E105" s="3"/>
      <c r="F105" s="3"/>
      <c r="G105" s="3" t="str">
        <f>IF(C105="","",IF(F105="","موظف قائم",IF(YEAR(F105)&gt;='الإعدادات والمستهدفات'!B4,"موظف جديد " &amp; 'الإعدادات والمستهدفات'!B4,"موظف قائم")))</f>
        <v/>
      </c>
      <c r="H105" s="7"/>
      <c r="I105" s="3" t="str">
        <f>IF(C105="","",IF(OR(H105="",H105=0),"لم يُقيَّم","مُقيَّم"))</f>
        <v/>
      </c>
      <c r="J105" s="3" t="str">
        <f>IF(C105="","",IF(I105="لم يُقيَّم","يحتاج تقييم عاجل",IF(H105&lt;'الإعدادات والمستهدفات'!B5,"احتياج مرتفع جداً",IF(H105&lt;'الإعدادات والمستهدفات'!B6,"احتياج متوسط","احتياج منخفض"))))</f>
        <v/>
      </c>
      <c r="K105" s="3" t="str">
        <f>IF(C105="","",IF(OR(J105="يحتاج تقييم عاجل",J105="احتياج مرتفع جداً"),"أولوية قصوى (1)",IF(J105="احتياج متوسط","أولوية متوسطة (2)","أولوية عادية (3)")))</f>
        <v/>
      </c>
      <c r="L105" s="3" t="str">
        <f>IF(C105="","",COUNTIF('[1]الخطة التدريبية المعتمدة'!E:E,E105)+COUNTIF('[1]الخطة التدريبية المعتمدة'!E:E,"جميع العاملين بالمنشأة"))</f>
        <v/>
      </c>
      <c r="M105" s="3" t="str">
        <f>IF(C105="","",COUNTIFS('[2]سجل الحضور والتنفيذ'!E:E,B105,'[2]سجل الحضور والتنفيذ'!H:H,"حاضر"))</f>
        <v/>
      </c>
      <c r="N105" s="7" t="str">
        <f>IF(OR(C105="",L105=0),"",M105/L105)</f>
        <v/>
      </c>
      <c r="O105" s="3" t="str">
        <f>IF(C105="","",SUMPRODUCT(('[2]سجل الحضور والتنفيذ'!E:E=B105)*('[2]سجل الحضور والتنفيذ'!H:H="حاضر")*('[2]سجل الحضور والتنفيذ'!G:G)))</f>
        <v/>
      </c>
      <c r="P105" s="3" t="str">
        <f ca="1">IF(C105="","",IF(G105&lt;&gt;"موظف جديد " &amp; 'الإعدادات والمستهدفات'!B4,"—",IF(COUNTIFS('[2]سجل الحضور والتنفيذ'!E:E,B105,'[2]سجل الحضور والتنفيذ'!A:A,"PSY-OR-01",'[2]سجل الحضور والتنفيذ'!H:H,"حاضر")&gt;0,"مستوفى",IF(AND(F105&lt;&gt;"",TODAY()&gt;F105+'الإعدادات والمستهدفات'!B9),"متأخر عن المهلة","خلال المهلة"))))</f>
        <v/>
      </c>
    </row>
    <row r="106" spans="1:16" x14ac:dyDescent="0.2">
      <c r="A106" s="3" t="str">
        <f>IF(C106="","",ROW()-3)</f>
        <v/>
      </c>
      <c r="B106" s="3"/>
      <c r="C106" s="3"/>
      <c r="D106" s="3"/>
      <c r="E106" s="3"/>
      <c r="F106" s="3"/>
      <c r="G106" s="3" t="str">
        <f>IF(C106="","",IF(F106="","موظف قائم",IF(YEAR(F106)&gt;='الإعدادات والمستهدفات'!B4,"موظف جديد " &amp; 'الإعدادات والمستهدفات'!B4,"موظف قائم")))</f>
        <v/>
      </c>
      <c r="H106" s="7"/>
      <c r="I106" s="3" t="str">
        <f>IF(C106="","",IF(OR(H106="",H106=0),"لم يُقيَّم","مُقيَّم"))</f>
        <v/>
      </c>
      <c r="J106" s="3" t="str">
        <f>IF(C106="","",IF(I106="لم يُقيَّم","يحتاج تقييم عاجل",IF(H106&lt;'الإعدادات والمستهدفات'!B5,"احتياج مرتفع جداً",IF(H106&lt;'الإعدادات والمستهدفات'!B6,"احتياج متوسط","احتياج منخفض"))))</f>
        <v/>
      </c>
      <c r="K106" s="3" t="str">
        <f>IF(C106="","",IF(OR(J106="يحتاج تقييم عاجل",J106="احتياج مرتفع جداً"),"أولوية قصوى (1)",IF(J106="احتياج متوسط","أولوية متوسطة (2)","أولوية عادية (3)")))</f>
        <v/>
      </c>
      <c r="L106" s="3" t="str">
        <f>IF(C106="","",COUNTIF('[1]الخطة التدريبية المعتمدة'!E:E,E106)+COUNTIF('[1]الخطة التدريبية المعتمدة'!E:E,"جميع العاملين بالمنشأة"))</f>
        <v/>
      </c>
      <c r="M106" s="3" t="str">
        <f>IF(C106="","",COUNTIFS('[2]سجل الحضور والتنفيذ'!E:E,B106,'[2]سجل الحضور والتنفيذ'!H:H,"حاضر"))</f>
        <v/>
      </c>
      <c r="N106" s="7" t="str">
        <f>IF(OR(C106="",L106=0),"",M106/L106)</f>
        <v/>
      </c>
      <c r="O106" s="3" t="str">
        <f>IF(C106="","",SUMPRODUCT(('[2]سجل الحضور والتنفيذ'!E:E=B106)*('[2]سجل الحضور والتنفيذ'!H:H="حاضر")*('[2]سجل الحضور والتنفيذ'!G:G)))</f>
        <v/>
      </c>
      <c r="P106" s="3" t="str">
        <f ca="1">IF(C106="","",IF(G106&lt;&gt;"موظف جديد " &amp; 'الإعدادات والمستهدفات'!B4,"—",IF(COUNTIFS('[2]سجل الحضور والتنفيذ'!E:E,B106,'[2]سجل الحضور والتنفيذ'!A:A,"PSY-OR-01",'[2]سجل الحضور والتنفيذ'!H:H,"حاضر")&gt;0,"مستوفى",IF(AND(F106&lt;&gt;"",TODAY()&gt;F106+'الإعدادات والمستهدفات'!B9),"متأخر عن المهلة","خلال المهلة"))))</f>
        <v/>
      </c>
    </row>
    <row r="107" spans="1:16" x14ac:dyDescent="0.2">
      <c r="A107" s="3" t="str">
        <f>IF(C107="","",ROW()-3)</f>
        <v/>
      </c>
      <c r="B107" s="3"/>
      <c r="C107" s="3"/>
      <c r="D107" s="3"/>
      <c r="E107" s="3"/>
      <c r="F107" s="3"/>
      <c r="G107" s="3" t="str">
        <f>IF(C107="","",IF(F107="","موظف قائم",IF(YEAR(F107)&gt;='الإعدادات والمستهدفات'!B4,"موظف جديد " &amp; 'الإعدادات والمستهدفات'!B4,"موظف قائم")))</f>
        <v/>
      </c>
      <c r="H107" s="7"/>
      <c r="I107" s="3" t="str">
        <f>IF(C107="","",IF(OR(H107="",H107=0),"لم يُقيَّم","مُقيَّم"))</f>
        <v/>
      </c>
      <c r="J107" s="3" t="str">
        <f>IF(C107="","",IF(I107="لم يُقيَّم","يحتاج تقييم عاجل",IF(H107&lt;'الإعدادات والمستهدفات'!B5,"احتياج مرتفع جداً",IF(H107&lt;'الإعدادات والمستهدفات'!B6,"احتياج متوسط","احتياج منخفض"))))</f>
        <v/>
      </c>
      <c r="K107" s="3" t="str">
        <f>IF(C107="","",IF(OR(J107="يحتاج تقييم عاجل",J107="احتياج مرتفع جداً"),"أولوية قصوى (1)",IF(J107="احتياج متوسط","أولوية متوسطة (2)","أولوية عادية (3)")))</f>
        <v/>
      </c>
      <c r="L107" s="3" t="str">
        <f>IF(C107="","",COUNTIF('[1]الخطة التدريبية المعتمدة'!E:E,E107)+COUNTIF('[1]الخطة التدريبية المعتمدة'!E:E,"جميع العاملين بالمنشأة"))</f>
        <v/>
      </c>
      <c r="M107" s="3" t="str">
        <f>IF(C107="","",COUNTIFS('[2]سجل الحضور والتنفيذ'!E:E,B107,'[2]سجل الحضور والتنفيذ'!H:H,"حاضر"))</f>
        <v/>
      </c>
      <c r="N107" s="7" t="str">
        <f>IF(OR(C107="",L107=0),"",M107/L107)</f>
        <v/>
      </c>
      <c r="O107" s="3" t="str">
        <f>IF(C107="","",SUMPRODUCT(('[2]سجل الحضور والتنفيذ'!E:E=B107)*('[2]سجل الحضور والتنفيذ'!H:H="حاضر")*('[2]سجل الحضور والتنفيذ'!G:G)))</f>
        <v/>
      </c>
      <c r="P107" s="3" t="str">
        <f ca="1">IF(C107="","",IF(G107&lt;&gt;"موظف جديد " &amp; 'الإعدادات والمستهدفات'!B4,"—",IF(COUNTIFS('[2]سجل الحضور والتنفيذ'!E:E,B107,'[2]سجل الحضور والتنفيذ'!A:A,"PSY-OR-01",'[2]سجل الحضور والتنفيذ'!H:H,"حاضر")&gt;0,"مستوفى",IF(AND(F107&lt;&gt;"",TODAY()&gt;F107+'الإعدادات والمستهدفات'!B9),"متأخر عن المهلة","خلال المهلة"))))</f>
        <v/>
      </c>
    </row>
    <row r="108" spans="1:16" x14ac:dyDescent="0.2">
      <c r="A108" s="3" t="str">
        <f>IF(C108="","",ROW()-3)</f>
        <v/>
      </c>
      <c r="B108" s="3"/>
      <c r="C108" s="3"/>
      <c r="D108" s="3"/>
      <c r="E108" s="3"/>
      <c r="F108" s="3"/>
      <c r="G108" s="3" t="str">
        <f>IF(C108="","",IF(F108="","موظف قائم",IF(YEAR(F108)&gt;='الإعدادات والمستهدفات'!B4,"موظف جديد " &amp; 'الإعدادات والمستهدفات'!B4,"موظف قائم")))</f>
        <v/>
      </c>
      <c r="H108" s="7"/>
      <c r="I108" s="3" t="str">
        <f>IF(C108="","",IF(OR(H108="",H108=0),"لم يُقيَّم","مُقيَّم"))</f>
        <v/>
      </c>
      <c r="J108" s="3" t="str">
        <f>IF(C108="","",IF(I108="لم يُقيَّم","يحتاج تقييم عاجل",IF(H108&lt;'الإعدادات والمستهدفات'!B5,"احتياج مرتفع جداً",IF(H108&lt;'الإعدادات والمستهدفات'!B6,"احتياج متوسط","احتياج منخفض"))))</f>
        <v/>
      </c>
      <c r="K108" s="3" t="str">
        <f>IF(C108="","",IF(OR(J108="يحتاج تقييم عاجل",J108="احتياج مرتفع جداً"),"أولوية قصوى (1)",IF(J108="احتياج متوسط","أولوية متوسطة (2)","أولوية عادية (3)")))</f>
        <v/>
      </c>
      <c r="L108" s="3" t="str">
        <f>IF(C108="","",COUNTIF('[1]الخطة التدريبية المعتمدة'!E:E,E108)+COUNTIF('[1]الخطة التدريبية المعتمدة'!E:E,"جميع العاملين بالمنشأة"))</f>
        <v/>
      </c>
      <c r="M108" s="3" t="str">
        <f>IF(C108="","",COUNTIFS('[2]سجل الحضور والتنفيذ'!E:E,B108,'[2]سجل الحضور والتنفيذ'!H:H,"حاضر"))</f>
        <v/>
      </c>
      <c r="N108" s="7" t="str">
        <f>IF(OR(C108="",L108=0),"",M108/L108)</f>
        <v/>
      </c>
      <c r="O108" s="3" t="str">
        <f>IF(C108="","",SUMPRODUCT(('[2]سجل الحضور والتنفيذ'!E:E=B108)*('[2]سجل الحضور والتنفيذ'!H:H="حاضر")*('[2]سجل الحضور والتنفيذ'!G:G)))</f>
        <v/>
      </c>
      <c r="P108" s="3" t="str">
        <f ca="1">IF(C108="","",IF(G108&lt;&gt;"موظف جديد " &amp; 'الإعدادات والمستهدفات'!B4,"—",IF(COUNTIFS('[2]سجل الحضور والتنفيذ'!E:E,B108,'[2]سجل الحضور والتنفيذ'!A:A,"PSY-OR-01",'[2]سجل الحضور والتنفيذ'!H:H,"حاضر")&gt;0,"مستوفى",IF(AND(F108&lt;&gt;"",TODAY()&gt;F108+'الإعدادات والمستهدفات'!B9),"متأخر عن المهلة","خلال المهلة"))))</f>
        <v/>
      </c>
    </row>
    <row r="109" spans="1:16" x14ac:dyDescent="0.2">
      <c r="A109" s="3" t="str">
        <f>IF(C109="","",ROW()-3)</f>
        <v/>
      </c>
      <c r="B109" s="3"/>
      <c r="C109" s="3"/>
      <c r="D109" s="3"/>
      <c r="E109" s="3"/>
      <c r="F109" s="3"/>
      <c r="G109" s="3" t="str">
        <f>IF(C109="","",IF(F109="","موظف قائم",IF(YEAR(F109)&gt;='الإعدادات والمستهدفات'!B4,"موظف جديد " &amp; 'الإعدادات والمستهدفات'!B4,"موظف قائم")))</f>
        <v/>
      </c>
      <c r="H109" s="7"/>
      <c r="I109" s="3" t="str">
        <f>IF(C109="","",IF(OR(H109="",H109=0),"لم يُقيَّم","مُقيَّم"))</f>
        <v/>
      </c>
      <c r="J109" s="3" t="str">
        <f>IF(C109="","",IF(I109="لم يُقيَّم","يحتاج تقييم عاجل",IF(H109&lt;'الإعدادات والمستهدفات'!B5,"احتياج مرتفع جداً",IF(H109&lt;'الإعدادات والمستهدفات'!B6,"احتياج متوسط","احتياج منخفض"))))</f>
        <v/>
      </c>
      <c r="K109" s="3" t="str">
        <f>IF(C109="","",IF(OR(J109="يحتاج تقييم عاجل",J109="احتياج مرتفع جداً"),"أولوية قصوى (1)",IF(J109="احتياج متوسط","أولوية متوسطة (2)","أولوية عادية (3)")))</f>
        <v/>
      </c>
      <c r="L109" s="3" t="str">
        <f>IF(C109="","",COUNTIF('[1]الخطة التدريبية المعتمدة'!E:E,E109)+COUNTIF('[1]الخطة التدريبية المعتمدة'!E:E,"جميع العاملين بالمنشأة"))</f>
        <v/>
      </c>
      <c r="M109" s="3" t="str">
        <f>IF(C109="","",COUNTIFS('[2]سجل الحضور والتنفيذ'!E:E,B109,'[2]سجل الحضور والتنفيذ'!H:H,"حاضر"))</f>
        <v/>
      </c>
      <c r="N109" s="7" t="str">
        <f>IF(OR(C109="",L109=0),"",M109/L109)</f>
        <v/>
      </c>
      <c r="O109" s="3" t="str">
        <f>IF(C109="","",SUMPRODUCT(('[2]سجل الحضور والتنفيذ'!E:E=B109)*('[2]سجل الحضور والتنفيذ'!H:H="حاضر")*('[2]سجل الحضور والتنفيذ'!G:G)))</f>
        <v/>
      </c>
      <c r="P109" s="3" t="str">
        <f ca="1">IF(C109="","",IF(G109&lt;&gt;"موظف جديد " &amp; 'الإعدادات والمستهدفات'!B4,"—",IF(COUNTIFS('[2]سجل الحضور والتنفيذ'!E:E,B109,'[2]سجل الحضور والتنفيذ'!A:A,"PSY-OR-01",'[2]سجل الحضور والتنفيذ'!H:H,"حاضر")&gt;0,"مستوفى",IF(AND(F109&lt;&gt;"",TODAY()&gt;F109+'الإعدادات والمستهدفات'!B9),"متأخر عن المهلة","خلال المهلة"))))</f>
        <v/>
      </c>
    </row>
    <row r="110" spans="1:16" x14ac:dyDescent="0.2">
      <c r="A110" s="3" t="str">
        <f>IF(C110="","",ROW()-3)</f>
        <v/>
      </c>
      <c r="B110" s="3"/>
      <c r="C110" s="3"/>
      <c r="D110" s="3"/>
      <c r="E110" s="3"/>
      <c r="F110" s="3"/>
      <c r="G110" s="3" t="str">
        <f>IF(C110="","",IF(F110="","موظف قائم",IF(YEAR(F110)&gt;='الإعدادات والمستهدفات'!B4,"موظف جديد " &amp; 'الإعدادات والمستهدفات'!B4,"موظف قائم")))</f>
        <v/>
      </c>
      <c r="H110" s="7"/>
      <c r="I110" s="3" t="str">
        <f>IF(C110="","",IF(OR(H110="",H110=0),"لم يُقيَّم","مُقيَّم"))</f>
        <v/>
      </c>
      <c r="J110" s="3" t="str">
        <f>IF(C110="","",IF(I110="لم يُقيَّم","يحتاج تقييم عاجل",IF(H110&lt;'الإعدادات والمستهدفات'!B5,"احتياج مرتفع جداً",IF(H110&lt;'الإعدادات والمستهدفات'!B6,"احتياج متوسط","احتياج منخفض"))))</f>
        <v/>
      </c>
      <c r="K110" s="3" t="str">
        <f>IF(C110="","",IF(OR(J110="يحتاج تقييم عاجل",J110="احتياج مرتفع جداً"),"أولوية قصوى (1)",IF(J110="احتياج متوسط","أولوية متوسطة (2)","أولوية عادية (3)")))</f>
        <v/>
      </c>
      <c r="L110" s="3" t="str">
        <f>IF(C110="","",COUNTIF('[1]الخطة التدريبية المعتمدة'!E:E,E110)+COUNTIF('[1]الخطة التدريبية المعتمدة'!E:E,"جميع العاملين بالمنشأة"))</f>
        <v/>
      </c>
      <c r="M110" s="3" t="str">
        <f>IF(C110="","",COUNTIFS('[2]سجل الحضور والتنفيذ'!E:E,B110,'[2]سجل الحضور والتنفيذ'!H:H,"حاضر"))</f>
        <v/>
      </c>
      <c r="N110" s="7" t="str">
        <f>IF(OR(C110="",L110=0),"",M110/L110)</f>
        <v/>
      </c>
      <c r="O110" s="3" t="str">
        <f>IF(C110="","",SUMPRODUCT(('[2]سجل الحضور والتنفيذ'!E:E=B110)*('[2]سجل الحضور والتنفيذ'!H:H="حاضر")*('[2]سجل الحضور والتنفيذ'!G:G)))</f>
        <v/>
      </c>
      <c r="P110" s="3" t="str">
        <f ca="1">IF(C110="","",IF(G110&lt;&gt;"موظف جديد " &amp; 'الإعدادات والمستهدفات'!B4,"—",IF(COUNTIFS('[2]سجل الحضور والتنفيذ'!E:E,B110,'[2]سجل الحضور والتنفيذ'!A:A,"PSY-OR-01",'[2]سجل الحضور والتنفيذ'!H:H,"حاضر")&gt;0,"مستوفى",IF(AND(F110&lt;&gt;"",TODAY()&gt;F110+'الإعدادات والمستهدفات'!B9),"متأخر عن المهلة","خلال المهلة"))))</f>
        <v/>
      </c>
    </row>
    <row r="111" spans="1:16" x14ac:dyDescent="0.2">
      <c r="A111" s="3" t="str">
        <f>IF(C111="","",ROW()-3)</f>
        <v/>
      </c>
      <c r="B111" s="3"/>
      <c r="C111" s="3"/>
      <c r="D111" s="3"/>
      <c r="E111" s="3"/>
      <c r="F111" s="3"/>
      <c r="G111" s="3" t="str">
        <f>IF(C111="","",IF(F111="","موظف قائم",IF(YEAR(F111)&gt;='الإعدادات والمستهدفات'!B4,"موظف جديد " &amp; 'الإعدادات والمستهدفات'!B4,"موظف قائم")))</f>
        <v/>
      </c>
      <c r="H111" s="7"/>
      <c r="I111" s="3" t="str">
        <f>IF(C111="","",IF(OR(H111="",H111=0),"لم يُقيَّم","مُقيَّم"))</f>
        <v/>
      </c>
      <c r="J111" s="3" t="str">
        <f>IF(C111="","",IF(I111="لم يُقيَّم","يحتاج تقييم عاجل",IF(H111&lt;'الإعدادات والمستهدفات'!B5,"احتياج مرتفع جداً",IF(H111&lt;'الإعدادات والمستهدفات'!B6,"احتياج متوسط","احتياج منخفض"))))</f>
        <v/>
      </c>
      <c r="K111" s="3" t="str">
        <f>IF(C111="","",IF(OR(J111="يحتاج تقييم عاجل",J111="احتياج مرتفع جداً"),"أولوية قصوى (1)",IF(J111="احتياج متوسط","أولوية متوسطة (2)","أولوية عادية (3)")))</f>
        <v/>
      </c>
      <c r="L111" s="3" t="str">
        <f>IF(C111="","",COUNTIF('[1]الخطة التدريبية المعتمدة'!E:E,E111)+COUNTIF('[1]الخطة التدريبية المعتمدة'!E:E,"جميع العاملين بالمنشأة"))</f>
        <v/>
      </c>
      <c r="M111" s="3" t="str">
        <f>IF(C111="","",COUNTIFS('[2]سجل الحضور والتنفيذ'!E:E,B111,'[2]سجل الحضور والتنفيذ'!H:H,"حاضر"))</f>
        <v/>
      </c>
      <c r="N111" s="7" t="str">
        <f>IF(OR(C111="",L111=0),"",M111/L111)</f>
        <v/>
      </c>
      <c r="O111" s="3" t="str">
        <f>IF(C111="","",SUMPRODUCT(('[2]سجل الحضور والتنفيذ'!E:E=B111)*('[2]سجل الحضور والتنفيذ'!H:H="حاضر")*('[2]سجل الحضور والتنفيذ'!G:G)))</f>
        <v/>
      </c>
      <c r="P111" s="3" t="str">
        <f ca="1">IF(C111="","",IF(G111&lt;&gt;"موظف جديد " &amp; 'الإعدادات والمستهدفات'!B4,"—",IF(COUNTIFS('[2]سجل الحضور والتنفيذ'!E:E,B111,'[2]سجل الحضور والتنفيذ'!A:A,"PSY-OR-01",'[2]سجل الحضور والتنفيذ'!H:H,"حاضر")&gt;0,"مستوفى",IF(AND(F111&lt;&gt;"",TODAY()&gt;F111+'الإعدادات والمستهدفات'!B9),"متأخر عن المهلة","خلال المهلة"))))</f>
        <v/>
      </c>
    </row>
    <row r="112" spans="1:16" x14ac:dyDescent="0.2">
      <c r="A112" s="3" t="str">
        <f>IF(C112="","",ROW()-3)</f>
        <v/>
      </c>
      <c r="B112" s="3"/>
      <c r="C112" s="3"/>
      <c r="D112" s="3"/>
      <c r="E112" s="3"/>
      <c r="F112" s="3"/>
      <c r="G112" s="3" t="str">
        <f>IF(C112="","",IF(F112="","موظف قائم",IF(YEAR(F112)&gt;='الإعدادات والمستهدفات'!B4,"موظف جديد " &amp; 'الإعدادات والمستهدفات'!B4,"موظف قائم")))</f>
        <v/>
      </c>
      <c r="H112" s="7"/>
      <c r="I112" s="3" t="str">
        <f>IF(C112="","",IF(OR(H112="",H112=0),"لم يُقيَّم","مُقيَّم"))</f>
        <v/>
      </c>
      <c r="J112" s="3" t="str">
        <f>IF(C112="","",IF(I112="لم يُقيَّم","يحتاج تقييم عاجل",IF(H112&lt;'الإعدادات والمستهدفات'!B5,"احتياج مرتفع جداً",IF(H112&lt;'الإعدادات والمستهدفات'!B6,"احتياج متوسط","احتياج منخفض"))))</f>
        <v/>
      </c>
      <c r="K112" s="3" t="str">
        <f>IF(C112="","",IF(OR(J112="يحتاج تقييم عاجل",J112="احتياج مرتفع جداً"),"أولوية قصوى (1)",IF(J112="احتياج متوسط","أولوية متوسطة (2)","أولوية عادية (3)")))</f>
        <v/>
      </c>
      <c r="L112" s="3" t="str">
        <f>IF(C112="","",COUNTIF('[1]الخطة التدريبية المعتمدة'!E:E,E112)+COUNTIF('[1]الخطة التدريبية المعتمدة'!E:E,"جميع العاملين بالمنشأة"))</f>
        <v/>
      </c>
      <c r="M112" s="3" t="str">
        <f>IF(C112="","",COUNTIFS('[2]سجل الحضور والتنفيذ'!E:E,B112,'[2]سجل الحضور والتنفيذ'!H:H,"حاضر"))</f>
        <v/>
      </c>
      <c r="N112" s="7" t="str">
        <f>IF(OR(C112="",L112=0),"",M112/L112)</f>
        <v/>
      </c>
      <c r="O112" s="3" t="str">
        <f>IF(C112="","",SUMPRODUCT(('[2]سجل الحضور والتنفيذ'!E:E=B112)*('[2]سجل الحضور والتنفيذ'!H:H="حاضر")*('[2]سجل الحضور والتنفيذ'!G:G)))</f>
        <v/>
      </c>
      <c r="P112" s="3" t="str">
        <f ca="1">IF(C112="","",IF(G112&lt;&gt;"موظف جديد " &amp; 'الإعدادات والمستهدفات'!B4,"—",IF(COUNTIFS('[2]سجل الحضور والتنفيذ'!E:E,B112,'[2]سجل الحضور والتنفيذ'!A:A,"PSY-OR-01",'[2]سجل الحضور والتنفيذ'!H:H,"حاضر")&gt;0,"مستوفى",IF(AND(F112&lt;&gt;"",TODAY()&gt;F112+'الإعدادات والمستهدفات'!B9),"متأخر عن المهلة","خلال المهلة"))))</f>
        <v/>
      </c>
    </row>
    <row r="113" spans="1:16" x14ac:dyDescent="0.2">
      <c r="A113" s="3" t="str">
        <f>IF(C113="","",ROW()-3)</f>
        <v/>
      </c>
      <c r="B113" s="3"/>
      <c r="C113" s="3"/>
      <c r="D113" s="3"/>
      <c r="E113" s="3"/>
      <c r="F113" s="3"/>
      <c r="G113" s="3" t="str">
        <f>IF(C113="","",IF(F113="","موظف قائم",IF(YEAR(F113)&gt;='الإعدادات والمستهدفات'!B4,"موظف جديد " &amp; 'الإعدادات والمستهدفات'!B4,"موظف قائم")))</f>
        <v/>
      </c>
      <c r="H113" s="7"/>
      <c r="I113" s="3" t="str">
        <f>IF(C113="","",IF(OR(H113="",H113=0),"لم يُقيَّم","مُقيَّم"))</f>
        <v/>
      </c>
      <c r="J113" s="3" t="str">
        <f>IF(C113="","",IF(I113="لم يُقيَّم","يحتاج تقييم عاجل",IF(H113&lt;'الإعدادات والمستهدفات'!B5,"احتياج مرتفع جداً",IF(H113&lt;'الإعدادات والمستهدفات'!B6,"احتياج متوسط","احتياج منخفض"))))</f>
        <v/>
      </c>
      <c r="K113" s="3" t="str">
        <f>IF(C113="","",IF(OR(J113="يحتاج تقييم عاجل",J113="احتياج مرتفع جداً"),"أولوية قصوى (1)",IF(J113="احتياج متوسط","أولوية متوسطة (2)","أولوية عادية (3)")))</f>
        <v/>
      </c>
      <c r="L113" s="3" t="str">
        <f>IF(C113="","",COUNTIF('[1]الخطة التدريبية المعتمدة'!E:E,E113)+COUNTIF('[1]الخطة التدريبية المعتمدة'!E:E,"جميع العاملين بالمنشأة"))</f>
        <v/>
      </c>
      <c r="M113" s="3" t="str">
        <f>IF(C113="","",COUNTIFS('[2]سجل الحضور والتنفيذ'!E:E,B113,'[2]سجل الحضور والتنفيذ'!H:H,"حاضر"))</f>
        <v/>
      </c>
      <c r="N113" s="7" t="str">
        <f>IF(OR(C113="",L113=0),"",M113/L113)</f>
        <v/>
      </c>
      <c r="O113" s="3" t="str">
        <f>IF(C113="","",SUMPRODUCT(('[2]سجل الحضور والتنفيذ'!E:E=B113)*('[2]سجل الحضور والتنفيذ'!H:H="حاضر")*('[2]سجل الحضور والتنفيذ'!G:G)))</f>
        <v/>
      </c>
      <c r="P113" s="3" t="str">
        <f ca="1">IF(C113="","",IF(G113&lt;&gt;"موظف جديد " &amp; 'الإعدادات والمستهدفات'!B4,"—",IF(COUNTIFS('[2]سجل الحضور والتنفيذ'!E:E,B113,'[2]سجل الحضور والتنفيذ'!A:A,"PSY-OR-01",'[2]سجل الحضور والتنفيذ'!H:H,"حاضر")&gt;0,"مستوفى",IF(AND(F113&lt;&gt;"",TODAY()&gt;F113+'الإعدادات والمستهدفات'!B9),"متأخر عن المهلة","خلال المهلة"))))</f>
        <v/>
      </c>
    </row>
    <row r="114" spans="1:16" x14ac:dyDescent="0.2">
      <c r="A114" s="3" t="str">
        <f>IF(C114="","",ROW()-3)</f>
        <v/>
      </c>
      <c r="B114" s="3"/>
      <c r="C114" s="3"/>
      <c r="D114" s="3"/>
      <c r="E114" s="3"/>
      <c r="F114" s="3"/>
      <c r="G114" s="3" t="str">
        <f>IF(C114="","",IF(F114="","موظف قائم",IF(YEAR(F114)&gt;='الإعدادات والمستهدفات'!B4,"موظف جديد " &amp; 'الإعدادات والمستهدفات'!B4,"موظف قائم")))</f>
        <v/>
      </c>
      <c r="H114" s="7"/>
      <c r="I114" s="3" t="str">
        <f>IF(C114="","",IF(OR(H114="",H114=0),"لم يُقيَّم","مُقيَّم"))</f>
        <v/>
      </c>
      <c r="J114" s="3" t="str">
        <f>IF(C114="","",IF(I114="لم يُقيَّم","يحتاج تقييم عاجل",IF(H114&lt;'الإعدادات والمستهدفات'!B5,"احتياج مرتفع جداً",IF(H114&lt;'الإعدادات والمستهدفات'!B6,"احتياج متوسط","احتياج منخفض"))))</f>
        <v/>
      </c>
      <c r="K114" s="3" t="str">
        <f>IF(C114="","",IF(OR(J114="يحتاج تقييم عاجل",J114="احتياج مرتفع جداً"),"أولوية قصوى (1)",IF(J114="احتياج متوسط","أولوية متوسطة (2)","أولوية عادية (3)")))</f>
        <v/>
      </c>
      <c r="L114" s="3" t="str">
        <f>IF(C114="","",COUNTIF('[1]الخطة التدريبية المعتمدة'!E:E,E114)+COUNTIF('[1]الخطة التدريبية المعتمدة'!E:E,"جميع العاملين بالمنشأة"))</f>
        <v/>
      </c>
      <c r="M114" s="3" t="str">
        <f>IF(C114="","",COUNTIFS('[2]سجل الحضور والتنفيذ'!E:E,B114,'[2]سجل الحضور والتنفيذ'!H:H,"حاضر"))</f>
        <v/>
      </c>
      <c r="N114" s="7" t="str">
        <f>IF(OR(C114="",L114=0),"",M114/L114)</f>
        <v/>
      </c>
      <c r="O114" s="3" t="str">
        <f>IF(C114="","",SUMPRODUCT(('[2]سجل الحضور والتنفيذ'!E:E=B114)*('[2]سجل الحضور والتنفيذ'!H:H="حاضر")*('[2]سجل الحضور والتنفيذ'!G:G)))</f>
        <v/>
      </c>
      <c r="P114" s="3" t="str">
        <f ca="1">IF(C114="","",IF(G114&lt;&gt;"موظف جديد " &amp; 'الإعدادات والمستهدفات'!B4,"—",IF(COUNTIFS('[2]سجل الحضور والتنفيذ'!E:E,B114,'[2]سجل الحضور والتنفيذ'!A:A,"PSY-OR-01",'[2]سجل الحضور والتنفيذ'!H:H,"حاضر")&gt;0,"مستوفى",IF(AND(F114&lt;&gt;"",TODAY()&gt;F114+'الإعدادات والمستهدفات'!B9),"متأخر عن المهلة","خلال المهلة"))))</f>
        <v/>
      </c>
    </row>
    <row r="115" spans="1:16" x14ac:dyDescent="0.2">
      <c r="A115" s="3" t="str">
        <f>IF(C115="","",ROW()-3)</f>
        <v/>
      </c>
      <c r="B115" s="3"/>
      <c r="C115" s="3"/>
      <c r="D115" s="3"/>
      <c r="E115" s="3"/>
      <c r="F115" s="3"/>
      <c r="G115" s="3" t="str">
        <f>IF(C115="","",IF(F115="","موظف قائم",IF(YEAR(F115)&gt;='الإعدادات والمستهدفات'!B4,"موظف جديد " &amp; 'الإعدادات والمستهدفات'!B4,"موظف قائم")))</f>
        <v/>
      </c>
      <c r="H115" s="7"/>
      <c r="I115" s="3" t="str">
        <f>IF(C115="","",IF(OR(H115="",H115=0),"لم يُقيَّم","مُقيَّم"))</f>
        <v/>
      </c>
      <c r="J115" s="3" t="str">
        <f>IF(C115="","",IF(I115="لم يُقيَّم","يحتاج تقييم عاجل",IF(H115&lt;'الإعدادات والمستهدفات'!B5,"احتياج مرتفع جداً",IF(H115&lt;'الإعدادات والمستهدفات'!B6,"احتياج متوسط","احتياج منخفض"))))</f>
        <v/>
      </c>
      <c r="K115" s="3" t="str">
        <f>IF(C115="","",IF(OR(J115="يحتاج تقييم عاجل",J115="احتياج مرتفع جداً"),"أولوية قصوى (1)",IF(J115="احتياج متوسط","أولوية متوسطة (2)","أولوية عادية (3)")))</f>
        <v/>
      </c>
      <c r="L115" s="3" t="str">
        <f>IF(C115="","",COUNTIF('[1]الخطة التدريبية المعتمدة'!E:E,E115)+COUNTIF('[1]الخطة التدريبية المعتمدة'!E:E,"جميع العاملين بالمنشأة"))</f>
        <v/>
      </c>
      <c r="M115" s="3" t="str">
        <f>IF(C115="","",COUNTIFS('[2]سجل الحضور والتنفيذ'!E:E,B115,'[2]سجل الحضور والتنفيذ'!H:H,"حاضر"))</f>
        <v/>
      </c>
      <c r="N115" s="7" t="str">
        <f>IF(OR(C115="",L115=0),"",M115/L115)</f>
        <v/>
      </c>
      <c r="O115" s="3" t="str">
        <f>IF(C115="","",SUMPRODUCT(('[2]سجل الحضور والتنفيذ'!E:E=B115)*('[2]سجل الحضور والتنفيذ'!H:H="حاضر")*('[2]سجل الحضور والتنفيذ'!G:G)))</f>
        <v/>
      </c>
      <c r="P115" s="3" t="str">
        <f ca="1">IF(C115="","",IF(G115&lt;&gt;"موظف جديد " &amp; 'الإعدادات والمستهدفات'!B4,"—",IF(COUNTIFS('[2]سجل الحضور والتنفيذ'!E:E,B115,'[2]سجل الحضور والتنفيذ'!A:A,"PSY-OR-01",'[2]سجل الحضور والتنفيذ'!H:H,"حاضر")&gt;0,"مستوفى",IF(AND(F115&lt;&gt;"",TODAY()&gt;F115+'الإعدادات والمستهدفات'!B9),"متأخر عن المهلة","خلال المهلة"))))</f>
        <v/>
      </c>
    </row>
    <row r="116" spans="1:16" x14ac:dyDescent="0.2">
      <c r="A116" s="3" t="str">
        <f>IF(C116="","",ROW()-3)</f>
        <v/>
      </c>
      <c r="B116" s="3"/>
      <c r="C116" s="3"/>
      <c r="D116" s="3"/>
      <c r="E116" s="3"/>
      <c r="F116" s="3"/>
      <c r="G116" s="3" t="str">
        <f>IF(C116="","",IF(F116="","موظف قائم",IF(YEAR(F116)&gt;='الإعدادات والمستهدفات'!B4,"موظف جديد " &amp; 'الإعدادات والمستهدفات'!B4,"موظف قائم")))</f>
        <v/>
      </c>
      <c r="H116" s="7"/>
      <c r="I116" s="3" t="str">
        <f>IF(C116="","",IF(OR(H116="",H116=0),"لم يُقيَّم","مُقيَّم"))</f>
        <v/>
      </c>
      <c r="J116" s="3" t="str">
        <f>IF(C116="","",IF(I116="لم يُقيَّم","يحتاج تقييم عاجل",IF(H116&lt;'الإعدادات والمستهدفات'!B5,"احتياج مرتفع جداً",IF(H116&lt;'الإعدادات والمستهدفات'!B6,"احتياج متوسط","احتياج منخفض"))))</f>
        <v/>
      </c>
      <c r="K116" s="3" t="str">
        <f>IF(C116="","",IF(OR(J116="يحتاج تقييم عاجل",J116="احتياج مرتفع جداً"),"أولوية قصوى (1)",IF(J116="احتياج متوسط","أولوية متوسطة (2)","أولوية عادية (3)")))</f>
        <v/>
      </c>
      <c r="L116" s="3" t="str">
        <f>IF(C116="","",COUNTIF('[1]الخطة التدريبية المعتمدة'!E:E,E116)+COUNTIF('[1]الخطة التدريبية المعتمدة'!E:E,"جميع العاملين بالمنشأة"))</f>
        <v/>
      </c>
      <c r="M116" s="3" t="str">
        <f>IF(C116="","",COUNTIFS('[2]سجل الحضور والتنفيذ'!E:E,B116,'[2]سجل الحضور والتنفيذ'!H:H,"حاضر"))</f>
        <v/>
      </c>
      <c r="N116" s="7" t="str">
        <f>IF(OR(C116="",L116=0),"",M116/L116)</f>
        <v/>
      </c>
      <c r="O116" s="3" t="str">
        <f>IF(C116="","",SUMPRODUCT(('[2]سجل الحضور والتنفيذ'!E:E=B116)*('[2]سجل الحضور والتنفيذ'!H:H="حاضر")*('[2]سجل الحضور والتنفيذ'!G:G)))</f>
        <v/>
      </c>
      <c r="P116" s="3" t="str">
        <f ca="1">IF(C116="","",IF(G116&lt;&gt;"موظف جديد " &amp; 'الإعدادات والمستهدفات'!B4,"—",IF(COUNTIFS('[2]سجل الحضور والتنفيذ'!E:E,B116,'[2]سجل الحضور والتنفيذ'!A:A,"PSY-OR-01",'[2]سجل الحضور والتنفيذ'!H:H,"حاضر")&gt;0,"مستوفى",IF(AND(F116&lt;&gt;"",TODAY()&gt;F116+'الإعدادات والمستهدفات'!B9),"متأخر عن المهلة","خلال المهلة"))))</f>
        <v/>
      </c>
    </row>
    <row r="117" spans="1:16" x14ac:dyDescent="0.2">
      <c r="A117" s="3" t="str">
        <f>IF(C117="","",ROW()-3)</f>
        <v/>
      </c>
      <c r="B117" s="3"/>
      <c r="C117" s="3"/>
      <c r="D117" s="3"/>
      <c r="E117" s="3"/>
      <c r="F117" s="3"/>
      <c r="G117" s="3" t="str">
        <f>IF(C117="","",IF(F117="","موظف قائم",IF(YEAR(F117)&gt;='الإعدادات والمستهدفات'!B4,"موظف جديد " &amp; 'الإعدادات والمستهدفات'!B4,"موظف قائم")))</f>
        <v/>
      </c>
      <c r="H117" s="7"/>
      <c r="I117" s="3" t="str">
        <f>IF(C117="","",IF(OR(H117="",H117=0),"لم يُقيَّم","مُقيَّم"))</f>
        <v/>
      </c>
      <c r="J117" s="3" t="str">
        <f>IF(C117="","",IF(I117="لم يُقيَّم","يحتاج تقييم عاجل",IF(H117&lt;'الإعدادات والمستهدفات'!B5,"احتياج مرتفع جداً",IF(H117&lt;'الإعدادات والمستهدفات'!B6,"احتياج متوسط","احتياج منخفض"))))</f>
        <v/>
      </c>
      <c r="K117" s="3" t="str">
        <f>IF(C117="","",IF(OR(J117="يحتاج تقييم عاجل",J117="احتياج مرتفع جداً"),"أولوية قصوى (1)",IF(J117="احتياج متوسط","أولوية متوسطة (2)","أولوية عادية (3)")))</f>
        <v/>
      </c>
      <c r="L117" s="3" t="str">
        <f>IF(C117="","",COUNTIF('[1]الخطة التدريبية المعتمدة'!E:E,E117)+COUNTIF('[1]الخطة التدريبية المعتمدة'!E:E,"جميع العاملين بالمنشأة"))</f>
        <v/>
      </c>
      <c r="M117" s="3" t="str">
        <f>IF(C117="","",COUNTIFS('[2]سجل الحضور والتنفيذ'!E:E,B117,'[2]سجل الحضور والتنفيذ'!H:H,"حاضر"))</f>
        <v/>
      </c>
      <c r="N117" s="7" t="str">
        <f>IF(OR(C117="",L117=0),"",M117/L117)</f>
        <v/>
      </c>
      <c r="O117" s="3" t="str">
        <f>IF(C117="","",SUMPRODUCT(('[2]سجل الحضور والتنفيذ'!E:E=B117)*('[2]سجل الحضور والتنفيذ'!H:H="حاضر")*('[2]سجل الحضور والتنفيذ'!G:G)))</f>
        <v/>
      </c>
      <c r="P117" s="3" t="str">
        <f ca="1">IF(C117="","",IF(G117&lt;&gt;"موظف جديد " &amp; 'الإعدادات والمستهدفات'!B4,"—",IF(COUNTIFS('[2]سجل الحضور والتنفيذ'!E:E,B117,'[2]سجل الحضور والتنفيذ'!A:A,"PSY-OR-01",'[2]سجل الحضور والتنفيذ'!H:H,"حاضر")&gt;0,"مستوفى",IF(AND(F117&lt;&gt;"",TODAY()&gt;F117+'الإعدادات والمستهدفات'!B9),"متأخر عن المهلة","خلال المهلة"))))</f>
        <v/>
      </c>
    </row>
    <row r="118" spans="1:16" x14ac:dyDescent="0.2">
      <c r="A118" s="3" t="str">
        <f>IF(C118="","",ROW()-3)</f>
        <v/>
      </c>
      <c r="B118" s="3"/>
      <c r="C118" s="3"/>
      <c r="D118" s="3"/>
      <c r="E118" s="3"/>
      <c r="F118" s="3"/>
      <c r="G118" s="3" t="str">
        <f>IF(C118="","",IF(F118="","موظف قائم",IF(YEAR(F118)&gt;='الإعدادات والمستهدفات'!B4,"موظف جديد " &amp; 'الإعدادات والمستهدفات'!B4,"موظف قائم")))</f>
        <v/>
      </c>
      <c r="H118" s="7"/>
      <c r="I118" s="3" t="str">
        <f>IF(C118="","",IF(OR(H118="",H118=0),"لم يُقيَّم","مُقيَّم"))</f>
        <v/>
      </c>
      <c r="J118" s="3" t="str">
        <f>IF(C118="","",IF(I118="لم يُقيَّم","يحتاج تقييم عاجل",IF(H118&lt;'الإعدادات والمستهدفات'!B5,"احتياج مرتفع جداً",IF(H118&lt;'الإعدادات والمستهدفات'!B6,"احتياج متوسط","احتياج منخفض"))))</f>
        <v/>
      </c>
      <c r="K118" s="3" t="str">
        <f>IF(C118="","",IF(OR(J118="يحتاج تقييم عاجل",J118="احتياج مرتفع جداً"),"أولوية قصوى (1)",IF(J118="احتياج متوسط","أولوية متوسطة (2)","أولوية عادية (3)")))</f>
        <v/>
      </c>
      <c r="L118" s="3" t="str">
        <f>IF(C118="","",COUNTIF('[1]الخطة التدريبية المعتمدة'!E:E,E118)+COUNTIF('[1]الخطة التدريبية المعتمدة'!E:E,"جميع العاملين بالمنشأة"))</f>
        <v/>
      </c>
      <c r="M118" s="3" t="str">
        <f>IF(C118="","",COUNTIFS('[2]سجل الحضور والتنفيذ'!E:E,B118,'[2]سجل الحضور والتنفيذ'!H:H,"حاضر"))</f>
        <v/>
      </c>
      <c r="N118" s="7" t="str">
        <f>IF(OR(C118="",L118=0),"",M118/L118)</f>
        <v/>
      </c>
      <c r="O118" s="3" t="str">
        <f>IF(C118="","",SUMPRODUCT(('[2]سجل الحضور والتنفيذ'!E:E=B118)*('[2]سجل الحضور والتنفيذ'!H:H="حاضر")*('[2]سجل الحضور والتنفيذ'!G:G)))</f>
        <v/>
      </c>
      <c r="P118" s="3" t="str">
        <f ca="1">IF(C118="","",IF(G118&lt;&gt;"موظف جديد " &amp; 'الإعدادات والمستهدفات'!B4,"—",IF(COUNTIFS('[2]سجل الحضور والتنفيذ'!E:E,B118,'[2]سجل الحضور والتنفيذ'!A:A,"PSY-OR-01",'[2]سجل الحضور والتنفيذ'!H:H,"حاضر")&gt;0,"مستوفى",IF(AND(F118&lt;&gt;"",TODAY()&gt;F118+'الإعدادات والمستهدفات'!B9),"متأخر عن المهلة","خلال المهلة"))))</f>
        <v/>
      </c>
    </row>
    <row r="119" spans="1:16" x14ac:dyDescent="0.2">
      <c r="A119" s="3" t="str">
        <f>IF(C119="","",ROW()-3)</f>
        <v/>
      </c>
      <c r="B119" s="3"/>
      <c r="C119" s="3"/>
      <c r="D119" s="3"/>
      <c r="E119" s="3"/>
      <c r="F119" s="3"/>
      <c r="G119" s="3" t="str">
        <f>IF(C119="","",IF(F119="","موظف قائم",IF(YEAR(F119)&gt;='الإعدادات والمستهدفات'!B4,"موظف جديد " &amp; 'الإعدادات والمستهدفات'!B4,"موظف قائم")))</f>
        <v/>
      </c>
      <c r="H119" s="7"/>
      <c r="I119" s="3" t="str">
        <f>IF(C119="","",IF(OR(H119="",H119=0),"لم يُقيَّم","مُقيَّم"))</f>
        <v/>
      </c>
      <c r="J119" s="3" t="str">
        <f>IF(C119="","",IF(I119="لم يُقيَّم","يحتاج تقييم عاجل",IF(H119&lt;'الإعدادات والمستهدفات'!B5,"احتياج مرتفع جداً",IF(H119&lt;'الإعدادات والمستهدفات'!B6,"احتياج متوسط","احتياج منخفض"))))</f>
        <v/>
      </c>
      <c r="K119" s="3" t="str">
        <f>IF(C119="","",IF(OR(J119="يحتاج تقييم عاجل",J119="احتياج مرتفع جداً"),"أولوية قصوى (1)",IF(J119="احتياج متوسط","أولوية متوسطة (2)","أولوية عادية (3)")))</f>
        <v/>
      </c>
      <c r="L119" s="3" t="str">
        <f>IF(C119="","",COUNTIF('[1]الخطة التدريبية المعتمدة'!E:E,E119)+COUNTIF('[1]الخطة التدريبية المعتمدة'!E:E,"جميع العاملين بالمنشأة"))</f>
        <v/>
      </c>
      <c r="M119" s="3" t="str">
        <f>IF(C119="","",COUNTIFS('[2]سجل الحضور والتنفيذ'!E:E,B119,'[2]سجل الحضور والتنفيذ'!H:H,"حاضر"))</f>
        <v/>
      </c>
      <c r="N119" s="7" t="str">
        <f>IF(OR(C119="",L119=0),"",M119/L119)</f>
        <v/>
      </c>
      <c r="O119" s="3" t="str">
        <f>IF(C119="","",SUMPRODUCT(('[2]سجل الحضور والتنفيذ'!E:E=B119)*('[2]سجل الحضور والتنفيذ'!H:H="حاضر")*('[2]سجل الحضور والتنفيذ'!G:G)))</f>
        <v/>
      </c>
      <c r="P119" s="3" t="str">
        <f ca="1">IF(C119="","",IF(G119&lt;&gt;"موظف جديد " &amp; 'الإعدادات والمستهدفات'!B4,"—",IF(COUNTIFS('[2]سجل الحضور والتنفيذ'!E:E,B119,'[2]سجل الحضور والتنفيذ'!A:A,"PSY-OR-01",'[2]سجل الحضور والتنفيذ'!H:H,"حاضر")&gt;0,"مستوفى",IF(AND(F119&lt;&gt;"",TODAY()&gt;F119+'الإعدادات والمستهدفات'!B9),"متأخر عن المهلة","خلال المهلة"))))</f>
        <v/>
      </c>
    </row>
    <row r="120" spans="1:16" x14ac:dyDescent="0.2">
      <c r="A120" s="3" t="str">
        <f>IF(C120="","",ROW()-3)</f>
        <v/>
      </c>
      <c r="B120" s="3"/>
      <c r="C120" s="3"/>
      <c r="D120" s="3"/>
      <c r="E120" s="3"/>
      <c r="F120" s="3"/>
      <c r="G120" s="3" t="str">
        <f>IF(C120="","",IF(F120="","موظف قائم",IF(YEAR(F120)&gt;='الإعدادات والمستهدفات'!B4,"موظف جديد " &amp; 'الإعدادات والمستهدفات'!B4,"موظف قائم")))</f>
        <v/>
      </c>
      <c r="H120" s="7"/>
      <c r="I120" s="3" t="str">
        <f>IF(C120="","",IF(OR(H120="",H120=0),"لم يُقيَّم","مُقيَّم"))</f>
        <v/>
      </c>
      <c r="J120" s="3" t="str">
        <f>IF(C120="","",IF(I120="لم يُقيَّم","يحتاج تقييم عاجل",IF(H120&lt;'الإعدادات والمستهدفات'!B5,"احتياج مرتفع جداً",IF(H120&lt;'الإعدادات والمستهدفات'!B6,"احتياج متوسط","احتياج منخفض"))))</f>
        <v/>
      </c>
      <c r="K120" s="3" t="str">
        <f>IF(C120="","",IF(OR(J120="يحتاج تقييم عاجل",J120="احتياج مرتفع جداً"),"أولوية قصوى (1)",IF(J120="احتياج متوسط","أولوية متوسطة (2)","أولوية عادية (3)")))</f>
        <v/>
      </c>
      <c r="L120" s="3" t="str">
        <f>IF(C120="","",COUNTIF('[1]الخطة التدريبية المعتمدة'!E:E,E120)+COUNTIF('[1]الخطة التدريبية المعتمدة'!E:E,"جميع العاملين بالمنشأة"))</f>
        <v/>
      </c>
      <c r="M120" s="3" t="str">
        <f>IF(C120="","",COUNTIFS('[2]سجل الحضور والتنفيذ'!E:E,B120,'[2]سجل الحضور والتنفيذ'!H:H,"حاضر"))</f>
        <v/>
      </c>
      <c r="N120" s="7" t="str">
        <f>IF(OR(C120="",L120=0),"",M120/L120)</f>
        <v/>
      </c>
      <c r="O120" s="3" t="str">
        <f>IF(C120="","",SUMPRODUCT(('[2]سجل الحضور والتنفيذ'!E:E=B120)*('[2]سجل الحضور والتنفيذ'!H:H="حاضر")*('[2]سجل الحضور والتنفيذ'!G:G)))</f>
        <v/>
      </c>
      <c r="P120" s="3" t="str">
        <f ca="1">IF(C120="","",IF(G120&lt;&gt;"موظف جديد " &amp; 'الإعدادات والمستهدفات'!B4,"—",IF(COUNTIFS('[2]سجل الحضور والتنفيذ'!E:E,B120,'[2]سجل الحضور والتنفيذ'!A:A,"PSY-OR-01",'[2]سجل الحضور والتنفيذ'!H:H,"حاضر")&gt;0,"مستوفى",IF(AND(F120&lt;&gt;"",TODAY()&gt;F120+'الإعدادات والمستهدفات'!B9),"متأخر عن المهلة","خلال المهلة"))))</f>
        <v/>
      </c>
    </row>
    <row r="121" spans="1:16" x14ac:dyDescent="0.2">
      <c r="A121" s="3" t="str">
        <f>IF(C121="","",ROW()-3)</f>
        <v/>
      </c>
      <c r="B121" s="3"/>
      <c r="C121" s="3"/>
      <c r="D121" s="3"/>
      <c r="E121" s="3"/>
      <c r="F121" s="3"/>
      <c r="G121" s="3" t="str">
        <f>IF(C121="","",IF(F121="","موظف قائم",IF(YEAR(F121)&gt;='الإعدادات والمستهدفات'!B4,"موظف جديد " &amp; 'الإعدادات والمستهدفات'!B4,"موظف قائم")))</f>
        <v/>
      </c>
      <c r="H121" s="7"/>
      <c r="I121" s="3" t="str">
        <f>IF(C121="","",IF(OR(H121="",H121=0),"لم يُقيَّم","مُقيَّم"))</f>
        <v/>
      </c>
      <c r="J121" s="3" t="str">
        <f>IF(C121="","",IF(I121="لم يُقيَّم","يحتاج تقييم عاجل",IF(H121&lt;'الإعدادات والمستهدفات'!B5,"احتياج مرتفع جداً",IF(H121&lt;'الإعدادات والمستهدفات'!B6,"احتياج متوسط","احتياج منخفض"))))</f>
        <v/>
      </c>
      <c r="K121" s="3" t="str">
        <f>IF(C121="","",IF(OR(J121="يحتاج تقييم عاجل",J121="احتياج مرتفع جداً"),"أولوية قصوى (1)",IF(J121="احتياج متوسط","أولوية متوسطة (2)","أولوية عادية (3)")))</f>
        <v/>
      </c>
      <c r="L121" s="3" t="str">
        <f>IF(C121="","",COUNTIF('[1]الخطة التدريبية المعتمدة'!E:E,E121)+COUNTIF('[1]الخطة التدريبية المعتمدة'!E:E,"جميع العاملين بالمنشأة"))</f>
        <v/>
      </c>
      <c r="M121" s="3" t="str">
        <f>IF(C121="","",COUNTIFS('[2]سجل الحضور والتنفيذ'!E:E,B121,'[2]سجل الحضور والتنفيذ'!H:H,"حاضر"))</f>
        <v/>
      </c>
      <c r="N121" s="7" t="str">
        <f>IF(OR(C121="",L121=0),"",M121/L121)</f>
        <v/>
      </c>
      <c r="O121" s="3" t="str">
        <f>IF(C121="","",SUMPRODUCT(('[2]سجل الحضور والتنفيذ'!E:E=B121)*('[2]سجل الحضور والتنفيذ'!H:H="حاضر")*('[2]سجل الحضور والتنفيذ'!G:G)))</f>
        <v/>
      </c>
      <c r="P121" s="3" t="str">
        <f ca="1">IF(C121="","",IF(G121&lt;&gt;"موظف جديد " &amp; 'الإعدادات والمستهدفات'!B4,"—",IF(COUNTIFS('[2]سجل الحضور والتنفيذ'!E:E,B121,'[2]سجل الحضور والتنفيذ'!A:A,"PSY-OR-01",'[2]سجل الحضور والتنفيذ'!H:H,"حاضر")&gt;0,"مستوفى",IF(AND(F121&lt;&gt;"",TODAY()&gt;F121+'الإعدادات والمستهدفات'!B9),"متأخر عن المهلة","خلال المهلة"))))</f>
        <v/>
      </c>
    </row>
    <row r="122" spans="1:16" x14ac:dyDescent="0.2">
      <c r="A122" s="3" t="str">
        <f>IF(C122="","",ROW()-3)</f>
        <v/>
      </c>
      <c r="B122" s="3"/>
      <c r="C122" s="3"/>
      <c r="D122" s="3"/>
      <c r="E122" s="3"/>
      <c r="F122" s="3"/>
      <c r="G122" s="3" t="str">
        <f>IF(C122="","",IF(F122="","موظف قائم",IF(YEAR(F122)&gt;='الإعدادات والمستهدفات'!B4,"موظف جديد " &amp; 'الإعدادات والمستهدفات'!B4,"موظف قائم")))</f>
        <v/>
      </c>
      <c r="H122" s="7"/>
      <c r="I122" s="3" t="str">
        <f>IF(C122="","",IF(OR(H122="",H122=0),"لم يُقيَّم","مُقيَّم"))</f>
        <v/>
      </c>
      <c r="J122" s="3" t="str">
        <f>IF(C122="","",IF(I122="لم يُقيَّم","يحتاج تقييم عاجل",IF(H122&lt;'الإعدادات والمستهدفات'!B5,"احتياج مرتفع جداً",IF(H122&lt;'الإعدادات والمستهدفات'!B6,"احتياج متوسط","احتياج منخفض"))))</f>
        <v/>
      </c>
      <c r="K122" s="3" t="str">
        <f>IF(C122="","",IF(OR(J122="يحتاج تقييم عاجل",J122="احتياج مرتفع جداً"),"أولوية قصوى (1)",IF(J122="احتياج متوسط","أولوية متوسطة (2)","أولوية عادية (3)")))</f>
        <v/>
      </c>
      <c r="L122" s="3" t="str">
        <f>IF(C122="","",COUNTIF('[1]الخطة التدريبية المعتمدة'!E:E,E122)+COUNTIF('[1]الخطة التدريبية المعتمدة'!E:E,"جميع العاملين بالمنشأة"))</f>
        <v/>
      </c>
      <c r="M122" s="3" t="str">
        <f>IF(C122="","",COUNTIFS('[2]سجل الحضور والتنفيذ'!E:E,B122,'[2]سجل الحضور والتنفيذ'!H:H,"حاضر"))</f>
        <v/>
      </c>
      <c r="N122" s="7" t="str">
        <f>IF(OR(C122="",L122=0),"",M122/L122)</f>
        <v/>
      </c>
      <c r="O122" s="3" t="str">
        <f>IF(C122="","",SUMPRODUCT(('[2]سجل الحضور والتنفيذ'!E:E=B122)*('[2]سجل الحضور والتنفيذ'!H:H="حاضر")*('[2]سجل الحضور والتنفيذ'!G:G)))</f>
        <v/>
      </c>
      <c r="P122" s="3" t="str">
        <f ca="1">IF(C122="","",IF(G122&lt;&gt;"موظف جديد " &amp; 'الإعدادات والمستهدفات'!B4,"—",IF(COUNTIFS('[2]سجل الحضور والتنفيذ'!E:E,B122,'[2]سجل الحضور والتنفيذ'!A:A,"PSY-OR-01",'[2]سجل الحضور والتنفيذ'!H:H,"حاضر")&gt;0,"مستوفى",IF(AND(F122&lt;&gt;"",TODAY()&gt;F122+'الإعدادات والمستهدفات'!B9),"متأخر عن المهلة","خلال المهلة"))))</f>
        <v/>
      </c>
    </row>
    <row r="123" spans="1:16" x14ac:dyDescent="0.2">
      <c r="A123" s="3" t="str">
        <f>IF(C123="","",ROW()-3)</f>
        <v/>
      </c>
      <c r="B123" s="3"/>
      <c r="C123" s="3"/>
      <c r="D123" s="3"/>
      <c r="E123" s="3"/>
      <c r="F123" s="3"/>
      <c r="G123" s="3" t="str">
        <f>IF(C123="","",IF(F123="","موظف قائم",IF(YEAR(F123)&gt;='الإعدادات والمستهدفات'!B4,"موظف جديد " &amp; 'الإعدادات والمستهدفات'!B4,"موظف قائم")))</f>
        <v/>
      </c>
      <c r="H123" s="7"/>
      <c r="I123" s="3" t="str">
        <f>IF(C123="","",IF(OR(H123="",H123=0),"لم يُقيَّم","مُقيَّم"))</f>
        <v/>
      </c>
      <c r="J123" s="3" t="str">
        <f>IF(C123="","",IF(I123="لم يُقيَّم","يحتاج تقييم عاجل",IF(H123&lt;'الإعدادات والمستهدفات'!B5,"احتياج مرتفع جداً",IF(H123&lt;'الإعدادات والمستهدفات'!B6,"احتياج متوسط","احتياج منخفض"))))</f>
        <v/>
      </c>
      <c r="K123" s="3" t="str">
        <f>IF(C123="","",IF(OR(J123="يحتاج تقييم عاجل",J123="احتياج مرتفع جداً"),"أولوية قصوى (1)",IF(J123="احتياج متوسط","أولوية متوسطة (2)","أولوية عادية (3)")))</f>
        <v/>
      </c>
      <c r="L123" s="3" t="str">
        <f>IF(C123="","",COUNTIF('[1]الخطة التدريبية المعتمدة'!E:E,E123)+COUNTIF('[1]الخطة التدريبية المعتمدة'!E:E,"جميع العاملين بالمنشأة"))</f>
        <v/>
      </c>
      <c r="M123" s="3" t="str">
        <f>IF(C123="","",COUNTIFS('[2]سجل الحضور والتنفيذ'!E:E,B123,'[2]سجل الحضور والتنفيذ'!H:H,"حاضر"))</f>
        <v/>
      </c>
      <c r="N123" s="7" t="str">
        <f>IF(OR(C123="",L123=0),"",M123/L123)</f>
        <v/>
      </c>
      <c r="O123" s="3" t="str">
        <f>IF(C123="","",SUMPRODUCT(('[2]سجل الحضور والتنفيذ'!E:E=B123)*('[2]سجل الحضور والتنفيذ'!H:H="حاضر")*('[2]سجل الحضور والتنفيذ'!G:G)))</f>
        <v/>
      </c>
      <c r="P123" s="3" t="str">
        <f ca="1">IF(C123="","",IF(G123&lt;&gt;"موظف جديد " &amp; 'الإعدادات والمستهدفات'!B4,"—",IF(COUNTIFS('[2]سجل الحضور والتنفيذ'!E:E,B123,'[2]سجل الحضور والتنفيذ'!A:A,"PSY-OR-01",'[2]سجل الحضور والتنفيذ'!H:H,"حاضر")&gt;0,"مستوفى",IF(AND(F123&lt;&gt;"",TODAY()&gt;F123+'الإعدادات والمستهدفات'!B9),"متأخر عن المهلة","خلال المهلة"))))</f>
        <v/>
      </c>
    </row>
    <row r="124" spans="1:16" x14ac:dyDescent="0.2">
      <c r="A124" s="3" t="str">
        <f>IF(C124="","",ROW()-3)</f>
        <v/>
      </c>
      <c r="B124" s="3"/>
      <c r="C124" s="3"/>
      <c r="D124" s="3"/>
      <c r="E124" s="3"/>
      <c r="F124" s="3"/>
      <c r="G124" s="3" t="str">
        <f>IF(C124="","",IF(F124="","موظف قائم",IF(YEAR(F124)&gt;='الإعدادات والمستهدفات'!B4,"موظف جديد " &amp; 'الإعدادات والمستهدفات'!B4,"موظف قائم")))</f>
        <v/>
      </c>
      <c r="H124" s="7"/>
      <c r="I124" s="3" t="str">
        <f>IF(C124="","",IF(OR(H124="",H124=0),"لم يُقيَّم","مُقيَّم"))</f>
        <v/>
      </c>
      <c r="J124" s="3" t="str">
        <f>IF(C124="","",IF(I124="لم يُقيَّم","يحتاج تقييم عاجل",IF(H124&lt;'الإعدادات والمستهدفات'!B5,"احتياج مرتفع جداً",IF(H124&lt;'الإعدادات والمستهدفات'!B6,"احتياج متوسط","احتياج منخفض"))))</f>
        <v/>
      </c>
      <c r="K124" s="3" t="str">
        <f>IF(C124="","",IF(OR(J124="يحتاج تقييم عاجل",J124="احتياج مرتفع جداً"),"أولوية قصوى (1)",IF(J124="احتياج متوسط","أولوية متوسطة (2)","أولوية عادية (3)")))</f>
        <v/>
      </c>
      <c r="L124" s="3" t="str">
        <f>IF(C124="","",COUNTIF('[1]الخطة التدريبية المعتمدة'!E:E,E124)+COUNTIF('[1]الخطة التدريبية المعتمدة'!E:E,"جميع العاملين بالمنشأة"))</f>
        <v/>
      </c>
      <c r="M124" s="3" t="str">
        <f>IF(C124="","",COUNTIFS('[2]سجل الحضور والتنفيذ'!E:E,B124,'[2]سجل الحضور والتنفيذ'!H:H,"حاضر"))</f>
        <v/>
      </c>
      <c r="N124" s="7" t="str">
        <f>IF(OR(C124="",L124=0),"",M124/L124)</f>
        <v/>
      </c>
      <c r="O124" s="3" t="str">
        <f>IF(C124="","",SUMPRODUCT(('[2]سجل الحضور والتنفيذ'!E:E=B124)*('[2]سجل الحضور والتنفيذ'!H:H="حاضر")*('[2]سجل الحضور والتنفيذ'!G:G)))</f>
        <v/>
      </c>
      <c r="P124" s="3" t="str">
        <f ca="1">IF(C124="","",IF(G124&lt;&gt;"موظف جديد " &amp; 'الإعدادات والمستهدفات'!B4,"—",IF(COUNTIFS('[2]سجل الحضور والتنفيذ'!E:E,B124,'[2]سجل الحضور والتنفيذ'!A:A,"PSY-OR-01",'[2]سجل الحضور والتنفيذ'!H:H,"حاضر")&gt;0,"مستوفى",IF(AND(F124&lt;&gt;"",TODAY()&gt;F124+'الإعدادات والمستهدفات'!B9),"متأخر عن المهلة","خلال المهلة"))))</f>
        <v/>
      </c>
    </row>
    <row r="125" spans="1:16" x14ac:dyDescent="0.2">
      <c r="A125" s="3" t="str">
        <f>IF(C125="","",ROW()-3)</f>
        <v/>
      </c>
      <c r="B125" s="3"/>
      <c r="C125" s="3"/>
      <c r="D125" s="3"/>
      <c r="E125" s="3"/>
      <c r="F125" s="3"/>
      <c r="G125" s="3" t="str">
        <f>IF(C125="","",IF(F125="","موظف قائم",IF(YEAR(F125)&gt;='الإعدادات والمستهدفات'!B4,"موظف جديد " &amp; 'الإعدادات والمستهدفات'!B4,"موظف قائم")))</f>
        <v/>
      </c>
      <c r="H125" s="7"/>
      <c r="I125" s="3" t="str">
        <f>IF(C125="","",IF(OR(H125="",H125=0),"لم يُقيَّم","مُقيَّم"))</f>
        <v/>
      </c>
      <c r="J125" s="3" t="str">
        <f>IF(C125="","",IF(I125="لم يُقيَّم","يحتاج تقييم عاجل",IF(H125&lt;'الإعدادات والمستهدفات'!B5,"احتياج مرتفع جداً",IF(H125&lt;'الإعدادات والمستهدفات'!B6,"احتياج متوسط","احتياج منخفض"))))</f>
        <v/>
      </c>
      <c r="K125" s="3" t="str">
        <f>IF(C125="","",IF(OR(J125="يحتاج تقييم عاجل",J125="احتياج مرتفع جداً"),"أولوية قصوى (1)",IF(J125="احتياج متوسط","أولوية متوسطة (2)","أولوية عادية (3)")))</f>
        <v/>
      </c>
      <c r="L125" s="3" t="str">
        <f>IF(C125="","",COUNTIF('[1]الخطة التدريبية المعتمدة'!E:E,E125)+COUNTIF('[1]الخطة التدريبية المعتمدة'!E:E,"جميع العاملين بالمنشأة"))</f>
        <v/>
      </c>
      <c r="M125" s="3" t="str">
        <f>IF(C125="","",COUNTIFS('[2]سجل الحضور والتنفيذ'!E:E,B125,'[2]سجل الحضور والتنفيذ'!H:H,"حاضر"))</f>
        <v/>
      </c>
      <c r="N125" s="7" t="str">
        <f>IF(OR(C125="",L125=0),"",M125/L125)</f>
        <v/>
      </c>
      <c r="O125" s="3" t="str">
        <f>IF(C125="","",SUMPRODUCT(('[2]سجل الحضور والتنفيذ'!E:E=B125)*('[2]سجل الحضور والتنفيذ'!H:H="حاضر")*('[2]سجل الحضور والتنفيذ'!G:G)))</f>
        <v/>
      </c>
      <c r="P125" s="3" t="str">
        <f ca="1">IF(C125="","",IF(G125&lt;&gt;"موظف جديد " &amp; 'الإعدادات والمستهدفات'!B4,"—",IF(COUNTIFS('[2]سجل الحضور والتنفيذ'!E:E,B125,'[2]سجل الحضور والتنفيذ'!A:A,"PSY-OR-01",'[2]سجل الحضور والتنفيذ'!H:H,"حاضر")&gt;0,"مستوفى",IF(AND(F125&lt;&gt;"",TODAY()&gt;F125+'الإعدادات والمستهدفات'!B9),"متأخر عن المهلة","خلال المهلة"))))</f>
        <v/>
      </c>
    </row>
    <row r="126" spans="1:16" x14ac:dyDescent="0.2">
      <c r="A126" s="3" t="str">
        <f>IF(C126="","",ROW()-3)</f>
        <v/>
      </c>
      <c r="B126" s="3"/>
      <c r="C126" s="3"/>
      <c r="D126" s="3"/>
      <c r="E126" s="3"/>
      <c r="F126" s="3"/>
      <c r="G126" s="3" t="str">
        <f>IF(C126="","",IF(F126="","موظف قائم",IF(YEAR(F126)&gt;='الإعدادات والمستهدفات'!B4,"موظف جديد " &amp; 'الإعدادات والمستهدفات'!B4,"موظف قائم")))</f>
        <v/>
      </c>
      <c r="H126" s="7"/>
      <c r="I126" s="3" t="str">
        <f>IF(C126="","",IF(OR(H126="",H126=0),"لم يُقيَّم","مُقيَّم"))</f>
        <v/>
      </c>
      <c r="J126" s="3" t="str">
        <f>IF(C126="","",IF(I126="لم يُقيَّم","يحتاج تقييم عاجل",IF(H126&lt;'الإعدادات والمستهدفات'!B5,"احتياج مرتفع جداً",IF(H126&lt;'الإعدادات والمستهدفات'!B6,"احتياج متوسط","احتياج منخفض"))))</f>
        <v/>
      </c>
      <c r="K126" s="3" t="str">
        <f>IF(C126="","",IF(OR(J126="يحتاج تقييم عاجل",J126="احتياج مرتفع جداً"),"أولوية قصوى (1)",IF(J126="احتياج متوسط","أولوية متوسطة (2)","أولوية عادية (3)")))</f>
        <v/>
      </c>
      <c r="L126" s="3" t="str">
        <f>IF(C126="","",COUNTIF('[1]الخطة التدريبية المعتمدة'!E:E,E126)+COUNTIF('[1]الخطة التدريبية المعتمدة'!E:E,"جميع العاملين بالمنشأة"))</f>
        <v/>
      </c>
      <c r="M126" s="3" t="str">
        <f>IF(C126="","",COUNTIFS('[2]سجل الحضور والتنفيذ'!E:E,B126,'[2]سجل الحضور والتنفيذ'!H:H,"حاضر"))</f>
        <v/>
      </c>
      <c r="N126" s="7" t="str">
        <f>IF(OR(C126="",L126=0),"",M126/L126)</f>
        <v/>
      </c>
      <c r="O126" s="3" t="str">
        <f>IF(C126="","",SUMPRODUCT(('[2]سجل الحضور والتنفيذ'!E:E=B126)*('[2]سجل الحضور والتنفيذ'!H:H="حاضر")*('[2]سجل الحضور والتنفيذ'!G:G)))</f>
        <v/>
      </c>
      <c r="P126" s="3" t="str">
        <f ca="1">IF(C126="","",IF(G126&lt;&gt;"موظف جديد " &amp; 'الإعدادات والمستهدفات'!B4,"—",IF(COUNTIFS('[2]سجل الحضور والتنفيذ'!E:E,B126,'[2]سجل الحضور والتنفيذ'!A:A,"PSY-OR-01",'[2]سجل الحضور والتنفيذ'!H:H,"حاضر")&gt;0,"مستوفى",IF(AND(F126&lt;&gt;"",TODAY()&gt;F126+'الإعدادات والمستهدفات'!B9),"متأخر عن المهلة","خلال المهلة"))))</f>
        <v/>
      </c>
    </row>
    <row r="127" spans="1:16" x14ac:dyDescent="0.2">
      <c r="A127" s="3" t="str">
        <f>IF(C127="","",ROW()-3)</f>
        <v/>
      </c>
      <c r="B127" s="3"/>
      <c r="C127" s="3"/>
      <c r="D127" s="3"/>
      <c r="E127" s="3"/>
      <c r="F127" s="3"/>
      <c r="G127" s="3" t="str">
        <f>IF(C127="","",IF(F127="","موظف قائم",IF(YEAR(F127)&gt;='الإعدادات والمستهدفات'!B4,"موظف جديد " &amp; 'الإعدادات والمستهدفات'!B4,"موظف قائم")))</f>
        <v/>
      </c>
      <c r="H127" s="7"/>
      <c r="I127" s="3" t="str">
        <f>IF(C127="","",IF(OR(H127="",H127=0),"لم يُقيَّم","مُقيَّم"))</f>
        <v/>
      </c>
      <c r="J127" s="3" t="str">
        <f>IF(C127="","",IF(I127="لم يُقيَّم","يحتاج تقييم عاجل",IF(H127&lt;'الإعدادات والمستهدفات'!B5,"احتياج مرتفع جداً",IF(H127&lt;'الإعدادات والمستهدفات'!B6,"احتياج متوسط","احتياج منخفض"))))</f>
        <v/>
      </c>
      <c r="K127" s="3" t="str">
        <f>IF(C127="","",IF(OR(J127="يحتاج تقييم عاجل",J127="احتياج مرتفع جداً"),"أولوية قصوى (1)",IF(J127="احتياج متوسط","أولوية متوسطة (2)","أولوية عادية (3)")))</f>
        <v/>
      </c>
      <c r="L127" s="3" t="str">
        <f>IF(C127="","",COUNTIF('[1]الخطة التدريبية المعتمدة'!E:E,E127)+COUNTIF('[1]الخطة التدريبية المعتمدة'!E:E,"جميع العاملين بالمنشأة"))</f>
        <v/>
      </c>
      <c r="M127" s="3" t="str">
        <f>IF(C127="","",COUNTIFS('[2]سجل الحضور والتنفيذ'!E:E,B127,'[2]سجل الحضور والتنفيذ'!H:H,"حاضر"))</f>
        <v/>
      </c>
      <c r="N127" s="7" t="str">
        <f>IF(OR(C127="",L127=0),"",M127/L127)</f>
        <v/>
      </c>
      <c r="O127" s="3" t="str">
        <f>IF(C127="","",SUMPRODUCT(('[2]سجل الحضور والتنفيذ'!E:E=B127)*('[2]سجل الحضور والتنفيذ'!H:H="حاضر")*('[2]سجل الحضور والتنفيذ'!G:G)))</f>
        <v/>
      </c>
      <c r="P127" s="3" t="str">
        <f ca="1">IF(C127="","",IF(G127&lt;&gt;"موظف جديد " &amp; 'الإعدادات والمستهدفات'!B4,"—",IF(COUNTIFS('[2]سجل الحضور والتنفيذ'!E:E,B127,'[2]سجل الحضور والتنفيذ'!A:A,"PSY-OR-01",'[2]سجل الحضور والتنفيذ'!H:H,"حاضر")&gt;0,"مستوفى",IF(AND(F127&lt;&gt;"",TODAY()&gt;F127+'الإعدادات والمستهدفات'!B9),"متأخر عن المهلة","خلال المهلة"))))</f>
        <v/>
      </c>
    </row>
    <row r="128" spans="1:16" x14ac:dyDescent="0.2">
      <c r="A128" s="3" t="str">
        <f>IF(C128="","",ROW()-3)</f>
        <v/>
      </c>
      <c r="B128" s="3"/>
      <c r="C128" s="3"/>
      <c r="D128" s="3"/>
      <c r="E128" s="3"/>
      <c r="F128" s="3"/>
      <c r="G128" s="3" t="str">
        <f>IF(C128="","",IF(F128="","موظف قائم",IF(YEAR(F128)&gt;='الإعدادات والمستهدفات'!B4,"موظف جديد " &amp; 'الإعدادات والمستهدفات'!B4,"موظف قائم")))</f>
        <v/>
      </c>
      <c r="H128" s="7"/>
      <c r="I128" s="3" t="str">
        <f>IF(C128="","",IF(OR(H128="",H128=0),"لم يُقيَّم","مُقيَّم"))</f>
        <v/>
      </c>
      <c r="J128" s="3" t="str">
        <f>IF(C128="","",IF(I128="لم يُقيَّم","يحتاج تقييم عاجل",IF(H128&lt;'الإعدادات والمستهدفات'!B5,"احتياج مرتفع جداً",IF(H128&lt;'الإعدادات والمستهدفات'!B6,"احتياج متوسط","احتياج منخفض"))))</f>
        <v/>
      </c>
      <c r="K128" s="3" t="str">
        <f>IF(C128="","",IF(OR(J128="يحتاج تقييم عاجل",J128="احتياج مرتفع جداً"),"أولوية قصوى (1)",IF(J128="احتياج متوسط","أولوية متوسطة (2)","أولوية عادية (3)")))</f>
        <v/>
      </c>
      <c r="L128" s="3" t="str">
        <f>IF(C128="","",COUNTIF('[1]الخطة التدريبية المعتمدة'!E:E,E128)+COUNTIF('[1]الخطة التدريبية المعتمدة'!E:E,"جميع العاملين بالمنشأة"))</f>
        <v/>
      </c>
      <c r="M128" s="3" t="str">
        <f>IF(C128="","",COUNTIFS('[2]سجل الحضور والتنفيذ'!E:E,B128,'[2]سجل الحضور والتنفيذ'!H:H,"حاضر"))</f>
        <v/>
      </c>
      <c r="N128" s="7" t="str">
        <f>IF(OR(C128="",L128=0),"",M128/L128)</f>
        <v/>
      </c>
      <c r="O128" s="3" t="str">
        <f>IF(C128="","",SUMPRODUCT(('[2]سجل الحضور والتنفيذ'!E:E=B128)*('[2]سجل الحضور والتنفيذ'!H:H="حاضر")*('[2]سجل الحضور والتنفيذ'!G:G)))</f>
        <v/>
      </c>
      <c r="P128" s="3" t="str">
        <f ca="1">IF(C128="","",IF(G128&lt;&gt;"موظف جديد " &amp; 'الإعدادات والمستهدفات'!B4,"—",IF(COUNTIFS('[2]سجل الحضور والتنفيذ'!E:E,B128,'[2]سجل الحضور والتنفيذ'!A:A,"PSY-OR-01",'[2]سجل الحضور والتنفيذ'!H:H,"حاضر")&gt;0,"مستوفى",IF(AND(F128&lt;&gt;"",TODAY()&gt;F128+'الإعدادات والمستهدفات'!B9),"متأخر عن المهلة","خلال المهلة"))))</f>
        <v/>
      </c>
    </row>
    <row r="129" spans="1:16" x14ac:dyDescent="0.2">
      <c r="A129" s="3" t="str">
        <f>IF(C129="","",ROW()-3)</f>
        <v/>
      </c>
      <c r="B129" s="3"/>
      <c r="C129" s="3"/>
      <c r="D129" s="3"/>
      <c r="E129" s="3"/>
      <c r="F129" s="3"/>
      <c r="G129" s="3" t="str">
        <f>IF(C129="","",IF(F129="","موظف قائم",IF(YEAR(F129)&gt;='الإعدادات والمستهدفات'!B4,"موظف جديد " &amp; 'الإعدادات والمستهدفات'!B4,"موظف قائم")))</f>
        <v/>
      </c>
      <c r="H129" s="7"/>
      <c r="I129" s="3" t="str">
        <f>IF(C129="","",IF(OR(H129="",H129=0),"لم يُقيَّم","مُقيَّم"))</f>
        <v/>
      </c>
      <c r="J129" s="3" t="str">
        <f>IF(C129="","",IF(I129="لم يُقيَّم","يحتاج تقييم عاجل",IF(H129&lt;'الإعدادات والمستهدفات'!B5,"احتياج مرتفع جداً",IF(H129&lt;'الإعدادات والمستهدفات'!B6,"احتياج متوسط","احتياج منخفض"))))</f>
        <v/>
      </c>
      <c r="K129" s="3" t="str">
        <f>IF(C129="","",IF(OR(J129="يحتاج تقييم عاجل",J129="احتياج مرتفع جداً"),"أولوية قصوى (1)",IF(J129="احتياج متوسط","أولوية متوسطة (2)","أولوية عادية (3)")))</f>
        <v/>
      </c>
      <c r="L129" s="3" t="str">
        <f>IF(C129="","",COUNTIF('[1]الخطة التدريبية المعتمدة'!E:E,E129)+COUNTIF('[1]الخطة التدريبية المعتمدة'!E:E,"جميع العاملين بالمنشأة"))</f>
        <v/>
      </c>
      <c r="M129" s="3" t="str">
        <f>IF(C129="","",COUNTIFS('[2]سجل الحضور والتنفيذ'!E:E,B129,'[2]سجل الحضور والتنفيذ'!H:H,"حاضر"))</f>
        <v/>
      </c>
      <c r="N129" s="7" t="str">
        <f>IF(OR(C129="",L129=0),"",M129/L129)</f>
        <v/>
      </c>
      <c r="O129" s="3" t="str">
        <f>IF(C129="","",SUMPRODUCT(('[2]سجل الحضور والتنفيذ'!E:E=B129)*('[2]سجل الحضور والتنفيذ'!H:H="حاضر")*('[2]سجل الحضور والتنفيذ'!G:G)))</f>
        <v/>
      </c>
      <c r="P129" s="3" t="str">
        <f ca="1">IF(C129="","",IF(G129&lt;&gt;"موظف جديد " &amp; 'الإعدادات والمستهدفات'!B4,"—",IF(COUNTIFS('[2]سجل الحضور والتنفيذ'!E:E,B129,'[2]سجل الحضور والتنفيذ'!A:A,"PSY-OR-01",'[2]سجل الحضور والتنفيذ'!H:H,"حاضر")&gt;0,"مستوفى",IF(AND(F129&lt;&gt;"",TODAY()&gt;F129+'الإعدادات والمستهدفات'!B9),"متأخر عن المهلة","خلال المهلة"))))</f>
        <v/>
      </c>
    </row>
    <row r="130" spans="1:16" x14ac:dyDescent="0.2">
      <c r="A130" s="3" t="str">
        <f>IF(C130="","",ROW()-3)</f>
        <v/>
      </c>
      <c r="B130" s="3"/>
      <c r="C130" s="3"/>
      <c r="D130" s="3"/>
      <c r="E130" s="3"/>
      <c r="F130" s="3"/>
      <c r="G130" s="3" t="str">
        <f>IF(C130="","",IF(F130="","موظف قائم",IF(YEAR(F130)&gt;='الإعدادات والمستهدفات'!B4,"موظف جديد " &amp; 'الإعدادات والمستهدفات'!B4,"موظف قائم")))</f>
        <v/>
      </c>
      <c r="H130" s="7"/>
      <c r="I130" s="3" t="str">
        <f>IF(C130="","",IF(OR(H130="",H130=0),"لم يُقيَّم","مُقيَّم"))</f>
        <v/>
      </c>
      <c r="J130" s="3" t="str">
        <f>IF(C130="","",IF(I130="لم يُقيَّم","يحتاج تقييم عاجل",IF(H130&lt;'الإعدادات والمستهدفات'!B5,"احتياج مرتفع جداً",IF(H130&lt;'الإعدادات والمستهدفات'!B6,"احتياج متوسط","احتياج منخفض"))))</f>
        <v/>
      </c>
      <c r="K130" s="3" t="str">
        <f>IF(C130="","",IF(OR(J130="يحتاج تقييم عاجل",J130="احتياج مرتفع جداً"),"أولوية قصوى (1)",IF(J130="احتياج متوسط","أولوية متوسطة (2)","أولوية عادية (3)")))</f>
        <v/>
      </c>
      <c r="L130" s="3" t="str">
        <f>IF(C130="","",COUNTIF('[1]الخطة التدريبية المعتمدة'!E:E,E130)+COUNTIF('[1]الخطة التدريبية المعتمدة'!E:E,"جميع العاملين بالمنشأة"))</f>
        <v/>
      </c>
      <c r="M130" s="3" t="str">
        <f>IF(C130="","",COUNTIFS('[2]سجل الحضور والتنفيذ'!E:E,B130,'[2]سجل الحضور والتنفيذ'!H:H,"حاضر"))</f>
        <v/>
      </c>
      <c r="N130" s="7" t="str">
        <f>IF(OR(C130="",L130=0),"",M130/L130)</f>
        <v/>
      </c>
      <c r="O130" s="3" t="str">
        <f>IF(C130="","",SUMPRODUCT(('[2]سجل الحضور والتنفيذ'!E:E=B130)*('[2]سجل الحضور والتنفيذ'!H:H="حاضر")*('[2]سجل الحضور والتنفيذ'!G:G)))</f>
        <v/>
      </c>
      <c r="P130" s="3" t="str">
        <f ca="1">IF(C130="","",IF(G130&lt;&gt;"موظف جديد " &amp; 'الإعدادات والمستهدفات'!B4,"—",IF(COUNTIFS('[2]سجل الحضور والتنفيذ'!E:E,B130,'[2]سجل الحضور والتنفيذ'!A:A,"PSY-OR-01",'[2]سجل الحضور والتنفيذ'!H:H,"حاضر")&gt;0,"مستوفى",IF(AND(F130&lt;&gt;"",TODAY()&gt;F130+'الإعدادات والمستهدفات'!B9),"متأخر عن المهلة","خلال المهلة"))))</f>
        <v/>
      </c>
    </row>
    <row r="131" spans="1:16" x14ac:dyDescent="0.2">
      <c r="A131" s="3" t="str">
        <f>IF(C131="","",ROW()-3)</f>
        <v/>
      </c>
      <c r="B131" s="3"/>
      <c r="C131" s="3"/>
      <c r="D131" s="3"/>
      <c r="E131" s="3"/>
      <c r="F131" s="3"/>
      <c r="G131" s="3" t="str">
        <f>IF(C131="","",IF(F131="","موظف قائم",IF(YEAR(F131)&gt;='الإعدادات والمستهدفات'!B4,"موظف جديد " &amp; 'الإعدادات والمستهدفات'!B4,"موظف قائم")))</f>
        <v/>
      </c>
      <c r="H131" s="7"/>
      <c r="I131" s="3" t="str">
        <f>IF(C131="","",IF(OR(H131="",H131=0),"لم يُقيَّم","مُقيَّم"))</f>
        <v/>
      </c>
      <c r="J131" s="3" t="str">
        <f>IF(C131="","",IF(I131="لم يُقيَّم","يحتاج تقييم عاجل",IF(H131&lt;'الإعدادات والمستهدفات'!B5,"احتياج مرتفع جداً",IF(H131&lt;'الإعدادات والمستهدفات'!B6,"احتياج متوسط","احتياج منخفض"))))</f>
        <v/>
      </c>
      <c r="K131" s="3" t="str">
        <f>IF(C131="","",IF(OR(J131="يحتاج تقييم عاجل",J131="احتياج مرتفع جداً"),"أولوية قصوى (1)",IF(J131="احتياج متوسط","أولوية متوسطة (2)","أولوية عادية (3)")))</f>
        <v/>
      </c>
      <c r="L131" s="3" t="str">
        <f>IF(C131="","",COUNTIF('[1]الخطة التدريبية المعتمدة'!E:E,E131)+COUNTIF('[1]الخطة التدريبية المعتمدة'!E:E,"جميع العاملين بالمنشأة"))</f>
        <v/>
      </c>
      <c r="M131" s="3" t="str">
        <f>IF(C131="","",COUNTIFS('[2]سجل الحضور والتنفيذ'!E:E,B131,'[2]سجل الحضور والتنفيذ'!H:H,"حاضر"))</f>
        <v/>
      </c>
      <c r="N131" s="7" t="str">
        <f>IF(OR(C131="",L131=0),"",M131/L131)</f>
        <v/>
      </c>
      <c r="O131" s="3" t="str">
        <f>IF(C131="","",SUMPRODUCT(('[2]سجل الحضور والتنفيذ'!E:E=B131)*('[2]سجل الحضور والتنفيذ'!H:H="حاضر")*('[2]سجل الحضور والتنفيذ'!G:G)))</f>
        <v/>
      </c>
      <c r="P131" s="3" t="str">
        <f ca="1">IF(C131="","",IF(G131&lt;&gt;"موظف جديد " &amp; 'الإعدادات والمستهدفات'!B4,"—",IF(COUNTIFS('[2]سجل الحضور والتنفيذ'!E:E,B131,'[2]سجل الحضور والتنفيذ'!A:A,"PSY-OR-01",'[2]سجل الحضور والتنفيذ'!H:H,"حاضر")&gt;0,"مستوفى",IF(AND(F131&lt;&gt;"",TODAY()&gt;F131+'الإعدادات والمستهدفات'!B9),"متأخر عن المهلة","خلال المهلة"))))</f>
        <v/>
      </c>
    </row>
    <row r="132" spans="1:16" x14ac:dyDescent="0.2">
      <c r="A132" s="3" t="str">
        <f>IF(C132="","",ROW()-3)</f>
        <v/>
      </c>
      <c r="B132" s="3"/>
      <c r="C132" s="3"/>
      <c r="D132" s="3"/>
      <c r="E132" s="3"/>
      <c r="F132" s="3"/>
      <c r="G132" s="3" t="str">
        <f>IF(C132="","",IF(F132="","موظف قائم",IF(YEAR(F132)&gt;='الإعدادات والمستهدفات'!B4,"موظف جديد " &amp; 'الإعدادات والمستهدفات'!B4,"موظف قائم")))</f>
        <v/>
      </c>
      <c r="H132" s="7"/>
      <c r="I132" s="3" t="str">
        <f>IF(C132="","",IF(OR(H132="",H132=0),"لم يُقيَّم","مُقيَّم"))</f>
        <v/>
      </c>
      <c r="J132" s="3" t="str">
        <f>IF(C132="","",IF(I132="لم يُقيَّم","يحتاج تقييم عاجل",IF(H132&lt;'الإعدادات والمستهدفات'!B5,"احتياج مرتفع جداً",IF(H132&lt;'الإعدادات والمستهدفات'!B6,"احتياج متوسط","احتياج منخفض"))))</f>
        <v/>
      </c>
      <c r="K132" s="3" t="str">
        <f>IF(C132="","",IF(OR(J132="يحتاج تقييم عاجل",J132="احتياج مرتفع جداً"),"أولوية قصوى (1)",IF(J132="احتياج متوسط","أولوية متوسطة (2)","أولوية عادية (3)")))</f>
        <v/>
      </c>
      <c r="L132" s="3" t="str">
        <f>IF(C132="","",COUNTIF('[1]الخطة التدريبية المعتمدة'!E:E,E132)+COUNTIF('[1]الخطة التدريبية المعتمدة'!E:E,"جميع العاملين بالمنشأة"))</f>
        <v/>
      </c>
      <c r="M132" s="3" t="str">
        <f>IF(C132="","",COUNTIFS('[2]سجل الحضور والتنفيذ'!E:E,B132,'[2]سجل الحضور والتنفيذ'!H:H,"حاضر"))</f>
        <v/>
      </c>
      <c r="N132" s="7" t="str">
        <f>IF(OR(C132="",L132=0),"",M132/L132)</f>
        <v/>
      </c>
      <c r="O132" s="3" t="str">
        <f>IF(C132="","",SUMPRODUCT(('[2]سجل الحضور والتنفيذ'!E:E=B132)*('[2]سجل الحضور والتنفيذ'!H:H="حاضر")*('[2]سجل الحضور والتنفيذ'!G:G)))</f>
        <v/>
      </c>
      <c r="P132" s="3" t="str">
        <f ca="1">IF(C132="","",IF(G132&lt;&gt;"موظف جديد " &amp; 'الإعدادات والمستهدفات'!B4,"—",IF(COUNTIFS('[2]سجل الحضور والتنفيذ'!E:E,B132,'[2]سجل الحضور والتنفيذ'!A:A,"PSY-OR-01",'[2]سجل الحضور والتنفيذ'!H:H,"حاضر")&gt;0,"مستوفى",IF(AND(F132&lt;&gt;"",TODAY()&gt;F132+'الإعدادات والمستهدفات'!B9),"متأخر عن المهلة","خلال المهلة"))))</f>
        <v/>
      </c>
    </row>
    <row r="133" spans="1:16" x14ac:dyDescent="0.2">
      <c r="A133" s="3" t="str">
        <f>IF(C133="","",ROW()-3)</f>
        <v/>
      </c>
      <c r="B133" s="3"/>
      <c r="C133" s="3"/>
      <c r="D133" s="3"/>
      <c r="E133" s="3"/>
      <c r="F133" s="3"/>
      <c r="G133" s="3" t="str">
        <f>IF(C133="","",IF(F133="","موظف قائم",IF(YEAR(F133)&gt;='الإعدادات والمستهدفات'!B4,"موظف جديد " &amp; 'الإعدادات والمستهدفات'!B4,"موظف قائم")))</f>
        <v/>
      </c>
      <c r="H133" s="7"/>
      <c r="I133" s="3" t="str">
        <f>IF(C133="","",IF(OR(H133="",H133=0),"لم يُقيَّم","مُقيَّم"))</f>
        <v/>
      </c>
      <c r="J133" s="3" t="str">
        <f>IF(C133="","",IF(I133="لم يُقيَّم","يحتاج تقييم عاجل",IF(H133&lt;'الإعدادات والمستهدفات'!B5,"احتياج مرتفع جداً",IF(H133&lt;'الإعدادات والمستهدفات'!B6,"احتياج متوسط","احتياج منخفض"))))</f>
        <v/>
      </c>
      <c r="K133" s="3" t="str">
        <f>IF(C133="","",IF(OR(J133="يحتاج تقييم عاجل",J133="احتياج مرتفع جداً"),"أولوية قصوى (1)",IF(J133="احتياج متوسط","أولوية متوسطة (2)","أولوية عادية (3)")))</f>
        <v/>
      </c>
      <c r="L133" s="3" t="str">
        <f>IF(C133="","",COUNTIF('[1]الخطة التدريبية المعتمدة'!E:E,E133)+COUNTIF('[1]الخطة التدريبية المعتمدة'!E:E,"جميع العاملين بالمنشأة"))</f>
        <v/>
      </c>
      <c r="M133" s="3" t="str">
        <f>IF(C133="","",COUNTIFS('[2]سجل الحضور والتنفيذ'!E:E,B133,'[2]سجل الحضور والتنفيذ'!H:H,"حاضر"))</f>
        <v/>
      </c>
      <c r="N133" s="7" t="str">
        <f>IF(OR(C133="",L133=0),"",M133/L133)</f>
        <v/>
      </c>
      <c r="O133" s="3" t="str">
        <f>IF(C133="","",SUMPRODUCT(('[2]سجل الحضور والتنفيذ'!E:E=B133)*('[2]سجل الحضور والتنفيذ'!H:H="حاضر")*('[2]سجل الحضور والتنفيذ'!G:G)))</f>
        <v/>
      </c>
      <c r="P133" s="3" t="str">
        <f ca="1">IF(C133="","",IF(G133&lt;&gt;"موظف جديد " &amp; 'الإعدادات والمستهدفات'!B4,"—",IF(COUNTIFS('[2]سجل الحضور والتنفيذ'!E:E,B133,'[2]سجل الحضور والتنفيذ'!A:A,"PSY-OR-01",'[2]سجل الحضور والتنفيذ'!H:H,"حاضر")&gt;0,"مستوفى",IF(AND(F133&lt;&gt;"",TODAY()&gt;F133+'الإعدادات والمستهدفات'!B9),"متأخر عن المهلة","خلال المهلة"))))</f>
        <v/>
      </c>
    </row>
    <row r="134" spans="1:16" x14ac:dyDescent="0.2">
      <c r="A134" s="3" t="str">
        <f>IF(C134="","",ROW()-3)</f>
        <v/>
      </c>
      <c r="B134" s="3"/>
      <c r="C134" s="3"/>
      <c r="D134" s="3"/>
      <c r="E134" s="3"/>
      <c r="F134" s="3"/>
      <c r="G134" s="3" t="str">
        <f>IF(C134="","",IF(F134="","موظف قائم",IF(YEAR(F134)&gt;='الإعدادات والمستهدفات'!B4,"موظف جديد " &amp; 'الإعدادات والمستهدفات'!B4,"موظف قائم")))</f>
        <v/>
      </c>
      <c r="H134" s="7"/>
      <c r="I134" s="3" t="str">
        <f>IF(C134="","",IF(OR(H134="",H134=0),"لم يُقيَّم","مُقيَّم"))</f>
        <v/>
      </c>
      <c r="J134" s="3" t="str">
        <f>IF(C134="","",IF(I134="لم يُقيَّم","يحتاج تقييم عاجل",IF(H134&lt;'الإعدادات والمستهدفات'!B5,"احتياج مرتفع جداً",IF(H134&lt;'الإعدادات والمستهدفات'!B6,"احتياج متوسط","احتياج منخفض"))))</f>
        <v/>
      </c>
      <c r="K134" s="3" t="str">
        <f>IF(C134="","",IF(OR(J134="يحتاج تقييم عاجل",J134="احتياج مرتفع جداً"),"أولوية قصوى (1)",IF(J134="احتياج متوسط","أولوية متوسطة (2)","أولوية عادية (3)")))</f>
        <v/>
      </c>
      <c r="L134" s="3" t="str">
        <f>IF(C134="","",COUNTIF('[1]الخطة التدريبية المعتمدة'!E:E,E134)+COUNTIF('[1]الخطة التدريبية المعتمدة'!E:E,"جميع العاملين بالمنشأة"))</f>
        <v/>
      </c>
      <c r="M134" s="3" t="str">
        <f>IF(C134="","",COUNTIFS('[2]سجل الحضور والتنفيذ'!E:E,B134,'[2]سجل الحضور والتنفيذ'!H:H,"حاضر"))</f>
        <v/>
      </c>
      <c r="N134" s="7" t="str">
        <f>IF(OR(C134="",L134=0),"",M134/L134)</f>
        <v/>
      </c>
      <c r="O134" s="3" t="str">
        <f>IF(C134="","",SUMPRODUCT(('[2]سجل الحضور والتنفيذ'!E:E=B134)*('[2]سجل الحضور والتنفيذ'!H:H="حاضر")*('[2]سجل الحضور والتنفيذ'!G:G)))</f>
        <v/>
      </c>
      <c r="P134" s="3" t="str">
        <f ca="1">IF(C134="","",IF(G134&lt;&gt;"موظف جديد " &amp; 'الإعدادات والمستهدفات'!B4,"—",IF(COUNTIFS('[2]سجل الحضور والتنفيذ'!E:E,B134,'[2]سجل الحضور والتنفيذ'!A:A,"PSY-OR-01",'[2]سجل الحضور والتنفيذ'!H:H,"حاضر")&gt;0,"مستوفى",IF(AND(F134&lt;&gt;"",TODAY()&gt;F134+'الإعدادات والمستهدفات'!B9),"متأخر عن المهلة","خلال المهلة"))))</f>
        <v/>
      </c>
    </row>
    <row r="135" spans="1:16" x14ac:dyDescent="0.2">
      <c r="A135" s="3" t="str">
        <f>IF(C135="","",ROW()-3)</f>
        <v/>
      </c>
      <c r="B135" s="3"/>
      <c r="C135" s="3"/>
      <c r="D135" s="3"/>
      <c r="E135" s="3"/>
      <c r="F135" s="3"/>
      <c r="G135" s="3" t="str">
        <f>IF(C135="","",IF(F135="","موظف قائم",IF(YEAR(F135)&gt;='الإعدادات والمستهدفات'!B4,"موظف جديد " &amp; 'الإعدادات والمستهدفات'!B4,"موظف قائم")))</f>
        <v/>
      </c>
      <c r="H135" s="7"/>
      <c r="I135" s="3" t="str">
        <f>IF(C135="","",IF(OR(H135="",H135=0),"لم يُقيَّم","مُقيَّم"))</f>
        <v/>
      </c>
      <c r="J135" s="3" t="str">
        <f>IF(C135="","",IF(I135="لم يُقيَّم","يحتاج تقييم عاجل",IF(H135&lt;'الإعدادات والمستهدفات'!B5,"احتياج مرتفع جداً",IF(H135&lt;'الإعدادات والمستهدفات'!B6,"احتياج متوسط","احتياج منخفض"))))</f>
        <v/>
      </c>
      <c r="K135" s="3" t="str">
        <f>IF(C135="","",IF(OR(J135="يحتاج تقييم عاجل",J135="احتياج مرتفع جداً"),"أولوية قصوى (1)",IF(J135="احتياج متوسط","أولوية متوسطة (2)","أولوية عادية (3)")))</f>
        <v/>
      </c>
      <c r="L135" s="3" t="str">
        <f>IF(C135="","",COUNTIF('[1]الخطة التدريبية المعتمدة'!E:E,E135)+COUNTIF('[1]الخطة التدريبية المعتمدة'!E:E,"جميع العاملين بالمنشأة"))</f>
        <v/>
      </c>
      <c r="M135" s="3" t="str">
        <f>IF(C135="","",COUNTIFS('[2]سجل الحضور والتنفيذ'!E:E,B135,'[2]سجل الحضور والتنفيذ'!H:H,"حاضر"))</f>
        <v/>
      </c>
      <c r="N135" s="7" t="str">
        <f>IF(OR(C135="",L135=0),"",M135/L135)</f>
        <v/>
      </c>
      <c r="O135" s="3" t="str">
        <f>IF(C135="","",SUMPRODUCT(('[2]سجل الحضور والتنفيذ'!E:E=B135)*('[2]سجل الحضور والتنفيذ'!H:H="حاضر")*('[2]سجل الحضور والتنفيذ'!G:G)))</f>
        <v/>
      </c>
      <c r="P135" s="3" t="str">
        <f ca="1">IF(C135="","",IF(G135&lt;&gt;"موظف جديد " &amp; 'الإعدادات والمستهدفات'!B4,"—",IF(COUNTIFS('[2]سجل الحضور والتنفيذ'!E:E,B135,'[2]سجل الحضور والتنفيذ'!A:A,"PSY-OR-01",'[2]سجل الحضور والتنفيذ'!H:H,"حاضر")&gt;0,"مستوفى",IF(AND(F135&lt;&gt;"",TODAY()&gt;F135+'الإعدادات والمستهدفات'!B9),"متأخر عن المهلة","خلال المهلة"))))</f>
        <v/>
      </c>
    </row>
    <row r="136" spans="1:16" x14ac:dyDescent="0.2">
      <c r="A136" s="3" t="str">
        <f>IF(C136="","",ROW()-3)</f>
        <v/>
      </c>
      <c r="B136" s="3"/>
      <c r="C136" s="3"/>
      <c r="D136" s="3"/>
      <c r="E136" s="3"/>
      <c r="F136" s="3"/>
      <c r="G136" s="3" t="str">
        <f>IF(C136="","",IF(F136="","موظف قائم",IF(YEAR(F136)&gt;='الإعدادات والمستهدفات'!B4,"موظف جديد " &amp; 'الإعدادات والمستهدفات'!B4,"موظف قائم")))</f>
        <v/>
      </c>
      <c r="H136" s="7"/>
      <c r="I136" s="3" t="str">
        <f>IF(C136="","",IF(OR(H136="",H136=0),"لم يُقيَّم","مُقيَّم"))</f>
        <v/>
      </c>
      <c r="J136" s="3" t="str">
        <f>IF(C136="","",IF(I136="لم يُقيَّم","يحتاج تقييم عاجل",IF(H136&lt;'الإعدادات والمستهدفات'!B5,"احتياج مرتفع جداً",IF(H136&lt;'الإعدادات والمستهدفات'!B6,"احتياج متوسط","احتياج منخفض"))))</f>
        <v/>
      </c>
      <c r="K136" s="3" t="str">
        <f>IF(C136="","",IF(OR(J136="يحتاج تقييم عاجل",J136="احتياج مرتفع جداً"),"أولوية قصوى (1)",IF(J136="احتياج متوسط","أولوية متوسطة (2)","أولوية عادية (3)")))</f>
        <v/>
      </c>
      <c r="L136" s="3" t="str">
        <f>IF(C136="","",COUNTIF('[1]الخطة التدريبية المعتمدة'!E:E,E136)+COUNTIF('[1]الخطة التدريبية المعتمدة'!E:E,"جميع العاملين بالمنشأة"))</f>
        <v/>
      </c>
      <c r="M136" s="3" t="str">
        <f>IF(C136="","",COUNTIFS('[2]سجل الحضور والتنفيذ'!E:E,B136,'[2]سجل الحضور والتنفيذ'!H:H,"حاضر"))</f>
        <v/>
      </c>
      <c r="N136" s="7" t="str">
        <f>IF(OR(C136="",L136=0),"",M136/L136)</f>
        <v/>
      </c>
      <c r="O136" s="3" t="str">
        <f>IF(C136="","",SUMPRODUCT(('[2]سجل الحضور والتنفيذ'!E:E=B136)*('[2]سجل الحضور والتنفيذ'!H:H="حاضر")*('[2]سجل الحضور والتنفيذ'!G:G)))</f>
        <v/>
      </c>
      <c r="P136" s="3" t="str">
        <f ca="1">IF(C136="","",IF(G136&lt;&gt;"موظف جديد " &amp; 'الإعدادات والمستهدفات'!B4,"—",IF(COUNTIFS('[2]سجل الحضور والتنفيذ'!E:E,B136,'[2]سجل الحضور والتنفيذ'!A:A,"PSY-OR-01",'[2]سجل الحضور والتنفيذ'!H:H,"حاضر")&gt;0,"مستوفى",IF(AND(F136&lt;&gt;"",TODAY()&gt;F136+'الإعدادات والمستهدفات'!B9),"متأخر عن المهلة","خلال المهلة"))))</f>
        <v/>
      </c>
    </row>
    <row r="137" spans="1:16" x14ac:dyDescent="0.2">
      <c r="A137" s="3" t="str">
        <f>IF(C137="","",ROW()-3)</f>
        <v/>
      </c>
      <c r="B137" s="3"/>
      <c r="C137" s="3"/>
      <c r="D137" s="3"/>
      <c r="E137" s="3"/>
      <c r="F137" s="3"/>
      <c r="G137" s="3" t="str">
        <f>IF(C137="","",IF(F137="","موظف قائم",IF(YEAR(F137)&gt;='الإعدادات والمستهدفات'!B4,"موظف جديد " &amp; 'الإعدادات والمستهدفات'!B4,"موظف قائم")))</f>
        <v/>
      </c>
      <c r="H137" s="7"/>
      <c r="I137" s="3" t="str">
        <f>IF(C137="","",IF(OR(H137="",H137=0),"لم يُقيَّم","مُقيَّم"))</f>
        <v/>
      </c>
      <c r="J137" s="3" t="str">
        <f>IF(C137="","",IF(I137="لم يُقيَّم","يحتاج تقييم عاجل",IF(H137&lt;'الإعدادات والمستهدفات'!B5,"احتياج مرتفع جداً",IF(H137&lt;'الإعدادات والمستهدفات'!B6,"احتياج متوسط","احتياج منخفض"))))</f>
        <v/>
      </c>
      <c r="K137" s="3" t="str">
        <f>IF(C137="","",IF(OR(J137="يحتاج تقييم عاجل",J137="احتياج مرتفع جداً"),"أولوية قصوى (1)",IF(J137="احتياج متوسط","أولوية متوسطة (2)","أولوية عادية (3)")))</f>
        <v/>
      </c>
      <c r="L137" s="3" t="str">
        <f>IF(C137="","",COUNTIF('[1]الخطة التدريبية المعتمدة'!E:E,E137)+COUNTIF('[1]الخطة التدريبية المعتمدة'!E:E,"جميع العاملين بالمنشأة"))</f>
        <v/>
      </c>
      <c r="M137" s="3" t="str">
        <f>IF(C137="","",COUNTIFS('[2]سجل الحضور والتنفيذ'!E:E,B137,'[2]سجل الحضور والتنفيذ'!H:H,"حاضر"))</f>
        <v/>
      </c>
      <c r="N137" s="7" t="str">
        <f>IF(OR(C137="",L137=0),"",M137/L137)</f>
        <v/>
      </c>
      <c r="O137" s="3" t="str">
        <f>IF(C137="","",SUMPRODUCT(('[2]سجل الحضور والتنفيذ'!E:E=B137)*('[2]سجل الحضور والتنفيذ'!H:H="حاضر")*('[2]سجل الحضور والتنفيذ'!G:G)))</f>
        <v/>
      </c>
      <c r="P137" s="3" t="str">
        <f ca="1">IF(C137="","",IF(G137&lt;&gt;"موظف جديد " &amp; 'الإعدادات والمستهدفات'!B4,"—",IF(COUNTIFS('[2]سجل الحضور والتنفيذ'!E:E,B137,'[2]سجل الحضور والتنفيذ'!A:A,"PSY-OR-01",'[2]سجل الحضور والتنفيذ'!H:H,"حاضر")&gt;0,"مستوفى",IF(AND(F137&lt;&gt;"",TODAY()&gt;F137+'الإعدادات والمستهدفات'!B9),"متأخر عن المهلة","خلال المهلة"))))</f>
        <v/>
      </c>
    </row>
    <row r="138" spans="1:16" x14ac:dyDescent="0.2">
      <c r="A138" s="3" t="str">
        <f>IF(C138="","",ROW()-3)</f>
        <v/>
      </c>
      <c r="B138" s="3"/>
      <c r="C138" s="3"/>
      <c r="D138" s="3"/>
      <c r="E138" s="3"/>
      <c r="F138" s="3"/>
      <c r="G138" s="3" t="str">
        <f>IF(C138="","",IF(F138="","موظف قائم",IF(YEAR(F138)&gt;='الإعدادات والمستهدفات'!B4,"موظف جديد " &amp; 'الإعدادات والمستهدفات'!B4,"موظف قائم")))</f>
        <v/>
      </c>
      <c r="H138" s="7"/>
      <c r="I138" s="3" t="str">
        <f>IF(C138="","",IF(OR(H138="",H138=0),"لم يُقيَّم","مُقيَّم"))</f>
        <v/>
      </c>
      <c r="J138" s="3" t="str">
        <f>IF(C138="","",IF(I138="لم يُقيَّم","يحتاج تقييم عاجل",IF(H138&lt;'الإعدادات والمستهدفات'!B5,"احتياج مرتفع جداً",IF(H138&lt;'الإعدادات والمستهدفات'!B6,"احتياج متوسط","احتياج منخفض"))))</f>
        <v/>
      </c>
      <c r="K138" s="3" t="str">
        <f>IF(C138="","",IF(OR(J138="يحتاج تقييم عاجل",J138="احتياج مرتفع جداً"),"أولوية قصوى (1)",IF(J138="احتياج متوسط","أولوية متوسطة (2)","أولوية عادية (3)")))</f>
        <v/>
      </c>
      <c r="L138" s="3" t="str">
        <f>IF(C138="","",COUNTIF('[1]الخطة التدريبية المعتمدة'!E:E,E138)+COUNTIF('[1]الخطة التدريبية المعتمدة'!E:E,"جميع العاملين بالمنشأة"))</f>
        <v/>
      </c>
      <c r="M138" s="3" t="str">
        <f>IF(C138="","",COUNTIFS('[2]سجل الحضور والتنفيذ'!E:E,B138,'[2]سجل الحضور والتنفيذ'!H:H,"حاضر"))</f>
        <v/>
      </c>
      <c r="N138" s="7" t="str">
        <f>IF(OR(C138="",L138=0),"",M138/L138)</f>
        <v/>
      </c>
      <c r="O138" s="3" t="str">
        <f>IF(C138="","",SUMPRODUCT(('[2]سجل الحضور والتنفيذ'!E:E=B138)*('[2]سجل الحضور والتنفيذ'!H:H="حاضر")*('[2]سجل الحضور والتنفيذ'!G:G)))</f>
        <v/>
      </c>
      <c r="P138" s="3" t="str">
        <f ca="1">IF(C138="","",IF(G138&lt;&gt;"موظف جديد " &amp; 'الإعدادات والمستهدفات'!B4,"—",IF(COUNTIFS('[2]سجل الحضور والتنفيذ'!E:E,B138,'[2]سجل الحضور والتنفيذ'!A:A,"PSY-OR-01",'[2]سجل الحضور والتنفيذ'!H:H,"حاضر")&gt;0,"مستوفى",IF(AND(F138&lt;&gt;"",TODAY()&gt;F138+'الإعدادات والمستهدفات'!B9),"متأخر عن المهلة","خلال المهلة"))))</f>
        <v/>
      </c>
    </row>
    <row r="139" spans="1:16" x14ac:dyDescent="0.2">
      <c r="A139" s="3" t="str">
        <f>IF(C139="","",ROW()-3)</f>
        <v/>
      </c>
      <c r="B139" s="3"/>
      <c r="C139" s="3"/>
      <c r="D139" s="3"/>
      <c r="E139" s="3"/>
      <c r="F139" s="3"/>
      <c r="G139" s="3" t="str">
        <f>IF(C139="","",IF(F139="","موظف قائم",IF(YEAR(F139)&gt;='الإعدادات والمستهدفات'!B4,"موظف جديد " &amp; 'الإعدادات والمستهدفات'!B4,"موظف قائم")))</f>
        <v/>
      </c>
      <c r="H139" s="7"/>
      <c r="I139" s="3" t="str">
        <f>IF(C139="","",IF(OR(H139="",H139=0),"لم يُقيَّم","مُقيَّم"))</f>
        <v/>
      </c>
      <c r="J139" s="3" t="str">
        <f>IF(C139="","",IF(I139="لم يُقيَّم","يحتاج تقييم عاجل",IF(H139&lt;'الإعدادات والمستهدفات'!B5,"احتياج مرتفع جداً",IF(H139&lt;'الإعدادات والمستهدفات'!B6,"احتياج متوسط","احتياج منخفض"))))</f>
        <v/>
      </c>
      <c r="K139" s="3" t="str">
        <f>IF(C139="","",IF(OR(J139="يحتاج تقييم عاجل",J139="احتياج مرتفع جداً"),"أولوية قصوى (1)",IF(J139="احتياج متوسط","أولوية متوسطة (2)","أولوية عادية (3)")))</f>
        <v/>
      </c>
      <c r="L139" s="3" t="str">
        <f>IF(C139="","",COUNTIF('[1]الخطة التدريبية المعتمدة'!E:E,E139)+COUNTIF('[1]الخطة التدريبية المعتمدة'!E:E,"جميع العاملين بالمنشأة"))</f>
        <v/>
      </c>
      <c r="M139" s="3" t="str">
        <f>IF(C139="","",COUNTIFS('[2]سجل الحضور والتنفيذ'!E:E,B139,'[2]سجل الحضور والتنفيذ'!H:H,"حاضر"))</f>
        <v/>
      </c>
      <c r="N139" s="7" t="str">
        <f>IF(OR(C139="",L139=0),"",M139/L139)</f>
        <v/>
      </c>
      <c r="O139" s="3" t="str">
        <f>IF(C139="","",SUMPRODUCT(('[2]سجل الحضور والتنفيذ'!E:E=B139)*('[2]سجل الحضور والتنفيذ'!H:H="حاضر")*('[2]سجل الحضور والتنفيذ'!G:G)))</f>
        <v/>
      </c>
      <c r="P139" s="3" t="str">
        <f ca="1">IF(C139="","",IF(G139&lt;&gt;"موظف جديد " &amp; 'الإعدادات والمستهدفات'!B4,"—",IF(COUNTIFS('[2]سجل الحضور والتنفيذ'!E:E,B139,'[2]سجل الحضور والتنفيذ'!A:A,"PSY-OR-01",'[2]سجل الحضور والتنفيذ'!H:H,"حاضر")&gt;0,"مستوفى",IF(AND(F139&lt;&gt;"",TODAY()&gt;F139+'الإعدادات والمستهدفات'!B9),"متأخر عن المهلة","خلال المهلة"))))</f>
        <v/>
      </c>
    </row>
    <row r="140" spans="1:16" x14ac:dyDescent="0.2">
      <c r="A140" s="3" t="str">
        <f>IF(C140="","",ROW()-3)</f>
        <v/>
      </c>
      <c r="B140" s="3"/>
      <c r="C140" s="3"/>
      <c r="D140" s="3"/>
      <c r="E140" s="3"/>
      <c r="F140" s="3"/>
      <c r="G140" s="3" t="str">
        <f>IF(C140="","",IF(F140="","موظف قائم",IF(YEAR(F140)&gt;='الإعدادات والمستهدفات'!B4,"موظف جديد " &amp; 'الإعدادات والمستهدفات'!B4,"موظف قائم")))</f>
        <v/>
      </c>
      <c r="H140" s="7"/>
      <c r="I140" s="3" t="str">
        <f>IF(C140="","",IF(OR(H140="",H140=0),"لم يُقيَّم","مُقيَّم"))</f>
        <v/>
      </c>
      <c r="J140" s="3" t="str">
        <f>IF(C140="","",IF(I140="لم يُقيَّم","يحتاج تقييم عاجل",IF(H140&lt;'الإعدادات والمستهدفات'!B5,"احتياج مرتفع جداً",IF(H140&lt;'الإعدادات والمستهدفات'!B6,"احتياج متوسط","احتياج منخفض"))))</f>
        <v/>
      </c>
      <c r="K140" s="3" t="str">
        <f>IF(C140="","",IF(OR(J140="يحتاج تقييم عاجل",J140="احتياج مرتفع جداً"),"أولوية قصوى (1)",IF(J140="احتياج متوسط","أولوية متوسطة (2)","أولوية عادية (3)")))</f>
        <v/>
      </c>
      <c r="L140" s="3" t="str">
        <f>IF(C140="","",COUNTIF('[1]الخطة التدريبية المعتمدة'!E:E,E140)+COUNTIF('[1]الخطة التدريبية المعتمدة'!E:E,"جميع العاملين بالمنشأة"))</f>
        <v/>
      </c>
      <c r="M140" s="3" t="str">
        <f>IF(C140="","",COUNTIFS('[2]سجل الحضور والتنفيذ'!E:E,B140,'[2]سجل الحضور والتنفيذ'!H:H,"حاضر"))</f>
        <v/>
      </c>
      <c r="N140" s="7" t="str">
        <f>IF(OR(C140="",L140=0),"",M140/L140)</f>
        <v/>
      </c>
      <c r="O140" s="3" t="str">
        <f>IF(C140="","",SUMPRODUCT(('[2]سجل الحضور والتنفيذ'!E:E=B140)*('[2]سجل الحضور والتنفيذ'!H:H="حاضر")*('[2]سجل الحضور والتنفيذ'!G:G)))</f>
        <v/>
      </c>
      <c r="P140" s="3" t="str">
        <f ca="1">IF(C140="","",IF(G140&lt;&gt;"موظف جديد " &amp; 'الإعدادات والمستهدفات'!B4,"—",IF(COUNTIFS('[2]سجل الحضور والتنفيذ'!E:E,B140,'[2]سجل الحضور والتنفيذ'!A:A,"PSY-OR-01",'[2]سجل الحضور والتنفيذ'!H:H,"حاضر")&gt;0,"مستوفى",IF(AND(F140&lt;&gt;"",TODAY()&gt;F140+'الإعدادات والمستهدفات'!B9),"متأخر عن المهلة","خلال المهلة"))))</f>
        <v/>
      </c>
    </row>
    <row r="141" spans="1:16" x14ac:dyDescent="0.2">
      <c r="A141" s="3" t="str">
        <f>IF(C141="","",ROW()-3)</f>
        <v/>
      </c>
      <c r="B141" s="3"/>
      <c r="C141" s="3"/>
      <c r="D141" s="3"/>
      <c r="E141" s="3"/>
      <c r="F141" s="3"/>
      <c r="G141" s="3" t="str">
        <f>IF(C141="","",IF(F141="","موظف قائم",IF(YEAR(F141)&gt;='الإعدادات والمستهدفات'!B4,"موظف جديد " &amp; 'الإعدادات والمستهدفات'!B4,"موظف قائم")))</f>
        <v/>
      </c>
      <c r="H141" s="7"/>
      <c r="I141" s="3" t="str">
        <f>IF(C141="","",IF(OR(H141="",H141=0),"لم يُقيَّم","مُقيَّم"))</f>
        <v/>
      </c>
      <c r="J141" s="3" t="str">
        <f>IF(C141="","",IF(I141="لم يُقيَّم","يحتاج تقييم عاجل",IF(H141&lt;'الإعدادات والمستهدفات'!B5,"احتياج مرتفع جداً",IF(H141&lt;'الإعدادات والمستهدفات'!B6,"احتياج متوسط","احتياج منخفض"))))</f>
        <v/>
      </c>
      <c r="K141" s="3" t="str">
        <f>IF(C141="","",IF(OR(J141="يحتاج تقييم عاجل",J141="احتياج مرتفع جداً"),"أولوية قصوى (1)",IF(J141="احتياج متوسط","أولوية متوسطة (2)","أولوية عادية (3)")))</f>
        <v/>
      </c>
      <c r="L141" s="3" t="str">
        <f>IF(C141="","",COUNTIF('[1]الخطة التدريبية المعتمدة'!E:E,E141)+COUNTIF('[1]الخطة التدريبية المعتمدة'!E:E,"جميع العاملين بالمنشأة"))</f>
        <v/>
      </c>
      <c r="M141" s="3" t="str">
        <f>IF(C141="","",COUNTIFS('[2]سجل الحضور والتنفيذ'!E:E,B141,'[2]سجل الحضور والتنفيذ'!H:H,"حاضر"))</f>
        <v/>
      </c>
      <c r="N141" s="7" t="str">
        <f>IF(OR(C141="",L141=0),"",M141/L141)</f>
        <v/>
      </c>
      <c r="O141" s="3" t="str">
        <f>IF(C141="","",SUMPRODUCT(('[2]سجل الحضور والتنفيذ'!E:E=B141)*('[2]سجل الحضور والتنفيذ'!H:H="حاضر")*('[2]سجل الحضور والتنفيذ'!G:G)))</f>
        <v/>
      </c>
      <c r="P141" s="3" t="str">
        <f ca="1">IF(C141="","",IF(G141&lt;&gt;"موظف جديد " &amp; 'الإعدادات والمستهدفات'!B4,"—",IF(COUNTIFS('[2]سجل الحضور والتنفيذ'!E:E,B141,'[2]سجل الحضور والتنفيذ'!A:A,"PSY-OR-01",'[2]سجل الحضور والتنفيذ'!H:H,"حاضر")&gt;0,"مستوفى",IF(AND(F141&lt;&gt;"",TODAY()&gt;F141+'الإعدادات والمستهدفات'!B9),"متأخر عن المهلة","خلال المهلة"))))</f>
        <v/>
      </c>
    </row>
    <row r="142" spans="1:16" x14ac:dyDescent="0.2">
      <c r="A142" s="3" t="str">
        <f>IF(C142="","",ROW()-3)</f>
        <v/>
      </c>
      <c r="B142" s="3"/>
      <c r="C142" s="3"/>
      <c r="D142" s="3"/>
      <c r="E142" s="3"/>
      <c r="F142" s="3"/>
      <c r="G142" s="3" t="str">
        <f>IF(C142="","",IF(F142="","موظف قائم",IF(YEAR(F142)&gt;='الإعدادات والمستهدفات'!B4,"موظف جديد " &amp; 'الإعدادات والمستهدفات'!B4,"موظف قائم")))</f>
        <v/>
      </c>
      <c r="H142" s="7"/>
      <c r="I142" s="3" t="str">
        <f>IF(C142="","",IF(OR(H142="",H142=0),"لم يُقيَّم","مُقيَّم"))</f>
        <v/>
      </c>
      <c r="J142" s="3" t="str">
        <f>IF(C142="","",IF(I142="لم يُقيَّم","يحتاج تقييم عاجل",IF(H142&lt;'الإعدادات والمستهدفات'!B5,"احتياج مرتفع جداً",IF(H142&lt;'الإعدادات والمستهدفات'!B6,"احتياج متوسط","احتياج منخفض"))))</f>
        <v/>
      </c>
      <c r="K142" s="3" t="str">
        <f>IF(C142="","",IF(OR(J142="يحتاج تقييم عاجل",J142="احتياج مرتفع جداً"),"أولوية قصوى (1)",IF(J142="احتياج متوسط","أولوية متوسطة (2)","أولوية عادية (3)")))</f>
        <v/>
      </c>
      <c r="L142" s="3" t="str">
        <f>IF(C142="","",COUNTIF('[1]الخطة التدريبية المعتمدة'!E:E,E142)+COUNTIF('[1]الخطة التدريبية المعتمدة'!E:E,"جميع العاملين بالمنشأة"))</f>
        <v/>
      </c>
      <c r="M142" s="3" t="str">
        <f>IF(C142="","",COUNTIFS('[2]سجل الحضور والتنفيذ'!E:E,B142,'[2]سجل الحضور والتنفيذ'!H:H,"حاضر"))</f>
        <v/>
      </c>
      <c r="N142" s="7" t="str">
        <f>IF(OR(C142="",L142=0),"",M142/L142)</f>
        <v/>
      </c>
      <c r="O142" s="3" t="str">
        <f>IF(C142="","",SUMPRODUCT(('[2]سجل الحضور والتنفيذ'!E:E=B142)*('[2]سجل الحضور والتنفيذ'!H:H="حاضر")*('[2]سجل الحضور والتنفيذ'!G:G)))</f>
        <v/>
      </c>
      <c r="P142" s="3" t="str">
        <f ca="1">IF(C142="","",IF(G142&lt;&gt;"موظف جديد " &amp; 'الإعدادات والمستهدفات'!B4,"—",IF(COUNTIFS('[2]سجل الحضور والتنفيذ'!E:E,B142,'[2]سجل الحضور والتنفيذ'!A:A,"PSY-OR-01",'[2]سجل الحضور والتنفيذ'!H:H,"حاضر")&gt;0,"مستوفى",IF(AND(F142&lt;&gt;"",TODAY()&gt;F142+'الإعدادات والمستهدفات'!B9),"متأخر عن المهلة","خلال المهلة"))))</f>
        <v/>
      </c>
    </row>
    <row r="143" spans="1:16" x14ac:dyDescent="0.2">
      <c r="A143" s="3" t="str">
        <f>IF(C143="","",ROW()-3)</f>
        <v/>
      </c>
      <c r="B143" s="3"/>
      <c r="C143" s="3"/>
      <c r="D143" s="3"/>
      <c r="E143" s="3"/>
      <c r="F143" s="3"/>
      <c r="G143" s="3" t="str">
        <f>IF(C143="","",IF(F143="","موظف قائم",IF(YEAR(F143)&gt;='الإعدادات والمستهدفات'!B4,"موظف جديد " &amp; 'الإعدادات والمستهدفات'!B4,"موظف قائم")))</f>
        <v/>
      </c>
      <c r="H143" s="7"/>
      <c r="I143" s="3" t="str">
        <f>IF(C143="","",IF(OR(H143="",H143=0),"لم يُقيَّم","مُقيَّم"))</f>
        <v/>
      </c>
      <c r="J143" s="3" t="str">
        <f>IF(C143="","",IF(I143="لم يُقيَّم","يحتاج تقييم عاجل",IF(H143&lt;'الإعدادات والمستهدفات'!B5,"احتياج مرتفع جداً",IF(H143&lt;'الإعدادات والمستهدفات'!B6,"احتياج متوسط","احتياج منخفض"))))</f>
        <v/>
      </c>
      <c r="K143" s="3" t="str">
        <f>IF(C143="","",IF(OR(J143="يحتاج تقييم عاجل",J143="احتياج مرتفع جداً"),"أولوية قصوى (1)",IF(J143="احتياج متوسط","أولوية متوسطة (2)","أولوية عادية (3)")))</f>
        <v/>
      </c>
      <c r="L143" s="3" t="str">
        <f>IF(C143="","",COUNTIF('[1]الخطة التدريبية المعتمدة'!E:E,E143)+COUNTIF('[1]الخطة التدريبية المعتمدة'!E:E,"جميع العاملين بالمنشأة"))</f>
        <v/>
      </c>
      <c r="M143" s="3" t="str">
        <f>IF(C143="","",COUNTIFS('[2]سجل الحضور والتنفيذ'!E:E,B143,'[2]سجل الحضور والتنفيذ'!H:H,"حاضر"))</f>
        <v/>
      </c>
      <c r="N143" s="7" t="str">
        <f>IF(OR(C143="",L143=0),"",M143/L143)</f>
        <v/>
      </c>
      <c r="O143" s="3" t="str">
        <f>IF(C143="","",SUMPRODUCT(('[2]سجل الحضور والتنفيذ'!E:E=B143)*('[2]سجل الحضور والتنفيذ'!H:H="حاضر")*('[2]سجل الحضور والتنفيذ'!G:G)))</f>
        <v/>
      </c>
      <c r="P143" s="3" t="str">
        <f ca="1">IF(C143="","",IF(G143&lt;&gt;"موظف جديد " &amp; 'الإعدادات والمستهدفات'!B4,"—",IF(COUNTIFS('[2]سجل الحضور والتنفيذ'!E:E,B143,'[2]سجل الحضور والتنفيذ'!A:A,"PSY-OR-01",'[2]سجل الحضور والتنفيذ'!H:H,"حاضر")&gt;0,"مستوفى",IF(AND(F143&lt;&gt;"",TODAY()&gt;F143+'الإعدادات والمستهدفات'!B9),"متأخر عن المهلة","خلال المهلة"))))</f>
        <v/>
      </c>
    </row>
    <row r="144" spans="1:16" x14ac:dyDescent="0.2">
      <c r="A144" s="3" t="str">
        <f>IF(C144="","",ROW()-3)</f>
        <v/>
      </c>
      <c r="B144" s="3"/>
      <c r="C144" s="3"/>
      <c r="D144" s="3"/>
      <c r="E144" s="3"/>
      <c r="F144" s="3"/>
      <c r="G144" s="3" t="str">
        <f>IF(C144="","",IF(F144="","موظف قائم",IF(YEAR(F144)&gt;='الإعدادات والمستهدفات'!B4,"موظف جديد " &amp; 'الإعدادات والمستهدفات'!B4,"موظف قائم")))</f>
        <v/>
      </c>
      <c r="H144" s="7"/>
      <c r="I144" s="3" t="str">
        <f>IF(C144="","",IF(OR(H144="",H144=0),"لم يُقيَّم","مُقيَّم"))</f>
        <v/>
      </c>
      <c r="J144" s="3" t="str">
        <f>IF(C144="","",IF(I144="لم يُقيَّم","يحتاج تقييم عاجل",IF(H144&lt;'الإعدادات والمستهدفات'!B5,"احتياج مرتفع جداً",IF(H144&lt;'الإعدادات والمستهدفات'!B6,"احتياج متوسط","احتياج منخفض"))))</f>
        <v/>
      </c>
      <c r="K144" s="3" t="str">
        <f>IF(C144="","",IF(OR(J144="يحتاج تقييم عاجل",J144="احتياج مرتفع جداً"),"أولوية قصوى (1)",IF(J144="احتياج متوسط","أولوية متوسطة (2)","أولوية عادية (3)")))</f>
        <v/>
      </c>
      <c r="L144" s="3" t="str">
        <f>IF(C144="","",COUNTIF('[1]الخطة التدريبية المعتمدة'!E:E,E144)+COUNTIF('[1]الخطة التدريبية المعتمدة'!E:E,"جميع العاملين بالمنشأة"))</f>
        <v/>
      </c>
      <c r="M144" s="3" t="str">
        <f>IF(C144="","",COUNTIFS('[2]سجل الحضور والتنفيذ'!E:E,B144,'[2]سجل الحضور والتنفيذ'!H:H,"حاضر"))</f>
        <v/>
      </c>
      <c r="N144" s="7" t="str">
        <f>IF(OR(C144="",L144=0),"",M144/L144)</f>
        <v/>
      </c>
      <c r="O144" s="3" t="str">
        <f>IF(C144="","",SUMPRODUCT(('[2]سجل الحضور والتنفيذ'!E:E=B144)*('[2]سجل الحضور والتنفيذ'!H:H="حاضر")*('[2]سجل الحضور والتنفيذ'!G:G)))</f>
        <v/>
      </c>
      <c r="P144" s="3" t="str">
        <f ca="1">IF(C144="","",IF(G144&lt;&gt;"موظف جديد " &amp; 'الإعدادات والمستهدفات'!B4,"—",IF(COUNTIFS('[2]سجل الحضور والتنفيذ'!E:E,B144,'[2]سجل الحضور والتنفيذ'!A:A,"PSY-OR-01",'[2]سجل الحضور والتنفيذ'!H:H,"حاضر")&gt;0,"مستوفى",IF(AND(F144&lt;&gt;"",TODAY()&gt;F144+'الإعدادات والمستهدفات'!B9),"متأخر عن المهلة","خلال المهلة"))))</f>
        <v/>
      </c>
    </row>
    <row r="145" spans="1:16" x14ac:dyDescent="0.2">
      <c r="A145" s="3" t="str">
        <f>IF(C145="","",ROW()-3)</f>
        <v/>
      </c>
      <c r="B145" s="3"/>
      <c r="C145" s="3"/>
      <c r="D145" s="3"/>
      <c r="E145" s="3"/>
      <c r="F145" s="3"/>
      <c r="G145" s="3" t="str">
        <f>IF(C145="","",IF(F145="","موظف قائم",IF(YEAR(F145)&gt;='الإعدادات والمستهدفات'!B4,"موظف جديد " &amp; 'الإعدادات والمستهدفات'!B4,"موظف قائم")))</f>
        <v/>
      </c>
      <c r="H145" s="7"/>
      <c r="I145" s="3" t="str">
        <f>IF(C145="","",IF(OR(H145="",H145=0),"لم يُقيَّم","مُقيَّم"))</f>
        <v/>
      </c>
      <c r="J145" s="3" t="str">
        <f>IF(C145="","",IF(I145="لم يُقيَّم","يحتاج تقييم عاجل",IF(H145&lt;'الإعدادات والمستهدفات'!B5,"احتياج مرتفع جداً",IF(H145&lt;'الإعدادات والمستهدفات'!B6,"احتياج متوسط","احتياج منخفض"))))</f>
        <v/>
      </c>
      <c r="K145" s="3" t="str">
        <f>IF(C145="","",IF(OR(J145="يحتاج تقييم عاجل",J145="احتياج مرتفع جداً"),"أولوية قصوى (1)",IF(J145="احتياج متوسط","أولوية متوسطة (2)","أولوية عادية (3)")))</f>
        <v/>
      </c>
      <c r="L145" s="3" t="str">
        <f>IF(C145="","",COUNTIF('[1]الخطة التدريبية المعتمدة'!E:E,E145)+COUNTIF('[1]الخطة التدريبية المعتمدة'!E:E,"جميع العاملين بالمنشأة"))</f>
        <v/>
      </c>
      <c r="M145" s="3" t="str">
        <f>IF(C145="","",COUNTIFS('[2]سجل الحضور والتنفيذ'!E:E,B145,'[2]سجل الحضور والتنفيذ'!H:H,"حاضر"))</f>
        <v/>
      </c>
      <c r="N145" s="7" t="str">
        <f>IF(OR(C145="",L145=0),"",M145/L145)</f>
        <v/>
      </c>
      <c r="O145" s="3" t="str">
        <f>IF(C145="","",SUMPRODUCT(('[2]سجل الحضور والتنفيذ'!E:E=B145)*('[2]سجل الحضور والتنفيذ'!H:H="حاضر")*('[2]سجل الحضور والتنفيذ'!G:G)))</f>
        <v/>
      </c>
      <c r="P145" s="3" t="str">
        <f ca="1">IF(C145="","",IF(G145&lt;&gt;"موظف جديد " &amp; 'الإعدادات والمستهدفات'!B4,"—",IF(COUNTIFS('[2]سجل الحضور والتنفيذ'!E:E,B145,'[2]سجل الحضور والتنفيذ'!A:A,"PSY-OR-01",'[2]سجل الحضور والتنفيذ'!H:H,"حاضر")&gt;0,"مستوفى",IF(AND(F145&lt;&gt;"",TODAY()&gt;F145+'الإعدادات والمستهدفات'!B9),"متأخر عن المهلة","خلال المهلة"))))</f>
        <v/>
      </c>
    </row>
    <row r="146" spans="1:16" x14ac:dyDescent="0.2">
      <c r="A146" s="3" t="str">
        <f>IF(C146="","",ROW()-3)</f>
        <v/>
      </c>
      <c r="B146" s="3"/>
      <c r="C146" s="3"/>
      <c r="D146" s="3"/>
      <c r="E146" s="3"/>
      <c r="F146" s="3"/>
      <c r="G146" s="3" t="str">
        <f>IF(C146="","",IF(F146="","موظف قائم",IF(YEAR(F146)&gt;='الإعدادات والمستهدفات'!B4,"موظف جديد " &amp; 'الإعدادات والمستهدفات'!B4,"موظف قائم")))</f>
        <v/>
      </c>
      <c r="H146" s="7"/>
      <c r="I146" s="3" t="str">
        <f>IF(C146="","",IF(OR(H146="",H146=0),"لم يُقيَّم","مُقيَّم"))</f>
        <v/>
      </c>
      <c r="J146" s="3" t="str">
        <f>IF(C146="","",IF(I146="لم يُقيَّم","يحتاج تقييم عاجل",IF(H146&lt;'الإعدادات والمستهدفات'!B5,"احتياج مرتفع جداً",IF(H146&lt;'الإعدادات والمستهدفات'!B6,"احتياج متوسط","احتياج منخفض"))))</f>
        <v/>
      </c>
      <c r="K146" s="3" t="str">
        <f>IF(C146="","",IF(OR(J146="يحتاج تقييم عاجل",J146="احتياج مرتفع جداً"),"أولوية قصوى (1)",IF(J146="احتياج متوسط","أولوية متوسطة (2)","أولوية عادية (3)")))</f>
        <v/>
      </c>
      <c r="L146" s="3" t="str">
        <f>IF(C146="","",COUNTIF('[1]الخطة التدريبية المعتمدة'!E:E,E146)+COUNTIF('[1]الخطة التدريبية المعتمدة'!E:E,"جميع العاملين بالمنشأة"))</f>
        <v/>
      </c>
      <c r="M146" s="3" t="str">
        <f>IF(C146="","",COUNTIFS('[2]سجل الحضور والتنفيذ'!E:E,B146,'[2]سجل الحضور والتنفيذ'!H:H,"حاضر"))</f>
        <v/>
      </c>
      <c r="N146" s="7" t="str">
        <f>IF(OR(C146="",L146=0),"",M146/L146)</f>
        <v/>
      </c>
      <c r="O146" s="3" t="str">
        <f>IF(C146="","",SUMPRODUCT(('[2]سجل الحضور والتنفيذ'!E:E=B146)*('[2]سجل الحضور والتنفيذ'!H:H="حاضر")*('[2]سجل الحضور والتنفيذ'!G:G)))</f>
        <v/>
      </c>
      <c r="P146" s="3" t="str">
        <f ca="1">IF(C146="","",IF(G146&lt;&gt;"موظف جديد " &amp; 'الإعدادات والمستهدفات'!B4,"—",IF(COUNTIFS('[2]سجل الحضور والتنفيذ'!E:E,B146,'[2]سجل الحضور والتنفيذ'!A:A,"PSY-OR-01",'[2]سجل الحضور والتنفيذ'!H:H,"حاضر")&gt;0,"مستوفى",IF(AND(F146&lt;&gt;"",TODAY()&gt;F146+'الإعدادات والمستهدفات'!B9),"متأخر عن المهلة","خلال المهلة"))))</f>
        <v/>
      </c>
    </row>
    <row r="147" spans="1:16" x14ac:dyDescent="0.2">
      <c r="A147" s="3" t="str">
        <f>IF(C147="","",ROW()-3)</f>
        <v/>
      </c>
      <c r="B147" s="3"/>
      <c r="C147" s="3"/>
      <c r="D147" s="3"/>
      <c r="E147" s="3"/>
      <c r="F147" s="3"/>
      <c r="G147" s="3" t="str">
        <f>IF(C147="","",IF(F147="","موظف قائم",IF(YEAR(F147)&gt;='الإعدادات والمستهدفات'!B4,"موظف جديد " &amp; 'الإعدادات والمستهدفات'!B4,"موظف قائم")))</f>
        <v/>
      </c>
      <c r="H147" s="7"/>
      <c r="I147" s="3" t="str">
        <f>IF(C147="","",IF(OR(H147="",H147=0),"لم يُقيَّم","مُقيَّم"))</f>
        <v/>
      </c>
      <c r="J147" s="3" t="str">
        <f>IF(C147="","",IF(I147="لم يُقيَّم","يحتاج تقييم عاجل",IF(H147&lt;'الإعدادات والمستهدفات'!B5,"احتياج مرتفع جداً",IF(H147&lt;'الإعدادات والمستهدفات'!B6,"احتياج متوسط","احتياج منخفض"))))</f>
        <v/>
      </c>
      <c r="K147" s="3" t="str">
        <f>IF(C147="","",IF(OR(J147="يحتاج تقييم عاجل",J147="احتياج مرتفع جداً"),"أولوية قصوى (1)",IF(J147="احتياج متوسط","أولوية متوسطة (2)","أولوية عادية (3)")))</f>
        <v/>
      </c>
      <c r="L147" s="3" t="str">
        <f>IF(C147="","",COUNTIF('[1]الخطة التدريبية المعتمدة'!E:E,E147)+COUNTIF('[1]الخطة التدريبية المعتمدة'!E:E,"جميع العاملين بالمنشأة"))</f>
        <v/>
      </c>
      <c r="M147" s="3" t="str">
        <f>IF(C147="","",COUNTIFS('[2]سجل الحضور والتنفيذ'!E:E,B147,'[2]سجل الحضور والتنفيذ'!H:H,"حاضر"))</f>
        <v/>
      </c>
      <c r="N147" s="7" t="str">
        <f>IF(OR(C147="",L147=0),"",M147/L147)</f>
        <v/>
      </c>
      <c r="O147" s="3" t="str">
        <f>IF(C147="","",SUMPRODUCT(('[2]سجل الحضور والتنفيذ'!E:E=B147)*('[2]سجل الحضور والتنفيذ'!H:H="حاضر")*('[2]سجل الحضور والتنفيذ'!G:G)))</f>
        <v/>
      </c>
      <c r="P147" s="3" t="str">
        <f ca="1">IF(C147="","",IF(G147&lt;&gt;"موظف جديد " &amp; 'الإعدادات والمستهدفات'!B4,"—",IF(COUNTIFS('[2]سجل الحضور والتنفيذ'!E:E,B147,'[2]سجل الحضور والتنفيذ'!A:A,"PSY-OR-01",'[2]سجل الحضور والتنفيذ'!H:H,"حاضر")&gt;0,"مستوفى",IF(AND(F147&lt;&gt;"",TODAY()&gt;F147+'الإعدادات والمستهدفات'!B9),"متأخر عن المهلة","خلال المهلة"))))</f>
        <v/>
      </c>
    </row>
    <row r="148" spans="1:16" x14ac:dyDescent="0.2">
      <c r="A148" s="3" t="str">
        <f>IF(C148="","",ROW()-3)</f>
        <v/>
      </c>
      <c r="B148" s="3"/>
      <c r="C148" s="3"/>
      <c r="D148" s="3"/>
      <c r="E148" s="3"/>
      <c r="F148" s="3"/>
      <c r="G148" s="3" t="str">
        <f>IF(C148="","",IF(F148="","موظف قائم",IF(YEAR(F148)&gt;='الإعدادات والمستهدفات'!B4,"موظف جديد " &amp; 'الإعدادات والمستهدفات'!B4,"موظف قائم")))</f>
        <v/>
      </c>
      <c r="H148" s="7"/>
      <c r="I148" s="3" t="str">
        <f>IF(C148="","",IF(OR(H148="",H148=0),"لم يُقيَّم","مُقيَّم"))</f>
        <v/>
      </c>
      <c r="J148" s="3" t="str">
        <f>IF(C148="","",IF(I148="لم يُقيَّم","يحتاج تقييم عاجل",IF(H148&lt;'الإعدادات والمستهدفات'!B5,"احتياج مرتفع جداً",IF(H148&lt;'الإعدادات والمستهدفات'!B6,"احتياج متوسط","احتياج منخفض"))))</f>
        <v/>
      </c>
      <c r="K148" s="3" t="str">
        <f>IF(C148="","",IF(OR(J148="يحتاج تقييم عاجل",J148="احتياج مرتفع جداً"),"أولوية قصوى (1)",IF(J148="احتياج متوسط","أولوية متوسطة (2)","أولوية عادية (3)")))</f>
        <v/>
      </c>
      <c r="L148" s="3" t="str">
        <f>IF(C148="","",COUNTIF('[1]الخطة التدريبية المعتمدة'!E:E,E148)+COUNTIF('[1]الخطة التدريبية المعتمدة'!E:E,"جميع العاملين بالمنشأة"))</f>
        <v/>
      </c>
      <c r="M148" s="3" t="str">
        <f>IF(C148="","",COUNTIFS('[2]سجل الحضور والتنفيذ'!E:E,B148,'[2]سجل الحضور والتنفيذ'!H:H,"حاضر"))</f>
        <v/>
      </c>
      <c r="N148" s="7" t="str">
        <f>IF(OR(C148="",L148=0),"",M148/L148)</f>
        <v/>
      </c>
      <c r="O148" s="3" t="str">
        <f>IF(C148="","",SUMPRODUCT(('[2]سجل الحضور والتنفيذ'!E:E=B148)*('[2]سجل الحضور والتنفيذ'!H:H="حاضر")*('[2]سجل الحضور والتنفيذ'!G:G)))</f>
        <v/>
      </c>
      <c r="P148" s="3" t="str">
        <f ca="1">IF(C148="","",IF(G148&lt;&gt;"موظف جديد " &amp; 'الإعدادات والمستهدفات'!B4,"—",IF(COUNTIFS('[2]سجل الحضور والتنفيذ'!E:E,B148,'[2]سجل الحضور والتنفيذ'!A:A,"PSY-OR-01",'[2]سجل الحضور والتنفيذ'!H:H,"حاضر")&gt;0,"مستوفى",IF(AND(F148&lt;&gt;"",TODAY()&gt;F148+'الإعدادات والمستهدفات'!B9),"متأخر عن المهلة","خلال المهلة"))))</f>
        <v/>
      </c>
    </row>
    <row r="149" spans="1:16" x14ac:dyDescent="0.2">
      <c r="A149" s="3" t="str">
        <f>IF(C149="","",ROW()-3)</f>
        <v/>
      </c>
      <c r="B149" s="3"/>
      <c r="C149" s="3"/>
      <c r="D149" s="3"/>
      <c r="E149" s="3"/>
      <c r="F149" s="3"/>
      <c r="G149" s="3" t="str">
        <f>IF(C149="","",IF(F149="","موظف قائم",IF(YEAR(F149)&gt;='الإعدادات والمستهدفات'!B4,"موظف جديد " &amp; 'الإعدادات والمستهدفات'!B4,"موظف قائم")))</f>
        <v/>
      </c>
      <c r="H149" s="7"/>
      <c r="I149" s="3" t="str">
        <f>IF(C149="","",IF(OR(H149="",H149=0),"لم يُقيَّم","مُقيَّم"))</f>
        <v/>
      </c>
      <c r="J149" s="3" t="str">
        <f>IF(C149="","",IF(I149="لم يُقيَّم","يحتاج تقييم عاجل",IF(H149&lt;'الإعدادات والمستهدفات'!B5,"احتياج مرتفع جداً",IF(H149&lt;'الإعدادات والمستهدفات'!B6,"احتياج متوسط","احتياج منخفض"))))</f>
        <v/>
      </c>
      <c r="K149" s="3" t="str">
        <f>IF(C149="","",IF(OR(J149="يحتاج تقييم عاجل",J149="احتياج مرتفع جداً"),"أولوية قصوى (1)",IF(J149="احتياج متوسط","أولوية متوسطة (2)","أولوية عادية (3)")))</f>
        <v/>
      </c>
      <c r="L149" s="3" t="str">
        <f>IF(C149="","",COUNTIF('[1]الخطة التدريبية المعتمدة'!E:E,E149)+COUNTIF('[1]الخطة التدريبية المعتمدة'!E:E,"جميع العاملين بالمنشأة"))</f>
        <v/>
      </c>
      <c r="M149" s="3" t="str">
        <f>IF(C149="","",COUNTIFS('[2]سجل الحضور والتنفيذ'!E:E,B149,'[2]سجل الحضور والتنفيذ'!H:H,"حاضر"))</f>
        <v/>
      </c>
      <c r="N149" s="7" t="str">
        <f>IF(OR(C149="",L149=0),"",M149/L149)</f>
        <v/>
      </c>
      <c r="O149" s="3" t="str">
        <f>IF(C149="","",SUMPRODUCT(('[2]سجل الحضور والتنفيذ'!E:E=B149)*('[2]سجل الحضور والتنفيذ'!H:H="حاضر")*('[2]سجل الحضور والتنفيذ'!G:G)))</f>
        <v/>
      </c>
      <c r="P149" s="3" t="str">
        <f ca="1">IF(C149="","",IF(G149&lt;&gt;"موظف جديد " &amp; 'الإعدادات والمستهدفات'!B4,"—",IF(COUNTIFS('[2]سجل الحضور والتنفيذ'!E:E,B149,'[2]سجل الحضور والتنفيذ'!A:A,"PSY-OR-01",'[2]سجل الحضور والتنفيذ'!H:H,"حاضر")&gt;0,"مستوفى",IF(AND(F149&lt;&gt;"",TODAY()&gt;F149+'الإعدادات والمستهدفات'!B9),"متأخر عن المهلة","خلال المهلة"))))</f>
        <v/>
      </c>
    </row>
    <row r="150" spans="1:16" x14ac:dyDescent="0.2">
      <c r="A150" s="3" t="str">
        <f>IF(C150="","",ROW()-3)</f>
        <v/>
      </c>
      <c r="B150" s="3"/>
      <c r="C150" s="3"/>
      <c r="D150" s="3"/>
      <c r="E150" s="3"/>
      <c r="F150" s="3"/>
      <c r="G150" s="3" t="str">
        <f>IF(C150="","",IF(F150="","موظف قائم",IF(YEAR(F150)&gt;='الإعدادات والمستهدفات'!B4,"موظف جديد " &amp; 'الإعدادات والمستهدفات'!B4,"موظف قائم")))</f>
        <v/>
      </c>
      <c r="H150" s="7"/>
      <c r="I150" s="3" t="str">
        <f>IF(C150="","",IF(OR(H150="",H150=0),"لم يُقيَّم","مُقيَّم"))</f>
        <v/>
      </c>
      <c r="J150" s="3" t="str">
        <f>IF(C150="","",IF(I150="لم يُقيَّم","يحتاج تقييم عاجل",IF(H150&lt;'الإعدادات والمستهدفات'!B5,"احتياج مرتفع جداً",IF(H150&lt;'الإعدادات والمستهدفات'!B6,"احتياج متوسط","احتياج منخفض"))))</f>
        <v/>
      </c>
      <c r="K150" s="3" t="str">
        <f>IF(C150="","",IF(OR(J150="يحتاج تقييم عاجل",J150="احتياج مرتفع جداً"),"أولوية قصوى (1)",IF(J150="احتياج متوسط","أولوية متوسطة (2)","أولوية عادية (3)")))</f>
        <v/>
      </c>
      <c r="L150" s="3" t="str">
        <f>IF(C150="","",COUNTIF('[1]الخطة التدريبية المعتمدة'!E:E,E150)+COUNTIF('[1]الخطة التدريبية المعتمدة'!E:E,"جميع العاملين بالمنشأة"))</f>
        <v/>
      </c>
      <c r="M150" s="3" t="str">
        <f>IF(C150="","",COUNTIFS('[2]سجل الحضور والتنفيذ'!E:E,B150,'[2]سجل الحضور والتنفيذ'!H:H,"حاضر"))</f>
        <v/>
      </c>
      <c r="N150" s="7" t="str">
        <f>IF(OR(C150="",L150=0),"",M150/L150)</f>
        <v/>
      </c>
      <c r="O150" s="3" t="str">
        <f>IF(C150="","",SUMPRODUCT(('[2]سجل الحضور والتنفيذ'!E:E=B150)*('[2]سجل الحضور والتنفيذ'!H:H="حاضر")*('[2]سجل الحضور والتنفيذ'!G:G)))</f>
        <v/>
      </c>
      <c r="P150" s="3" t="str">
        <f ca="1">IF(C150="","",IF(G150&lt;&gt;"موظف جديد " &amp; 'الإعدادات والمستهدفات'!B4,"—",IF(COUNTIFS('[2]سجل الحضور والتنفيذ'!E:E,B150,'[2]سجل الحضور والتنفيذ'!A:A,"PSY-OR-01",'[2]سجل الحضور والتنفيذ'!H:H,"حاضر")&gt;0,"مستوفى",IF(AND(F150&lt;&gt;"",TODAY()&gt;F150+'الإعدادات والمستهدفات'!B9),"متأخر عن المهلة","خلال المهلة"))))</f>
        <v/>
      </c>
    </row>
    <row r="151" spans="1:16" x14ac:dyDescent="0.2">
      <c r="A151" s="3" t="str">
        <f>IF(C151="","",ROW()-3)</f>
        <v/>
      </c>
      <c r="B151" s="3"/>
      <c r="C151" s="3"/>
      <c r="D151" s="3"/>
      <c r="E151" s="3"/>
      <c r="F151" s="3"/>
      <c r="G151" s="3" t="str">
        <f>IF(C151="","",IF(F151="","موظف قائم",IF(YEAR(F151)&gt;='الإعدادات والمستهدفات'!B4,"موظف جديد " &amp; 'الإعدادات والمستهدفات'!B4,"موظف قائم")))</f>
        <v/>
      </c>
      <c r="H151" s="7"/>
      <c r="I151" s="3" t="str">
        <f>IF(C151="","",IF(OR(H151="",H151=0),"لم يُقيَّم","مُقيَّم"))</f>
        <v/>
      </c>
      <c r="J151" s="3" t="str">
        <f>IF(C151="","",IF(I151="لم يُقيَّم","يحتاج تقييم عاجل",IF(H151&lt;'الإعدادات والمستهدفات'!B5,"احتياج مرتفع جداً",IF(H151&lt;'الإعدادات والمستهدفات'!B6,"احتياج متوسط","احتياج منخفض"))))</f>
        <v/>
      </c>
      <c r="K151" s="3" t="str">
        <f>IF(C151="","",IF(OR(J151="يحتاج تقييم عاجل",J151="احتياج مرتفع جداً"),"أولوية قصوى (1)",IF(J151="احتياج متوسط","أولوية متوسطة (2)","أولوية عادية (3)")))</f>
        <v/>
      </c>
      <c r="L151" s="3" t="str">
        <f>IF(C151="","",COUNTIF('[1]الخطة التدريبية المعتمدة'!E:E,E151)+COUNTIF('[1]الخطة التدريبية المعتمدة'!E:E,"جميع العاملين بالمنشأة"))</f>
        <v/>
      </c>
      <c r="M151" s="3" t="str">
        <f>IF(C151="","",COUNTIFS('[2]سجل الحضور والتنفيذ'!E:E,B151,'[2]سجل الحضور والتنفيذ'!H:H,"حاضر"))</f>
        <v/>
      </c>
      <c r="N151" s="7" t="str">
        <f>IF(OR(C151="",L151=0),"",M151/L151)</f>
        <v/>
      </c>
      <c r="O151" s="3" t="str">
        <f>IF(C151="","",SUMPRODUCT(('[2]سجل الحضور والتنفيذ'!E:E=B151)*('[2]سجل الحضور والتنفيذ'!H:H="حاضر")*('[2]سجل الحضور والتنفيذ'!G:G)))</f>
        <v/>
      </c>
      <c r="P151" s="3" t="str">
        <f ca="1">IF(C151="","",IF(G151&lt;&gt;"موظف جديد " &amp; 'الإعدادات والمستهدفات'!B4,"—",IF(COUNTIFS('[2]سجل الحضور والتنفيذ'!E:E,B151,'[2]سجل الحضور والتنفيذ'!A:A,"PSY-OR-01",'[2]سجل الحضور والتنفيذ'!H:H,"حاضر")&gt;0,"مستوفى",IF(AND(F151&lt;&gt;"",TODAY()&gt;F151+'الإعدادات والمستهدفات'!B9),"متأخر عن المهلة","خلال المهلة"))))</f>
        <v/>
      </c>
    </row>
    <row r="152" spans="1:16" x14ac:dyDescent="0.2">
      <c r="A152" s="3" t="str">
        <f>IF(C152="","",ROW()-3)</f>
        <v/>
      </c>
      <c r="B152" s="3"/>
      <c r="C152" s="3"/>
      <c r="D152" s="3"/>
      <c r="E152" s="3"/>
      <c r="F152" s="3"/>
      <c r="G152" s="3" t="str">
        <f>IF(C152="","",IF(F152="","موظف قائم",IF(YEAR(F152)&gt;='الإعدادات والمستهدفات'!B4,"موظف جديد " &amp; 'الإعدادات والمستهدفات'!B4,"موظف قائم")))</f>
        <v/>
      </c>
      <c r="H152" s="7"/>
      <c r="I152" s="3" t="str">
        <f>IF(C152="","",IF(OR(H152="",H152=0),"لم يُقيَّم","مُقيَّم"))</f>
        <v/>
      </c>
      <c r="J152" s="3" t="str">
        <f>IF(C152="","",IF(I152="لم يُقيَّم","يحتاج تقييم عاجل",IF(H152&lt;'الإعدادات والمستهدفات'!B5,"احتياج مرتفع جداً",IF(H152&lt;'الإعدادات والمستهدفات'!B6,"احتياج متوسط","احتياج منخفض"))))</f>
        <v/>
      </c>
      <c r="K152" s="3" t="str">
        <f>IF(C152="","",IF(OR(J152="يحتاج تقييم عاجل",J152="احتياج مرتفع جداً"),"أولوية قصوى (1)",IF(J152="احتياج متوسط","أولوية متوسطة (2)","أولوية عادية (3)")))</f>
        <v/>
      </c>
      <c r="L152" s="3" t="str">
        <f>IF(C152="","",COUNTIF('[1]الخطة التدريبية المعتمدة'!E:E,E152)+COUNTIF('[1]الخطة التدريبية المعتمدة'!E:E,"جميع العاملين بالمنشأة"))</f>
        <v/>
      </c>
      <c r="M152" s="3" t="str">
        <f>IF(C152="","",COUNTIFS('[2]سجل الحضور والتنفيذ'!E:E,B152,'[2]سجل الحضور والتنفيذ'!H:H,"حاضر"))</f>
        <v/>
      </c>
      <c r="N152" s="7" t="str">
        <f>IF(OR(C152="",L152=0),"",M152/L152)</f>
        <v/>
      </c>
      <c r="O152" s="3" t="str">
        <f>IF(C152="","",SUMPRODUCT(('[2]سجل الحضور والتنفيذ'!E:E=B152)*('[2]سجل الحضور والتنفيذ'!H:H="حاضر")*('[2]سجل الحضور والتنفيذ'!G:G)))</f>
        <v/>
      </c>
      <c r="P152" s="3" t="str">
        <f ca="1">IF(C152="","",IF(G152&lt;&gt;"موظف جديد " &amp; 'الإعدادات والمستهدفات'!B4,"—",IF(COUNTIFS('[2]سجل الحضور والتنفيذ'!E:E,B152,'[2]سجل الحضور والتنفيذ'!A:A,"PSY-OR-01",'[2]سجل الحضور والتنفيذ'!H:H,"حاضر")&gt;0,"مستوفى",IF(AND(F152&lt;&gt;"",TODAY()&gt;F152+'الإعدادات والمستهدفات'!B9),"متأخر عن المهلة","خلال المهلة"))))</f>
        <v/>
      </c>
    </row>
    <row r="153" spans="1:16" x14ac:dyDescent="0.2">
      <c r="A153" s="3" t="str">
        <f>IF(C153="","",ROW()-3)</f>
        <v/>
      </c>
      <c r="B153" s="3"/>
      <c r="C153" s="3"/>
      <c r="D153" s="3"/>
      <c r="E153" s="3"/>
      <c r="F153" s="3"/>
      <c r="G153" s="3" t="str">
        <f>IF(C153="","",IF(F153="","موظف قائم",IF(YEAR(F153)&gt;='الإعدادات والمستهدفات'!B4,"موظف جديد " &amp; 'الإعدادات والمستهدفات'!B4,"موظف قائم")))</f>
        <v/>
      </c>
      <c r="H153" s="7"/>
      <c r="I153" s="3" t="str">
        <f>IF(C153="","",IF(OR(H153="",H153=0),"لم يُقيَّم","مُقيَّم"))</f>
        <v/>
      </c>
      <c r="J153" s="3" t="str">
        <f>IF(C153="","",IF(I153="لم يُقيَّم","يحتاج تقييم عاجل",IF(H153&lt;'الإعدادات والمستهدفات'!B5,"احتياج مرتفع جداً",IF(H153&lt;'الإعدادات والمستهدفات'!B6,"احتياج متوسط","احتياج منخفض"))))</f>
        <v/>
      </c>
      <c r="K153" s="3" t="str">
        <f>IF(C153="","",IF(OR(J153="يحتاج تقييم عاجل",J153="احتياج مرتفع جداً"),"أولوية قصوى (1)",IF(J153="احتياج متوسط","أولوية متوسطة (2)","أولوية عادية (3)")))</f>
        <v/>
      </c>
      <c r="L153" s="3" t="str">
        <f>IF(C153="","",COUNTIF('[1]الخطة التدريبية المعتمدة'!E:E,E153)+COUNTIF('[1]الخطة التدريبية المعتمدة'!E:E,"جميع العاملين بالمنشأة"))</f>
        <v/>
      </c>
      <c r="M153" s="3" t="str">
        <f>IF(C153="","",COUNTIFS('[2]سجل الحضور والتنفيذ'!E:E,B153,'[2]سجل الحضور والتنفيذ'!H:H,"حاضر"))</f>
        <v/>
      </c>
      <c r="N153" s="7" t="str">
        <f>IF(OR(C153="",L153=0),"",M153/L153)</f>
        <v/>
      </c>
      <c r="O153" s="3" t="str">
        <f>IF(C153="","",SUMPRODUCT(('[2]سجل الحضور والتنفيذ'!E:E=B153)*('[2]سجل الحضور والتنفيذ'!H:H="حاضر")*('[2]سجل الحضور والتنفيذ'!G:G)))</f>
        <v/>
      </c>
      <c r="P153" s="3" t="str">
        <f ca="1">IF(C153="","",IF(G153&lt;&gt;"موظف جديد " &amp; 'الإعدادات والمستهدفات'!B4,"—",IF(COUNTIFS('[2]سجل الحضور والتنفيذ'!E:E,B153,'[2]سجل الحضور والتنفيذ'!A:A,"PSY-OR-01",'[2]سجل الحضور والتنفيذ'!H:H,"حاضر")&gt;0,"مستوفى",IF(AND(F153&lt;&gt;"",TODAY()&gt;F153+'الإعدادات والمستهدفات'!B9),"متأخر عن المهلة","خلال المهلة"))))</f>
        <v/>
      </c>
    </row>
    <row r="154" spans="1:16" x14ac:dyDescent="0.2">
      <c r="A154" s="3" t="str">
        <f>IF(C154="","",ROW()-3)</f>
        <v/>
      </c>
      <c r="B154" s="3"/>
      <c r="C154" s="3"/>
      <c r="D154" s="3"/>
      <c r="E154" s="3"/>
      <c r="F154" s="3"/>
      <c r="G154" s="3" t="str">
        <f>IF(C154="","",IF(F154="","موظف قائم",IF(YEAR(F154)&gt;='الإعدادات والمستهدفات'!B4,"موظف جديد " &amp; 'الإعدادات والمستهدفات'!B4,"موظف قائم")))</f>
        <v/>
      </c>
      <c r="H154" s="7"/>
      <c r="I154" s="3" t="str">
        <f>IF(C154="","",IF(OR(H154="",H154=0),"لم يُقيَّم","مُقيَّم"))</f>
        <v/>
      </c>
      <c r="J154" s="3" t="str">
        <f>IF(C154="","",IF(I154="لم يُقيَّم","يحتاج تقييم عاجل",IF(H154&lt;'الإعدادات والمستهدفات'!B5,"احتياج مرتفع جداً",IF(H154&lt;'الإعدادات والمستهدفات'!B6,"احتياج متوسط","احتياج منخفض"))))</f>
        <v/>
      </c>
      <c r="K154" s="3" t="str">
        <f>IF(C154="","",IF(OR(J154="يحتاج تقييم عاجل",J154="احتياج مرتفع جداً"),"أولوية قصوى (1)",IF(J154="احتياج متوسط","أولوية متوسطة (2)","أولوية عادية (3)")))</f>
        <v/>
      </c>
      <c r="L154" s="3" t="str">
        <f>IF(C154="","",COUNTIF('[1]الخطة التدريبية المعتمدة'!E:E,E154)+COUNTIF('[1]الخطة التدريبية المعتمدة'!E:E,"جميع العاملين بالمنشأة"))</f>
        <v/>
      </c>
      <c r="M154" s="3" t="str">
        <f>IF(C154="","",COUNTIFS('[2]سجل الحضور والتنفيذ'!E:E,B154,'[2]سجل الحضور والتنفيذ'!H:H,"حاضر"))</f>
        <v/>
      </c>
      <c r="N154" s="7" t="str">
        <f>IF(OR(C154="",L154=0),"",M154/L154)</f>
        <v/>
      </c>
      <c r="O154" s="3" t="str">
        <f>IF(C154="","",SUMPRODUCT(('[2]سجل الحضور والتنفيذ'!E:E=B154)*('[2]سجل الحضور والتنفيذ'!H:H="حاضر")*('[2]سجل الحضور والتنفيذ'!G:G)))</f>
        <v/>
      </c>
      <c r="P154" s="3" t="str">
        <f ca="1">IF(C154="","",IF(G154&lt;&gt;"موظف جديد " &amp; 'الإعدادات والمستهدفات'!B4,"—",IF(COUNTIFS('[2]سجل الحضور والتنفيذ'!E:E,B154,'[2]سجل الحضور والتنفيذ'!A:A,"PSY-OR-01",'[2]سجل الحضور والتنفيذ'!H:H,"حاضر")&gt;0,"مستوفى",IF(AND(F154&lt;&gt;"",TODAY()&gt;F154+'الإعدادات والمستهدفات'!B9),"متأخر عن المهلة","خلال المهلة"))))</f>
        <v/>
      </c>
    </row>
    <row r="155" spans="1:16" x14ac:dyDescent="0.2">
      <c r="A155" s="3" t="str">
        <f>IF(C155="","",ROW()-3)</f>
        <v/>
      </c>
      <c r="B155" s="3"/>
      <c r="C155" s="3"/>
      <c r="D155" s="3"/>
      <c r="E155" s="3"/>
      <c r="F155" s="3"/>
      <c r="G155" s="3" t="str">
        <f>IF(C155="","",IF(F155="","موظف قائم",IF(YEAR(F155)&gt;='الإعدادات والمستهدفات'!B4,"موظف جديد " &amp; 'الإعدادات والمستهدفات'!B4,"موظف قائم")))</f>
        <v/>
      </c>
      <c r="H155" s="7"/>
      <c r="I155" s="3" t="str">
        <f>IF(C155="","",IF(OR(H155="",H155=0),"لم يُقيَّم","مُقيَّم"))</f>
        <v/>
      </c>
      <c r="J155" s="3" t="str">
        <f>IF(C155="","",IF(I155="لم يُقيَّم","يحتاج تقييم عاجل",IF(H155&lt;'الإعدادات والمستهدفات'!B5,"احتياج مرتفع جداً",IF(H155&lt;'الإعدادات والمستهدفات'!B6,"احتياج متوسط","احتياج منخفض"))))</f>
        <v/>
      </c>
      <c r="K155" s="3" t="str">
        <f>IF(C155="","",IF(OR(J155="يحتاج تقييم عاجل",J155="احتياج مرتفع جداً"),"أولوية قصوى (1)",IF(J155="احتياج متوسط","أولوية متوسطة (2)","أولوية عادية (3)")))</f>
        <v/>
      </c>
      <c r="L155" s="3" t="str">
        <f>IF(C155="","",COUNTIF('[1]الخطة التدريبية المعتمدة'!E:E,E155)+COUNTIF('[1]الخطة التدريبية المعتمدة'!E:E,"جميع العاملين بالمنشأة"))</f>
        <v/>
      </c>
      <c r="M155" s="3" t="str">
        <f>IF(C155="","",COUNTIFS('[2]سجل الحضور والتنفيذ'!E:E,B155,'[2]سجل الحضور والتنفيذ'!H:H,"حاضر"))</f>
        <v/>
      </c>
      <c r="N155" s="7" t="str">
        <f>IF(OR(C155="",L155=0),"",M155/L155)</f>
        <v/>
      </c>
      <c r="O155" s="3" t="str">
        <f>IF(C155="","",SUMPRODUCT(('[2]سجل الحضور والتنفيذ'!E:E=B155)*('[2]سجل الحضور والتنفيذ'!H:H="حاضر")*('[2]سجل الحضور والتنفيذ'!G:G)))</f>
        <v/>
      </c>
      <c r="P155" s="3" t="str">
        <f ca="1">IF(C155="","",IF(G155&lt;&gt;"موظف جديد " &amp; 'الإعدادات والمستهدفات'!B4,"—",IF(COUNTIFS('[2]سجل الحضور والتنفيذ'!E:E,B155,'[2]سجل الحضور والتنفيذ'!A:A,"PSY-OR-01",'[2]سجل الحضور والتنفيذ'!H:H,"حاضر")&gt;0,"مستوفى",IF(AND(F155&lt;&gt;"",TODAY()&gt;F155+'الإعدادات والمستهدفات'!B9),"متأخر عن المهلة","خلال المهلة"))))</f>
        <v/>
      </c>
    </row>
    <row r="156" spans="1:16" x14ac:dyDescent="0.2">
      <c r="A156" s="3" t="str">
        <f>IF(C156="","",ROW()-3)</f>
        <v/>
      </c>
      <c r="B156" s="3"/>
      <c r="C156" s="3"/>
      <c r="D156" s="3"/>
      <c r="E156" s="3"/>
      <c r="F156" s="3"/>
      <c r="G156" s="3" t="str">
        <f>IF(C156="","",IF(F156="","موظف قائم",IF(YEAR(F156)&gt;='الإعدادات والمستهدفات'!B4,"موظف جديد " &amp; 'الإعدادات والمستهدفات'!B4,"موظف قائم")))</f>
        <v/>
      </c>
      <c r="H156" s="7"/>
      <c r="I156" s="3" t="str">
        <f>IF(C156="","",IF(OR(H156="",H156=0),"لم يُقيَّم","مُقيَّم"))</f>
        <v/>
      </c>
      <c r="J156" s="3" t="str">
        <f>IF(C156="","",IF(I156="لم يُقيَّم","يحتاج تقييم عاجل",IF(H156&lt;'الإعدادات والمستهدفات'!B5,"احتياج مرتفع جداً",IF(H156&lt;'الإعدادات والمستهدفات'!B6,"احتياج متوسط","احتياج منخفض"))))</f>
        <v/>
      </c>
      <c r="K156" s="3" t="str">
        <f>IF(C156="","",IF(OR(J156="يحتاج تقييم عاجل",J156="احتياج مرتفع جداً"),"أولوية قصوى (1)",IF(J156="احتياج متوسط","أولوية متوسطة (2)","أولوية عادية (3)")))</f>
        <v/>
      </c>
      <c r="L156" s="3" t="str">
        <f>IF(C156="","",COUNTIF('[1]الخطة التدريبية المعتمدة'!E:E,E156)+COUNTIF('[1]الخطة التدريبية المعتمدة'!E:E,"جميع العاملين بالمنشأة"))</f>
        <v/>
      </c>
      <c r="M156" s="3" t="str">
        <f>IF(C156="","",COUNTIFS('[2]سجل الحضور والتنفيذ'!E:E,B156,'[2]سجل الحضور والتنفيذ'!H:H,"حاضر"))</f>
        <v/>
      </c>
      <c r="N156" s="7" t="str">
        <f>IF(OR(C156="",L156=0),"",M156/L156)</f>
        <v/>
      </c>
      <c r="O156" s="3" t="str">
        <f>IF(C156="","",SUMPRODUCT(('[2]سجل الحضور والتنفيذ'!E:E=B156)*('[2]سجل الحضور والتنفيذ'!H:H="حاضر")*('[2]سجل الحضور والتنفيذ'!G:G)))</f>
        <v/>
      </c>
      <c r="P156" s="3" t="str">
        <f ca="1">IF(C156="","",IF(G156&lt;&gt;"موظف جديد " &amp; 'الإعدادات والمستهدفات'!B4,"—",IF(COUNTIFS('[2]سجل الحضور والتنفيذ'!E:E,B156,'[2]سجل الحضور والتنفيذ'!A:A,"PSY-OR-01",'[2]سجل الحضور والتنفيذ'!H:H,"حاضر")&gt;0,"مستوفى",IF(AND(F156&lt;&gt;"",TODAY()&gt;F156+'الإعدادات والمستهدفات'!B9),"متأخر عن المهلة","خلال المهلة"))))</f>
        <v/>
      </c>
    </row>
    <row r="157" spans="1:16" x14ac:dyDescent="0.2">
      <c r="A157" s="3" t="str">
        <f>IF(C157="","",ROW()-3)</f>
        <v/>
      </c>
      <c r="B157" s="3"/>
      <c r="C157" s="3"/>
      <c r="D157" s="3"/>
      <c r="E157" s="3"/>
      <c r="F157" s="3"/>
      <c r="G157" s="3" t="str">
        <f>IF(C157="","",IF(F157="","موظف قائم",IF(YEAR(F157)&gt;='الإعدادات والمستهدفات'!B4,"موظف جديد " &amp; 'الإعدادات والمستهدفات'!B4,"موظف قائم")))</f>
        <v/>
      </c>
      <c r="H157" s="7"/>
      <c r="I157" s="3" t="str">
        <f>IF(C157="","",IF(OR(H157="",H157=0),"لم يُقيَّم","مُقيَّم"))</f>
        <v/>
      </c>
      <c r="J157" s="3" t="str">
        <f>IF(C157="","",IF(I157="لم يُقيَّم","يحتاج تقييم عاجل",IF(H157&lt;'الإعدادات والمستهدفات'!B5,"احتياج مرتفع جداً",IF(H157&lt;'الإعدادات والمستهدفات'!B6,"احتياج متوسط","احتياج منخفض"))))</f>
        <v/>
      </c>
      <c r="K157" s="3" t="str">
        <f>IF(C157="","",IF(OR(J157="يحتاج تقييم عاجل",J157="احتياج مرتفع جداً"),"أولوية قصوى (1)",IF(J157="احتياج متوسط","أولوية متوسطة (2)","أولوية عادية (3)")))</f>
        <v/>
      </c>
      <c r="L157" s="3" t="str">
        <f>IF(C157="","",COUNTIF('[1]الخطة التدريبية المعتمدة'!E:E,E157)+COUNTIF('[1]الخطة التدريبية المعتمدة'!E:E,"جميع العاملين بالمنشأة"))</f>
        <v/>
      </c>
      <c r="M157" s="3" t="str">
        <f>IF(C157="","",COUNTIFS('[2]سجل الحضور والتنفيذ'!E:E,B157,'[2]سجل الحضور والتنفيذ'!H:H,"حاضر"))</f>
        <v/>
      </c>
      <c r="N157" s="7" t="str">
        <f>IF(OR(C157="",L157=0),"",M157/L157)</f>
        <v/>
      </c>
      <c r="O157" s="3" t="str">
        <f>IF(C157="","",SUMPRODUCT(('[2]سجل الحضور والتنفيذ'!E:E=B157)*('[2]سجل الحضور والتنفيذ'!H:H="حاضر")*('[2]سجل الحضور والتنفيذ'!G:G)))</f>
        <v/>
      </c>
      <c r="P157" s="3" t="str">
        <f ca="1">IF(C157="","",IF(G157&lt;&gt;"موظف جديد " &amp; 'الإعدادات والمستهدفات'!B4,"—",IF(COUNTIFS('[2]سجل الحضور والتنفيذ'!E:E,B157,'[2]سجل الحضور والتنفيذ'!A:A,"PSY-OR-01",'[2]سجل الحضور والتنفيذ'!H:H,"حاضر")&gt;0,"مستوفى",IF(AND(F157&lt;&gt;"",TODAY()&gt;F157+'الإعدادات والمستهدفات'!B9),"متأخر عن المهلة","خلال المهلة"))))</f>
        <v/>
      </c>
    </row>
    <row r="158" spans="1:16" x14ac:dyDescent="0.2">
      <c r="A158" s="3" t="str">
        <f>IF(C158="","",ROW()-3)</f>
        <v/>
      </c>
      <c r="B158" s="3"/>
      <c r="C158" s="3"/>
      <c r="D158" s="3"/>
      <c r="E158" s="3"/>
      <c r="F158" s="3"/>
      <c r="G158" s="3" t="str">
        <f>IF(C158="","",IF(F158="","موظف قائم",IF(YEAR(F158)&gt;='الإعدادات والمستهدفات'!B4,"موظف جديد " &amp; 'الإعدادات والمستهدفات'!B4,"موظف قائم")))</f>
        <v/>
      </c>
      <c r="H158" s="7"/>
      <c r="I158" s="3" t="str">
        <f>IF(C158="","",IF(OR(H158="",H158=0),"لم يُقيَّم","مُقيَّم"))</f>
        <v/>
      </c>
      <c r="J158" s="3" t="str">
        <f>IF(C158="","",IF(I158="لم يُقيَّم","يحتاج تقييم عاجل",IF(H158&lt;'الإعدادات والمستهدفات'!B5,"احتياج مرتفع جداً",IF(H158&lt;'الإعدادات والمستهدفات'!B6,"احتياج متوسط","احتياج منخفض"))))</f>
        <v/>
      </c>
      <c r="K158" s="3" t="str">
        <f>IF(C158="","",IF(OR(J158="يحتاج تقييم عاجل",J158="احتياج مرتفع جداً"),"أولوية قصوى (1)",IF(J158="احتياج متوسط","أولوية متوسطة (2)","أولوية عادية (3)")))</f>
        <v/>
      </c>
      <c r="L158" s="3" t="str">
        <f>IF(C158="","",COUNTIF('[1]الخطة التدريبية المعتمدة'!E:E,E158)+COUNTIF('[1]الخطة التدريبية المعتمدة'!E:E,"جميع العاملين بالمنشأة"))</f>
        <v/>
      </c>
      <c r="M158" s="3" t="str">
        <f>IF(C158="","",COUNTIFS('[2]سجل الحضور والتنفيذ'!E:E,B158,'[2]سجل الحضور والتنفيذ'!H:H,"حاضر"))</f>
        <v/>
      </c>
      <c r="N158" s="7" t="str">
        <f>IF(OR(C158="",L158=0),"",M158/L158)</f>
        <v/>
      </c>
      <c r="O158" s="3" t="str">
        <f>IF(C158="","",SUMPRODUCT(('[2]سجل الحضور والتنفيذ'!E:E=B158)*('[2]سجل الحضور والتنفيذ'!H:H="حاضر")*('[2]سجل الحضور والتنفيذ'!G:G)))</f>
        <v/>
      </c>
      <c r="P158" s="3" t="str">
        <f ca="1">IF(C158="","",IF(G158&lt;&gt;"موظف جديد " &amp; 'الإعدادات والمستهدفات'!B4,"—",IF(COUNTIFS('[2]سجل الحضور والتنفيذ'!E:E,B158,'[2]سجل الحضور والتنفيذ'!A:A,"PSY-OR-01",'[2]سجل الحضور والتنفيذ'!H:H,"حاضر")&gt;0,"مستوفى",IF(AND(F158&lt;&gt;"",TODAY()&gt;F158+'الإعدادات والمستهدفات'!B9),"متأخر عن المهلة","خلال المهلة"))))</f>
        <v/>
      </c>
    </row>
    <row r="159" spans="1:16" x14ac:dyDescent="0.2">
      <c r="A159" s="3" t="str">
        <f>IF(C159="","",ROW()-3)</f>
        <v/>
      </c>
      <c r="B159" s="3"/>
      <c r="C159" s="3"/>
      <c r="D159" s="3"/>
      <c r="E159" s="3"/>
      <c r="F159" s="3"/>
      <c r="G159" s="3" t="str">
        <f>IF(C159="","",IF(F159="","موظف قائم",IF(YEAR(F159)&gt;='الإعدادات والمستهدفات'!B4,"موظف جديد " &amp; 'الإعدادات والمستهدفات'!B4,"موظف قائم")))</f>
        <v/>
      </c>
      <c r="H159" s="7"/>
      <c r="I159" s="3" t="str">
        <f>IF(C159="","",IF(OR(H159="",H159=0),"لم يُقيَّم","مُقيَّم"))</f>
        <v/>
      </c>
      <c r="J159" s="3" t="str">
        <f>IF(C159="","",IF(I159="لم يُقيَّم","يحتاج تقييم عاجل",IF(H159&lt;'الإعدادات والمستهدفات'!B5,"احتياج مرتفع جداً",IF(H159&lt;'الإعدادات والمستهدفات'!B6,"احتياج متوسط","احتياج منخفض"))))</f>
        <v/>
      </c>
      <c r="K159" s="3" t="str">
        <f>IF(C159="","",IF(OR(J159="يحتاج تقييم عاجل",J159="احتياج مرتفع جداً"),"أولوية قصوى (1)",IF(J159="احتياج متوسط","أولوية متوسطة (2)","أولوية عادية (3)")))</f>
        <v/>
      </c>
      <c r="L159" s="3" t="str">
        <f>IF(C159="","",COUNTIF('[1]الخطة التدريبية المعتمدة'!E:E,E159)+COUNTIF('[1]الخطة التدريبية المعتمدة'!E:E,"جميع العاملين بالمنشأة"))</f>
        <v/>
      </c>
      <c r="M159" s="3" t="str">
        <f>IF(C159="","",COUNTIFS('[2]سجل الحضور والتنفيذ'!E:E,B159,'[2]سجل الحضور والتنفيذ'!H:H,"حاضر"))</f>
        <v/>
      </c>
      <c r="N159" s="7" t="str">
        <f>IF(OR(C159="",L159=0),"",M159/L159)</f>
        <v/>
      </c>
      <c r="O159" s="3" t="str">
        <f>IF(C159="","",SUMPRODUCT(('[2]سجل الحضور والتنفيذ'!E:E=B159)*('[2]سجل الحضور والتنفيذ'!H:H="حاضر")*('[2]سجل الحضور والتنفيذ'!G:G)))</f>
        <v/>
      </c>
      <c r="P159" s="3" t="str">
        <f ca="1">IF(C159="","",IF(G159&lt;&gt;"موظف جديد " &amp; 'الإعدادات والمستهدفات'!B4,"—",IF(COUNTIFS('[2]سجل الحضور والتنفيذ'!E:E,B159,'[2]سجل الحضور والتنفيذ'!A:A,"PSY-OR-01",'[2]سجل الحضور والتنفيذ'!H:H,"حاضر")&gt;0,"مستوفى",IF(AND(F159&lt;&gt;"",TODAY()&gt;F159+'الإعدادات والمستهدفات'!B9),"متأخر عن المهلة","خلال المهلة"))))</f>
        <v/>
      </c>
    </row>
    <row r="160" spans="1:16" x14ac:dyDescent="0.2">
      <c r="A160" s="3" t="str">
        <f>IF(C160="","",ROW()-3)</f>
        <v/>
      </c>
      <c r="B160" s="3"/>
      <c r="C160" s="3"/>
      <c r="D160" s="3"/>
      <c r="E160" s="3"/>
      <c r="F160" s="3"/>
      <c r="G160" s="3" t="str">
        <f>IF(C160="","",IF(F160="","موظف قائم",IF(YEAR(F160)&gt;='الإعدادات والمستهدفات'!B4,"موظف جديد " &amp; 'الإعدادات والمستهدفات'!B4,"موظف قائم")))</f>
        <v/>
      </c>
      <c r="H160" s="7"/>
      <c r="I160" s="3" t="str">
        <f>IF(C160="","",IF(OR(H160="",H160=0),"لم يُقيَّم","مُقيَّم"))</f>
        <v/>
      </c>
      <c r="J160" s="3" t="str">
        <f>IF(C160="","",IF(I160="لم يُقيَّم","يحتاج تقييم عاجل",IF(H160&lt;'الإعدادات والمستهدفات'!B5,"احتياج مرتفع جداً",IF(H160&lt;'الإعدادات والمستهدفات'!B6,"احتياج متوسط","احتياج منخفض"))))</f>
        <v/>
      </c>
      <c r="K160" s="3" t="str">
        <f>IF(C160="","",IF(OR(J160="يحتاج تقييم عاجل",J160="احتياج مرتفع جداً"),"أولوية قصوى (1)",IF(J160="احتياج متوسط","أولوية متوسطة (2)","أولوية عادية (3)")))</f>
        <v/>
      </c>
      <c r="L160" s="3" t="str">
        <f>IF(C160="","",COUNTIF('[1]الخطة التدريبية المعتمدة'!E:E,E160)+COUNTIF('[1]الخطة التدريبية المعتمدة'!E:E,"جميع العاملين بالمنشأة"))</f>
        <v/>
      </c>
      <c r="M160" s="3" t="str">
        <f>IF(C160="","",COUNTIFS('[2]سجل الحضور والتنفيذ'!E:E,B160,'[2]سجل الحضور والتنفيذ'!H:H,"حاضر"))</f>
        <v/>
      </c>
      <c r="N160" s="7" t="str">
        <f>IF(OR(C160="",L160=0),"",M160/L160)</f>
        <v/>
      </c>
      <c r="O160" s="3" t="str">
        <f>IF(C160="","",SUMPRODUCT(('[2]سجل الحضور والتنفيذ'!E:E=B160)*('[2]سجل الحضور والتنفيذ'!H:H="حاضر")*('[2]سجل الحضور والتنفيذ'!G:G)))</f>
        <v/>
      </c>
      <c r="P160" s="3" t="str">
        <f ca="1">IF(C160="","",IF(G160&lt;&gt;"موظف جديد " &amp; 'الإعدادات والمستهدفات'!B4,"—",IF(COUNTIFS('[2]سجل الحضور والتنفيذ'!E:E,B160,'[2]سجل الحضور والتنفيذ'!A:A,"PSY-OR-01",'[2]سجل الحضور والتنفيذ'!H:H,"حاضر")&gt;0,"مستوفى",IF(AND(F160&lt;&gt;"",TODAY()&gt;F160+'الإعدادات والمستهدفات'!B9),"متأخر عن المهلة","خلال المهلة"))))</f>
        <v/>
      </c>
    </row>
    <row r="161" spans="1:16" x14ac:dyDescent="0.2">
      <c r="A161" s="3" t="str">
        <f>IF(C161="","",ROW()-3)</f>
        <v/>
      </c>
      <c r="B161" s="3"/>
      <c r="C161" s="3"/>
      <c r="D161" s="3"/>
      <c r="E161" s="3"/>
      <c r="F161" s="3"/>
      <c r="G161" s="3" t="str">
        <f>IF(C161="","",IF(F161="","موظف قائم",IF(YEAR(F161)&gt;='الإعدادات والمستهدفات'!B4,"موظف جديد " &amp; 'الإعدادات والمستهدفات'!B4,"موظف قائم")))</f>
        <v/>
      </c>
      <c r="H161" s="7"/>
      <c r="I161" s="3" t="str">
        <f>IF(C161="","",IF(OR(H161="",H161=0),"لم يُقيَّم","مُقيَّم"))</f>
        <v/>
      </c>
      <c r="J161" s="3" t="str">
        <f>IF(C161="","",IF(I161="لم يُقيَّم","يحتاج تقييم عاجل",IF(H161&lt;'الإعدادات والمستهدفات'!B5,"احتياج مرتفع جداً",IF(H161&lt;'الإعدادات والمستهدفات'!B6,"احتياج متوسط","احتياج منخفض"))))</f>
        <v/>
      </c>
      <c r="K161" s="3" t="str">
        <f>IF(C161="","",IF(OR(J161="يحتاج تقييم عاجل",J161="احتياج مرتفع جداً"),"أولوية قصوى (1)",IF(J161="احتياج متوسط","أولوية متوسطة (2)","أولوية عادية (3)")))</f>
        <v/>
      </c>
      <c r="L161" s="3" t="str">
        <f>IF(C161="","",COUNTIF('[1]الخطة التدريبية المعتمدة'!E:E,E161)+COUNTIF('[1]الخطة التدريبية المعتمدة'!E:E,"جميع العاملين بالمنشأة"))</f>
        <v/>
      </c>
      <c r="M161" s="3" t="str">
        <f>IF(C161="","",COUNTIFS('[2]سجل الحضور والتنفيذ'!E:E,B161,'[2]سجل الحضور والتنفيذ'!H:H,"حاضر"))</f>
        <v/>
      </c>
      <c r="N161" s="7" t="str">
        <f>IF(OR(C161="",L161=0),"",M161/L161)</f>
        <v/>
      </c>
      <c r="O161" s="3" t="str">
        <f>IF(C161="","",SUMPRODUCT(('[2]سجل الحضور والتنفيذ'!E:E=B161)*('[2]سجل الحضور والتنفيذ'!H:H="حاضر")*('[2]سجل الحضور والتنفيذ'!G:G)))</f>
        <v/>
      </c>
      <c r="P161" s="3" t="str">
        <f ca="1">IF(C161="","",IF(G161&lt;&gt;"موظف جديد " &amp; 'الإعدادات والمستهدفات'!B4,"—",IF(COUNTIFS('[2]سجل الحضور والتنفيذ'!E:E,B161,'[2]سجل الحضور والتنفيذ'!A:A,"PSY-OR-01",'[2]سجل الحضور والتنفيذ'!H:H,"حاضر")&gt;0,"مستوفى",IF(AND(F161&lt;&gt;"",TODAY()&gt;F161+'الإعدادات والمستهدفات'!B9),"متأخر عن المهلة","خلال المهلة"))))</f>
        <v/>
      </c>
    </row>
    <row r="162" spans="1:16" x14ac:dyDescent="0.2">
      <c r="A162" s="3" t="str">
        <f>IF(C162="","",ROW()-3)</f>
        <v/>
      </c>
      <c r="B162" s="3"/>
      <c r="C162" s="3"/>
      <c r="D162" s="3"/>
      <c r="E162" s="3"/>
      <c r="F162" s="3"/>
      <c r="G162" s="3" t="str">
        <f>IF(C162="","",IF(F162="","موظف قائم",IF(YEAR(F162)&gt;='الإعدادات والمستهدفات'!B4,"موظف جديد " &amp; 'الإعدادات والمستهدفات'!B4,"موظف قائم")))</f>
        <v/>
      </c>
      <c r="H162" s="7"/>
      <c r="I162" s="3" t="str">
        <f>IF(C162="","",IF(OR(H162="",H162=0),"لم يُقيَّم","مُقيَّم"))</f>
        <v/>
      </c>
      <c r="J162" s="3" t="str">
        <f>IF(C162="","",IF(I162="لم يُقيَّم","يحتاج تقييم عاجل",IF(H162&lt;'الإعدادات والمستهدفات'!B5,"احتياج مرتفع جداً",IF(H162&lt;'الإعدادات والمستهدفات'!B6,"احتياج متوسط","احتياج منخفض"))))</f>
        <v/>
      </c>
      <c r="K162" s="3" t="str">
        <f>IF(C162="","",IF(OR(J162="يحتاج تقييم عاجل",J162="احتياج مرتفع جداً"),"أولوية قصوى (1)",IF(J162="احتياج متوسط","أولوية متوسطة (2)","أولوية عادية (3)")))</f>
        <v/>
      </c>
      <c r="L162" s="3" t="str">
        <f>IF(C162="","",COUNTIF('[1]الخطة التدريبية المعتمدة'!E:E,E162)+COUNTIF('[1]الخطة التدريبية المعتمدة'!E:E,"جميع العاملين بالمنشأة"))</f>
        <v/>
      </c>
      <c r="M162" s="3" t="str">
        <f>IF(C162="","",COUNTIFS('[2]سجل الحضور والتنفيذ'!E:E,B162,'[2]سجل الحضور والتنفيذ'!H:H,"حاضر"))</f>
        <v/>
      </c>
      <c r="N162" s="7" t="str">
        <f>IF(OR(C162="",L162=0),"",M162/L162)</f>
        <v/>
      </c>
      <c r="O162" s="3" t="str">
        <f>IF(C162="","",SUMPRODUCT(('[2]سجل الحضور والتنفيذ'!E:E=B162)*('[2]سجل الحضور والتنفيذ'!H:H="حاضر")*('[2]سجل الحضور والتنفيذ'!G:G)))</f>
        <v/>
      </c>
      <c r="P162" s="3" t="str">
        <f ca="1">IF(C162="","",IF(G162&lt;&gt;"موظف جديد " &amp; 'الإعدادات والمستهدفات'!B4,"—",IF(COUNTIFS('[2]سجل الحضور والتنفيذ'!E:E,B162,'[2]سجل الحضور والتنفيذ'!A:A,"PSY-OR-01",'[2]سجل الحضور والتنفيذ'!H:H,"حاضر")&gt;0,"مستوفى",IF(AND(F162&lt;&gt;"",TODAY()&gt;F162+'الإعدادات والمستهدفات'!B9),"متأخر عن المهلة","خلال المهلة"))))</f>
        <v/>
      </c>
    </row>
    <row r="163" spans="1:16" x14ac:dyDescent="0.2">
      <c r="A163" s="3" t="str">
        <f>IF(C163="","",ROW()-3)</f>
        <v/>
      </c>
      <c r="B163" s="3"/>
      <c r="C163" s="3"/>
      <c r="D163" s="3"/>
      <c r="E163" s="3"/>
      <c r="F163" s="3"/>
      <c r="G163" s="3" t="str">
        <f>IF(C163="","",IF(F163="","موظف قائم",IF(YEAR(F163)&gt;='الإعدادات والمستهدفات'!B4,"موظف جديد " &amp; 'الإعدادات والمستهدفات'!B4,"موظف قائم")))</f>
        <v/>
      </c>
      <c r="H163" s="7"/>
      <c r="I163" s="3" t="str">
        <f>IF(C163="","",IF(OR(H163="",H163=0),"لم يُقيَّم","مُقيَّم"))</f>
        <v/>
      </c>
      <c r="J163" s="3" t="str">
        <f>IF(C163="","",IF(I163="لم يُقيَّم","يحتاج تقييم عاجل",IF(H163&lt;'الإعدادات والمستهدفات'!B5,"احتياج مرتفع جداً",IF(H163&lt;'الإعدادات والمستهدفات'!B6,"احتياج متوسط","احتياج منخفض"))))</f>
        <v/>
      </c>
      <c r="K163" s="3" t="str">
        <f>IF(C163="","",IF(OR(J163="يحتاج تقييم عاجل",J163="احتياج مرتفع جداً"),"أولوية قصوى (1)",IF(J163="احتياج متوسط","أولوية متوسطة (2)","أولوية عادية (3)")))</f>
        <v/>
      </c>
      <c r="L163" s="3" t="str">
        <f>IF(C163="","",COUNTIF('[1]الخطة التدريبية المعتمدة'!E:E,E163)+COUNTIF('[1]الخطة التدريبية المعتمدة'!E:E,"جميع العاملين بالمنشأة"))</f>
        <v/>
      </c>
      <c r="M163" s="3" t="str">
        <f>IF(C163="","",COUNTIFS('[2]سجل الحضور والتنفيذ'!E:E,B163,'[2]سجل الحضور والتنفيذ'!H:H,"حاضر"))</f>
        <v/>
      </c>
      <c r="N163" s="7" t="str">
        <f>IF(OR(C163="",L163=0),"",M163/L163)</f>
        <v/>
      </c>
      <c r="O163" s="3" t="str">
        <f>IF(C163="","",SUMPRODUCT(('[2]سجل الحضور والتنفيذ'!E:E=B163)*('[2]سجل الحضور والتنفيذ'!H:H="حاضر")*('[2]سجل الحضور والتنفيذ'!G:G)))</f>
        <v/>
      </c>
      <c r="P163" s="3" t="str">
        <f ca="1">IF(C163="","",IF(G163&lt;&gt;"موظف جديد " &amp; 'الإعدادات والمستهدفات'!B4,"—",IF(COUNTIFS('[2]سجل الحضور والتنفيذ'!E:E,B163,'[2]سجل الحضور والتنفيذ'!A:A,"PSY-OR-01",'[2]سجل الحضور والتنفيذ'!H:H,"حاضر")&gt;0,"مستوفى",IF(AND(F163&lt;&gt;"",TODAY()&gt;F163+'الإعدادات والمستهدفات'!B9),"متأخر عن المهلة","خلال المهلة"))))</f>
        <v/>
      </c>
    </row>
    <row r="164" spans="1:16" x14ac:dyDescent="0.2">
      <c r="A164" s="3" t="str">
        <f>IF(C164="","",ROW()-3)</f>
        <v/>
      </c>
      <c r="B164" s="3"/>
      <c r="C164" s="3"/>
      <c r="D164" s="3"/>
      <c r="E164" s="3"/>
      <c r="F164" s="3"/>
      <c r="G164" s="3" t="str">
        <f>IF(C164="","",IF(F164="","موظف قائم",IF(YEAR(F164)&gt;='الإعدادات والمستهدفات'!B4,"موظف جديد " &amp; 'الإعدادات والمستهدفات'!B4,"موظف قائم")))</f>
        <v/>
      </c>
      <c r="H164" s="7"/>
      <c r="I164" s="3" t="str">
        <f>IF(C164="","",IF(OR(H164="",H164=0),"لم يُقيَّم","مُقيَّم"))</f>
        <v/>
      </c>
      <c r="J164" s="3" t="str">
        <f>IF(C164="","",IF(I164="لم يُقيَّم","يحتاج تقييم عاجل",IF(H164&lt;'الإعدادات والمستهدفات'!B5,"احتياج مرتفع جداً",IF(H164&lt;'الإعدادات والمستهدفات'!B6,"احتياج متوسط","احتياج منخفض"))))</f>
        <v/>
      </c>
      <c r="K164" s="3" t="str">
        <f>IF(C164="","",IF(OR(J164="يحتاج تقييم عاجل",J164="احتياج مرتفع جداً"),"أولوية قصوى (1)",IF(J164="احتياج متوسط","أولوية متوسطة (2)","أولوية عادية (3)")))</f>
        <v/>
      </c>
      <c r="L164" s="3" t="str">
        <f>IF(C164="","",COUNTIF('[1]الخطة التدريبية المعتمدة'!E:E,E164)+COUNTIF('[1]الخطة التدريبية المعتمدة'!E:E,"جميع العاملين بالمنشأة"))</f>
        <v/>
      </c>
      <c r="M164" s="3" t="str">
        <f>IF(C164="","",COUNTIFS('[2]سجل الحضور والتنفيذ'!E:E,B164,'[2]سجل الحضور والتنفيذ'!H:H,"حاضر"))</f>
        <v/>
      </c>
      <c r="N164" s="7" t="str">
        <f>IF(OR(C164="",L164=0),"",M164/L164)</f>
        <v/>
      </c>
      <c r="O164" s="3" t="str">
        <f>IF(C164="","",SUMPRODUCT(('[2]سجل الحضور والتنفيذ'!E:E=B164)*('[2]سجل الحضور والتنفيذ'!H:H="حاضر")*('[2]سجل الحضور والتنفيذ'!G:G)))</f>
        <v/>
      </c>
      <c r="P164" s="3" t="str">
        <f ca="1">IF(C164="","",IF(G164&lt;&gt;"موظف جديد " &amp; 'الإعدادات والمستهدفات'!B4,"—",IF(COUNTIFS('[2]سجل الحضور والتنفيذ'!E:E,B164,'[2]سجل الحضور والتنفيذ'!A:A,"PSY-OR-01",'[2]سجل الحضور والتنفيذ'!H:H,"حاضر")&gt;0,"مستوفى",IF(AND(F164&lt;&gt;"",TODAY()&gt;F164+'الإعدادات والمستهدفات'!B9),"متأخر عن المهلة","خلال المهلة"))))</f>
        <v/>
      </c>
    </row>
    <row r="165" spans="1:16" x14ac:dyDescent="0.2">
      <c r="A165" s="3" t="str">
        <f>IF(C165="","",ROW()-3)</f>
        <v/>
      </c>
      <c r="B165" s="3"/>
      <c r="C165" s="3"/>
      <c r="D165" s="3"/>
      <c r="E165" s="3"/>
      <c r="F165" s="3"/>
      <c r="G165" s="3" t="str">
        <f>IF(C165="","",IF(F165="","موظف قائم",IF(YEAR(F165)&gt;='الإعدادات والمستهدفات'!B4,"موظف جديد " &amp; 'الإعدادات والمستهدفات'!B4,"موظف قائم")))</f>
        <v/>
      </c>
      <c r="H165" s="7"/>
      <c r="I165" s="3" t="str">
        <f>IF(C165="","",IF(OR(H165="",H165=0),"لم يُقيَّم","مُقيَّم"))</f>
        <v/>
      </c>
      <c r="J165" s="3" t="str">
        <f>IF(C165="","",IF(I165="لم يُقيَّم","يحتاج تقييم عاجل",IF(H165&lt;'الإعدادات والمستهدفات'!B5,"احتياج مرتفع جداً",IF(H165&lt;'الإعدادات والمستهدفات'!B6,"احتياج متوسط","احتياج منخفض"))))</f>
        <v/>
      </c>
      <c r="K165" s="3" t="str">
        <f>IF(C165="","",IF(OR(J165="يحتاج تقييم عاجل",J165="احتياج مرتفع جداً"),"أولوية قصوى (1)",IF(J165="احتياج متوسط","أولوية متوسطة (2)","أولوية عادية (3)")))</f>
        <v/>
      </c>
      <c r="L165" s="3" t="str">
        <f>IF(C165="","",COUNTIF('[1]الخطة التدريبية المعتمدة'!E:E,E165)+COUNTIF('[1]الخطة التدريبية المعتمدة'!E:E,"جميع العاملين بالمنشأة"))</f>
        <v/>
      </c>
      <c r="M165" s="3" t="str">
        <f>IF(C165="","",COUNTIFS('[2]سجل الحضور والتنفيذ'!E:E,B165,'[2]سجل الحضور والتنفيذ'!H:H,"حاضر"))</f>
        <v/>
      </c>
      <c r="N165" s="7" t="str">
        <f>IF(OR(C165="",L165=0),"",M165/L165)</f>
        <v/>
      </c>
      <c r="O165" s="3" t="str">
        <f>IF(C165="","",SUMPRODUCT(('[2]سجل الحضور والتنفيذ'!E:E=B165)*('[2]سجل الحضور والتنفيذ'!H:H="حاضر")*('[2]سجل الحضور والتنفيذ'!G:G)))</f>
        <v/>
      </c>
      <c r="P165" s="3" t="str">
        <f ca="1">IF(C165="","",IF(G165&lt;&gt;"موظف جديد " &amp; 'الإعدادات والمستهدفات'!B4,"—",IF(COUNTIFS('[2]سجل الحضور والتنفيذ'!E:E,B165,'[2]سجل الحضور والتنفيذ'!A:A,"PSY-OR-01",'[2]سجل الحضور والتنفيذ'!H:H,"حاضر")&gt;0,"مستوفى",IF(AND(F165&lt;&gt;"",TODAY()&gt;F165+'الإعدادات والمستهدفات'!B9),"متأخر عن المهلة","خلال المهلة"))))</f>
        <v/>
      </c>
    </row>
    <row r="166" spans="1:16" x14ac:dyDescent="0.2">
      <c r="A166" s="3" t="str">
        <f>IF(C166="","",ROW()-3)</f>
        <v/>
      </c>
      <c r="B166" s="3"/>
      <c r="C166" s="3"/>
      <c r="D166" s="3"/>
      <c r="E166" s="3"/>
      <c r="F166" s="3"/>
      <c r="G166" s="3" t="str">
        <f>IF(C166="","",IF(F166="","موظف قائم",IF(YEAR(F166)&gt;='الإعدادات والمستهدفات'!B4,"موظف جديد " &amp; 'الإعدادات والمستهدفات'!B4,"موظف قائم")))</f>
        <v/>
      </c>
      <c r="H166" s="7"/>
      <c r="I166" s="3" t="str">
        <f>IF(C166="","",IF(OR(H166="",H166=0),"لم يُقيَّم","مُقيَّم"))</f>
        <v/>
      </c>
      <c r="J166" s="3" t="str">
        <f>IF(C166="","",IF(I166="لم يُقيَّم","يحتاج تقييم عاجل",IF(H166&lt;'الإعدادات والمستهدفات'!B5,"احتياج مرتفع جداً",IF(H166&lt;'الإعدادات والمستهدفات'!B6,"احتياج متوسط","احتياج منخفض"))))</f>
        <v/>
      </c>
      <c r="K166" s="3" t="str">
        <f>IF(C166="","",IF(OR(J166="يحتاج تقييم عاجل",J166="احتياج مرتفع جداً"),"أولوية قصوى (1)",IF(J166="احتياج متوسط","أولوية متوسطة (2)","أولوية عادية (3)")))</f>
        <v/>
      </c>
      <c r="L166" s="3" t="str">
        <f>IF(C166="","",COUNTIF('[1]الخطة التدريبية المعتمدة'!E:E,E166)+COUNTIF('[1]الخطة التدريبية المعتمدة'!E:E,"جميع العاملين بالمنشأة"))</f>
        <v/>
      </c>
      <c r="M166" s="3" t="str">
        <f>IF(C166="","",COUNTIFS('[2]سجل الحضور والتنفيذ'!E:E,B166,'[2]سجل الحضور والتنفيذ'!H:H,"حاضر"))</f>
        <v/>
      </c>
      <c r="N166" s="7" t="str">
        <f>IF(OR(C166="",L166=0),"",M166/L166)</f>
        <v/>
      </c>
      <c r="O166" s="3" t="str">
        <f>IF(C166="","",SUMPRODUCT(('[2]سجل الحضور والتنفيذ'!E:E=B166)*('[2]سجل الحضور والتنفيذ'!H:H="حاضر")*('[2]سجل الحضور والتنفيذ'!G:G)))</f>
        <v/>
      </c>
      <c r="P166" s="3" t="str">
        <f ca="1">IF(C166="","",IF(G166&lt;&gt;"موظف جديد " &amp; 'الإعدادات والمستهدفات'!B4,"—",IF(COUNTIFS('[2]سجل الحضور والتنفيذ'!E:E,B166,'[2]سجل الحضور والتنفيذ'!A:A,"PSY-OR-01",'[2]سجل الحضور والتنفيذ'!H:H,"حاضر")&gt;0,"مستوفى",IF(AND(F166&lt;&gt;"",TODAY()&gt;F166+'الإعدادات والمستهدفات'!B9),"متأخر عن المهلة","خلال المهلة"))))</f>
        <v/>
      </c>
    </row>
    <row r="167" spans="1:16" x14ac:dyDescent="0.2">
      <c r="A167" s="3" t="str">
        <f>IF(C167="","",ROW()-3)</f>
        <v/>
      </c>
      <c r="B167" s="3"/>
      <c r="C167" s="3"/>
      <c r="D167" s="3"/>
      <c r="E167" s="3"/>
      <c r="F167" s="3"/>
      <c r="G167" s="3" t="str">
        <f>IF(C167="","",IF(F167="","موظف قائم",IF(YEAR(F167)&gt;='الإعدادات والمستهدفات'!B4,"موظف جديد " &amp; 'الإعدادات والمستهدفات'!B4,"موظف قائم")))</f>
        <v/>
      </c>
      <c r="H167" s="7"/>
      <c r="I167" s="3" t="str">
        <f>IF(C167="","",IF(OR(H167="",H167=0),"لم يُقيَّم","مُقيَّم"))</f>
        <v/>
      </c>
      <c r="J167" s="3" t="str">
        <f>IF(C167="","",IF(I167="لم يُقيَّم","يحتاج تقييم عاجل",IF(H167&lt;'الإعدادات والمستهدفات'!B5,"احتياج مرتفع جداً",IF(H167&lt;'الإعدادات والمستهدفات'!B6,"احتياج متوسط","احتياج منخفض"))))</f>
        <v/>
      </c>
      <c r="K167" s="3" t="str">
        <f>IF(C167="","",IF(OR(J167="يحتاج تقييم عاجل",J167="احتياج مرتفع جداً"),"أولوية قصوى (1)",IF(J167="احتياج متوسط","أولوية متوسطة (2)","أولوية عادية (3)")))</f>
        <v/>
      </c>
      <c r="L167" s="3" t="str">
        <f>IF(C167="","",COUNTIF('[1]الخطة التدريبية المعتمدة'!E:E,E167)+COUNTIF('[1]الخطة التدريبية المعتمدة'!E:E,"جميع العاملين بالمنشأة"))</f>
        <v/>
      </c>
      <c r="M167" s="3" t="str">
        <f>IF(C167="","",COUNTIFS('[2]سجل الحضور والتنفيذ'!E:E,B167,'[2]سجل الحضور والتنفيذ'!H:H,"حاضر"))</f>
        <v/>
      </c>
      <c r="N167" s="7" t="str">
        <f>IF(OR(C167="",L167=0),"",M167/L167)</f>
        <v/>
      </c>
      <c r="O167" s="3" t="str">
        <f>IF(C167="","",SUMPRODUCT(('[2]سجل الحضور والتنفيذ'!E:E=B167)*('[2]سجل الحضور والتنفيذ'!H:H="حاضر")*('[2]سجل الحضور والتنفيذ'!G:G)))</f>
        <v/>
      </c>
      <c r="P167" s="3" t="str">
        <f ca="1">IF(C167="","",IF(G167&lt;&gt;"موظف جديد " &amp; 'الإعدادات والمستهدفات'!B4,"—",IF(COUNTIFS('[2]سجل الحضور والتنفيذ'!E:E,B167,'[2]سجل الحضور والتنفيذ'!A:A,"PSY-OR-01",'[2]سجل الحضور والتنفيذ'!H:H,"حاضر")&gt;0,"مستوفى",IF(AND(F167&lt;&gt;"",TODAY()&gt;F167+'الإعدادات والمستهدفات'!B9),"متأخر عن المهلة","خلال المهلة"))))</f>
        <v/>
      </c>
    </row>
    <row r="168" spans="1:16" x14ac:dyDescent="0.2">
      <c r="A168" s="3" t="str">
        <f>IF(C168="","",ROW()-3)</f>
        <v/>
      </c>
      <c r="B168" s="3"/>
      <c r="C168" s="3"/>
      <c r="D168" s="3"/>
      <c r="E168" s="3"/>
      <c r="F168" s="3"/>
      <c r="G168" s="3" t="str">
        <f>IF(C168="","",IF(F168="","موظف قائم",IF(YEAR(F168)&gt;='الإعدادات والمستهدفات'!B4,"موظف جديد " &amp; 'الإعدادات والمستهدفات'!B4,"موظف قائم")))</f>
        <v/>
      </c>
      <c r="H168" s="7"/>
      <c r="I168" s="3" t="str">
        <f>IF(C168="","",IF(OR(H168="",H168=0),"لم يُقيَّم","مُقيَّم"))</f>
        <v/>
      </c>
      <c r="J168" s="3" t="str">
        <f>IF(C168="","",IF(I168="لم يُقيَّم","يحتاج تقييم عاجل",IF(H168&lt;'الإعدادات والمستهدفات'!B5,"احتياج مرتفع جداً",IF(H168&lt;'الإعدادات والمستهدفات'!B6,"احتياج متوسط","احتياج منخفض"))))</f>
        <v/>
      </c>
      <c r="K168" s="3" t="str">
        <f>IF(C168="","",IF(OR(J168="يحتاج تقييم عاجل",J168="احتياج مرتفع جداً"),"أولوية قصوى (1)",IF(J168="احتياج متوسط","أولوية متوسطة (2)","أولوية عادية (3)")))</f>
        <v/>
      </c>
      <c r="L168" s="3" t="str">
        <f>IF(C168="","",COUNTIF('[1]الخطة التدريبية المعتمدة'!E:E,E168)+COUNTIF('[1]الخطة التدريبية المعتمدة'!E:E,"جميع العاملين بالمنشأة"))</f>
        <v/>
      </c>
      <c r="M168" s="3" t="str">
        <f>IF(C168="","",COUNTIFS('[2]سجل الحضور والتنفيذ'!E:E,B168,'[2]سجل الحضور والتنفيذ'!H:H,"حاضر"))</f>
        <v/>
      </c>
      <c r="N168" s="7" t="str">
        <f>IF(OR(C168="",L168=0),"",M168/L168)</f>
        <v/>
      </c>
      <c r="O168" s="3" t="str">
        <f>IF(C168="","",SUMPRODUCT(('[2]سجل الحضور والتنفيذ'!E:E=B168)*('[2]سجل الحضور والتنفيذ'!H:H="حاضر")*('[2]سجل الحضور والتنفيذ'!G:G)))</f>
        <v/>
      </c>
      <c r="P168" s="3" t="str">
        <f ca="1">IF(C168="","",IF(G168&lt;&gt;"موظف جديد " &amp; 'الإعدادات والمستهدفات'!B4,"—",IF(COUNTIFS('[2]سجل الحضور والتنفيذ'!E:E,B168,'[2]سجل الحضور والتنفيذ'!A:A,"PSY-OR-01",'[2]سجل الحضور والتنفيذ'!H:H,"حاضر")&gt;0,"مستوفى",IF(AND(F168&lt;&gt;"",TODAY()&gt;F168+'الإعدادات والمستهدفات'!B9),"متأخر عن المهلة","خلال المهلة"))))</f>
        <v/>
      </c>
    </row>
    <row r="169" spans="1:16" x14ac:dyDescent="0.2">
      <c r="A169" s="3" t="str">
        <f>IF(C169="","",ROW()-3)</f>
        <v/>
      </c>
      <c r="B169" s="3"/>
      <c r="C169" s="3"/>
      <c r="D169" s="3"/>
      <c r="E169" s="3"/>
      <c r="F169" s="3"/>
      <c r="G169" s="3" t="str">
        <f>IF(C169="","",IF(F169="","موظف قائم",IF(YEAR(F169)&gt;='الإعدادات والمستهدفات'!B4,"موظف جديد " &amp; 'الإعدادات والمستهدفات'!B4,"موظف قائم")))</f>
        <v/>
      </c>
      <c r="H169" s="7"/>
      <c r="I169" s="3" t="str">
        <f>IF(C169="","",IF(OR(H169="",H169=0),"لم يُقيَّم","مُقيَّم"))</f>
        <v/>
      </c>
      <c r="J169" s="3" t="str">
        <f>IF(C169="","",IF(I169="لم يُقيَّم","يحتاج تقييم عاجل",IF(H169&lt;'الإعدادات والمستهدفات'!B5,"احتياج مرتفع جداً",IF(H169&lt;'الإعدادات والمستهدفات'!B6,"احتياج متوسط","احتياج منخفض"))))</f>
        <v/>
      </c>
      <c r="K169" s="3" t="str">
        <f>IF(C169="","",IF(OR(J169="يحتاج تقييم عاجل",J169="احتياج مرتفع جداً"),"أولوية قصوى (1)",IF(J169="احتياج متوسط","أولوية متوسطة (2)","أولوية عادية (3)")))</f>
        <v/>
      </c>
      <c r="L169" s="3" t="str">
        <f>IF(C169="","",COUNTIF('[1]الخطة التدريبية المعتمدة'!E:E,E169)+COUNTIF('[1]الخطة التدريبية المعتمدة'!E:E,"جميع العاملين بالمنشأة"))</f>
        <v/>
      </c>
      <c r="M169" s="3" t="str">
        <f>IF(C169="","",COUNTIFS('[2]سجل الحضور والتنفيذ'!E:E,B169,'[2]سجل الحضور والتنفيذ'!H:H,"حاضر"))</f>
        <v/>
      </c>
      <c r="N169" s="7" t="str">
        <f>IF(OR(C169="",L169=0),"",M169/L169)</f>
        <v/>
      </c>
      <c r="O169" s="3" t="str">
        <f>IF(C169="","",SUMPRODUCT(('[2]سجل الحضور والتنفيذ'!E:E=B169)*('[2]سجل الحضور والتنفيذ'!H:H="حاضر")*('[2]سجل الحضور والتنفيذ'!G:G)))</f>
        <v/>
      </c>
      <c r="P169" s="3" t="str">
        <f ca="1">IF(C169="","",IF(G169&lt;&gt;"موظف جديد " &amp; 'الإعدادات والمستهدفات'!B4,"—",IF(COUNTIFS('[2]سجل الحضور والتنفيذ'!E:E,B169,'[2]سجل الحضور والتنفيذ'!A:A,"PSY-OR-01",'[2]سجل الحضور والتنفيذ'!H:H,"حاضر")&gt;0,"مستوفى",IF(AND(F169&lt;&gt;"",TODAY()&gt;F169+'الإعدادات والمستهدفات'!B9),"متأخر عن المهلة","خلال المهلة"))))</f>
        <v/>
      </c>
    </row>
    <row r="170" spans="1:16" x14ac:dyDescent="0.2">
      <c r="A170" s="3" t="str">
        <f>IF(C170="","",ROW()-3)</f>
        <v/>
      </c>
      <c r="B170" s="3"/>
      <c r="C170" s="3"/>
      <c r="D170" s="3"/>
      <c r="E170" s="3"/>
      <c r="F170" s="3"/>
      <c r="G170" s="3" t="str">
        <f>IF(C170="","",IF(F170="","موظف قائم",IF(YEAR(F170)&gt;='الإعدادات والمستهدفات'!B4,"موظف جديد " &amp; 'الإعدادات والمستهدفات'!B4,"موظف قائم")))</f>
        <v/>
      </c>
      <c r="H170" s="7"/>
      <c r="I170" s="3" t="str">
        <f>IF(C170="","",IF(OR(H170="",H170=0),"لم يُقيَّم","مُقيَّم"))</f>
        <v/>
      </c>
      <c r="J170" s="3" t="str">
        <f>IF(C170="","",IF(I170="لم يُقيَّم","يحتاج تقييم عاجل",IF(H170&lt;'الإعدادات والمستهدفات'!B5,"احتياج مرتفع جداً",IF(H170&lt;'الإعدادات والمستهدفات'!B6,"احتياج متوسط","احتياج منخفض"))))</f>
        <v/>
      </c>
      <c r="K170" s="3" t="str">
        <f>IF(C170="","",IF(OR(J170="يحتاج تقييم عاجل",J170="احتياج مرتفع جداً"),"أولوية قصوى (1)",IF(J170="احتياج متوسط","أولوية متوسطة (2)","أولوية عادية (3)")))</f>
        <v/>
      </c>
      <c r="L170" s="3" t="str">
        <f>IF(C170="","",COUNTIF('[1]الخطة التدريبية المعتمدة'!E:E,E170)+COUNTIF('[1]الخطة التدريبية المعتمدة'!E:E,"جميع العاملين بالمنشأة"))</f>
        <v/>
      </c>
      <c r="M170" s="3" t="str">
        <f>IF(C170="","",COUNTIFS('[2]سجل الحضور والتنفيذ'!E:E,B170,'[2]سجل الحضور والتنفيذ'!H:H,"حاضر"))</f>
        <v/>
      </c>
      <c r="N170" s="7" t="str">
        <f>IF(OR(C170="",L170=0),"",M170/L170)</f>
        <v/>
      </c>
      <c r="O170" s="3" t="str">
        <f>IF(C170="","",SUMPRODUCT(('[2]سجل الحضور والتنفيذ'!E:E=B170)*('[2]سجل الحضور والتنفيذ'!H:H="حاضر")*('[2]سجل الحضور والتنفيذ'!G:G)))</f>
        <v/>
      </c>
      <c r="P170" s="3" t="str">
        <f ca="1">IF(C170="","",IF(G170&lt;&gt;"موظف جديد " &amp; 'الإعدادات والمستهدفات'!B4,"—",IF(COUNTIFS('[2]سجل الحضور والتنفيذ'!E:E,B170,'[2]سجل الحضور والتنفيذ'!A:A,"PSY-OR-01",'[2]سجل الحضور والتنفيذ'!H:H,"حاضر")&gt;0,"مستوفى",IF(AND(F170&lt;&gt;"",TODAY()&gt;F170+'الإعدادات والمستهدفات'!B9),"متأخر عن المهلة","خلال المهلة"))))</f>
        <v/>
      </c>
    </row>
    <row r="171" spans="1:16" x14ac:dyDescent="0.2">
      <c r="A171" s="3" t="str">
        <f>IF(C171="","",ROW()-3)</f>
        <v/>
      </c>
      <c r="B171" s="3"/>
      <c r="C171" s="3"/>
      <c r="D171" s="3"/>
      <c r="E171" s="3"/>
      <c r="F171" s="3"/>
      <c r="G171" s="3" t="str">
        <f>IF(C171="","",IF(F171="","موظف قائم",IF(YEAR(F171)&gt;='الإعدادات والمستهدفات'!B4,"موظف جديد " &amp; 'الإعدادات والمستهدفات'!B4,"موظف قائم")))</f>
        <v/>
      </c>
      <c r="H171" s="7"/>
      <c r="I171" s="3" t="str">
        <f>IF(C171="","",IF(OR(H171="",H171=0),"لم يُقيَّم","مُقيَّم"))</f>
        <v/>
      </c>
      <c r="J171" s="3" t="str">
        <f>IF(C171="","",IF(I171="لم يُقيَّم","يحتاج تقييم عاجل",IF(H171&lt;'الإعدادات والمستهدفات'!B5,"احتياج مرتفع جداً",IF(H171&lt;'الإعدادات والمستهدفات'!B6,"احتياج متوسط","احتياج منخفض"))))</f>
        <v/>
      </c>
      <c r="K171" s="3" t="str">
        <f>IF(C171="","",IF(OR(J171="يحتاج تقييم عاجل",J171="احتياج مرتفع جداً"),"أولوية قصوى (1)",IF(J171="احتياج متوسط","أولوية متوسطة (2)","أولوية عادية (3)")))</f>
        <v/>
      </c>
      <c r="L171" s="3" t="str">
        <f>IF(C171="","",COUNTIF('[1]الخطة التدريبية المعتمدة'!E:E,E171)+COUNTIF('[1]الخطة التدريبية المعتمدة'!E:E,"جميع العاملين بالمنشأة"))</f>
        <v/>
      </c>
      <c r="M171" s="3" t="str">
        <f>IF(C171="","",COUNTIFS('[2]سجل الحضور والتنفيذ'!E:E,B171,'[2]سجل الحضور والتنفيذ'!H:H,"حاضر"))</f>
        <v/>
      </c>
      <c r="N171" s="7" t="str">
        <f>IF(OR(C171="",L171=0),"",M171/L171)</f>
        <v/>
      </c>
      <c r="O171" s="3" t="str">
        <f>IF(C171="","",SUMPRODUCT(('[2]سجل الحضور والتنفيذ'!E:E=B171)*('[2]سجل الحضور والتنفيذ'!H:H="حاضر")*('[2]سجل الحضور والتنفيذ'!G:G)))</f>
        <v/>
      </c>
      <c r="P171" s="3" t="str">
        <f ca="1">IF(C171="","",IF(G171&lt;&gt;"موظف جديد " &amp; 'الإعدادات والمستهدفات'!B4,"—",IF(COUNTIFS('[2]سجل الحضور والتنفيذ'!E:E,B171,'[2]سجل الحضور والتنفيذ'!A:A,"PSY-OR-01",'[2]سجل الحضور والتنفيذ'!H:H,"حاضر")&gt;0,"مستوفى",IF(AND(F171&lt;&gt;"",TODAY()&gt;F171+'الإعدادات والمستهدفات'!B9),"متأخر عن المهلة","خلال المهلة"))))</f>
        <v/>
      </c>
    </row>
    <row r="172" spans="1:16" x14ac:dyDescent="0.2">
      <c r="A172" s="3" t="str">
        <f>IF(C172="","",ROW()-3)</f>
        <v/>
      </c>
      <c r="B172" s="3"/>
      <c r="C172" s="3"/>
      <c r="D172" s="3"/>
      <c r="E172" s="3"/>
      <c r="F172" s="3"/>
      <c r="G172" s="3" t="str">
        <f>IF(C172="","",IF(F172="","موظف قائم",IF(YEAR(F172)&gt;='الإعدادات والمستهدفات'!B4,"موظف جديد " &amp; 'الإعدادات والمستهدفات'!B4,"موظف قائم")))</f>
        <v/>
      </c>
      <c r="H172" s="7"/>
      <c r="I172" s="3" t="str">
        <f>IF(C172="","",IF(OR(H172="",H172=0),"لم يُقيَّم","مُقيَّم"))</f>
        <v/>
      </c>
      <c r="J172" s="3" t="str">
        <f>IF(C172="","",IF(I172="لم يُقيَّم","يحتاج تقييم عاجل",IF(H172&lt;'الإعدادات والمستهدفات'!B5,"احتياج مرتفع جداً",IF(H172&lt;'الإعدادات والمستهدفات'!B6,"احتياج متوسط","احتياج منخفض"))))</f>
        <v/>
      </c>
      <c r="K172" s="3" t="str">
        <f>IF(C172="","",IF(OR(J172="يحتاج تقييم عاجل",J172="احتياج مرتفع جداً"),"أولوية قصوى (1)",IF(J172="احتياج متوسط","أولوية متوسطة (2)","أولوية عادية (3)")))</f>
        <v/>
      </c>
      <c r="L172" s="3" t="str">
        <f>IF(C172="","",COUNTIF('[1]الخطة التدريبية المعتمدة'!E:E,E172)+COUNTIF('[1]الخطة التدريبية المعتمدة'!E:E,"جميع العاملين بالمنشأة"))</f>
        <v/>
      </c>
      <c r="M172" s="3" t="str">
        <f>IF(C172="","",COUNTIFS('[2]سجل الحضور والتنفيذ'!E:E,B172,'[2]سجل الحضور والتنفيذ'!H:H,"حاضر"))</f>
        <v/>
      </c>
      <c r="N172" s="7" t="str">
        <f>IF(OR(C172="",L172=0),"",M172/L172)</f>
        <v/>
      </c>
      <c r="O172" s="3" t="str">
        <f>IF(C172="","",SUMPRODUCT(('[2]سجل الحضور والتنفيذ'!E:E=B172)*('[2]سجل الحضور والتنفيذ'!H:H="حاضر")*('[2]سجل الحضور والتنفيذ'!G:G)))</f>
        <v/>
      </c>
      <c r="P172" s="3" t="str">
        <f ca="1">IF(C172="","",IF(G172&lt;&gt;"موظف جديد " &amp; 'الإعدادات والمستهدفات'!B4,"—",IF(COUNTIFS('[2]سجل الحضور والتنفيذ'!E:E,B172,'[2]سجل الحضور والتنفيذ'!A:A,"PSY-OR-01",'[2]سجل الحضور والتنفيذ'!H:H,"حاضر")&gt;0,"مستوفى",IF(AND(F172&lt;&gt;"",TODAY()&gt;F172+'الإعدادات والمستهدفات'!B9),"متأخر عن المهلة","خلال المهلة"))))</f>
        <v/>
      </c>
    </row>
    <row r="173" spans="1:16" x14ac:dyDescent="0.2">
      <c r="A173" s="3" t="str">
        <f>IF(C173="","",ROW()-3)</f>
        <v/>
      </c>
      <c r="B173" s="3"/>
      <c r="C173" s="3"/>
      <c r="D173" s="3"/>
      <c r="E173" s="3"/>
      <c r="F173" s="3"/>
      <c r="G173" s="3" t="str">
        <f>IF(C173="","",IF(F173="","موظف قائم",IF(YEAR(F173)&gt;='الإعدادات والمستهدفات'!B4,"موظف جديد " &amp; 'الإعدادات والمستهدفات'!B4,"موظف قائم")))</f>
        <v/>
      </c>
      <c r="H173" s="7"/>
      <c r="I173" s="3" t="str">
        <f>IF(C173="","",IF(OR(H173="",H173=0),"لم يُقيَّم","مُقيَّم"))</f>
        <v/>
      </c>
      <c r="J173" s="3" t="str">
        <f>IF(C173="","",IF(I173="لم يُقيَّم","يحتاج تقييم عاجل",IF(H173&lt;'الإعدادات والمستهدفات'!B5,"احتياج مرتفع جداً",IF(H173&lt;'الإعدادات والمستهدفات'!B6,"احتياج متوسط","احتياج منخفض"))))</f>
        <v/>
      </c>
      <c r="K173" s="3" t="str">
        <f>IF(C173="","",IF(OR(J173="يحتاج تقييم عاجل",J173="احتياج مرتفع جداً"),"أولوية قصوى (1)",IF(J173="احتياج متوسط","أولوية متوسطة (2)","أولوية عادية (3)")))</f>
        <v/>
      </c>
      <c r="L173" s="3" t="str">
        <f>IF(C173="","",COUNTIF('[1]الخطة التدريبية المعتمدة'!E:E,E173)+COUNTIF('[1]الخطة التدريبية المعتمدة'!E:E,"جميع العاملين بالمنشأة"))</f>
        <v/>
      </c>
      <c r="M173" s="3" t="str">
        <f>IF(C173="","",COUNTIFS('[2]سجل الحضور والتنفيذ'!E:E,B173,'[2]سجل الحضور والتنفيذ'!H:H,"حاضر"))</f>
        <v/>
      </c>
      <c r="N173" s="7" t="str">
        <f>IF(OR(C173="",L173=0),"",M173/L173)</f>
        <v/>
      </c>
      <c r="O173" s="3" t="str">
        <f>IF(C173="","",SUMPRODUCT(('[2]سجل الحضور والتنفيذ'!E:E=B173)*('[2]سجل الحضور والتنفيذ'!H:H="حاضر")*('[2]سجل الحضور والتنفيذ'!G:G)))</f>
        <v/>
      </c>
      <c r="P173" s="3" t="str">
        <f ca="1">IF(C173="","",IF(G173&lt;&gt;"موظف جديد " &amp; 'الإعدادات والمستهدفات'!B4,"—",IF(COUNTIFS('[2]سجل الحضور والتنفيذ'!E:E,B173,'[2]سجل الحضور والتنفيذ'!A:A,"PSY-OR-01",'[2]سجل الحضور والتنفيذ'!H:H,"حاضر")&gt;0,"مستوفى",IF(AND(F173&lt;&gt;"",TODAY()&gt;F173+'الإعدادات والمستهدفات'!B9),"متأخر عن المهلة","خلال المهلة"))))</f>
        <v/>
      </c>
    </row>
    <row r="174" spans="1:16" x14ac:dyDescent="0.2">
      <c r="A174" s="3" t="str">
        <f>IF(C174="","",ROW()-3)</f>
        <v/>
      </c>
      <c r="B174" s="3"/>
      <c r="C174" s="3"/>
      <c r="D174" s="3"/>
      <c r="E174" s="3"/>
      <c r="F174" s="3"/>
      <c r="G174" s="3" t="str">
        <f>IF(C174="","",IF(F174="","موظف قائم",IF(YEAR(F174)&gt;='الإعدادات والمستهدفات'!B4,"موظف جديد " &amp; 'الإعدادات والمستهدفات'!B4,"موظف قائم")))</f>
        <v/>
      </c>
      <c r="H174" s="7"/>
      <c r="I174" s="3" t="str">
        <f>IF(C174="","",IF(OR(H174="",H174=0),"لم يُقيَّم","مُقيَّم"))</f>
        <v/>
      </c>
      <c r="J174" s="3" t="str">
        <f>IF(C174="","",IF(I174="لم يُقيَّم","يحتاج تقييم عاجل",IF(H174&lt;'الإعدادات والمستهدفات'!B5,"احتياج مرتفع جداً",IF(H174&lt;'الإعدادات والمستهدفات'!B6,"احتياج متوسط","احتياج منخفض"))))</f>
        <v/>
      </c>
      <c r="K174" s="3" t="str">
        <f>IF(C174="","",IF(OR(J174="يحتاج تقييم عاجل",J174="احتياج مرتفع جداً"),"أولوية قصوى (1)",IF(J174="احتياج متوسط","أولوية متوسطة (2)","أولوية عادية (3)")))</f>
        <v/>
      </c>
      <c r="L174" s="3" t="str">
        <f>IF(C174="","",COUNTIF('[1]الخطة التدريبية المعتمدة'!E:E,E174)+COUNTIF('[1]الخطة التدريبية المعتمدة'!E:E,"جميع العاملين بالمنشأة"))</f>
        <v/>
      </c>
      <c r="M174" s="3" t="str">
        <f>IF(C174="","",COUNTIFS('[2]سجل الحضور والتنفيذ'!E:E,B174,'[2]سجل الحضور والتنفيذ'!H:H,"حاضر"))</f>
        <v/>
      </c>
      <c r="N174" s="7" t="str">
        <f>IF(OR(C174="",L174=0),"",M174/L174)</f>
        <v/>
      </c>
      <c r="O174" s="3" t="str">
        <f>IF(C174="","",SUMPRODUCT(('[2]سجل الحضور والتنفيذ'!E:E=B174)*('[2]سجل الحضور والتنفيذ'!H:H="حاضر")*('[2]سجل الحضور والتنفيذ'!G:G)))</f>
        <v/>
      </c>
      <c r="P174" s="3" t="str">
        <f ca="1">IF(C174="","",IF(G174&lt;&gt;"موظف جديد " &amp; 'الإعدادات والمستهدفات'!B4,"—",IF(COUNTIFS('[2]سجل الحضور والتنفيذ'!E:E,B174,'[2]سجل الحضور والتنفيذ'!A:A,"PSY-OR-01",'[2]سجل الحضور والتنفيذ'!H:H,"حاضر")&gt;0,"مستوفى",IF(AND(F174&lt;&gt;"",TODAY()&gt;F174+'الإعدادات والمستهدفات'!B9),"متأخر عن المهلة","خلال المهلة"))))</f>
        <v/>
      </c>
    </row>
    <row r="175" spans="1:16" x14ac:dyDescent="0.2">
      <c r="A175" s="3" t="str">
        <f>IF(C175="","",ROW()-3)</f>
        <v/>
      </c>
      <c r="B175" s="3"/>
      <c r="C175" s="3"/>
      <c r="D175" s="3"/>
      <c r="E175" s="3"/>
      <c r="F175" s="3"/>
      <c r="G175" s="3" t="str">
        <f>IF(C175="","",IF(F175="","موظف قائم",IF(YEAR(F175)&gt;='الإعدادات والمستهدفات'!B4,"موظف جديد " &amp; 'الإعدادات والمستهدفات'!B4,"موظف قائم")))</f>
        <v/>
      </c>
      <c r="H175" s="7"/>
      <c r="I175" s="3" t="str">
        <f>IF(C175="","",IF(OR(H175="",H175=0),"لم يُقيَّم","مُقيَّم"))</f>
        <v/>
      </c>
      <c r="J175" s="3" t="str">
        <f>IF(C175="","",IF(I175="لم يُقيَّم","يحتاج تقييم عاجل",IF(H175&lt;'الإعدادات والمستهدفات'!B5,"احتياج مرتفع جداً",IF(H175&lt;'الإعدادات والمستهدفات'!B6,"احتياج متوسط","احتياج منخفض"))))</f>
        <v/>
      </c>
      <c r="K175" s="3" t="str">
        <f>IF(C175="","",IF(OR(J175="يحتاج تقييم عاجل",J175="احتياج مرتفع جداً"),"أولوية قصوى (1)",IF(J175="احتياج متوسط","أولوية متوسطة (2)","أولوية عادية (3)")))</f>
        <v/>
      </c>
      <c r="L175" s="3" t="str">
        <f>IF(C175="","",COUNTIF('[1]الخطة التدريبية المعتمدة'!E:E,E175)+COUNTIF('[1]الخطة التدريبية المعتمدة'!E:E,"جميع العاملين بالمنشأة"))</f>
        <v/>
      </c>
      <c r="M175" s="3" t="str">
        <f>IF(C175="","",COUNTIFS('[2]سجل الحضور والتنفيذ'!E:E,B175,'[2]سجل الحضور والتنفيذ'!H:H,"حاضر"))</f>
        <v/>
      </c>
      <c r="N175" s="7" t="str">
        <f>IF(OR(C175="",L175=0),"",M175/L175)</f>
        <v/>
      </c>
      <c r="O175" s="3" t="str">
        <f>IF(C175="","",SUMPRODUCT(('[2]سجل الحضور والتنفيذ'!E:E=B175)*('[2]سجل الحضور والتنفيذ'!H:H="حاضر")*('[2]سجل الحضور والتنفيذ'!G:G)))</f>
        <v/>
      </c>
      <c r="P175" s="3" t="str">
        <f ca="1">IF(C175="","",IF(G175&lt;&gt;"موظف جديد " &amp; 'الإعدادات والمستهدفات'!B4,"—",IF(COUNTIFS('[2]سجل الحضور والتنفيذ'!E:E,B175,'[2]سجل الحضور والتنفيذ'!A:A,"PSY-OR-01",'[2]سجل الحضور والتنفيذ'!H:H,"حاضر")&gt;0,"مستوفى",IF(AND(F175&lt;&gt;"",TODAY()&gt;F175+'الإعدادات والمستهدفات'!B9),"متأخر عن المهلة","خلال المهلة"))))</f>
        <v/>
      </c>
    </row>
    <row r="176" spans="1:16" x14ac:dyDescent="0.2">
      <c r="A176" s="3" t="str">
        <f>IF(C176="","",ROW()-3)</f>
        <v/>
      </c>
      <c r="B176" s="3"/>
      <c r="C176" s="3"/>
      <c r="D176" s="3"/>
      <c r="E176" s="3"/>
      <c r="F176" s="3"/>
      <c r="G176" s="3" t="str">
        <f>IF(C176="","",IF(F176="","موظف قائم",IF(YEAR(F176)&gt;='الإعدادات والمستهدفات'!B4,"موظف جديد " &amp; 'الإعدادات والمستهدفات'!B4,"موظف قائم")))</f>
        <v/>
      </c>
      <c r="H176" s="7"/>
      <c r="I176" s="3" t="str">
        <f>IF(C176="","",IF(OR(H176="",H176=0),"لم يُقيَّم","مُقيَّم"))</f>
        <v/>
      </c>
      <c r="J176" s="3" t="str">
        <f>IF(C176="","",IF(I176="لم يُقيَّم","يحتاج تقييم عاجل",IF(H176&lt;'الإعدادات والمستهدفات'!B5,"احتياج مرتفع جداً",IF(H176&lt;'الإعدادات والمستهدفات'!B6,"احتياج متوسط","احتياج منخفض"))))</f>
        <v/>
      </c>
      <c r="K176" s="3" t="str">
        <f>IF(C176="","",IF(OR(J176="يحتاج تقييم عاجل",J176="احتياج مرتفع جداً"),"أولوية قصوى (1)",IF(J176="احتياج متوسط","أولوية متوسطة (2)","أولوية عادية (3)")))</f>
        <v/>
      </c>
      <c r="L176" s="3" t="str">
        <f>IF(C176="","",COUNTIF('[1]الخطة التدريبية المعتمدة'!E:E,E176)+COUNTIF('[1]الخطة التدريبية المعتمدة'!E:E,"جميع العاملين بالمنشأة"))</f>
        <v/>
      </c>
      <c r="M176" s="3" t="str">
        <f>IF(C176="","",COUNTIFS('[2]سجل الحضور والتنفيذ'!E:E,B176,'[2]سجل الحضور والتنفيذ'!H:H,"حاضر"))</f>
        <v/>
      </c>
      <c r="N176" s="7" t="str">
        <f>IF(OR(C176="",L176=0),"",M176/L176)</f>
        <v/>
      </c>
      <c r="O176" s="3" t="str">
        <f>IF(C176="","",SUMPRODUCT(('[2]سجل الحضور والتنفيذ'!E:E=B176)*('[2]سجل الحضور والتنفيذ'!H:H="حاضر")*('[2]سجل الحضور والتنفيذ'!G:G)))</f>
        <v/>
      </c>
      <c r="P176" s="3" t="str">
        <f ca="1">IF(C176="","",IF(G176&lt;&gt;"موظف جديد " &amp; 'الإعدادات والمستهدفات'!B4,"—",IF(COUNTIFS('[2]سجل الحضور والتنفيذ'!E:E,B176,'[2]سجل الحضور والتنفيذ'!A:A,"PSY-OR-01",'[2]سجل الحضور والتنفيذ'!H:H,"حاضر")&gt;0,"مستوفى",IF(AND(F176&lt;&gt;"",TODAY()&gt;F176+'الإعدادات والمستهدفات'!B9),"متأخر عن المهلة","خلال المهلة"))))</f>
        <v/>
      </c>
    </row>
    <row r="177" spans="1:16" x14ac:dyDescent="0.2">
      <c r="A177" s="3" t="str">
        <f>IF(C177="","",ROW()-3)</f>
        <v/>
      </c>
      <c r="B177" s="3"/>
      <c r="C177" s="3"/>
      <c r="D177" s="3"/>
      <c r="E177" s="3"/>
      <c r="F177" s="3"/>
      <c r="G177" s="3" t="str">
        <f>IF(C177="","",IF(F177="","موظف قائم",IF(YEAR(F177)&gt;='الإعدادات والمستهدفات'!B4,"موظف جديد " &amp; 'الإعدادات والمستهدفات'!B4,"موظف قائم")))</f>
        <v/>
      </c>
      <c r="H177" s="7"/>
      <c r="I177" s="3" t="str">
        <f>IF(C177="","",IF(OR(H177="",H177=0),"لم يُقيَّم","مُقيَّم"))</f>
        <v/>
      </c>
      <c r="J177" s="3" t="str">
        <f>IF(C177="","",IF(I177="لم يُقيَّم","يحتاج تقييم عاجل",IF(H177&lt;'الإعدادات والمستهدفات'!B5,"احتياج مرتفع جداً",IF(H177&lt;'الإعدادات والمستهدفات'!B6,"احتياج متوسط","احتياج منخفض"))))</f>
        <v/>
      </c>
      <c r="K177" s="3" t="str">
        <f>IF(C177="","",IF(OR(J177="يحتاج تقييم عاجل",J177="احتياج مرتفع جداً"),"أولوية قصوى (1)",IF(J177="احتياج متوسط","أولوية متوسطة (2)","أولوية عادية (3)")))</f>
        <v/>
      </c>
      <c r="L177" s="3" t="str">
        <f>IF(C177="","",COUNTIF('[1]الخطة التدريبية المعتمدة'!E:E,E177)+COUNTIF('[1]الخطة التدريبية المعتمدة'!E:E,"جميع العاملين بالمنشأة"))</f>
        <v/>
      </c>
      <c r="M177" s="3" t="str">
        <f>IF(C177="","",COUNTIFS('[2]سجل الحضور والتنفيذ'!E:E,B177,'[2]سجل الحضور والتنفيذ'!H:H,"حاضر"))</f>
        <v/>
      </c>
      <c r="N177" s="7" t="str">
        <f>IF(OR(C177="",L177=0),"",M177/L177)</f>
        <v/>
      </c>
      <c r="O177" s="3" t="str">
        <f>IF(C177="","",SUMPRODUCT(('[2]سجل الحضور والتنفيذ'!E:E=B177)*('[2]سجل الحضور والتنفيذ'!H:H="حاضر")*('[2]سجل الحضور والتنفيذ'!G:G)))</f>
        <v/>
      </c>
      <c r="P177" s="3" t="str">
        <f ca="1">IF(C177="","",IF(G177&lt;&gt;"موظف جديد " &amp; 'الإعدادات والمستهدفات'!B4,"—",IF(COUNTIFS('[2]سجل الحضور والتنفيذ'!E:E,B177,'[2]سجل الحضور والتنفيذ'!A:A,"PSY-OR-01",'[2]سجل الحضور والتنفيذ'!H:H,"حاضر")&gt;0,"مستوفى",IF(AND(F177&lt;&gt;"",TODAY()&gt;F177+'الإعدادات والمستهدفات'!B9),"متأخر عن المهلة","خلال المهلة"))))</f>
        <v/>
      </c>
    </row>
    <row r="178" spans="1:16" x14ac:dyDescent="0.2">
      <c r="A178" s="3" t="str">
        <f>IF(C178="","",ROW()-3)</f>
        <v/>
      </c>
      <c r="B178" s="3"/>
      <c r="C178" s="3"/>
      <c r="D178" s="3"/>
      <c r="E178" s="3"/>
      <c r="F178" s="3"/>
      <c r="G178" s="3" t="str">
        <f>IF(C178="","",IF(F178="","موظف قائم",IF(YEAR(F178)&gt;='الإعدادات والمستهدفات'!B4,"موظف جديد " &amp; 'الإعدادات والمستهدفات'!B4,"موظف قائم")))</f>
        <v/>
      </c>
      <c r="H178" s="7"/>
      <c r="I178" s="3" t="str">
        <f>IF(C178="","",IF(OR(H178="",H178=0),"لم يُقيَّم","مُقيَّم"))</f>
        <v/>
      </c>
      <c r="J178" s="3" t="str">
        <f>IF(C178="","",IF(I178="لم يُقيَّم","يحتاج تقييم عاجل",IF(H178&lt;'الإعدادات والمستهدفات'!B5,"احتياج مرتفع جداً",IF(H178&lt;'الإعدادات والمستهدفات'!B6,"احتياج متوسط","احتياج منخفض"))))</f>
        <v/>
      </c>
      <c r="K178" s="3" t="str">
        <f>IF(C178="","",IF(OR(J178="يحتاج تقييم عاجل",J178="احتياج مرتفع جداً"),"أولوية قصوى (1)",IF(J178="احتياج متوسط","أولوية متوسطة (2)","أولوية عادية (3)")))</f>
        <v/>
      </c>
      <c r="L178" s="3" t="str">
        <f>IF(C178="","",COUNTIF('[1]الخطة التدريبية المعتمدة'!E:E,E178)+COUNTIF('[1]الخطة التدريبية المعتمدة'!E:E,"جميع العاملين بالمنشأة"))</f>
        <v/>
      </c>
      <c r="M178" s="3" t="str">
        <f>IF(C178="","",COUNTIFS('[2]سجل الحضور والتنفيذ'!E:E,B178,'[2]سجل الحضور والتنفيذ'!H:H,"حاضر"))</f>
        <v/>
      </c>
      <c r="N178" s="7" t="str">
        <f>IF(OR(C178="",L178=0),"",M178/L178)</f>
        <v/>
      </c>
      <c r="O178" s="3" t="str">
        <f>IF(C178="","",SUMPRODUCT(('[2]سجل الحضور والتنفيذ'!E:E=B178)*('[2]سجل الحضور والتنفيذ'!H:H="حاضر")*('[2]سجل الحضور والتنفيذ'!G:G)))</f>
        <v/>
      </c>
      <c r="P178" s="3" t="str">
        <f ca="1">IF(C178="","",IF(G178&lt;&gt;"موظف جديد " &amp; 'الإعدادات والمستهدفات'!B4,"—",IF(COUNTIFS('[2]سجل الحضور والتنفيذ'!E:E,B178,'[2]سجل الحضور والتنفيذ'!A:A,"PSY-OR-01",'[2]سجل الحضور والتنفيذ'!H:H,"حاضر")&gt;0,"مستوفى",IF(AND(F178&lt;&gt;"",TODAY()&gt;F178+'الإعدادات والمستهدفات'!B9),"متأخر عن المهلة","خلال المهلة"))))</f>
        <v/>
      </c>
    </row>
    <row r="179" spans="1:16" x14ac:dyDescent="0.2">
      <c r="A179" s="3" t="str">
        <f>IF(C179="","",ROW()-3)</f>
        <v/>
      </c>
      <c r="B179" s="3"/>
      <c r="C179" s="3"/>
      <c r="D179" s="3"/>
      <c r="E179" s="3"/>
      <c r="F179" s="3"/>
      <c r="G179" s="3" t="str">
        <f>IF(C179="","",IF(F179="","موظف قائم",IF(YEAR(F179)&gt;='الإعدادات والمستهدفات'!B4,"موظف جديد " &amp; 'الإعدادات والمستهدفات'!B4,"موظف قائم")))</f>
        <v/>
      </c>
      <c r="H179" s="7"/>
      <c r="I179" s="3" t="str">
        <f>IF(C179="","",IF(OR(H179="",H179=0),"لم يُقيَّم","مُقيَّم"))</f>
        <v/>
      </c>
      <c r="J179" s="3" t="str">
        <f>IF(C179="","",IF(I179="لم يُقيَّم","يحتاج تقييم عاجل",IF(H179&lt;'الإعدادات والمستهدفات'!B5,"احتياج مرتفع جداً",IF(H179&lt;'الإعدادات والمستهدفات'!B6,"احتياج متوسط","احتياج منخفض"))))</f>
        <v/>
      </c>
      <c r="K179" s="3" t="str">
        <f>IF(C179="","",IF(OR(J179="يحتاج تقييم عاجل",J179="احتياج مرتفع جداً"),"أولوية قصوى (1)",IF(J179="احتياج متوسط","أولوية متوسطة (2)","أولوية عادية (3)")))</f>
        <v/>
      </c>
      <c r="L179" s="3" t="str">
        <f>IF(C179="","",COUNTIF('[1]الخطة التدريبية المعتمدة'!E:E,E179)+COUNTIF('[1]الخطة التدريبية المعتمدة'!E:E,"جميع العاملين بالمنشأة"))</f>
        <v/>
      </c>
      <c r="M179" s="3" t="str">
        <f>IF(C179="","",COUNTIFS('[2]سجل الحضور والتنفيذ'!E:E,B179,'[2]سجل الحضور والتنفيذ'!H:H,"حاضر"))</f>
        <v/>
      </c>
      <c r="N179" s="7" t="str">
        <f>IF(OR(C179="",L179=0),"",M179/L179)</f>
        <v/>
      </c>
      <c r="O179" s="3" t="str">
        <f>IF(C179="","",SUMPRODUCT(('[2]سجل الحضور والتنفيذ'!E:E=B179)*('[2]سجل الحضور والتنفيذ'!H:H="حاضر")*('[2]سجل الحضور والتنفيذ'!G:G)))</f>
        <v/>
      </c>
      <c r="P179" s="3" t="str">
        <f ca="1">IF(C179="","",IF(G179&lt;&gt;"موظف جديد " &amp; 'الإعدادات والمستهدفات'!B4,"—",IF(COUNTIFS('[2]سجل الحضور والتنفيذ'!E:E,B179,'[2]سجل الحضور والتنفيذ'!A:A,"PSY-OR-01",'[2]سجل الحضور والتنفيذ'!H:H,"حاضر")&gt;0,"مستوفى",IF(AND(F179&lt;&gt;"",TODAY()&gt;F179+'الإعدادات والمستهدفات'!B9),"متأخر عن المهلة","خلال المهلة"))))</f>
        <v/>
      </c>
    </row>
    <row r="180" spans="1:16" x14ac:dyDescent="0.2">
      <c r="A180" s="3" t="str">
        <f>IF(C180="","",ROW()-3)</f>
        <v/>
      </c>
      <c r="B180" s="3"/>
      <c r="C180" s="3"/>
      <c r="D180" s="3"/>
      <c r="E180" s="3"/>
      <c r="F180" s="3"/>
      <c r="G180" s="3" t="str">
        <f>IF(C180="","",IF(F180="","موظف قائم",IF(YEAR(F180)&gt;='الإعدادات والمستهدفات'!B4,"موظف جديد " &amp; 'الإعدادات والمستهدفات'!B4,"موظف قائم")))</f>
        <v/>
      </c>
      <c r="H180" s="7"/>
      <c r="I180" s="3" t="str">
        <f>IF(C180="","",IF(OR(H180="",H180=0),"لم يُقيَّم","مُقيَّم"))</f>
        <v/>
      </c>
      <c r="J180" s="3" t="str">
        <f>IF(C180="","",IF(I180="لم يُقيَّم","يحتاج تقييم عاجل",IF(H180&lt;'الإعدادات والمستهدفات'!B5,"احتياج مرتفع جداً",IF(H180&lt;'الإعدادات والمستهدفات'!B6,"احتياج متوسط","احتياج منخفض"))))</f>
        <v/>
      </c>
      <c r="K180" s="3" t="str">
        <f>IF(C180="","",IF(OR(J180="يحتاج تقييم عاجل",J180="احتياج مرتفع جداً"),"أولوية قصوى (1)",IF(J180="احتياج متوسط","أولوية متوسطة (2)","أولوية عادية (3)")))</f>
        <v/>
      </c>
      <c r="L180" s="3" t="str">
        <f>IF(C180="","",COUNTIF('[1]الخطة التدريبية المعتمدة'!E:E,E180)+COUNTIF('[1]الخطة التدريبية المعتمدة'!E:E,"جميع العاملين بالمنشأة"))</f>
        <v/>
      </c>
      <c r="M180" s="3" t="str">
        <f>IF(C180="","",COUNTIFS('[2]سجل الحضور والتنفيذ'!E:E,B180,'[2]سجل الحضور والتنفيذ'!H:H,"حاضر"))</f>
        <v/>
      </c>
      <c r="N180" s="7" t="str">
        <f>IF(OR(C180="",L180=0),"",M180/L180)</f>
        <v/>
      </c>
      <c r="O180" s="3" t="str">
        <f>IF(C180="","",SUMPRODUCT(('[2]سجل الحضور والتنفيذ'!E:E=B180)*('[2]سجل الحضور والتنفيذ'!H:H="حاضر")*('[2]سجل الحضور والتنفيذ'!G:G)))</f>
        <v/>
      </c>
      <c r="P180" s="3" t="str">
        <f ca="1">IF(C180="","",IF(G180&lt;&gt;"موظف جديد " &amp; 'الإعدادات والمستهدفات'!B4,"—",IF(COUNTIFS('[2]سجل الحضور والتنفيذ'!E:E,B180,'[2]سجل الحضور والتنفيذ'!A:A,"PSY-OR-01",'[2]سجل الحضور والتنفيذ'!H:H,"حاضر")&gt;0,"مستوفى",IF(AND(F180&lt;&gt;"",TODAY()&gt;F180+'الإعدادات والمستهدفات'!B9),"متأخر عن المهلة","خلال المهلة"))))</f>
        <v/>
      </c>
    </row>
    <row r="181" spans="1:16" x14ac:dyDescent="0.2">
      <c r="A181" s="3" t="str">
        <f>IF(C181="","",ROW()-3)</f>
        <v/>
      </c>
      <c r="B181" s="3"/>
      <c r="C181" s="3"/>
      <c r="D181" s="3"/>
      <c r="E181" s="3"/>
      <c r="F181" s="3"/>
      <c r="G181" s="3" t="str">
        <f>IF(C181="","",IF(F181="","موظف قائم",IF(YEAR(F181)&gt;='الإعدادات والمستهدفات'!B4,"موظف جديد " &amp; 'الإعدادات والمستهدفات'!B4,"موظف قائم")))</f>
        <v/>
      </c>
      <c r="H181" s="7"/>
      <c r="I181" s="3" t="str">
        <f>IF(C181="","",IF(OR(H181="",H181=0),"لم يُقيَّم","مُقيَّم"))</f>
        <v/>
      </c>
      <c r="J181" s="3" t="str">
        <f>IF(C181="","",IF(I181="لم يُقيَّم","يحتاج تقييم عاجل",IF(H181&lt;'الإعدادات والمستهدفات'!B5,"احتياج مرتفع جداً",IF(H181&lt;'الإعدادات والمستهدفات'!B6,"احتياج متوسط","احتياج منخفض"))))</f>
        <v/>
      </c>
      <c r="K181" s="3" t="str">
        <f>IF(C181="","",IF(OR(J181="يحتاج تقييم عاجل",J181="احتياج مرتفع جداً"),"أولوية قصوى (1)",IF(J181="احتياج متوسط","أولوية متوسطة (2)","أولوية عادية (3)")))</f>
        <v/>
      </c>
      <c r="L181" s="3" t="str">
        <f>IF(C181="","",COUNTIF('[1]الخطة التدريبية المعتمدة'!E:E,E181)+COUNTIF('[1]الخطة التدريبية المعتمدة'!E:E,"جميع العاملين بالمنشأة"))</f>
        <v/>
      </c>
      <c r="M181" s="3" t="str">
        <f>IF(C181="","",COUNTIFS('[2]سجل الحضور والتنفيذ'!E:E,B181,'[2]سجل الحضور والتنفيذ'!H:H,"حاضر"))</f>
        <v/>
      </c>
      <c r="N181" s="7" t="str">
        <f>IF(OR(C181="",L181=0),"",M181/L181)</f>
        <v/>
      </c>
      <c r="O181" s="3" t="str">
        <f>IF(C181="","",SUMPRODUCT(('[2]سجل الحضور والتنفيذ'!E:E=B181)*('[2]سجل الحضور والتنفيذ'!H:H="حاضر")*('[2]سجل الحضور والتنفيذ'!G:G)))</f>
        <v/>
      </c>
      <c r="P181" s="3" t="str">
        <f ca="1">IF(C181="","",IF(G181&lt;&gt;"موظف جديد " &amp; 'الإعدادات والمستهدفات'!B4,"—",IF(COUNTIFS('[2]سجل الحضور والتنفيذ'!E:E,B181,'[2]سجل الحضور والتنفيذ'!A:A,"PSY-OR-01",'[2]سجل الحضور والتنفيذ'!H:H,"حاضر")&gt;0,"مستوفى",IF(AND(F181&lt;&gt;"",TODAY()&gt;F181+'الإعدادات والمستهدفات'!B9),"متأخر عن المهلة","خلال المهلة"))))</f>
        <v/>
      </c>
    </row>
    <row r="182" spans="1:16" x14ac:dyDescent="0.2">
      <c r="A182" s="3" t="str">
        <f>IF(C182="","",ROW()-3)</f>
        <v/>
      </c>
      <c r="B182" s="3"/>
      <c r="C182" s="3"/>
      <c r="D182" s="3"/>
      <c r="E182" s="3"/>
      <c r="F182" s="3"/>
      <c r="G182" s="3" t="str">
        <f>IF(C182="","",IF(F182="","موظف قائم",IF(YEAR(F182)&gt;='الإعدادات والمستهدفات'!B4,"موظف جديد " &amp; 'الإعدادات والمستهدفات'!B4,"موظف قائم")))</f>
        <v/>
      </c>
      <c r="H182" s="7"/>
      <c r="I182" s="3" t="str">
        <f>IF(C182="","",IF(OR(H182="",H182=0),"لم يُقيَّم","مُقيَّم"))</f>
        <v/>
      </c>
      <c r="J182" s="3" t="str">
        <f>IF(C182="","",IF(I182="لم يُقيَّم","يحتاج تقييم عاجل",IF(H182&lt;'الإعدادات والمستهدفات'!B5,"احتياج مرتفع جداً",IF(H182&lt;'الإعدادات والمستهدفات'!B6,"احتياج متوسط","احتياج منخفض"))))</f>
        <v/>
      </c>
      <c r="K182" s="3" t="str">
        <f>IF(C182="","",IF(OR(J182="يحتاج تقييم عاجل",J182="احتياج مرتفع جداً"),"أولوية قصوى (1)",IF(J182="احتياج متوسط","أولوية متوسطة (2)","أولوية عادية (3)")))</f>
        <v/>
      </c>
      <c r="L182" s="3" t="str">
        <f>IF(C182="","",COUNTIF('[1]الخطة التدريبية المعتمدة'!E:E,E182)+COUNTIF('[1]الخطة التدريبية المعتمدة'!E:E,"جميع العاملين بالمنشأة"))</f>
        <v/>
      </c>
      <c r="M182" s="3" t="str">
        <f>IF(C182="","",COUNTIFS('[2]سجل الحضور والتنفيذ'!E:E,B182,'[2]سجل الحضور والتنفيذ'!H:H,"حاضر"))</f>
        <v/>
      </c>
      <c r="N182" s="7" t="str">
        <f>IF(OR(C182="",L182=0),"",M182/L182)</f>
        <v/>
      </c>
      <c r="O182" s="3" t="str">
        <f>IF(C182="","",SUMPRODUCT(('[2]سجل الحضور والتنفيذ'!E:E=B182)*('[2]سجل الحضور والتنفيذ'!H:H="حاضر")*('[2]سجل الحضور والتنفيذ'!G:G)))</f>
        <v/>
      </c>
      <c r="P182" s="3" t="str">
        <f ca="1">IF(C182="","",IF(G182&lt;&gt;"موظف جديد " &amp; 'الإعدادات والمستهدفات'!B4,"—",IF(COUNTIFS('[2]سجل الحضور والتنفيذ'!E:E,B182,'[2]سجل الحضور والتنفيذ'!A:A,"PSY-OR-01",'[2]سجل الحضور والتنفيذ'!H:H,"حاضر")&gt;0,"مستوفى",IF(AND(F182&lt;&gt;"",TODAY()&gt;F182+'الإعدادات والمستهدفات'!B9),"متأخر عن المهلة","خلال المهلة"))))</f>
        <v/>
      </c>
    </row>
    <row r="183" spans="1:16" x14ac:dyDescent="0.2">
      <c r="A183" s="3" t="str">
        <f>IF(C183="","",ROW()-3)</f>
        <v/>
      </c>
      <c r="B183" s="3"/>
      <c r="C183" s="3"/>
      <c r="D183" s="3"/>
      <c r="E183" s="3"/>
      <c r="F183" s="3"/>
      <c r="G183" s="3" t="str">
        <f>IF(C183="","",IF(F183="","موظف قائم",IF(YEAR(F183)&gt;='الإعدادات والمستهدفات'!B4,"موظف جديد " &amp; 'الإعدادات والمستهدفات'!B4,"موظف قائم")))</f>
        <v/>
      </c>
      <c r="H183" s="7"/>
      <c r="I183" s="3" t="str">
        <f>IF(C183="","",IF(OR(H183="",H183=0),"لم يُقيَّم","مُقيَّم"))</f>
        <v/>
      </c>
      <c r="J183" s="3" t="str">
        <f>IF(C183="","",IF(I183="لم يُقيَّم","يحتاج تقييم عاجل",IF(H183&lt;'الإعدادات والمستهدفات'!B5,"احتياج مرتفع جداً",IF(H183&lt;'الإعدادات والمستهدفات'!B6,"احتياج متوسط","احتياج منخفض"))))</f>
        <v/>
      </c>
      <c r="K183" s="3" t="str">
        <f>IF(C183="","",IF(OR(J183="يحتاج تقييم عاجل",J183="احتياج مرتفع جداً"),"أولوية قصوى (1)",IF(J183="احتياج متوسط","أولوية متوسطة (2)","أولوية عادية (3)")))</f>
        <v/>
      </c>
      <c r="L183" s="3" t="str">
        <f>IF(C183="","",COUNTIF('[1]الخطة التدريبية المعتمدة'!E:E,E183)+COUNTIF('[1]الخطة التدريبية المعتمدة'!E:E,"جميع العاملين بالمنشأة"))</f>
        <v/>
      </c>
      <c r="M183" s="3" t="str">
        <f>IF(C183="","",COUNTIFS('[2]سجل الحضور والتنفيذ'!E:E,B183,'[2]سجل الحضور والتنفيذ'!H:H,"حاضر"))</f>
        <v/>
      </c>
      <c r="N183" s="7" t="str">
        <f>IF(OR(C183="",L183=0),"",M183/L183)</f>
        <v/>
      </c>
      <c r="O183" s="3" t="str">
        <f>IF(C183="","",SUMPRODUCT(('[2]سجل الحضور والتنفيذ'!E:E=B183)*('[2]سجل الحضور والتنفيذ'!H:H="حاضر")*('[2]سجل الحضور والتنفيذ'!G:G)))</f>
        <v/>
      </c>
      <c r="P183" s="3" t="str">
        <f ca="1">IF(C183="","",IF(G183&lt;&gt;"موظف جديد " &amp; 'الإعدادات والمستهدفات'!B4,"—",IF(COUNTIFS('[2]سجل الحضور والتنفيذ'!E:E,B183,'[2]سجل الحضور والتنفيذ'!A:A,"PSY-OR-01",'[2]سجل الحضور والتنفيذ'!H:H,"حاضر")&gt;0,"مستوفى",IF(AND(F183&lt;&gt;"",TODAY()&gt;F183+'الإعدادات والمستهدفات'!B9),"متأخر عن المهلة","خلال المهلة"))))</f>
        <v/>
      </c>
    </row>
    <row r="184" spans="1:16" x14ac:dyDescent="0.2">
      <c r="A184" s="3" t="str">
        <f>IF(C184="","",ROW()-3)</f>
        <v/>
      </c>
      <c r="B184" s="3"/>
      <c r="C184" s="3"/>
      <c r="D184" s="3"/>
      <c r="E184" s="3"/>
      <c r="F184" s="3"/>
      <c r="G184" s="3" t="str">
        <f>IF(C184="","",IF(F184="","موظف قائم",IF(YEAR(F184)&gt;='الإعدادات والمستهدفات'!B4,"موظف جديد " &amp; 'الإعدادات والمستهدفات'!B4,"موظف قائم")))</f>
        <v/>
      </c>
      <c r="H184" s="7"/>
      <c r="I184" s="3" t="str">
        <f>IF(C184="","",IF(OR(H184="",H184=0),"لم يُقيَّم","مُقيَّم"))</f>
        <v/>
      </c>
      <c r="J184" s="3" t="str">
        <f>IF(C184="","",IF(I184="لم يُقيَّم","يحتاج تقييم عاجل",IF(H184&lt;'الإعدادات والمستهدفات'!B5,"احتياج مرتفع جداً",IF(H184&lt;'الإعدادات والمستهدفات'!B6,"احتياج متوسط","احتياج منخفض"))))</f>
        <v/>
      </c>
      <c r="K184" s="3" t="str">
        <f>IF(C184="","",IF(OR(J184="يحتاج تقييم عاجل",J184="احتياج مرتفع جداً"),"أولوية قصوى (1)",IF(J184="احتياج متوسط","أولوية متوسطة (2)","أولوية عادية (3)")))</f>
        <v/>
      </c>
      <c r="L184" s="3" t="str">
        <f>IF(C184="","",COUNTIF('[1]الخطة التدريبية المعتمدة'!E:E,E184)+COUNTIF('[1]الخطة التدريبية المعتمدة'!E:E,"جميع العاملين بالمنشأة"))</f>
        <v/>
      </c>
      <c r="M184" s="3" t="str">
        <f>IF(C184="","",COUNTIFS('[2]سجل الحضور والتنفيذ'!E:E,B184,'[2]سجل الحضور والتنفيذ'!H:H,"حاضر"))</f>
        <v/>
      </c>
      <c r="N184" s="7" t="str">
        <f>IF(OR(C184="",L184=0),"",M184/L184)</f>
        <v/>
      </c>
      <c r="O184" s="3" t="str">
        <f>IF(C184="","",SUMPRODUCT(('[2]سجل الحضور والتنفيذ'!E:E=B184)*('[2]سجل الحضور والتنفيذ'!H:H="حاضر")*('[2]سجل الحضور والتنفيذ'!G:G)))</f>
        <v/>
      </c>
      <c r="P184" s="3" t="str">
        <f ca="1">IF(C184="","",IF(G184&lt;&gt;"موظف جديد " &amp; 'الإعدادات والمستهدفات'!B4,"—",IF(COUNTIFS('[2]سجل الحضور والتنفيذ'!E:E,B184,'[2]سجل الحضور والتنفيذ'!A:A,"PSY-OR-01",'[2]سجل الحضور والتنفيذ'!H:H,"حاضر")&gt;0,"مستوفى",IF(AND(F184&lt;&gt;"",TODAY()&gt;F184+'الإعدادات والمستهدفات'!B9),"متأخر عن المهلة","خلال المهلة"))))</f>
        <v/>
      </c>
    </row>
    <row r="185" spans="1:16" x14ac:dyDescent="0.2">
      <c r="A185" s="3" t="str">
        <f>IF(C185="","",ROW()-3)</f>
        <v/>
      </c>
      <c r="B185" s="3"/>
      <c r="C185" s="3"/>
      <c r="D185" s="3"/>
      <c r="E185" s="3"/>
      <c r="F185" s="3"/>
      <c r="G185" s="3" t="str">
        <f>IF(C185="","",IF(F185="","موظف قائم",IF(YEAR(F185)&gt;='الإعدادات والمستهدفات'!B4,"موظف جديد " &amp; 'الإعدادات والمستهدفات'!B4,"موظف قائم")))</f>
        <v/>
      </c>
      <c r="H185" s="7"/>
      <c r="I185" s="3" t="str">
        <f>IF(C185="","",IF(OR(H185="",H185=0),"لم يُقيَّم","مُقيَّم"))</f>
        <v/>
      </c>
      <c r="J185" s="3" t="str">
        <f>IF(C185="","",IF(I185="لم يُقيَّم","يحتاج تقييم عاجل",IF(H185&lt;'الإعدادات والمستهدفات'!B5,"احتياج مرتفع جداً",IF(H185&lt;'الإعدادات والمستهدفات'!B6,"احتياج متوسط","احتياج منخفض"))))</f>
        <v/>
      </c>
      <c r="K185" s="3" t="str">
        <f>IF(C185="","",IF(OR(J185="يحتاج تقييم عاجل",J185="احتياج مرتفع جداً"),"أولوية قصوى (1)",IF(J185="احتياج متوسط","أولوية متوسطة (2)","أولوية عادية (3)")))</f>
        <v/>
      </c>
      <c r="L185" s="3" t="str">
        <f>IF(C185="","",COUNTIF('[1]الخطة التدريبية المعتمدة'!E:E,E185)+COUNTIF('[1]الخطة التدريبية المعتمدة'!E:E,"جميع العاملين بالمنشأة"))</f>
        <v/>
      </c>
      <c r="M185" s="3" t="str">
        <f>IF(C185="","",COUNTIFS('[2]سجل الحضور والتنفيذ'!E:E,B185,'[2]سجل الحضور والتنفيذ'!H:H,"حاضر"))</f>
        <v/>
      </c>
      <c r="N185" s="7" t="str">
        <f>IF(OR(C185="",L185=0),"",M185/L185)</f>
        <v/>
      </c>
      <c r="O185" s="3" t="str">
        <f>IF(C185="","",SUMPRODUCT(('[2]سجل الحضور والتنفيذ'!E:E=B185)*('[2]سجل الحضور والتنفيذ'!H:H="حاضر")*('[2]سجل الحضور والتنفيذ'!G:G)))</f>
        <v/>
      </c>
      <c r="P185" s="3" t="str">
        <f ca="1">IF(C185="","",IF(G185&lt;&gt;"موظف جديد " &amp; 'الإعدادات والمستهدفات'!B4,"—",IF(COUNTIFS('[2]سجل الحضور والتنفيذ'!E:E,B185,'[2]سجل الحضور والتنفيذ'!A:A,"PSY-OR-01",'[2]سجل الحضور والتنفيذ'!H:H,"حاضر")&gt;0,"مستوفى",IF(AND(F185&lt;&gt;"",TODAY()&gt;F185+'الإعدادات والمستهدفات'!B9),"متأخر عن المهلة","خلال المهلة"))))</f>
        <v/>
      </c>
    </row>
    <row r="186" spans="1:16" x14ac:dyDescent="0.2">
      <c r="A186" s="3" t="str">
        <f>IF(C186="","",ROW()-3)</f>
        <v/>
      </c>
      <c r="B186" s="3"/>
      <c r="C186" s="3"/>
      <c r="D186" s="3"/>
      <c r="E186" s="3"/>
      <c r="F186" s="3"/>
      <c r="G186" s="3" t="str">
        <f>IF(C186="","",IF(F186="","موظف قائم",IF(YEAR(F186)&gt;='الإعدادات والمستهدفات'!B4,"موظف جديد " &amp; 'الإعدادات والمستهدفات'!B4,"موظف قائم")))</f>
        <v/>
      </c>
      <c r="H186" s="7"/>
      <c r="I186" s="3" t="str">
        <f>IF(C186="","",IF(OR(H186="",H186=0),"لم يُقيَّم","مُقيَّم"))</f>
        <v/>
      </c>
      <c r="J186" s="3" t="str">
        <f>IF(C186="","",IF(I186="لم يُقيَّم","يحتاج تقييم عاجل",IF(H186&lt;'الإعدادات والمستهدفات'!B5,"احتياج مرتفع جداً",IF(H186&lt;'الإعدادات والمستهدفات'!B6,"احتياج متوسط","احتياج منخفض"))))</f>
        <v/>
      </c>
      <c r="K186" s="3" t="str">
        <f>IF(C186="","",IF(OR(J186="يحتاج تقييم عاجل",J186="احتياج مرتفع جداً"),"أولوية قصوى (1)",IF(J186="احتياج متوسط","أولوية متوسطة (2)","أولوية عادية (3)")))</f>
        <v/>
      </c>
      <c r="L186" s="3" t="str">
        <f>IF(C186="","",COUNTIF('[1]الخطة التدريبية المعتمدة'!E:E,E186)+COUNTIF('[1]الخطة التدريبية المعتمدة'!E:E,"جميع العاملين بالمنشأة"))</f>
        <v/>
      </c>
      <c r="M186" s="3" t="str">
        <f>IF(C186="","",COUNTIFS('[2]سجل الحضور والتنفيذ'!E:E,B186,'[2]سجل الحضور والتنفيذ'!H:H,"حاضر"))</f>
        <v/>
      </c>
      <c r="N186" s="7" t="str">
        <f>IF(OR(C186="",L186=0),"",M186/L186)</f>
        <v/>
      </c>
      <c r="O186" s="3" t="str">
        <f>IF(C186="","",SUMPRODUCT(('[2]سجل الحضور والتنفيذ'!E:E=B186)*('[2]سجل الحضور والتنفيذ'!H:H="حاضر")*('[2]سجل الحضور والتنفيذ'!G:G)))</f>
        <v/>
      </c>
      <c r="P186" s="3" t="str">
        <f ca="1">IF(C186="","",IF(G186&lt;&gt;"موظف جديد " &amp; 'الإعدادات والمستهدفات'!B4,"—",IF(COUNTIFS('[2]سجل الحضور والتنفيذ'!E:E,B186,'[2]سجل الحضور والتنفيذ'!A:A,"PSY-OR-01",'[2]سجل الحضور والتنفيذ'!H:H,"حاضر")&gt;0,"مستوفى",IF(AND(F186&lt;&gt;"",TODAY()&gt;F186+'الإعدادات والمستهدفات'!B9),"متأخر عن المهلة","خلال المهلة"))))</f>
        <v/>
      </c>
    </row>
    <row r="187" spans="1:16" x14ac:dyDescent="0.2">
      <c r="A187" s="3" t="str">
        <f>IF(C187="","",ROW()-3)</f>
        <v/>
      </c>
      <c r="B187" s="3"/>
      <c r="C187" s="3"/>
      <c r="D187" s="3"/>
      <c r="E187" s="3"/>
      <c r="F187" s="3"/>
      <c r="G187" s="3" t="str">
        <f>IF(C187="","",IF(F187="","موظف قائم",IF(YEAR(F187)&gt;='الإعدادات والمستهدفات'!B4,"موظف جديد " &amp; 'الإعدادات والمستهدفات'!B4,"موظف قائم")))</f>
        <v/>
      </c>
      <c r="H187" s="7"/>
      <c r="I187" s="3" t="str">
        <f>IF(C187="","",IF(OR(H187="",H187=0),"لم يُقيَّم","مُقيَّم"))</f>
        <v/>
      </c>
      <c r="J187" s="3" t="str">
        <f>IF(C187="","",IF(I187="لم يُقيَّم","يحتاج تقييم عاجل",IF(H187&lt;'الإعدادات والمستهدفات'!B5,"احتياج مرتفع جداً",IF(H187&lt;'الإعدادات والمستهدفات'!B6,"احتياج متوسط","احتياج منخفض"))))</f>
        <v/>
      </c>
      <c r="K187" s="3" t="str">
        <f>IF(C187="","",IF(OR(J187="يحتاج تقييم عاجل",J187="احتياج مرتفع جداً"),"أولوية قصوى (1)",IF(J187="احتياج متوسط","أولوية متوسطة (2)","أولوية عادية (3)")))</f>
        <v/>
      </c>
      <c r="L187" s="3" t="str">
        <f>IF(C187="","",COUNTIF('[1]الخطة التدريبية المعتمدة'!E:E,E187)+COUNTIF('[1]الخطة التدريبية المعتمدة'!E:E,"جميع العاملين بالمنشأة"))</f>
        <v/>
      </c>
      <c r="M187" s="3" t="str">
        <f>IF(C187="","",COUNTIFS('[2]سجل الحضور والتنفيذ'!E:E,B187,'[2]سجل الحضور والتنفيذ'!H:H,"حاضر"))</f>
        <v/>
      </c>
      <c r="N187" s="7" t="str">
        <f>IF(OR(C187="",L187=0),"",M187/L187)</f>
        <v/>
      </c>
      <c r="O187" s="3" t="str">
        <f>IF(C187="","",SUMPRODUCT(('[2]سجل الحضور والتنفيذ'!E:E=B187)*('[2]سجل الحضور والتنفيذ'!H:H="حاضر")*('[2]سجل الحضور والتنفيذ'!G:G)))</f>
        <v/>
      </c>
      <c r="P187" s="3" t="str">
        <f ca="1">IF(C187="","",IF(G187&lt;&gt;"موظف جديد " &amp; 'الإعدادات والمستهدفات'!B4,"—",IF(COUNTIFS('[2]سجل الحضور والتنفيذ'!E:E,B187,'[2]سجل الحضور والتنفيذ'!A:A,"PSY-OR-01",'[2]سجل الحضور والتنفيذ'!H:H,"حاضر")&gt;0,"مستوفى",IF(AND(F187&lt;&gt;"",TODAY()&gt;F187+'الإعدادات والمستهدفات'!B9),"متأخر عن المهلة","خلال المهلة"))))</f>
        <v/>
      </c>
    </row>
    <row r="188" spans="1:16" x14ac:dyDescent="0.2">
      <c r="A188" s="3" t="str">
        <f>IF(C188="","",ROW()-3)</f>
        <v/>
      </c>
      <c r="B188" s="3"/>
      <c r="C188" s="3"/>
      <c r="D188" s="3"/>
      <c r="E188" s="3"/>
      <c r="F188" s="3"/>
      <c r="G188" s="3" t="str">
        <f>IF(C188="","",IF(F188="","موظف قائم",IF(YEAR(F188)&gt;='الإعدادات والمستهدفات'!B4,"موظف جديد " &amp; 'الإعدادات والمستهدفات'!B4,"موظف قائم")))</f>
        <v/>
      </c>
      <c r="H188" s="7"/>
      <c r="I188" s="3" t="str">
        <f>IF(C188="","",IF(OR(H188="",H188=0),"لم يُقيَّم","مُقيَّم"))</f>
        <v/>
      </c>
      <c r="J188" s="3" t="str">
        <f>IF(C188="","",IF(I188="لم يُقيَّم","يحتاج تقييم عاجل",IF(H188&lt;'الإعدادات والمستهدفات'!B5,"احتياج مرتفع جداً",IF(H188&lt;'الإعدادات والمستهدفات'!B6,"احتياج متوسط","احتياج منخفض"))))</f>
        <v/>
      </c>
      <c r="K188" s="3" t="str">
        <f>IF(C188="","",IF(OR(J188="يحتاج تقييم عاجل",J188="احتياج مرتفع جداً"),"أولوية قصوى (1)",IF(J188="احتياج متوسط","أولوية متوسطة (2)","أولوية عادية (3)")))</f>
        <v/>
      </c>
      <c r="L188" s="3" t="str">
        <f>IF(C188="","",COUNTIF('[1]الخطة التدريبية المعتمدة'!E:E,E188)+COUNTIF('[1]الخطة التدريبية المعتمدة'!E:E,"جميع العاملين بالمنشأة"))</f>
        <v/>
      </c>
      <c r="M188" s="3" t="str">
        <f>IF(C188="","",COUNTIFS('[2]سجل الحضور والتنفيذ'!E:E,B188,'[2]سجل الحضور والتنفيذ'!H:H,"حاضر"))</f>
        <v/>
      </c>
      <c r="N188" s="7" t="str">
        <f>IF(OR(C188="",L188=0),"",M188/L188)</f>
        <v/>
      </c>
      <c r="O188" s="3" t="str">
        <f>IF(C188="","",SUMPRODUCT(('[2]سجل الحضور والتنفيذ'!E:E=B188)*('[2]سجل الحضور والتنفيذ'!H:H="حاضر")*('[2]سجل الحضور والتنفيذ'!G:G)))</f>
        <v/>
      </c>
      <c r="P188" s="3" t="str">
        <f ca="1">IF(C188="","",IF(G188&lt;&gt;"موظف جديد " &amp; 'الإعدادات والمستهدفات'!B4,"—",IF(COUNTIFS('[2]سجل الحضور والتنفيذ'!E:E,B188,'[2]سجل الحضور والتنفيذ'!A:A,"PSY-OR-01",'[2]سجل الحضور والتنفيذ'!H:H,"حاضر")&gt;0,"مستوفى",IF(AND(F188&lt;&gt;"",TODAY()&gt;F188+'الإعدادات والمستهدفات'!B9),"متأخر عن المهلة","خلال المهلة"))))</f>
        <v/>
      </c>
    </row>
    <row r="189" spans="1:16" x14ac:dyDescent="0.2">
      <c r="A189" s="3" t="str">
        <f>IF(C189="","",ROW()-3)</f>
        <v/>
      </c>
      <c r="B189" s="3"/>
      <c r="C189" s="3"/>
      <c r="D189" s="3"/>
      <c r="E189" s="3"/>
      <c r="F189" s="3"/>
      <c r="G189" s="3" t="str">
        <f>IF(C189="","",IF(F189="","موظف قائم",IF(YEAR(F189)&gt;='الإعدادات والمستهدفات'!B4,"موظف جديد " &amp; 'الإعدادات والمستهدفات'!B4,"موظف قائم")))</f>
        <v/>
      </c>
      <c r="H189" s="7"/>
      <c r="I189" s="3" t="str">
        <f>IF(C189="","",IF(OR(H189="",H189=0),"لم يُقيَّم","مُقيَّم"))</f>
        <v/>
      </c>
      <c r="J189" s="3" t="str">
        <f>IF(C189="","",IF(I189="لم يُقيَّم","يحتاج تقييم عاجل",IF(H189&lt;'الإعدادات والمستهدفات'!B5,"احتياج مرتفع جداً",IF(H189&lt;'الإعدادات والمستهدفات'!B6,"احتياج متوسط","احتياج منخفض"))))</f>
        <v/>
      </c>
      <c r="K189" s="3" t="str">
        <f>IF(C189="","",IF(OR(J189="يحتاج تقييم عاجل",J189="احتياج مرتفع جداً"),"أولوية قصوى (1)",IF(J189="احتياج متوسط","أولوية متوسطة (2)","أولوية عادية (3)")))</f>
        <v/>
      </c>
      <c r="L189" s="3" t="str">
        <f>IF(C189="","",COUNTIF('[1]الخطة التدريبية المعتمدة'!E:E,E189)+COUNTIF('[1]الخطة التدريبية المعتمدة'!E:E,"جميع العاملين بالمنشأة"))</f>
        <v/>
      </c>
      <c r="M189" s="3" t="str">
        <f>IF(C189="","",COUNTIFS('[2]سجل الحضور والتنفيذ'!E:E,B189,'[2]سجل الحضور والتنفيذ'!H:H,"حاضر"))</f>
        <v/>
      </c>
      <c r="N189" s="7" t="str">
        <f>IF(OR(C189="",L189=0),"",M189/L189)</f>
        <v/>
      </c>
      <c r="O189" s="3" t="str">
        <f>IF(C189="","",SUMPRODUCT(('[2]سجل الحضور والتنفيذ'!E:E=B189)*('[2]سجل الحضور والتنفيذ'!H:H="حاضر")*('[2]سجل الحضور والتنفيذ'!G:G)))</f>
        <v/>
      </c>
      <c r="P189" s="3" t="str">
        <f ca="1">IF(C189="","",IF(G189&lt;&gt;"موظف جديد " &amp; 'الإعدادات والمستهدفات'!B4,"—",IF(COUNTIFS('[2]سجل الحضور والتنفيذ'!E:E,B189,'[2]سجل الحضور والتنفيذ'!A:A,"PSY-OR-01",'[2]سجل الحضور والتنفيذ'!H:H,"حاضر")&gt;0,"مستوفى",IF(AND(F189&lt;&gt;"",TODAY()&gt;F189+'الإعدادات والمستهدفات'!B9),"متأخر عن المهلة","خلال المهلة"))))</f>
        <v/>
      </c>
    </row>
    <row r="190" spans="1:16" x14ac:dyDescent="0.2">
      <c r="A190" s="3" t="str">
        <f>IF(C190="","",ROW()-3)</f>
        <v/>
      </c>
      <c r="B190" s="3"/>
      <c r="C190" s="3"/>
      <c r="D190" s="3"/>
      <c r="E190" s="3"/>
      <c r="F190" s="3"/>
      <c r="G190" s="3" t="str">
        <f>IF(C190="","",IF(F190="","موظف قائم",IF(YEAR(F190)&gt;='الإعدادات والمستهدفات'!B4,"موظف جديد " &amp; 'الإعدادات والمستهدفات'!B4,"موظف قائم")))</f>
        <v/>
      </c>
      <c r="H190" s="7"/>
      <c r="I190" s="3" t="str">
        <f>IF(C190="","",IF(OR(H190="",H190=0),"لم يُقيَّم","مُقيَّم"))</f>
        <v/>
      </c>
      <c r="J190" s="3" t="str">
        <f>IF(C190="","",IF(I190="لم يُقيَّم","يحتاج تقييم عاجل",IF(H190&lt;'الإعدادات والمستهدفات'!B5,"احتياج مرتفع جداً",IF(H190&lt;'الإعدادات والمستهدفات'!B6,"احتياج متوسط","احتياج منخفض"))))</f>
        <v/>
      </c>
      <c r="K190" s="3" t="str">
        <f>IF(C190="","",IF(OR(J190="يحتاج تقييم عاجل",J190="احتياج مرتفع جداً"),"أولوية قصوى (1)",IF(J190="احتياج متوسط","أولوية متوسطة (2)","أولوية عادية (3)")))</f>
        <v/>
      </c>
      <c r="L190" s="3" t="str">
        <f>IF(C190="","",COUNTIF('[1]الخطة التدريبية المعتمدة'!E:E,E190)+COUNTIF('[1]الخطة التدريبية المعتمدة'!E:E,"جميع العاملين بالمنشأة"))</f>
        <v/>
      </c>
      <c r="M190" s="3" t="str">
        <f>IF(C190="","",COUNTIFS('[2]سجل الحضور والتنفيذ'!E:E,B190,'[2]سجل الحضور والتنفيذ'!H:H,"حاضر"))</f>
        <v/>
      </c>
      <c r="N190" s="7" t="str">
        <f>IF(OR(C190="",L190=0),"",M190/L190)</f>
        <v/>
      </c>
      <c r="O190" s="3" t="str">
        <f>IF(C190="","",SUMPRODUCT(('[2]سجل الحضور والتنفيذ'!E:E=B190)*('[2]سجل الحضور والتنفيذ'!H:H="حاضر")*('[2]سجل الحضور والتنفيذ'!G:G)))</f>
        <v/>
      </c>
      <c r="P190" s="3" t="str">
        <f ca="1">IF(C190="","",IF(G190&lt;&gt;"موظف جديد " &amp; 'الإعدادات والمستهدفات'!B4,"—",IF(COUNTIFS('[2]سجل الحضور والتنفيذ'!E:E,B190,'[2]سجل الحضور والتنفيذ'!A:A,"PSY-OR-01",'[2]سجل الحضور والتنفيذ'!H:H,"حاضر")&gt;0,"مستوفى",IF(AND(F190&lt;&gt;"",TODAY()&gt;F190+'الإعدادات والمستهدفات'!B9),"متأخر عن المهلة","خلال المهلة"))))</f>
        <v/>
      </c>
    </row>
    <row r="191" spans="1:16" x14ac:dyDescent="0.2">
      <c r="A191" s="3" t="str">
        <f>IF(C191="","",ROW()-3)</f>
        <v/>
      </c>
      <c r="B191" s="3"/>
      <c r="C191" s="3"/>
      <c r="D191" s="3"/>
      <c r="E191" s="3"/>
      <c r="F191" s="3"/>
      <c r="G191" s="3" t="str">
        <f>IF(C191="","",IF(F191="","موظف قائم",IF(YEAR(F191)&gt;='الإعدادات والمستهدفات'!B4,"موظف جديد " &amp; 'الإعدادات والمستهدفات'!B4,"موظف قائم")))</f>
        <v/>
      </c>
      <c r="H191" s="7"/>
      <c r="I191" s="3" t="str">
        <f>IF(C191="","",IF(OR(H191="",H191=0),"لم يُقيَّم","مُقيَّم"))</f>
        <v/>
      </c>
      <c r="J191" s="3" t="str">
        <f>IF(C191="","",IF(I191="لم يُقيَّم","يحتاج تقييم عاجل",IF(H191&lt;'الإعدادات والمستهدفات'!B5,"احتياج مرتفع جداً",IF(H191&lt;'الإعدادات والمستهدفات'!B6,"احتياج متوسط","احتياج منخفض"))))</f>
        <v/>
      </c>
      <c r="K191" s="3" t="str">
        <f>IF(C191="","",IF(OR(J191="يحتاج تقييم عاجل",J191="احتياج مرتفع جداً"),"أولوية قصوى (1)",IF(J191="احتياج متوسط","أولوية متوسطة (2)","أولوية عادية (3)")))</f>
        <v/>
      </c>
      <c r="L191" s="3" t="str">
        <f>IF(C191="","",COUNTIF('[1]الخطة التدريبية المعتمدة'!E:E,E191)+COUNTIF('[1]الخطة التدريبية المعتمدة'!E:E,"جميع العاملين بالمنشأة"))</f>
        <v/>
      </c>
      <c r="M191" s="3" t="str">
        <f>IF(C191="","",COUNTIFS('[2]سجل الحضور والتنفيذ'!E:E,B191,'[2]سجل الحضور والتنفيذ'!H:H,"حاضر"))</f>
        <v/>
      </c>
      <c r="N191" s="7" t="str">
        <f>IF(OR(C191="",L191=0),"",M191/L191)</f>
        <v/>
      </c>
      <c r="O191" s="3" t="str">
        <f>IF(C191="","",SUMPRODUCT(('[2]سجل الحضور والتنفيذ'!E:E=B191)*('[2]سجل الحضور والتنفيذ'!H:H="حاضر")*('[2]سجل الحضور والتنفيذ'!G:G)))</f>
        <v/>
      </c>
      <c r="P191" s="3" t="str">
        <f ca="1">IF(C191="","",IF(G191&lt;&gt;"موظف جديد " &amp; 'الإعدادات والمستهدفات'!B4,"—",IF(COUNTIFS('[2]سجل الحضور والتنفيذ'!E:E,B191,'[2]سجل الحضور والتنفيذ'!A:A,"PSY-OR-01",'[2]سجل الحضور والتنفيذ'!H:H,"حاضر")&gt;0,"مستوفى",IF(AND(F191&lt;&gt;"",TODAY()&gt;F191+'الإعدادات والمستهدفات'!B9),"متأخر عن المهلة","خلال المهلة"))))</f>
        <v/>
      </c>
    </row>
    <row r="192" spans="1:16" x14ac:dyDescent="0.2">
      <c r="A192" s="3" t="str">
        <f>IF(C192="","",ROW()-3)</f>
        <v/>
      </c>
      <c r="B192" s="3"/>
      <c r="C192" s="3"/>
      <c r="D192" s="3"/>
      <c r="E192" s="3"/>
      <c r="F192" s="3"/>
      <c r="G192" s="3" t="str">
        <f>IF(C192="","",IF(F192="","موظف قائم",IF(YEAR(F192)&gt;='الإعدادات والمستهدفات'!B4,"موظف جديد " &amp; 'الإعدادات والمستهدفات'!B4,"موظف قائم")))</f>
        <v/>
      </c>
      <c r="H192" s="7"/>
      <c r="I192" s="3" t="str">
        <f>IF(C192="","",IF(OR(H192="",H192=0),"لم يُقيَّم","مُقيَّم"))</f>
        <v/>
      </c>
      <c r="J192" s="3" t="str">
        <f>IF(C192="","",IF(I192="لم يُقيَّم","يحتاج تقييم عاجل",IF(H192&lt;'الإعدادات والمستهدفات'!B5,"احتياج مرتفع جداً",IF(H192&lt;'الإعدادات والمستهدفات'!B6,"احتياج متوسط","احتياج منخفض"))))</f>
        <v/>
      </c>
      <c r="K192" s="3" t="str">
        <f>IF(C192="","",IF(OR(J192="يحتاج تقييم عاجل",J192="احتياج مرتفع جداً"),"أولوية قصوى (1)",IF(J192="احتياج متوسط","أولوية متوسطة (2)","أولوية عادية (3)")))</f>
        <v/>
      </c>
      <c r="L192" s="3" t="str">
        <f>IF(C192="","",COUNTIF('[1]الخطة التدريبية المعتمدة'!E:E,E192)+COUNTIF('[1]الخطة التدريبية المعتمدة'!E:E,"جميع العاملين بالمنشأة"))</f>
        <v/>
      </c>
      <c r="M192" s="3" t="str">
        <f>IF(C192="","",COUNTIFS('[2]سجل الحضور والتنفيذ'!E:E,B192,'[2]سجل الحضور والتنفيذ'!H:H,"حاضر"))</f>
        <v/>
      </c>
      <c r="N192" s="7" t="str">
        <f>IF(OR(C192="",L192=0),"",M192/L192)</f>
        <v/>
      </c>
      <c r="O192" s="3" t="str">
        <f>IF(C192="","",SUMPRODUCT(('[2]سجل الحضور والتنفيذ'!E:E=B192)*('[2]سجل الحضور والتنفيذ'!H:H="حاضر")*('[2]سجل الحضور والتنفيذ'!G:G)))</f>
        <v/>
      </c>
      <c r="P192" s="3" t="str">
        <f ca="1">IF(C192="","",IF(G192&lt;&gt;"موظف جديد " &amp; 'الإعدادات والمستهدفات'!B4,"—",IF(COUNTIFS('[2]سجل الحضور والتنفيذ'!E:E,B192,'[2]سجل الحضور والتنفيذ'!A:A,"PSY-OR-01",'[2]سجل الحضور والتنفيذ'!H:H,"حاضر")&gt;0,"مستوفى",IF(AND(F192&lt;&gt;"",TODAY()&gt;F192+'الإعدادات والمستهدفات'!B9),"متأخر عن المهلة","خلال المهلة"))))</f>
        <v/>
      </c>
    </row>
    <row r="193" spans="1:16" x14ac:dyDescent="0.2">
      <c r="A193" s="3" t="str">
        <f>IF(C193="","",ROW()-3)</f>
        <v/>
      </c>
      <c r="B193" s="3"/>
      <c r="C193" s="3"/>
      <c r="D193" s="3"/>
      <c r="E193" s="3"/>
      <c r="F193" s="3"/>
      <c r="G193" s="3" t="str">
        <f>IF(C193="","",IF(F193="","موظف قائم",IF(YEAR(F193)&gt;='الإعدادات والمستهدفات'!B4,"موظف جديد " &amp; 'الإعدادات والمستهدفات'!B4,"موظف قائم")))</f>
        <v/>
      </c>
      <c r="H193" s="7"/>
      <c r="I193" s="3" t="str">
        <f>IF(C193="","",IF(OR(H193="",H193=0),"لم يُقيَّم","مُقيَّم"))</f>
        <v/>
      </c>
      <c r="J193" s="3" t="str">
        <f>IF(C193="","",IF(I193="لم يُقيَّم","يحتاج تقييم عاجل",IF(H193&lt;'الإعدادات والمستهدفات'!B5,"احتياج مرتفع جداً",IF(H193&lt;'الإعدادات والمستهدفات'!B6,"احتياج متوسط","احتياج منخفض"))))</f>
        <v/>
      </c>
      <c r="K193" s="3" t="str">
        <f>IF(C193="","",IF(OR(J193="يحتاج تقييم عاجل",J193="احتياج مرتفع جداً"),"أولوية قصوى (1)",IF(J193="احتياج متوسط","أولوية متوسطة (2)","أولوية عادية (3)")))</f>
        <v/>
      </c>
      <c r="L193" s="3" t="str">
        <f>IF(C193="","",COUNTIF('[1]الخطة التدريبية المعتمدة'!E:E,E193)+COUNTIF('[1]الخطة التدريبية المعتمدة'!E:E,"جميع العاملين بالمنشأة"))</f>
        <v/>
      </c>
      <c r="M193" s="3" t="str">
        <f>IF(C193="","",COUNTIFS('[2]سجل الحضور والتنفيذ'!E:E,B193,'[2]سجل الحضور والتنفيذ'!H:H,"حاضر"))</f>
        <v/>
      </c>
      <c r="N193" s="7" t="str">
        <f>IF(OR(C193="",L193=0),"",M193/L193)</f>
        <v/>
      </c>
      <c r="O193" s="3" t="str">
        <f>IF(C193="","",SUMPRODUCT(('[2]سجل الحضور والتنفيذ'!E:E=B193)*('[2]سجل الحضور والتنفيذ'!H:H="حاضر")*('[2]سجل الحضور والتنفيذ'!G:G)))</f>
        <v/>
      </c>
      <c r="P193" s="3" t="str">
        <f ca="1">IF(C193="","",IF(G193&lt;&gt;"موظف جديد " &amp; 'الإعدادات والمستهدفات'!B4,"—",IF(COUNTIFS('[2]سجل الحضور والتنفيذ'!E:E,B193,'[2]سجل الحضور والتنفيذ'!A:A,"PSY-OR-01",'[2]سجل الحضور والتنفيذ'!H:H,"حاضر")&gt;0,"مستوفى",IF(AND(F193&lt;&gt;"",TODAY()&gt;F193+'الإعدادات والمستهدفات'!B9),"متأخر عن المهلة","خلال المهلة"))))</f>
        <v/>
      </c>
    </row>
    <row r="194" spans="1:16" x14ac:dyDescent="0.2">
      <c r="A194" s="3" t="str">
        <f>IF(C194="","",ROW()-3)</f>
        <v/>
      </c>
      <c r="B194" s="3"/>
      <c r="C194" s="3"/>
      <c r="D194" s="3"/>
      <c r="E194" s="3"/>
      <c r="F194" s="3"/>
      <c r="G194" s="3" t="str">
        <f>IF(C194="","",IF(F194="","موظف قائم",IF(YEAR(F194)&gt;='الإعدادات والمستهدفات'!B4,"موظف جديد " &amp; 'الإعدادات والمستهدفات'!B4,"موظف قائم")))</f>
        <v/>
      </c>
      <c r="H194" s="7"/>
      <c r="I194" s="3" t="str">
        <f>IF(C194="","",IF(OR(H194="",H194=0),"لم يُقيَّم","مُقيَّم"))</f>
        <v/>
      </c>
      <c r="J194" s="3" t="str">
        <f>IF(C194="","",IF(I194="لم يُقيَّم","يحتاج تقييم عاجل",IF(H194&lt;'الإعدادات والمستهدفات'!B5,"احتياج مرتفع جداً",IF(H194&lt;'الإعدادات والمستهدفات'!B6,"احتياج متوسط","احتياج منخفض"))))</f>
        <v/>
      </c>
      <c r="K194" s="3" t="str">
        <f>IF(C194="","",IF(OR(J194="يحتاج تقييم عاجل",J194="احتياج مرتفع جداً"),"أولوية قصوى (1)",IF(J194="احتياج متوسط","أولوية متوسطة (2)","أولوية عادية (3)")))</f>
        <v/>
      </c>
      <c r="L194" s="3" t="str">
        <f>IF(C194="","",COUNTIF('[1]الخطة التدريبية المعتمدة'!E:E,E194)+COUNTIF('[1]الخطة التدريبية المعتمدة'!E:E,"جميع العاملين بالمنشأة"))</f>
        <v/>
      </c>
      <c r="M194" s="3" t="str">
        <f>IF(C194="","",COUNTIFS('[2]سجل الحضور والتنفيذ'!E:E,B194,'[2]سجل الحضور والتنفيذ'!H:H,"حاضر"))</f>
        <v/>
      </c>
      <c r="N194" s="7" t="str">
        <f>IF(OR(C194="",L194=0),"",M194/L194)</f>
        <v/>
      </c>
      <c r="O194" s="3" t="str">
        <f>IF(C194="","",SUMPRODUCT(('[2]سجل الحضور والتنفيذ'!E:E=B194)*('[2]سجل الحضور والتنفيذ'!H:H="حاضر")*('[2]سجل الحضور والتنفيذ'!G:G)))</f>
        <v/>
      </c>
      <c r="P194" s="3" t="str">
        <f ca="1">IF(C194="","",IF(G194&lt;&gt;"موظف جديد " &amp; 'الإعدادات والمستهدفات'!B4,"—",IF(COUNTIFS('[2]سجل الحضور والتنفيذ'!E:E,B194,'[2]سجل الحضور والتنفيذ'!A:A,"PSY-OR-01",'[2]سجل الحضور والتنفيذ'!H:H,"حاضر")&gt;0,"مستوفى",IF(AND(F194&lt;&gt;"",TODAY()&gt;F194+'الإعدادات والمستهدفات'!B9),"متأخر عن المهلة","خلال المهلة"))))</f>
        <v/>
      </c>
    </row>
    <row r="195" spans="1:16" x14ac:dyDescent="0.2">
      <c r="A195" s="3" t="str">
        <f>IF(C195="","",ROW()-3)</f>
        <v/>
      </c>
      <c r="B195" s="3"/>
      <c r="C195" s="3"/>
      <c r="D195" s="3"/>
      <c r="E195" s="3"/>
      <c r="F195" s="3"/>
      <c r="G195" s="3" t="str">
        <f>IF(C195="","",IF(F195="","موظف قائم",IF(YEAR(F195)&gt;='الإعدادات والمستهدفات'!B4,"موظف جديد " &amp; 'الإعدادات والمستهدفات'!B4,"موظف قائم")))</f>
        <v/>
      </c>
      <c r="H195" s="7"/>
      <c r="I195" s="3" t="str">
        <f>IF(C195="","",IF(OR(H195="",H195=0),"لم يُقيَّم","مُقيَّم"))</f>
        <v/>
      </c>
      <c r="J195" s="3" t="str">
        <f>IF(C195="","",IF(I195="لم يُقيَّم","يحتاج تقييم عاجل",IF(H195&lt;'الإعدادات والمستهدفات'!B5,"احتياج مرتفع جداً",IF(H195&lt;'الإعدادات والمستهدفات'!B6,"احتياج متوسط","احتياج منخفض"))))</f>
        <v/>
      </c>
      <c r="K195" s="3" t="str">
        <f>IF(C195="","",IF(OR(J195="يحتاج تقييم عاجل",J195="احتياج مرتفع جداً"),"أولوية قصوى (1)",IF(J195="احتياج متوسط","أولوية متوسطة (2)","أولوية عادية (3)")))</f>
        <v/>
      </c>
      <c r="L195" s="3" t="str">
        <f>IF(C195="","",COUNTIF('[1]الخطة التدريبية المعتمدة'!E:E,E195)+COUNTIF('[1]الخطة التدريبية المعتمدة'!E:E,"جميع العاملين بالمنشأة"))</f>
        <v/>
      </c>
      <c r="M195" s="3" t="str">
        <f>IF(C195="","",COUNTIFS('[2]سجل الحضور والتنفيذ'!E:E,B195,'[2]سجل الحضور والتنفيذ'!H:H,"حاضر"))</f>
        <v/>
      </c>
      <c r="N195" s="7" t="str">
        <f>IF(OR(C195="",L195=0),"",M195/L195)</f>
        <v/>
      </c>
      <c r="O195" s="3" t="str">
        <f>IF(C195="","",SUMPRODUCT(('[2]سجل الحضور والتنفيذ'!E:E=B195)*('[2]سجل الحضور والتنفيذ'!H:H="حاضر")*('[2]سجل الحضور والتنفيذ'!G:G)))</f>
        <v/>
      </c>
      <c r="P195" s="3" t="str">
        <f ca="1">IF(C195="","",IF(G195&lt;&gt;"موظف جديد " &amp; 'الإعدادات والمستهدفات'!B4,"—",IF(COUNTIFS('[2]سجل الحضور والتنفيذ'!E:E,B195,'[2]سجل الحضور والتنفيذ'!A:A,"PSY-OR-01",'[2]سجل الحضور والتنفيذ'!H:H,"حاضر")&gt;0,"مستوفى",IF(AND(F195&lt;&gt;"",TODAY()&gt;F195+'الإعدادات والمستهدفات'!B9),"متأخر عن المهلة","خلال المهلة"))))</f>
        <v/>
      </c>
    </row>
    <row r="196" spans="1:16" x14ac:dyDescent="0.2">
      <c r="A196" s="3" t="str">
        <f>IF(C196="","",ROW()-3)</f>
        <v/>
      </c>
      <c r="B196" s="3"/>
      <c r="C196" s="3"/>
      <c r="D196" s="3"/>
      <c r="E196" s="3"/>
      <c r="F196" s="3"/>
      <c r="G196" s="3" t="str">
        <f>IF(C196="","",IF(F196="","موظف قائم",IF(YEAR(F196)&gt;='الإعدادات والمستهدفات'!B4,"موظف جديد " &amp; 'الإعدادات والمستهدفات'!B4,"موظف قائم")))</f>
        <v/>
      </c>
      <c r="H196" s="7"/>
      <c r="I196" s="3" t="str">
        <f>IF(C196="","",IF(OR(H196="",H196=0),"لم يُقيَّم","مُقيَّم"))</f>
        <v/>
      </c>
      <c r="J196" s="3" t="str">
        <f>IF(C196="","",IF(I196="لم يُقيَّم","يحتاج تقييم عاجل",IF(H196&lt;'الإعدادات والمستهدفات'!B5,"احتياج مرتفع جداً",IF(H196&lt;'الإعدادات والمستهدفات'!B6,"احتياج متوسط","احتياج منخفض"))))</f>
        <v/>
      </c>
      <c r="K196" s="3" t="str">
        <f>IF(C196="","",IF(OR(J196="يحتاج تقييم عاجل",J196="احتياج مرتفع جداً"),"أولوية قصوى (1)",IF(J196="احتياج متوسط","أولوية متوسطة (2)","أولوية عادية (3)")))</f>
        <v/>
      </c>
      <c r="L196" s="3" t="str">
        <f>IF(C196="","",COUNTIF('[1]الخطة التدريبية المعتمدة'!E:E,E196)+COUNTIF('[1]الخطة التدريبية المعتمدة'!E:E,"جميع العاملين بالمنشأة"))</f>
        <v/>
      </c>
      <c r="M196" s="3" t="str">
        <f>IF(C196="","",COUNTIFS('[2]سجل الحضور والتنفيذ'!E:E,B196,'[2]سجل الحضور والتنفيذ'!H:H,"حاضر"))</f>
        <v/>
      </c>
      <c r="N196" s="7" t="str">
        <f>IF(OR(C196="",L196=0),"",M196/L196)</f>
        <v/>
      </c>
      <c r="O196" s="3" t="str">
        <f>IF(C196="","",SUMPRODUCT(('[2]سجل الحضور والتنفيذ'!E:E=B196)*('[2]سجل الحضور والتنفيذ'!H:H="حاضر")*('[2]سجل الحضور والتنفيذ'!G:G)))</f>
        <v/>
      </c>
      <c r="P196" s="3" t="str">
        <f ca="1">IF(C196="","",IF(G196&lt;&gt;"موظف جديد " &amp; 'الإعدادات والمستهدفات'!B4,"—",IF(COUNTIFS('[2]سجل الحضور والتنفيذ'!E:E,B196,'[2]سجل الحضور والتنفيذ'!A:A,"PSY-OR-01",'[2]سجل الحضور والتنفيذ'!H:H,"حاضر")&gt;0,"مستوفى",IF(AND(F196&lt;&gt;"",TODAY()&gt;F196+'الإعدادات والمستهدفات'!B9),"متأخر عن المهلة","خلال المهلة"))))</f>
        <v/>
      </c>
    </row>
    <row r="197" spans="1:16" x14ac:dyDescent="0.2">
      <c r="A197" s="3" t="str">
        <f>IF(C197="","",ROW()-3)</f>
        <v/>
      </c>
      <c r="B197" s="3"/>
      <c r="C197" s="3"/>
      <c r="D197" s="3"/>
      <c r="E197" s="3"/>
      <c r="F197" s="3"/>
      <c r="G197" s="3" t="str">
        <f>IF(C197="","",IF(F197="","موظف قائم",IF(YEAR(F197)&gt;='الإعدادات والمستهدفات'!B4,"موظف جديد " &amp; 'الإعدادات والمستهدفات'!B4,"موظف قائم")))</f>
        <v/>
      </c>
      <c r="H197" s="7"/>
      <c r="I197" s="3" t="str">
        <f>IF(C197="","",IF(OR(H197="",H197=0),"لم يُقيَّم","مُقيَّم"))</f>
        <v/>
      </c>
      <c r="J197" s="3" t="str">
        <f>IF(C197="","",IF(I197="لم يُقيَّم","يحتاج تقييم عاجل",IF(H197&lt;'الإعدادات والمستهدفات'!B5,"احتياج مرتفع جداً",IF(H197&lt;'الإعدادات والمستهدفات'!B6,"احتياج متوسط","احتياج منخفض"))))</f>
        <v/>
      </c>
      <c r="K197" s="3" t="str">
        <f>IF(C197="","",IF(OR(J197="يحتاج تقييم عاجل",J197="احتياج مرتفع جداً"),"أولوية قصوى (1)",IF(J197="احتياج متوسط","أولوية متوسطة (2)","أولوية عادية (3)")))</f>
        <v/>
      </c>
      <c r="L197" s="3" t="str">
        <f>IF(C197="","",COUNTIF('[1]الخطة التدريبية المعتمدة'!E:E,E197)+COUNTIF('[1]الخطة التدريبية المعتمدة'!E:E,"جميع العاملين بالمنشأة"))</f>
        <v/>
      </c>
      <c r="M197" s="3" t="str">
        <f>IF(C197="","",COUNTIFS('[2]سجل الحضور والتنفيذ'!E:E,B197,'[2]سجل الحضور والتنفيذ'!H:H,"حاضر"))</f>
        <v/>
      </c>
      <c r="N197" s="7" t="str">
        <f>IF(OR(C197="",L197=0),"",M197/L197)</f>
        <v/>
      </c>
      <c r="O197" s="3" t="str">
        <f>IF(C197="","",SUMPRODUCT(('[2]سجل الحضور والتنفيذ'!E:E=B197)*('[2]سجل الحضور والتنفيذ'!H:H="حاضر")*('[2]سجل الحضور والتنفيذ'!G:G)))</f>
        <v/>
      </c>
      <c r="P197" s="3" t="str">
        <f ca="1">IF(C197="","",IF(G197&lt;&gt;"موظف جديد " &amp; 'الإعدادات والمستهدفات'!B4,"—",IF(COUNTIFS('[2]سجل الحضور والتنفيذ'!E:E,B197,'[2]سجل الحضور والتنفيذ'!A:A,"PSY-OR-01",'[2]سجل الحضور والتنفيذ'!H:H,"حاضر")&gt;0,"مستوفى",IF(AND(F197&lt;&gt;"",TODAY()&gt;F197+'الإعدادات والمستهدفات'!B9),"متأخر عن المهلة","خلال المهلة"))))</f>
        <v/>
      </c>
    </row>
    <row r="198" spans="1:16" x14ac:dyDescent="0.2">
      <c r="A198" s="3" t="str">
        <f>IF(C198="","",ROW()-3)</f>
        <v/>
      </c>
      <c r="B198" s="3"/>
      <c r="C198" s="3"/>
      <c r="D198" s="3"/>
      <c r="E198" s="3"/>
      <c r="F198" s="3"/>
      <c r="G198" s="3" t="str">
        <f>IF(C198="","",IF(F198="","موظف قائم",IF(YEAR(F198)&gt;='الإعدادات والمستهدفات'!B4,"موظف جديد " &amp; 'الإعدادات والمستهدفات'!B4,"موظف قائم")))</f>
        <v/>
      </c>
      <c r="H198" s="7"/>
      <c r="I198" s="3" t="str">
        <f>IF(C198="","",IF(OR(H198="",H198=0),"لم يُقيَّم","مُقيَّم"))</f>
        <v/>
      </c>
      <c r="J198" s="3" t="str">
        <f>IF(C198="","",IF(I198="لم يُقيَّم","يحتاج تقييم عاجل",IF(H198&lt;'الإعدادات والمستهدفات'!B5,"احتياج مرتفع جداً",IF(H198&lt;'الإعدادات والمستهدفات'!B6,"احتياج متوسط","احتياج منخفض"))))</f>
        <v/>
      </c>
      <c r="K198" s="3" t="str">
        <f>IF(C198="","",IF(OR(J198="يحتاج تقييم عاجل",J198="احتياج مرتفع جداً"),"أولوية قصوى (1)",IF(J198="احتياج متوسط","أولوية متوسطة (2)","أولوية عادية (3)")))</f>
        <v/>
      </c>
      <c r="L198" s="3" t="str">
        <f>IF(C198="","",COUNTIF('[1]الخطة التدريبية المعتمدة'!E:E,E198)+COUNTIF('[1]الخطة التدريبية المعتمدة'!E:E,"جميع العاملين بالمنشأة"))</f>
        <v/>
      </c>
      <c r="M198" s="3" t="str">
        <f>IF(C198="","",COUNTIFS('[2]سجل الحضور والتنفيذ'!E:E,B198,'[2]سجل الحضور والتنفيذ'!H:H,"حاضر"))</f>
        <v/>
      </c>
      <c r="N198" s="7" t="str">
        <f>IF(OR(C198="",L198=0),"",M198/L198)</f>
        <v/>
      </c>
      <c r="O198" s="3" t="str">
        <f>IF(C198="","",SUMPRODUCT(('[2]سجل الحضور والتنفيذ'!E:E=B198)*('[2]سجل الحضور والتنفيذ'!H:H="حاضر")*('[2]سجل الحضور والتنفيذ'!G:G)))</f>
        <v/>
      </c>
      <c r="P198" s="3" t="str">
        <f ca="1">IF(C198="","",IF(G198&lt;&gt;"موظف جديد " &amp; 'الإعدادات والمستهدفات'!B4,"—",IF(COUNTIFS('[2]سجل الحضور والتنفيذ'!E:E,B198,'[2]سجل الحضور والتنفيذ'!A:A,"PSY-OR-01",'[2]سجل الحضور والتنفيذ'!H:H,"حاضر")&gt;0,"مستوفى",IF(AND(F198&lt;&gt;"",TODAY()&gt;F198+'الإعدادات والمستهدفات'!B9),"متأخر عن المهلة","خلال المهلة"))))</f>
        <v/>
      </c>
    </row>
    <row r="199" spans="1:16" x14ac:dyDescent="0.2">
      <c r="A199" s="3" t="str">
        <f>IF(C199="","",ROW()-3)</f>
        <v/>
      </c>
      <c r="B199" s="3"/>
      <c r="C199" s="3"/>
      <c r="D199" s="3"/>
      <c r="E199" s="3"/>
      <c r="F199" s="3"/>
      <c r="G199" s="3" t="str">
        <f>IF(C199="","",IF(F199="","موظف قائم",IF(YEAR(F199)&gt;='الإعدادات والمستهدفات'!B4,"موظف جديد " &amp; 'الإعدادات والمستهدفات'!B4,"موظف قائم")))</f>
        <v/>
      </c>
      <c r="H199" s="7"/>
      <c r="I199" s="3" t="str">
        <f>IF(C199="","",IF(OR(H199="",H199=0),"لم يُقيَّم","مُقيَّم"))</f>
        <v/>
      </c>
      <c r="J199" s="3" t="str">
        <f>IF(C199="","",IF(I199="لم يُقيَّم","يحتاج تقييم عاجل",IF(H199&lt;'الإعدادات والمستهدفات'!B5,"احتياج مرتفع جداً",IF(H199&lt;'الإعدادات والمستهدفات'!B6,"احتياج متوسط","احتياج منخفض"))))</f>
        <v/>
      </c>
      <c r="K199" s="3" t="str">
        <f>IF(C199="","",IF(OR(J199="يحتاج تقييم عاجل",J199="احتياج مرتفع جداً"),"أولوية قصوى (1)",IF(J199="احتياج متوسط","أولوية متوسطة (2)","أولوية عادية (3)")))</f>
        <v/>
      </c>
      <c r="L199" s="3" t="str">
        <f>IF(C199="","",COUNTIF('[1]الخطة التدريبية المعتمدة'!E:E,E199)+COUNTIF('[1]الخطة التدريبية المعتمدة'!E:E,"جميع العاملين بالمنشأة"))</f>
        <v/>
      </c>
      <c r="M199" s="3" t="str">
        <f>IF(C199="","",COUNTIFS('[2]سجل الحضور والتنفيذ'!E:E,B199,'[2]سجل الحضور والتنفيذ'!H:H,"حاضر"))</f>
        <v/>
      </c>
      <c r="N199" s="7" t="str">
        <f>IF(OR(C199="",L199=0),"",M199/L199)</f>
        <v/>
      </c>
      <c r="O199" s="3" t="str">
        <f>IF(C199="","",SUMPRODUCT(('[2]سجل الحضور والتنفيذ'!E:E=B199)*('[2]سجل الحضور والتنفيذ'!H:H="حاضر")*('[2]سجل الحضور والتنفيذ'!G:G)))</f>
        <v/>
      </c>
      <c r="P199" s="3" t="str">
        <f ca="1">IF(C199="","",IF(G199&lt;&gt;"موظف جديد " &amp; 'الإعدادات والمستهدفات'!B4,"—",IF(COUNTIFS('[2]سجل الحضور والتنفيذ'!E:E,B199,'[2]سجل الحضور والتنفيذ'!A:A,"PSY-OR-01",'[2]سجل الحضور والتنفيذ'!H:H,"حاضر")&gt;0,"مستوفى",IF(AND(F199&lt;&gt;"",TODAY()&gt;F199+'الإعدادات والمستهدفات'!B9),"متأخر عن المهلة","خلال المهلة"))))</f>
        <v/>
      </c>
    </row>
    <row r="200" spans="1:16" x14ac:dyDescent="0.2">
      <c r="A200" s="3" t="str">
        <f>IF(C200="","",ROW()-3)</f>
        <v/>
      </c>
      <c r="B200" s="3"/>
      <c r="C200" s="3"/>
      <c r="D200" s="3"/>
      <c r="E200" s="3"/>
      <c r="F200" s="3"/>
      <c r="G200" s="3" t="str">
        <f>IF(C200="","",IF(F200="","موظف قائم",IF(YEAR(F200)&gt;='الإعدادات والمستهدفات'!B4,"موظف جديد " &amp; 'الإعدادات والمستهدفات'!B4,"موظف قائم")))</f>
        <v/>
      </c>
      <c r="H200" s="7"/>
      <c r="I200" s="3" t="str">
        <f>IF(C200="","",IF(OR(H200="",H200=0),"لم يُقيَّم","مُقيَّم"))</f>
        <v/>
      </c>
      <c r="J200" s="3" t="str">
        <f>IF(C200="","",IF(I200="لم يُقيَّم","يحتاج تقييم عاجل",IF(H200&lt;'الإعدادات والمستهدفات'!B5,"احتياج مرتفع جداً",IF(H200&lt;'الإعدادات والمستهدفات'!B6,"احتياج متوسط","احتياج منخفض"))))</f>
        <v/>
      </c>
      <c r="K200" s="3" t="str">
        <f>IF(C200="","",IF(OR(J200="يحتاج تقييم عاجل",J200="احتياج مرتفع جداً"),"أولوية قصوى (1)",IF(J200="احتياج متوسط","أولوية متوسطة (2)","أولوية عادية (3)")))</f>
        <v/>
      </c>
      <c r="L200" s="3" t="str">
        <f>IF(C200="","",COUNTIF('[1]الخطة التدريبية المعتمدة'!E:E,E200)+COUNTIF('[1]الخطة التدريبية المعتمدة'!E:E,"جميع العاملين بالمنشأة"))</f>
        <v/>
      </c>
      <c r="M200" s="3" t="str">
        <f>IF(C200="","",COUNTIFS('[2]سجل الحضور والتنفيذ'!E:E,B200,'[2]سجل الحضور والتنفيذ'!H:H,"حاضر"))</f>
        <v/>
      </c>
      <c r="N200" s="7" t="str">
        <f>IF(OR(C200="",L200=0),"",M200/L200)</f>
        <v/>
      </c>
      <c r="O200" s="3" t="str">
        <f>IF(C200="","",SUMPRODUCT(('[2]سجل الحضور والتنفيذ'!E:E=B200)*('[2]سجل الحضور والتنفيذ'!H:H="حاضر")*('[2]سجل الحضور والتنفيذ'!G:G)))</f>
        <v/>
      </c>
      <c r="P200" s="3" t="str">
        <f ca="1">IF(C200="","",IF(G200&lt;&gt;"موظف جديد " &amp; 'الإعدادات والمستهدفات'!B4,"—",IF(COUNTIFS('[2]سجل الحضور والتنفيذ'!E:E,B200,'[2]سجل الحضور والتنفيذ'!A:A,"PSY-OR-01",'[2]سجل الحضور والتنفيذ'!H:H,"حاضر")&gt;0,"مستوفى",IF(AND(F200&lt;&gt;"",TODAY()&gt;F200+'الإعدادات والمستهدفات'!B9),"متأخر عن المهلة","خلال المهلة"))))</f>
        <v/>
      </c>
    </row>
    <row r="201" spans="1:16" x14ac:dyDescent="0.2">
      <c r="A201" s="3" t="str">
        <f>IF(C201="","",ROW()-3)</f>
        <v/>
      </c>
      <c r="B201" s="3"/>
      <c r="C201" s="3"/>
      <c r="D201" s="3"/>
      <c r="E201" s="3"/>
      <c r="F201" s="3"/>
      <c r="G201" s="3" t="str">
        <f>IF(C201="","",IF(F201="","موظف قائم",IF(YEAR(F201)&gt;='الإعدادات والمستهدفات'!B4,"موظف جديد " &amp; 'الإعدادات والمستهدفات'!B4,"موظف قائم")))</f>
        <v/>
      </c>
      <c r="H201" s="7"/>
      <c r="I201" s="3" t="str">
        <f>IF(C201="","",IF(OR(H201="",H201=0),"لم يُقيَّم","مُقيَّم"))</f>
        <v/>
      </c>
      <c r="J201" s="3" t="str">
        <f>IF(C201="","",IF(I201="لم يُقيَّم","يحتاج تقييم عاجل",IF(H201&lt;'الإعدادات والمستهدفات'!B5,"احتياج مرتفع جداً",IF(H201&lt;'الإعدادات والمستهدفات'!B6,"احتياج متوسط","احتياج منخفض"))))</f>
        <v/>
      </c>
      <c r="K201" s="3" t="str">
        <f>IF(C201="","",IF(OR(J201="يحتاج تقييم عاجل",J201="احتياج مرتفع جداً"),"أولوية قصوى (1)",IF(J201="احتياج متوسط","أولوية متوسطة (2)","أولوية عادية (3)")))</f>
        <v/>
      </c>
      <c r="L201" s="3" t="str">
        <f>IF(C201="","",COUNTIF('[1]الخطة التدريبية المعتمدة'!E:E,E201)+COUNTIF('[1]الخطة التدريبية المعتمدة'!E:E,"جميع العاملين بالمنشأة"))</f>
        <v/>
      </c>
      <c r="M201" s="3" t="str">
        <f>IF(C201="","",COUNTIFS('[2]سجل الحضور والتنفيذ'!E:E,B201,'[2]سجل الحضور والتنفيذ'!H:H,"حاضر"))</f>
        <v/>
      </c>
      <c r="N201" s="7" t="str">
        <f>IF(OR(C201="",L201=0),"",M201/L201)</f>
        <v/>
      </c>
      <c r="O201" s="3" t="str">
        <f>IF(C201="","",SUMPRODUCT(('[2]سجل الحضور والتنفيذ'!E:E=B201)*('[2]سجل الحضور والتنفيذ'!H:H="حاضر")*('[2]سجل الحضور والتنفيذ'!G:G)))</f>
        <v/>
      </c>
      <c r="P201" s="3" t="str">
        <f ca="1">IF(C201="","",IF(G201&lt;&gt;"موظف جديد " &amp; 'الإعدادات والمستهدفات'!B4,"—",IF(COUNTIFS('[2]سجل الحضور والتنفيذ'!E:E,B201,'[2]سجل الحضور والتنفيذ'!A:A,"PSY-OR-01",'[2]سجل الحضور والتنفيذ'!H:H,"حاضر")&gt;0,"مستوفى",IF(AND(F201&lt;&gt;"",TODAY()&gt;F201+'الإعدادات والمستهدفات'!B9),"متأخر عن المهلة","خلال المهلة"))))</f>
        <v/>
      </c>
    </row>
    <row r="202" spans="1:16" x14ac:dyDescent="0.2">
      <c r="A202" s="3" t="str">
        <f>IF(C202="","",ROW()-3)</f>
        <v/>
      </c>
      <c r="B202" s="3"/>
      <c r="C202" s="3"/>
      <c r="D202" s="3"/>
      <c r="E202" s="3"/>
      <c r="F202" s="3"/>
      <c r="G202" s="3" t="str">
        <f>IF(C202="","",IF(F202="","موظف قائم",IF(YEAR(F202)&gt;='الإعدادات والمستهدفات'!B4,"موظف جديد " &amp; 'الإعدادات والمستهدفات'!B4,"موظف قائم")))</f>
        <v/>
      </c>
      <c r="H202" s="7"/>
      <c r="I202" s="3" t="str">
        <f>IF(C202="","",IF(OR(H202="",H202=0),"لم يُقيَّم","مُقيَّم"))</f>
        <v/>
      </c>
      <c r="J202" s="3" t="str">
        <f>IF(C202="","",IF(I202="لم يُقيَّم","يحتاج تقييم عاجل",IF(H202&lt;'الإعدادات والمستهدفات'!B5,"احتياج مرتفع جداً",IF(H202&lt;'الإعدادات والمستهدفات'!B6,"احتياج متوسط","احتياج منخفض"))))</f>
        <v/>
      </c>
      <c r="K202" s="3" t="str">
        <f>IF(C202="","",IF(OR(J202="يحتاج تقييم عاجل",J202="احتياج مرتفع جداً"),"أولوية قصوى (1)",IF(J202="احتياج متوسط","أولوية متوسطة (2)","أولوية عادية (3)")))</f>
        <v/>
      </c>
      <c r="L202" s="3" t="str">
        <f>IF(C202="","",COUNTIF('[1]الخطة التدريبية المعتمدة'!E:E,E202)+COUNTIF('[1]الخطة التدريبية المعتمدة'!E:E,"جميع العاملين بالمنشأة"))</f>
        <v/>
      </c>
      <c r="M202" s="3" t="str">
        <f>IF(C202="","",COUNTIFS('[2]سجل الحضور والتنفيذ'!E:E,B202,'[2]سجل الحضور والتنفيذ'!H:H,"حاضر"))</f>
        <v/>
      </c>
      <c r="N202" s="7" t="str">
        <f>IF(OR(C202="",L202=0),"",M202/L202)</f>
        <v/>
      </c>
      <c r="O202" s="3" t="str">
        <f>IF(C202="","",SUMPRODUCT(('[2]سجل الحضور والتنفيذ'!E:E=B202)*('[2]سجل الحضور والتنفيذ'!H:H="حاضر")*('[2]سجل الحضور والتنفيذ'!G:G)))</f>
        <v/>
      </c>
      <c r="P202" s="3" t="str">
        <f ca="1">IF(C202="","",IF(G202&lt;&gt;"موظف جديد " &amp; 'الإعدادات والمستهدفات'!B4,"—",IF(COUNTIFS('[2]سجل الحضور والتنفيذ'!E:E,B202,'[2]سجل الحضور والتنفيذ'!A:A,"PSY-OR-01",'[2]سجل الحضور والتنفيذ'!H:H,"حاضر")&gt;0,"مستوفى",IF(AND(F202&lt;&gt;"",TODAY()&gt;F202+'الإعدادات والمستهدفات'!B9),"متأخر عن المهلة","خلال المهلة"))))</f>
        <v/>
      </c>
    </row>
    <row r="203" spans="1:16" x14ac:dyDescent="0.2">
      <c r="A203" s="3" t="str">
        <f>IF(C203="","",ROW()-3)</f>
        <v/>
      </c>
      <c r="B203" s="3"/>
      <c r="C203" s="3"/>
      <c r="D203" s="3"/>
      <c r="E203" s="3"/>
      <c r="F203" s="3"/>
      <c r="G203" s="3" t="str">
        <f>IF(C203="","",IF(F203="","موظف قائم",IF(YEAR(F203)&gt;='الإعدادات والمستهدفات'!B4,"موظف جديد " &amp; 'الإعدادات والمستهدفات'!B4,"موظف قائم")))</f>
        <v/>
      </c>
      <c r="H203" s="7"/>
      <c r="I203" s="3" t="str">
        <f>IF(C203="","",IF(OR(H203="",H203=0),"لم يُقيَّم","مُقيَّم"))</f>
        <v/>
      </c>
      <c r="J203" s="3" t="str">
        <f>IF(C203="","",IF(I203="لم يُقيَّم","يحتاج تقييم عاجل",IF(H203&lt;'الإعدادات والمستهدفات'!B5,"احتياج مرتفع جداً",IF(H203&lt;'الإعدادات والمستهدفات'!B6,"احتياج متوسط","احتياج منخفض"))))</f>
        <v/>
      </c>
      <c r="K203" s="3" t="str">
        <f>IF(C203="","",IF(OR(J203="يحتاج تقييم عاجل",J203="احتياج مرتفع جداً"),"أولوية قصوى (1)",IF(J203="احتياج متوسط","أولوية متوسطة (2)","أولوية عادية (3)")))</f>
        <v/>
      </c>
      <c r="L203" s="3" t="str">
        <f>IF(C203="","",COUNTIF('[1]الخطة التدريبية المعتمدة'!E:E,E203)+COUNTIF('[1]الخطة التدريبية المعتمدة'!E:E,"جميع العاملين بالمنشأة"))</f>
        <v/>
      </c>
      <c r="M203" s="3" t="str">
        <f>IF(C203="","",COUNTIFS('[2]سجل الحضور والتنفيذ'!E:E,B203,'[2]سجل الحضور والتنفيذ'!H:H,"حاضر"))</f>
        <v/>
      </c>
      <c r="N203" s="7" t="str">
        <f>IF(OR(C203="",L203=0),"",M203/L203)</f>
        <v/>
      </c>
      <c r="O203" s="3" t="str">
        <f>IF(C203="","",SUMPRODUCT(('[2]سجل الحضور والتنفيذ'!E:E=B203)*('[2]سجل الحضور والتنفيذ'!H:H="حاضر")*('[2]سجل الحضور والتنفيذ'!G:G)))</f>
        <v/>
      </c>
      <c r="P203" s="3" t="str">
        <f ca="1">IF(C203="","",IF(G203&lt;&gt;"موظف جديد " &amp; 'الإعدادات والمستهدفات'!B4,"—",IF(COUNTIFS('[2]سجل الحضور والتنفيذ'!E:E,B203,'[2]سجل الحضور والتنفيذ'!A:A,"PSY-OR-01",'[2]سجل الحضور والتنفيذ'!H:H,"حاضر")&gt;0,"مستوفى",IF(AND(F203&lt;&gt;"",TODAY()&gt;F203+'الإعدادات والمستهدفات'!B9),"متأخر عن المهلة","خلال المهلة"))))</f>
        <v/>
      </c>
    </row>
  </sheetData>
  <mergeCells count="1">
    <mergeCell ref="A1:P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7F83-99DD-44DE-8CAE-0505B7770632}">
  <dimension ref="A1:G12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12.5703125" style="1" bestFit="1" customWidth="1"/>
    <col min="2" max="2" width="12.7109375" style="1" bestFit="1" customWidth="1"/>
    <col min="3" max="3" width="24.42578125" style="1" bestFit="1" customWidth="1"/>
    <col min="4" max="4" width="19.7109375" style="1" bestFit="1" customWidth="1"/>
    <col min="5" max="5" width="26.28515625" style="1" bestFit="1" customWidth="1"/>
    <col min="6" max="6" width="19.5703125" style="1" bestFit="1" customWidth="1"/>
    <col min="7" max="7" width="15.85546875" style="1" bestFit="1" customWidth="1"/>
    <col min="8" max="16384" width="9.140625" style="1"/>
  </cols>
  <sheetData>
    <row r="1" spans="1:7" x14ac:dyDescent="0.2">
      <c r="A1" s="2" t="s">
        <v>60</v>
      </c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4" t="s">
        <v>61</v>
      </c>
      <c r="B3" s="4" t="s">
        <v>62</v>
      </c>
      <c r="C3" s="4" t="s">
        <v>63</v>
      </c>
      <c r="D3" s="4" t="s">
        <v>64</v>
      </c>
      <c r="E3" s="4" t="s">
        <v>65</v>
      </c>
      <c r="F3" s="4" t="s">
        <v>66</v>
      </c>
      <c r="G3" s="4" t="s">
        <v>67</v>
      </c>
    </row>
    <row r="4" spans="1:7" ht="38.25" x14ac:dyDescent="0.2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</row>
    <row r="5" spans="1:7" ht="51" x14ac:dyDescent="0.2">
      <c r="A5" s="3" t="s">
        <v>75</v>
      </c>
      <c r="B5" s="3" t="s">
        <v>76</v>
      </c>
      <c r="C5" s="3" t="s">
        <v>77</v>
      </c>
      <c r="D5" s="3" t="s">
        <v>78</v>
      </c>
      <c r="E5" s="3" t="s">
        <v>79</v>
      </c>
      <c r="F5" s="3" t="s">
        <v>80</v>
      </c>
      <c r="G5" s="3" t="s">
        <v>81</v>
      </c>
    </row>
    <row r="6" spans="1:7" ht="25.5" x14ac:dyDescent="0.2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  <c r="F6" s="3" t="s">
        <v>87</v>
      </c>
      <c r="G6" s="3" t="s">
        <v>88</v>
      </c>
    </row>
    <row r="7" spans="1:7" ht="25.5" x14ac:dyDescent="0.2">
      <c r="A7" s="3" t="s">
        <v>89</v>
      </c>
      <c r="B7" s="3" t="s">
        <v>90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</row>
    <row r="8" spans="1:7" ht="38.25" x14ac:dyDescent="0.2">
      <c r="A8" s="3" t="s">
        <v>96</v>
      </c>
      <c r="B8" s="3" t="s">
        <v>97</v>
      </c>
      <c r="C8" s="3" t="s">
        <v>98</v>
      </c>
      <c r="D8" s="3" t="s">
        <v>99</v>
      </c>
      <c r="E8" s="3" t="s">
        <v>100</v>
      </c>
      <c r="F8" s="3" t="s">
        <v>101</v>
      </c>
      <c r="G8" s="3" t="s">
        <v>102</v>
      </c>
    </row>
    <row r="9" spans="1:7" ht="25.5" x14ac:dyDescent="0.2">
      <c r="A9" s="3" t="s">
        <v>103</v>
      </c>
      <c r="B9" s="3" t="s">
        <v>104</v>
      </c>
      <c r="C9" s="3" t="s">
        <v>105</v>
      </c>
      <c r="D9" s="3" t="s">
        <v>106</v>
      </c>
      <c r="E9" s="3" t="s">
        <v>107</v>
      </c>
      <c r="F9" s="3" t="s">
        <v>108</v>
      </c>
      <c r="G9" s="3" t="s">
        <v>109</v>
      </c>
    </row>
    <row r="10" spans="1:7" ht="38.25" x14ac:dyDescent="0.2">
      <c r="A10" s="3" t="s">
        <v>110</v>
      </c>
      <c r="B10" s="3" t="s">
        <v>111</v>
      </c>
      <c r="C10" s="3" t="s">
        <v>112</v>
      </c>
      <c r="D10" s="3" t="s">
        <v>113</v>
      </c>
      <c r="E10" s="3" t="s">
        <v>114</v>
      </c>
      <c r="F10" s="3" t="s">
        <v>115</v>
      </c>
      <c r="G10" s="3" t="s">
        <v>116</v>
      </c>
    </row>
    <row r="11" spans="1:7" ht="38.25" x14ac:dyDescent="0.2">
      <c r="A11" s="3" t="s">
        <v>117</v>
      </c>
      <c r="B11" s="3" t="s">
        <v>118</v>
      </c>
      <c r="C11" s="3" t="s">
        <v>119</v>
      </c>
      <c r="D11" s="3" t="s">
        <v>120</v>
      </c>
      <c r="E11" s="3" t="s">
        <v>121</v>
      </c>
      <c r="F11" s="3" t="s">
        <v>87</v>
      </c>
      <c r="G11" s="3" t="s">
        <v>122</v>
      </c>
    </row>
    <row r="12" spans="1:7" ht="38.25" x14ac:dyDescent="0.2">
      <c r="A12" s="3" t="s">
        <v>123</v>
      </c>
      <c r="B12" s="3" t="s">
        <v>124</v>
      </c>
      <c r="C12" s="3" t="s">
        <v>125</v>
      </c>
      <c r="D12" s="3" t="s">
        <v>126</v>
      </c>
      <c r="E12" s="3" t="s">
        <v>127</v>
      </c>
      <c r="F12" s="3" t="s">
        <v>87</v>
      </c>
      <c r="G12" s="3" t="s">
        <v>128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35D4-A4C7-4460-92AA-2DB489ABDC43}">
  <dimension ref="A1:D12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21.5703125" style="1" bestFit="1" customWidth="1"/>
    <col min="2" max="2" width="6.7109375" style="1" bestFit="1" customWidth="1"/>
    <col min="3" max="3" width="36.42578125" style="1" bestFit="1" customWidth="1"/>
    <col min="4" max="4" width="8.140625" style="1" bestFit="1" customWidth="1"/>
    <col min="5" max="16384" width="9.140625" style="1"/>
  </cols>
  <sheetData>
    <row r="1" spans="1:4" x14ac:dyDescent="0.2">
      <c r="A1" s="2" t="s">
        <v>35</v>
      </c>
      <c r="B1" s="2"/>
      <c r="C1" s="2"/>
      <c r="D1" s="2"/>
    </row>
    <row r="2" spans="1:4" x14ac:dyDescent="0.2">
      <c r="A2" s="3"/>
      <c r="B2" s="3"/>
      <c r="C2" s="3"/>
      <c r="D2" s="3"/>
    </row>
    <row r="3" spans="1:4" x14ac:dyDescent="0.2">
      <c r="A3" s="4" t="s">
        <v>36</v>
      </c>
      <c r="B3" s="4" t="s">
        <v>37</v>
      </c>
      <c r="C3" s="4" t="s">
        <v>38</v>
      </c>
      <c r="D3" s="4" t="s">
        <v>39</v>
      </c>
    </row>
    <row r="4" spans="1:4" x14ac:dyDescent="0.2">
      <c r="A4" s="3" t="s">
        <v>7</v>
      </c>
      <c r="B4" s="3">
        <v>2026</v>
      </c>
      <c r="C4" s="3" t="s">
        <v>40</v>
      </c>
      <c r="D4" s="3" t="s">
        <v>41</v>
      </c>
    </row>
    <row r="5" spans="1:4" x14ac:dyDescent="0.2">
      <c r="A5" s="3" t="s">
        <v>42</v>
      </c>
      <c r="B5" s="7">
        <v>0.7</v>
      </c>
      <c r="C5" s="3" t="s">
        <v>43</v>
      </c>
      <c r="D5" s="3" t="s">
        <v>41</v>
      </c>
    </row>
    <row r="6" spans="1:4" x14ac:dyDescent="0.2">
      <c r="A6" s="3" t="s">
        <v>44</v>
      </c>
      <c r="B6" s="7">
        <v>0.8</v>
      </c>
      <c r="C6" s="3" t="s">
        <v>45</v>
      </c>
      <c r="D6" s="3" t="s">
        <v>46</v>
      </c>
    </row>
    <row r="7" spans="1:4" x14ac:dyDescent="0.2">
      <c r="A7" s="3" t="s">
        <v>47</v>
      </c>
      <c r="B7" s="7">
        <v>0.85</v>
      </c>
      <c r="C7" s="3" t="s">
        <v>48</v>
      </c>
      <c r="D7" s="3" t="s">
        <v>41</v>
      </c>
    </row>
    <row r="8" spans="1:4" x14ac:dyDescent="0.2">
      <c r="A8" s="3" t="s">
        <v>49</v>
      </c>
      <c r="B8" s="3">
        <v>0.9</v>
      </c>
      <c r="C8" s="3" t="s">
        <v>50</v>
      </c>
      <c r="D8" s="3" t="s">
        <v>41</v>
      </c>
    </row>
    <row r="9" spans="1:4" x14ac:dyDescent="0.2">
      <c r="A9" s="3" t="s">
        <v>51</v>
      </c>
      <c r="B9" s="7">
        <v>30</v>
      </c>
      <c r="C9" s="3" t="s">
        <v>52</v>
      </c>
      <c r="D9" s="3" t="s">
        <v>53</v>
      </c>
    </row>
    <row r="10" spans="1:4" x14ac:dyDescent="0.2">
      <c r="A10" s="3" t="s">
        <v>54</v>
      </c>
      <c r="B10" s="7">
        <v>20</v>
      </c>
      <c r="C10" s="3" t="s">
        <v>55</v>
      </c>
      <c r="D10" s="3" t="s">
        <v>41</v>
      </c>
    </row>
    <row r="11" spans="1:4" x14ac:dyDescent="0.2">
      <c r="A11" s="3" t="s">
        <v>56</v>
      </c>
      <c r="B11" s="3">
        <v>0.2</v>
      </c>
      <c r="C11" s="3" t="s">
        <v>57</v>
      </c>
      <c r="D11" s="3" t="s">
        <v>41</v>
      </c>
    </row>
    <row r="12" spans="1:4" x14ac:dyDescent="0.2">
      <c r="A12" s="3" t="s">
        <v>58</v>
      </c>
      <c r="B12" s="3">
        <v>25</v>
      </c>
      <c r="C12" s="3" t="s">
        <v>59</v>
      </c>
      <c r="D12" s="3" t="s">
        <v>41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75A0-7A7A-412F-8FFC-90773B5A8FA5}">
  <dimension ref="A1:F17"/>
  <sheetViews>
    <sheetView rightToLeft="1" tabSelected="1" workbookViewId="0">
      <pane ySplit="3" topLeftCell="A4" activePane="bottomLeft" state="frozenSplit"/>
      <selection pane="bottomLeft" sqref="A1:F1"/>
    </sheetView>
  </sheetViews>
  <sheetFormatPr defaultRowHeight="12.75" x14ac:dyDescent="0.2"/>
  <cols>
    <col min="1" max="1" width="13.42578125" style="1" bestFit="1" customWidth="1"/>
    <col min="2" max="2" width="31.42578125" style="1" bestFit="1" customWidth="1"/>
    <col min="3" max="3" width="42.28515625" style="1" bestFit="1" customWidth="1"/>
    <col min="4" max="4" width="21.42578125" style="1" bestFit="1" customWidth="1"/>
    <col min="5" max="5" width="6.85546875" style="1" bestFit="1" customWidth="1"/>
    <col min="6" max="6" width="5.5703125" style="1" bestFit="1" customWidth="1"/>
    <col min="7" max="16384" width="9.140625" style="1"/>
  </cols>
  <sheetData>
    <row r="1" spans="1:6" x14ac:dyDescent="0.2">
      <c r="A1" s="2" t="s">
        <v>0</v>
      </c>
      <c r="B1" s="2"/>
      <c r="C1" s="2"/>
      <c r="D1" s="2"/>
      <c r="E1" s="2"/>
      <c r="F1" s="2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4" t="s">
        <v>1</v>
      </c>
      <c r="B3" s="4" t="s">
        <v>2</v>
      </c>
      <c r="C3" s="3"/>
      <c r="D3" s="3"/>
      <c r="E3" s="3"/>
      <c r="F3" s="3"/>
    </row>
    <row r="4" spans="1:6" x14ac:dyDescent="0.2">
      <c r="A4" s="3" t="s">
        <v>3</v>
      </c>
      <c r="B4" s="3" t="s">
        <v>4</v>
      </c>
      <c r="C4" s="3"/>
      <c r="D4" s="3"/>
      <c r="E4" s="3"/>
      <c r="F4" s="3"/>
    </row>
    <row r="5" spans="1:6" ht="25.5" x14ac:dyDescent="0.2">
      <c r="A5" s="3" t="s">
        <v>5</v>
      </c>
      <c r="B5" s="3" t="s">
        <v>6</v>
      </c>
      <c r="C5" s="3"/>
      <c r="D5" s="3"/>
      <c r="E5" s="3"/>
      <c r="F5" s="3"/>
    </row>
    <row r="6" spans="1:6" x14ac:dyDescent="0.2">
      <c r="A6" s="3" t="s">
        <v>7</v>
      </c>
      <c r="B6" s="3">
        <v>2026</v>
      </c>
      <c r="C6" s="3"/>
      <c r="D6" s="3"/>
      <c r="E6" s="3"/>
      <c r="F6" s="3"/>
    </row>
    <row r="7" spans="1:6" ht="25.5" x14ac:dyDescent="0.2">
      <c r="A7" s="3" t="s">
        <v>8</v>
      </c>
      <c r="B7" s="3" t="s">
        <v>9</v>
      </c>
      <c r="C7" s="3"/>
      <c r="D7" s="3"/>
      <c r="E7" s="3"/>
      <c r="F7" s="3"/>
    </row>
    <row r="8" spans="1:6" x14ac:dyDescent="0.2">
      <c r="A8" s="3" t="s">
        <v>10</v>
      </c>
      <c r="B8" s="3" t="s">
        <v>11</v>
      </c>
      <c r="C8" s="3"/>
      <c r="D8" s="3"/>
      <c r="E8" s="3"/>
      <c r="F8" s="3"/>
    </row>
    <row r="9" spans="1:6" x14ac:dyDescent="0.2">
      <c r="A9" s="3" t="s">
        <v>12</v>
      </c>
      <c r="B9" s="3" t="s">
        <v>13</v>
      </c>
      <c r="C9" s="3"/>
      <c r="D9" s="3"/>
      <c r="E9" s="3"/>
      <c r="F9" s="3"/>
    </row>
    <row r="10" spans="1:6" x14ac:dyDescent="0.2">
      <c r="A10" s="3" t="s">
        <v>14</v>
      </c>
      <c r="B10" s="3" t="s">
        <v>15</v>
      </c>
      <c r="C10" s="3"/>
      <c r="D10" s="3"/>
      <c r="E10" s="3"/>
      <c r="F10" s="3"/>
    </row>
    <row r="11" spans="1:6" x14ac:dyDescent="0.2">
      <c r="A11" s="3" t="s">
        <v>16</v>
      </c>
      <c r="B11" s="5">
        <v>46023</v>
      </c>
      <c r="C11" s="3"/>
      <c r="D11" s="3"/>
      <c r="E11" s="3"/>
      <c r="F11" s="3"/>
    </row>
    <row r="12" spans="1:6" x14ac:dyDescent="0.2">
      <c r="A12" s="3" t="s">
        <v>17</v>
      </c>
      <c r="B12" s="3" t="s">
        <v>18</v>
      </c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6" t="s">
        <v>19</v>
      </c>
      <c r="B14" s="6"/>
      <c r="C14" s="6"/>
      <c r="D14" s="6"/>
      <c r="E14" s="6"/>
      <c r="F14" s="6"/>
    </row>
    <row r="15" spans="1:6" ht="25.5" x14ac:dyDescent="0.2">
      <c r="A15" s="4" t="s">
        <v>20</v>
      </c>
      <c r="B15" s="4" t="s">
        <v>21</v>
      </c>
      <c r="C15" s="4" t="s">
        <v>22</v>
      </c>
      <c r="D15" s="4" t="s">
        <v>23</v>
      </c>
      <c r="E15" s="4" t="s">
        <v>24</v>
      </c>
      <c r="F15" s="4" t="s">
        <v>25</v>
      </c>
    </row>
    <row r="16" spans="1:6" ht="25.5" x14ac:dyDescent="0.2">
      <c r="A16" s="3" t="s">
        <v>26</v>
      </c>
      <c r="B16" s="5">
        <v>46023</v>
      </c>
      <c r="C16" s="3" t="s">
        <v>27</v>
      </c>
      <c r="D16" s="3" t="s">
        <v>28</v>
      </c>
      <c r="E16" s="3" t="s">
        <v>29</v>
      </c>
      <c r="F16" s="3" t="s">
        <v>30</v>
      </c>
    </row>
    <row r="17" spans="1:6" ht="51" x14ac:dyDescent="0.2">
      <c r="A17" s="3" t="s">
        <v>31</v>
      </c>
      <c r="B17" s="5">
        <v>46278</v>
      </c>
      <c r="C17" s="3" t="s">
        <v>32</v>
      </c>
      <c r="D17" s="3" t="s">
        <v>33</v>
      </c>
      <c r="E17" s="3" t="s">
        <v>34</v>
      </c>
      <c r="F17" s="3" t="s">
        <v>30</v>
      </c>
    </row>
  </sheetData>
  <mergeCells count="2">
    <mergeCell ref="A1:F1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التقرير الشهري الديناميكي</vt:lpstr>
      <vt:lpstr>لوحة المؤشرات والقيادة</vt:lpstr>
      <vt:lpstr>سجل الأدلة وجاهزية جهار</vt:lpstr>
      <vt:lpstr>مصفوفة التقييم العملي للكفاءة</vt:lpstr>
      <vt:lpstr>سجل الحضور والتنفيذ</vt:lpstr>
      <vt:lpstr>جدول الجلسات التدريبية</vt:lpstr>
      <vt:lpstr>الخطة التدريبية المعتمدة</vt:lpstr>
      <vt:lpstr>تحليل الاحتياجات والفجوات</vt:lpstr>
      <vt:lpstr>سجل الموظفين والكفاءة</vt:lpstr>
      <vt:lpstr>كتالوج معايير جهار</vt:lpstr>
      <vt:lpstr>الإعدادات والمستهدفات</vt:lpstr>
      <vt:lpstr>الاعتماد وسجل التغييرات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samir</dc:creator>
  <cp:lastModifiedBy>mohamed samir</cp:lastModifiedBy>
  <dcterms:created xsi:type="dcterms:W3CDTF">2026-09-13T17:58:30Z</dcterms:created>
  <dcterms:modified xsi:type="dcterms:W3CDTF">2026-09-13T17:59:02Z</dcterms:modified>
</cp:coreProperties>
</file>